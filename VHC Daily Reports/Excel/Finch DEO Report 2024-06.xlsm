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1" state="hidden" r:id="rId3"/>
    <sheet name="Production" sheetId="5" r:id="rId4"/>
    <sheet name="Assembly (DEO)" sheetId="6" r:id="rId5"/>
    <sheet name="Final Assem (DEO)" sheetId="9" r:id="rId6"/>
    <sheet name="Graph Summary" sheetId="10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(DEO)'!$A:$AB</definedName>
    <definedName name="_xlnm.Print_Area" localSheetId="5">'Final Assem (DEO)'!$A:$AL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7" i="9" l="1"/>
  <c r="E67" i="9" s="1"/>
  <c r="I225" i="6"/>
  <c r="E225" i="6" s="1"/>
  <c r="I224" i="6"/>
  <c r="E224" i="6" s="1"/>
  <c r="I223" i="6"/>
  <c r="E223" i="6" s="1"/>
  <c r="I222" i="6"/>
  <c r="E222" i="6"/>
  <c r="I221" i="6"/>
  <c r="E221" i="6" s="1"/>
  <c r="I220" i="6"/>
  <c r="E220" i="6"/>
  <c r="I219" i="6"/>
  <c r="E219" i="6" s="1"/>
  <c r="I218" i="6"/>
  <c r="E218" i="6"/>
  <c r="I217" i="6"/>
  <c r="E217" i="6" s="1"/>
  <c r="I216" i="6"/>
  <c r="E216" i="6" s="1"/>
  <c r="G332" i="5"/>
  <c r="BC333" i="5"/>
  <c r="BB333" i="5"/>
  <c r="BA333" i="5"/>
  <c r="AZ333" i="5"/>
  <c r="AU333" i="5"/>
  <c r="AT333" i="5"/>
  <c r="AS333" i="5"/>
  <c r="Y333" i="5"/>
  <c r="X333" i="5" s="1"/>
  <c r="S333" i="5"/>
  <c r="R333" i="5" s="1"/>
  <c r="M333" i="5"/>
  <c r="L333" i="5" s="1"/>
  <c r="G333" i="5"/>
  <c r="BC361" i="5"/>
  <c r="BB361" i="5"/>
  <c r="BA361" i="5"/>
  <c r="AZ361" i="5"/>
  <c r="AU361" i="5"/>
  <c r="AT361" i="5"/>
  <c r="AS361" i="5"/>
  <c r="X361" i="5"/>
  <c r="R361" i="5"/>
  <c r="L361" i="5"/>
  <c r="G361" i="5"/>
  <c r="BC360" i="5"/>
  <c r="BB360" i="5"/>
  <c r="BA360" i="5"/>
  <c r="AZ360" i="5"/>
  <c r="AU360" i="5"/>
  <c r="AT360" i="5"/>
  <c r="AS360" i="5"/>
  <c r="X360" i="5"/>
  <c r="R360" i="5"/>
  <c r="L360" i="5"/>
  <c r="G360" i="5"/>
  <c r="BC359" i="5"/>
  <c r="BB359" i="5"/>
  <c r="BA359" i="5"/>
  <c r="AZ359" i="5"/>
  <c r="AU359" i="5"/>
  <c r="AT359" i="5"/>
  <c r="AS359" i="5"/>
  <c r="Y359" i="5"/>
  <c r="X359" i="5" s="1"/>
  <c r="S359" i="5"/>
  <c r="M359" i="5"/>
  <c r="L359" i="5" s="1"/>
  <c r="G359" i="5"/>
  <c r="BC358" i="5"/>
  <c r="BB358" i="5"/>
  <c r="BA358" i="5"/>
  <c r="AZ358" i="5"/>
  <c r="AU358" i="5"/>
  <c r="AT358" i="5"/>
  <c r="AS358" i="5"/>
  <c r="Y358" i="5"/>
  <c r="X358" i="5" s="1"/>
  <c r="S358" i="5"/>
  <c r="R358" i="5" s="1"/>
  <c r="M358" i="5"/>
  <c r="L358" i="5" s="1"/>
  <c r="G358" i="5"/>
  <c r="BC357" i="5"/>
  <c r="BB357" i="5"/>
  <c r="BA357" i="5"/>
  <c r="AZ357" i="5"/>
  <c r="AU357" i="5"/>
  <c r="AT357" i="5"/>
  <c r="AS357" i="5"/>
  <c r="Y357" i="5"/>
  <c r="X357" i="5" s="1"/>
  <c r="S357" i="5"/>
  <c r="M357" i="5"/>
  <c r="L357" i="5" s="1"/>
  <c r="G357" i="5"/>
  <c r="BC356" i="5"/>
  <c r="BB356" i="5"/>
  <c r="BA356" i="5"/>
  <c r="AZ356" i="5"/>
  <c r="AU356" i="5"/>
  <c r="AT356" i="5"/>
  <c r="AS356" i="5"/>
  <c r="Y356" i="5"/>
  <c r="X356" i="5" s="1"/>
  <c r="S356" i="5"/>
  <c r="R356" i="5" s="1"/>
  <c r="M356" i="5"/>
  <c r="L356" i="5" s="1"/>
  <c r="G356" i="5"/>
  <c r="BC355" i="5"/>
  <c r="BB355" i="5"/>
  <c r="BA355" i="5"/>
  <c r="AZ355" i="5"/>
  <c r="AU355" i="5"/>
  <c r="AT355" i="5"/>
  <c r="AS355" i="5"/>
  <c r="Y355" i="5"/>
  <c r="X355" i="5" s="1"/>
  <c r="S355" i="5"/>
  <c r="M355" i="5"/>
  <c r="L355" i="5" s="1"/>
  <c r="G355" i="5"/>
  <c r="BC354" i="5"/>
  <c r="BB354" i="5"/>
  <c r="BA354" i="5"/>
  <c r="AZ354" i="5"/>
  <c r="AU354" i="5"/>
  <c r="AT354" i="5"/>
  <c r="AS354" i="5"/>
  <c r="X354" i="5"/>
  <c r="R354" i="5"/>
  <c r="L354" i="5"/>
  <c r="G354" i="5"/>
  <c r="BC353" i="5"/>
  <c r="BB353" i="5"/>
  <c r="BA353" i="5"/>
  <c r="AZ353" i="5"/>
  <c r="AU353" i="5"/>
  <c r="AT353" i="5"/>
  <c r="AS353" i="5"/>
  <c r="X353" i="5"/>
  <c r="R353" i="5"/>
  <c r="L353" i="5"/>
  <c r="G353" i="5"/>
  <c r="BC352" i="5"/>
  <c r="BB352" i="5"/>
  <c r="BA352" i="5"/>
  <c r="AZ352" i="5"/>
  <c r="AU352" i="5"/>
  <c r="AT352" i="5"/>
  <c r="AS352" i="5"/>
  <c r="X352" i="5"/>
  <c r="R352" i="5"/>
  <c r="L352" i="5"/>
  <c r="G352" i="5"/>
  <c r="BC351" i="5"/>
  <c r="BB351" i="5"/>
  <c r="BA351" i="5"/>
  <c r="AZ351" i="5"/>
  <c r="AU351" i="5"/>
  <c r="AT351" i="5"/>
  <c r="AS351" i="5"/>
  <c r="X351" i="5"/>
  <c r="R351" i="5"/>
  <c r="L351" i="5"/>
  <c r="G351" i="5"/>
  <c r="BC350" i="5"/>
  <c r="BB350" i="5"/>
  <c r="BA350" i="5"/>
  <c r="AZ350" i="5"/>
  <c r="AU350" i="5"/>
  <c r="AT350" i="5"/>
  <c r="AS350" i="5"/>
  <c r="X350" i="5"/>
  <c r="R350" i="5"/>
  <c r="L350" i="5"/>
  <c r="G350" i="5"/>
  <c r="BC349" i="5"/>
  <c r="BB349" i="5"/>
  <c r="BA349" i="5"/>
  <c r="AZ349" i="5"/>
  <c r="AU349" i="5"/>
  <c r="AT349" i="5"/>
  <c r="AS349" i="5"/>
  <c r="Y349" i="5"/>
  <c r="X349" i="5" s="1"/>
  <c r="S349" i="5"/>
  <c r="M349" i="5"/>
  <c r="L349" i="5" s="1"/>
  <c r="G349" i="5"/>
  <c r="BC348" i="5"/>
  <c r="BB348" i="5"/>
  <c r="BA348" i="5"/>
  <c r="AZ348" i="5"/>
  <c r="AU348" i="5"/>
  <c r="AT348" i="5"/>
  <c r="AS348" i="5"/>
  <c r="Y348" i="5"/>
  <c r="X348" i="5" s="1"/>
  <c r="S348" i="5"/>
  <c r="R348" i="5" s="1"/>
  <c r="M348" i="5"/>
  <c r="L348" i="5" s="1"/>
  <c r="G348" i="5"/>
  <c r="BC347" i="5"/>
  <c r="BB347" i="5"/>
  <c r="BA347" i="5"/>
  <c r="AZ347" i="5"/>
  <c r="AU347" i="5"/>
  <c r="AT347" i="5"/>
  <c r="AS347" i="5"/>
  <c r="Y347" i="5"/>
  <c r="X347" i="5" s="1"/>
  <c r="S347" i="5"/>
  <c r="R347" i="5" s="1"/>
  <c r="M347" i="5"/>
  <c r="L347" i="5" s="1"/>
  <c r="G347" i="5"/>
  <c r="BC346" i="5"/>
  <c r="BB346" i="5"/>
  <c r="BA346" i="5"/>
  <c r="AZ346" i="5"/>
  <c r="AU346" i="5"/>
  <c r="AT346" i="5"/>
  <c r="AS346" i="5"/>
  <c r="X346" i="5"/>
  <c r="R346" i="5"/>
  <c r="L346" i="5"/>
  <c r="G346" i="5"/>
  <c r="BC345" i="5"/>
  <c r="BB345" i="5"/>
  <c r="BA345" i="5"/>
  <c r="AZ345" i="5"/>
  <c r="AU345" i="5"/>
  <c r="AT345" i="5"/>
  <c r="AS345" i="5"/>
  <c r="X345" i="5"/>
  <c r="R345" i="5"/>
  <c r="L345" i="5"/>
  <c r="G345" i="5"/>
  <c r="BC344" i="5"/>
  <c r="BB344" i="5"/>
  <c r="BA344" i="5"/>
  <c r="AZ344" i="5"/>
  <c r="AU344" i="5"/>
  <c r="AT344" i="5"/>
  <c r="AS344" i="5"/>
  <c r="Y344" i="5"/>
  <c r="X344" i="5" s="1"/>
  <c r="S344" i="5"/>
  <c r="R344" i="5" s="1"/>
  <c r="M344" i="5"/>
  <c r="L344" i="5" s="1"/>
  <c r="G344" i="5"/>
  <c r="BC343" i="5"/>
  <c r="BB343" i="5"/>
  <c r="BA343" i="5"/>
  <c r="AZ343" i="5"/>
  <c r="AU343" i="5"/>
  <c r="AT343" i="5"/>
  <c r="AS343" i="5"/>
  <c r="Y343" i="5"/>
  <c r="X343" i="5" s="1"/>
  <c r="S343" i="5"/>
  <c r="R343" i="5" s="1"/>
  <c r="M343" i="5"/>
  <c r="L343" i="5" s="1"/>
  <c r="G343" i="5"/>
  <c r="BC342" i="5"/>
  <c r="BB342" i="5"/>
  <c r="BA342" i="5"/>
  <c r="AZ342" i="5"/>
  <c r="AU342" i="5"/>
  <c r="AT342" i="5"/>
  <c r="AS342" i="5"/>
  <c r="Y342" i="5"/>
  <c r="X342" i="5" s="1"/>
  <c r="S342" i="5"/>
  <c r="R342" i="5" s="1"/>
  <c r="M342" i="5"/>
  <c r="L342" i="5" s="1"/>
  <c r="G342" i="5"/>
  <c r="BC341" i="5"/>
  <c r="BB341" i="5"/>
  <c r="BA341" i="5"/>
  <c r="AZ341" i="5"/>
  <c r="AU341" i="5"/>
  <c r="AT341" i="5"/>
  <c r="AS341" i="5"/>
  <c r="Y341" i="5"/>
  <c r="X341" i="5" s="1"/>
  <c r="S341" i="5"/>
  <c r="R341" i="5" s="1"/>
  <c r="M341" i="5"/>
  <c r="L341" i="5" s="1"/>
  <c r="G341" i="5"/>
  <c r="BC340" i="5"/>
  <c r="BB340" i="5"/>
  <c r="BA340" i="5"/>
  <c r="AZ340" i="5"/>
  <c r="AU340" i="5"/>
  <c r="AT340" i="5"/>
  <c r="AS340" i="5"/>
  <c r="Y340" i="5"/>
  <c r="X340" i="5" s="1"/>
  <c r="S340" i="5"/>
  <c r="R340" i="5" s="1"/>
  <c r="M340" i="5"/>
  <c r="L340" i="5" s="1"/>
  <c r="G340" i="5"/>
  <c r="BC339" i="5"/>
  <c r="BB339" i="5"/>
  <c r="BA339" i="5"/>
  <c r="AZ339" i="5"/>
  <c r="AU339" i="5"/>
  <c r="AT339" i="5"/>
  <c r="AS339" i="5"/>
  <c r="X339" i="5"/>
  <c r="R339" i="5"/>
  <c r="L339" i="5"/>
  <c r="G339" i="5"/>
  <c r="BC338" i="5"/>
  <c r="BB338" i="5"/>
  <c r="BA338" i="5"/>
  <c r="AZ338" i="5"/>
  <c r="AU338" i="5"/>
  <c r="AT338" i="5"/>
  <c r="AS338" i="5"/>
  <c r="X338" i="5"/>
  <c r="R338" i="5"/>
  <c r="L338" i="5"/>
  <c r="G338" i="5"/>
  <c r="BC337" i="5"/>
  <c r="BB337" i="5"/>
  <c r="BA337" i="5"/>
  <c r="AZ337" i="5"/>
  <c r="AU337" i="5"/>
  <c r="AT337" i="5"/>
  <c r="AS337" i="5"/>
  <c r="X337" i="5"/>
  <c r="R337" i="5"/>
  <c r="L337" i="5"/>
  <c r="G337" i="5"/>
  <c r="BC336" i="5"/>
  <c r="BB336" i="5"/>
  <c r="BA336" i="5"/>
  <c r="AZ336" i="5"/>
  <c r="AU336" i="5"/>
  <c r="AT336" i="5"/>
  <c r="AS336" i="5"/>
  <c r="X336" i="5"/>
  <c r="R336" i="5"/>
  <c r="L336" i="5"/>
  <c r="G336" i="5"/>
  <c r="BC335" i="5"/>
  <c r="BB335" i="5"/>
  <c r="BA335" i="5"/>
  <c r="AZ335" i="5"/>
  <c r="AU335" i="5"/>
  <c r="AT335" i="5"/>
  <c r="AS335" i="5"/>
  <c r="X335" i="5"/>
  <c r="R335" i="5"/>
  <c r="L335" i="5"/>
  <c r="G335" i="5"/>
  <c r="BC334" i="5"/>
  <c r="BB334" i="5"/>
  <c r="BA334" i="5"/>
  <c r="AZ334" i="5"/>
  <c r="AU334" i="5"/>
  <c r="AT334" i="5"/>
  <c r="AS334" i="5"/>
  <c r="Y334" i="5"/>
  <c r="X334" i="5" s="1"/>
  <c r="S334" i="5"/>
  <c r="R334" i="5" s="1"/>
  <c r="M334" i="5"/>
  <c r="L334" i="5" s="1"/>
  <c r="G334" i="5"/>
  <c r="BC332" i="5"/>
  <c r="BB332" i="5"/>
  <c r="BA332" i="5"/>
  <c r="AZ332" i="5"/>
  <c r="AU332" i="5"/>
  <c r="AT332" i="5"/>
  <c r="AS332" i="5"/>
  <c r="Y332" i="5"/>
  <c r="X332" i="5" s="1"/>
  <c r="S332" i="5"/>
  <c r="R332" i="5" s="1"/>
  <c r="M332" i="5"/>
  <c r="L332" i="5" s="1"/>
  <c r="BC331" i="5"/>
  <c r="BB331" i="5"/>
  <c r="BA331" i="5"/>
  <c r="AZ331" i="5"/>
  <c r="AU331" i="5"/>
  <c r="AT331" i="5"/>
  <c r="AS331" i="5"/>
  <c r="Y331" i="5"/>
  <c r="X331" i="5" s="1"/>
  <c r="S331" i="5"/>
  <c r="R331" i="5" s="1"/>
  <c r="M331" i="5"/>
  <c r="L331" i="5" s="1"/>
  <c r="G331" i="5"/>
  <c r="BE333" i="5"/>
  <c r="BD333" i="5"/>
  <c r="BE361" i="5"/>
  <c r="BD360" i="5"/>
  <c r="BE352" i="5"/>
  <c r="BD351" i="5"/>
  <c r="BD361" i="5"/>
  <c r="BE353" i="5"/>
  <c r="BD352" i="5"/>
  <c r="BE348" i="5"/>
  <c r="BE358" i="5"/>
  <c r="BE356" i="5"/>
  <c r="BE354" i="5"/>
  <c r="BD353" i="5"/>
  <c r="BD348" i="5"/>
  <c r="BD358" i="5"/>
  <c r="BD356" i="5"/>
  <c r="BD354" i="5"/>
  <c r="BE349" i="5"/>
  <c r="BE347" i="5"/>
  <c r="BE359" i="5"/>
  <c r="BE357" i="5"/>
  <c r="BE355" i="5"/>
  <c r="BE350" i="5"/>
  <c r="BD349" i="5"/>
  <c r="BD347" i="5"/>
  <c r="BE360" i="5"/>
  <c r="BD359" i="5"/>
  <c r="BD357" i="5"/>
  <c r="BD355" i="5"/>
  <c r="BE351" i="5"/>
  <c r="BD350" i="5"/>
  <c r="BE346" i="5"/>
  <c r="BD345" i="5"/>
  <c r="BD346" i="5"/>
  <c r="BE332" i="5"/>
  <c r="BD332" i="5"/>
  <c r="BE344" i="5"/>
  <c r="BE342" i="5"/>
  <c r="BE340" i="5"/>
  <c r="BE335" i="5"/>
  <c r="BD344" i="5"/>
  <c r="BD342" i="5"/>
  <c r="BD340" i="5"/>
  <c r="BE336" i="5"/>
  <c r="BD335" i="5"/>
  <c r="BE337" i="5"/>
  <c r="BD336" i="5"/>
  <c r="BE338" i="5"/>
  <c r="BD337" i="5"/>
  <c r="BE334" i="5"/>
  <c r="BE331" i="5"/>
  <c r="BD331" i="5"/>
  <c r="BE343" i="5"/>
  <c r="BE341" i="5"/>
  <c r="BE339" i="5"/>
  <c r="BD338" i="5"/>
  <c r="BD334" i="5"/>
  <c r="BE345" i="5"/>
  <c r="BD343" i="5"/>
  <c r="BD341" i="5"/>
  <c r="BD339" i="5"/>
  <c r="AV333" i="5" l="1"/>
  <c r="Z333" i="5"/>
  <c r="AA333" i="5"/>
  <c r="Z361" i="5"/>
  <c r="Z354" i="5"/>
  <c r="AV361" i="5"/>
  <c r="Z360" i="5"/>
  <c r="AV360" i="5"/>
  <c r="AA347" i="5"/>
  <c r="AV347" i="5"/>
  <c r="Z348" i="5"/>
  <c r="AB348" i="5" s="1"/>
  <c r="AV340" i="5"/>
  <c r="AA349" i="5"/>
  <c r="AA359" i="5"/>
  <c r="AV358" i="5"/>
  <c r="Z347" i="5"/>
  <c r="AB347" i="5" s="1"/>
  <c r="R349" i="5"/>
  <c r="Z349" i="5" s="1"/>
  <c r="AB349" i="5" s="1"/>
  <c r="Z351" i="5"/>
  <c r="Z352" i="5"/>
  <c r="AV351" i="5"/>
  <c r="AA358" i="5"/>
  <c r="AV349" i="5"/>
  <c r="AA357" i="5"/>
  <c r="Z350" i="5"/>
  <c r="AV357" i="5"/>
  <c r="AV352" i="5"/>
  <c r="Z353" i="5"/>
  <c r="AV354" i="5"/>
  <c r="AA355" i="5"/>
  <c r="AA356" i="5"/>
  <c r="Z358" i="5"/>
  <c r="AB358" i="5" s="1"/>
  <c r="AV348" i="5"/>
  <c r="AV350" i="5"/>
  <c r="AV359" i="5"/>
  <c r="AV353" i="5"/>
  <c r="AV356" i="5"/>
  <c r="AV355" i="5"/>
  <c r="Z356" i="5"/>
  <c r="AB356" i="5" s="1"/>
  <c r="R355" i="5"/>
  <c r="Z355" i="5" s="1"/>
  <c r="AB355" i="5" s="1"/>
  <c r="R357" i="5"/>
  <c r="Z357" i="5" s="1"/>
  <c r="AB357" i="5" s="1"/>
  <c r="R359" i="5"/>
  <c r="Z359" i="5" s="1"/>
  <c r="AB359" i="5" s="1"/>
  <c r="AV339" i="5"/>
  <c r="AA348" i="5"/>
  <c r="AV335" i="5"/>
  <c r="AV344" i="5"/>
  <c r="Z339" i="5"/>
  <c r="Z337" i="5"/>
  <c r="AA340" i="5"/>
  <c r="AV334" i="5"/>
  <c r="AA342" i="5"/>
  <c r="Z335" i="5"/>
  <c r="AV343" i="5"/>
  <c r="AA344" i="5"/>
  <c r="Z336" i="5"/>
  <c r="AV338" i="5"/>
  <c r="AA341" i="5"/>
  <c r="AV345" i="5"/>
  <c r="AV342" i="5"/>
  <c r="Z346" i="5"/>
  <c r="AA343" i="5"/>
  <c r="Z344" i="5"/>
  <c r="AV331" i="5"/>
  <c r="Z343" i="5"/>
  <c r="Z342" i="5"/>
  <c r="AV341" i="5"/>
  <c r="AV346" i="5"/>
  <c r="AV332" i="5"/>
  <c r="Z338" i="5"/>
  <c r="Z345" i="5"/>
  <c r="Z340" i="5"/>
  <c r="AB340" i="5" s="1"/>
  <c r="Z341" i="5"/>
  <c r="AB341" i="5" s="1"/>
  <c r="Z331" i="5"/>
  <c r="AV336" i="5"/>
  <c r="AV337" i="5"/>
  <c r="Z332" i="5"/>
  <c r="Z334" i="5"/>
  <c r="AA331" i="5"/>
  <c r="AA334" i="5"/>
  <c r="AA332" i="5"/>
  <c r="AB344" i="5" l="1"/>
  <c r="AB333" i="5"/>
  <c r="AB334" i="5"/>
  <c r="AB343" i="5"/>
  <c r="AB342" i="5"/>
  <c r="AB331" i="5"/>
  <c r="AB332" i="5"/>
  <c r="BC277" i="5" l="1"/>
  <c r="BB277" i="5"/>
  <c r="BA277" i="5"/>
  <c r="AZ277" i="5"/>
  <c r="AU277" i="5"/>
  <c r="AT277" i="5"/>
  <c r="AS277" i="5"/>
  <c r="Y277" i="5"/>
  <c r="X277" i="5" s="1"/>
  <c r="S277" i="5"/>
  <c r="R277" i="5" s="1"/>
  <c r="M277" i="5"/>
  <c r="L277" i="5" s="1"/>
  <c r="G277" i="5"/>
  <c r="BC261" i="5"/>
  <c r="BB261" i="5"/>
  <c r="BA261" i="5"/>
  <c r="AZ261" i="5"/>
  <c r="AU261" i="5"/>
  <c r="AT261" i="5"/>
  <c r="AS261" i="5"/>
  <c r="Y261" i="5"/>
  <c r="X261" i="5" s="1"/>
  <c r="S261" i="5"/>
  <c r="R261" i="5" s="1"/>
  <c r="M261" i="5"/>
  <c r="L261" i="5" s="1"/>
  <c r="G261" i="5"/>
  <c r="G257" i="5"/>
  <c r="I215" i="6"/>
  <c r="E215" i="6" s="1"/>
  <c r="I214" i="6"/>
  <c r="E214" i="6" s="1"/>
  <c r="I213" i="6"/>
  <c r="E213" i="6" s="1"/>
  <c r="I212" i="6"/>
  <c r="E212" i="6" s="1"/>
  <c r="I211" i="6"/>
  <c r="E211" i="6" s="1"/>
  <c r="I210" i="6"/>
  <c r="E210" i="6" s="1"/>
  <c r="I209" i="6"/>
  <c r="E209" i="6" s="1"/>
  <c r="I208" i="6"/>
  <c r="E208" i="6" s="1"/>
  <c r="I207" i="6"/>
  <c r="E207" i="6" s="1"/>
  <c r="I206" i="6"/>
  <c r="E206" i="6" s="1"/>
  <c r="BC304" i="5"/>
  <c r="BB304" i="5"/>
  <c r="BA304" i="5"/>
  <c r="AZ304" i="5"/>
  <c r="AU304" i="5"/>
  <c r="AT304" i="5"/>
  <c r="AS304" i="5"/>
  <c r="X304" i="5"/>
  <c r="R304" i="5"/>
  <c r="L304" i="5"/>
  <c r="G304" i="5"/>
  <c r="BC325" i="5"/>
  <c r="BB325" i="5"/>
  <c r="BA325" i="5"/>
  <c r="AZ325" i="5"/>
  <c r="AU325" i="5"/>
  <c r="AT325" i="5"/>
  <c r="AS325" i="5"/>
  <c r="Y325" i="5"/>
  <c r="X325" i="5" s="1"/>
  <c r="S325" i="5"/>
  <c r="R325" i="5" s="1"/>
  <c r="M325" i="5"/>
  <c r="L325" i="5" s="1"/>
  <c r="G325" i="5"/>
  <c r="BC328" i="5"/>
  <c r="BB328" i="5"/>
  <c r="BA328" i="5"/>
  <c r="AZ328" i="5"/>
  <c r="AU328" i="5"/>
  <c r="AT328" i="5"/>
  <c r="AS328" i="5"/>
  <c r="Y328" i="5"/>
  <c r="X328" i="5" s="1"/>
  <c r="S328" i="5"/>
  <c r="R328" i="5" s="1"/>
  <c r="M328" i="5"/>
  <c r="L328" i="5" s="1"/>
  <c r="G328" i="5"/>
  <c r="BC317" i="5"/>
  <c r="BB317" i="5"/>
  <c r="BA317" i="5"/>
  <c r="AZ317" i="5"/>
  <c r="AU317" i="5"/>
  <c r="AT317" i="5"/>
  <c r="AS317" i="5"/>
  <c r="Y317" i="5"/>
  <c r="X317" i="5" s="1"/>
  <c r="S317" i="5"/>
  <c r="R317" i="5" s="1"/>
  <c r="M317" i="5"/>
  <c r="L317" i="5" s="1"/>
  <c r="G317" i="5"/>
  <c r="BE328" i="5"/>
  <c r="BE304" i="5"/>
  <c r="BE277" i="5"/>
  <c r="BD317" i="5"/>
  <c r="BD304" i="5"/>
  <c r="BD325" i="5"/>
  <c r="BE317" i="5"/>
  <c r="BD277" i="5"/>
  <c r="BE325" i="5"/>
  <c r="BE261" i="5"/>
  <c r="BD328" i="5"/>
  <c r="BD261" i="5"/>
  <c r="AV277" i="5" l="1"/>
  <c r="AV261" i="5"/>
  <c r="Z277" i="5"/>
  <c r="AB277" i="5" s="1"/>
  <c r="AA277" i="5"/>
  <c r="Z261" i="5"/>
  <c r="AA261" i="5"/>
  <c r="AV304" i="5"/>
  <c r="Z304" i="5"/>
  <c r="AV325" i="5"/>
  <c r="AV328" i="5"/>
  <c r="Z325" i="5"/>
  <c r="AA325" i="5"/>
  <c r="Z328" i="5"/>
  <c r="AA328" i="5"/>
  <c r="Z317" i="5"/>
  <c r="AV317" i="5"/>
  <c r="AA317" i="5"/>
  <c r="BC330" i="5"/>
  <c r="BB330" i="5"/>
  <c r="BA330" i="5"/>
  <c r="AZ330" i="5"/>
  <c r="AU330" i="5"/>
  <c r="AT330" i="5"/>
  <c r="AS330" i="5"/>
  <c r="X330" i="5"/>
  <c r="R330" i="5"/>
  <c r="L330" i="5"/>
  <c r="G330" i="5"/>
  <c r="BC329" i="5"/>
  <c r="BB329" i="5"/>
  <c r="BA329" i="5"/>
  <c r="AZ329" i="5"/>
  <c r="AU329" i="5"/>
  <c r="AT329" i="5"/>
  <c r="AS329" i="5"/>
  <c r="X329" i="5"/>
  <c r="R329" i="5"/>
  <c r="L329" i="5"/>
  <c r="G329" i="5"/>
  <c r="BC327" i="5"/>
  <c r="BB327" i="5"/>
  <c r="BA327" i="5"/>
  <c r="AZ327" i="5"/>
  <c r="AU327" i="5"/>
  <c r="AT327" i="5"/>
  <c r="AS327" i="5"/>
  <c r="Y327" i="5"/>
  <c r="X327" i="5" s="1"/>
  <c r="S327" i="5"/>
  <c r="R327" i="5" s="1"/>
  <c r="M327" i="5"/>
  <c r="L327" i="5" s="1"/>
  <c r="G327" i="5"/>
  <c r="BC326" i="5"/>
  <c r="BB326" i="5"/>
  <c r="BA326" i="5"/>
  <c r="AZ326" i="5"/>
  <c r="AU326" i="5"/>
  <c r="AT326" i="5"/>
  <c r="AS326" i="5"/>
  <c r="Y326" i="5"/>
  <c r="X326" i="5" s="1"/>
  <c r="S326" i="5"/>
  <c r="R326" i="5" s="1"/>
  <c r="M326" i="5"/>
  <c r="L326" i="5" s="1"/>
  <c r="G326" i="5"/>
  <c r="BC324" i="5"/>
  <c r="BB324" i="5"/>
  <c r="BA324" i="5"/>
  <c r="AZ324" i="5"/>
  <c r="AU324" i="5"/>
  <c r="AT324" i="5"/>
  <c r="AS324" i="5"/>
  <c r="Y324" i="5"/>
  <c r="X324" i="5" s="1"/>
  <c r="S324" i="5"/>
  <c r="M324" i="5"/>
  <c r="L324" i="5" s="1"/>
  <c r="G324" i="5"/>
  <c r="BC323" i="5"/>
  <c r="BB323" i="5"/>
  <c r="BA323" i="5"/>
  <c r="AZ323" i="5"/>
  <c r="AU323" i="5"/>
  <c r="AT323" i="5"/>
  <c r="AS323" i="5"/>
  <c r="Y323" i="5"/>
  <c r="X323" i="5" s="1"/>
  <c r="S323" i="5"/>
  <c r="R323" i="5" s="1"/>
  <c r="M323" i="5"/>
  <c r="L323" i="5" s="1"/>
  <c r="G323" i="5"/>
  <c r="BC322" i="5"/>
  <c r="BB322" i="5"/>
  <c r="BA322" i="5"/>
  <c r="AZ322" i="5"/>
  <c r="AU322" i="5"/>
  <c r="AT322" i="5"/>
  <c r="AS322" i="5"/>
  <c r="X322" i="5"/>
  <c r="R322" i="5"/>
  <c r="L322" i="5"/>
  <c r="G322" i="5"/>
  <c r="BC321" i="5"/>
  <c r="BB321" i="5"/>
  <c r="BA321" i="5"/>
  <c r="AZ321" i="5"/>
  <c r="AU321" i="5"/>
  <c r="AT321" i="5"/>
  <c r="AS321" i="5"/>
  <c r="X321" i="5"/>
  <c r="R321" i="5"/>
  <c r="L321" i="5"/>
  <c r="G321" i="5"/>
  <c r="BC320" i="5"/>
  <c r="BB320" i="5"/>
  <c r="BA320" i="5"/>
  <c r="AZ320" i="5"/>
  <c r="AU320" i="5"/>
  <c r="AT320" i="5"/>
  <c r="AS320" i="5"/>
  <c r="X320" i="5"/>
  <c r="R320" i="5"/>
  <c r="L320" i="5"/>
  <c r="G320" i="5"/>
  <c r="BC319" i="5"/>
  <c r="BB319" i="5"/>
  <c r="BA319" i="5"/>
  <c r="AZ319" i="5"/>
  <c r="AU319" i="5"/>
  <c r="AT319" i="5"/>
  <c r="AS319" i="5"/>
  <c r="X319" i="5"/>
  <c r="R319" i="5"/>
  <c r="L319" i="5"/>
  <c r="G319" i="5"/>
  <c r="BC318" i="5"/>
  <c r="BB318" i="5"/>
  <c r="BA318" i="5"/>
  <c r="AZ318" i="5"/>
  <c r="AU318" i="5"/>
  <c r="AT318" i="5"/>
  <c r="AS318" i="5"/>
  <c r="X318" i="5"/>
  <c r="R318" i="5"/>
  <c r="L318" i="5"/>
  <c r="G318" i="5"/>
  <c r="BC316" i="5"/>
  <c r="BB316" i="5"/>
  <c r="BA316" i="5"/>
  <c r="AZ316" i="5"/>
  <c r="AU316" i="5"/>
  <c r="AT316" i="5"/>
  <c r="AS316" i="5"/>
  <c r="Y316" i="5"/>
  <c r="X316" i="5" s="1"/>
  <c r="S316" i="5"/>
  <c r="R316" i="5" s="1"/>
  <c r="M316" i="5"/>
  <c r="L316" i="5" s="1"/>
  <c r="G316" i="5"/>
  <c r="BC315" i="5"/>
  <c r="BB315" i="5"/>
  <c r="BA315" i="5"/>
  <c r="AZ315" i="5"/>
  <c r="AU315" i="5"/>
  <c r="AT315" i="5"/>
  <c r="AS315" i="5"/>
  <c r="Y315" i="5"/>
  <c r="X315" i="5" s="1"/>
  <c r="S315" i="5"/>
  <c r="R315" i="5" s="1"/>
  <c r="M315" i="5"/>
  <c r="L315" i="5" s="1"/>
  <c r="G315" i="5"/>
  <c r="BC314" i="5"/>
  <c r="BB314" i="5"/>
  <c r="BA314" i="5"/>
  <c r="AZ314" i="5"/>
  <c r="AU314" i="5"/>
  <c r="AT314" i="5"/>
  <c r="AS314" i="5"/>
  <c r="Y314" i="5"/>
  <c r="X314" i="5" s="1"/>
  <c r="S314" i="5"/>
  <c r="R314" i="5" s="1"/>
  <c r="M314" i="5"/>
  <c r="L314" i="5" s="1"/>
  <c r="G314" i="5"/>
  <c r="BD322" i="5"/>
  <c r="BE316" i="5"/>
  <c r="BD327" i="5"/>
  <c r="BD330" i="5"/>
  <c r="BE323" i="5"/>
  <c r="BD320" i="5"/>
  <c r="BE314" i="5"/>
  <c r="BE322" i="5"/>
  <c r="BE315" i="5"/>
  <c r="BE321" i="5"/>
  <c r="BD319" i="5"/>
  <c r="BE318" i="5"/>
  <c r="BE330" i="5"/>
  <c r="BE319" i="5"/>
  <c r="BD326" i="5"/>
  <c r="BE327" i="5"/>
  <c r="BD316" i="5"/>
  <c r="BD324" i="5"/>
  <c r="BD321" i="5"/>
  <c r="BE329" i="5"/>
  <c r="BD314" i="5"/>
  <c r="BD329" i="5"/>
  <c r="BD318" i="5"/>
  <c r="BD315" i="5"/>
  <c r="BD323" i="5"/>
  <c r="BE320" i="5"/>
  <c r="BE324" i="5"/>
  <c r="BE326" i="5"/>
  <c r="AB261" i="5" l="1"/>
  <c r="AB328" i="5"/>
  <c r="AB325" i="5"/>
  <c r="AB317" i="5"/>
  <c r="AV330" i="5"/>
  <c r="AV329" i="5"/>
  <c r="AV319" i="5"/>
  <c r="Z320" i="5"/>
  <c r="AV322" i="5"/>
  <c r="AV314" i="5"/>
  <c r="AV316" i="5"/>
  <c r="AA326" i="5"/>
  <c r="Z329" i="5"/>
  <c r="AV320" i="5"/>
  <c r="Z319" i="5"/>
  <c r="Z327" i="5"/>
  <c r="Z330" i="5"/>
  <c r="AV315" i="5"/>
  <c r="Z316" i="5"/>
  <c r="AV321" i="5"/>
  <c r="Z323" i="5"/>
  <c r="AV324" i="5"/>
  <c r="AA323" i="5"/>
  <c r="Z326" i="5"/>
  <c r="AV327" i="5"/>
  <c r="Z322" i="5"/>
  <c r="AA315" i="5"/>
  <c r="Z318" i="5"/>
  <c r="AV323" i="5"/>
  <c r="AA324" i="5"/>
  <c r="AV326" i="5"/>
  <c r="AV318" i="5"/>
  <c r="Z314" i="5"/>
  <c r="Z321" i="5"/>
  <c r="Z315" i="5"/>
  <c r="R324" i="5"/>
  <c r="Z324" i="5" s="1"/>
  <c r="AB324" i="5" s="1"/>
  <c r="AA314" i="5"/>
  <c r="AA316" i="5"/>
  <c r="AA327" i="5"/>
  <c r="AB327" i="5" l="1"/>
  <c r="AB326" i="5"/>
  <c r="AB323" i="5"/>
  <c r="AB315" i="5"/>
  <c r="AB314" i="5"/>
  <c r="AB316" i="5"/>
  <c r="I63" i="9" l="1"/>
  <c r="E63" i="9" s="1"/>
  <c r="I62" i="9"/>
  <c r="E62" i="9" s="1"/>
  <c r="BC300" i="5" l="1"/>
  <c r="BB300" i="5"/>
  <c r="BA300" i="5"/>
  <c r="AZ300" i="5"/>
  <c r="AU300" i="5"/>
  <c r="AT300" i="5"/>
  <c r="AS300" i="5"/>
  <c r="Y300" i="5"/>
  <c r="X300" i="5" s="1"/>
  <c r="S300" i="5"/>
  <c r="R300" i="5" s="1"/>
  <c r="M300" i="5"/>
  <c r="L300" i="5" s="1"/>
  <c r="G300" i="5"/>
  <c r="I205" i="6"/>
  <c r="E205" i="6" s="1"/>
  <c r="I204" i="6"/>
  <c r="E204" i="6" s="1"/>
  <c r="I203" i="6"/>
  <c r="E203" i="6" s="1"/>
  <c r="I202" i="6"/>
  <c r="E202" i="6" s="1"/>
  <c r="I201" i="6"/>
  <c r="E201" i="6" s="1"/>
  <c r="I200" i="6"/>
  <c r="E200" i="6" s="1"/>
  <c r="I199" i="6"/>
  <c r="E199" i="6" s="1"/>
  <c r="I198" i="6"/>
  <c r="E198" i="6" s="1"/>
  <c r="I197" i="6"/>
  <c r="E197" i="6" s="1"/>
  <c r="I196" i="6"/>
  <c r="E196" i="6" s="1"/>
  <c r="I60" i="9"/>
  <c r="E60" i="9" s="1"/>
  <c r="I195" i="6"/>
  <c r="E195" i="6" s="1"/>
  <c r="I194" i="6"/>
  <c r="E194" i="6" s="1"/>
  <c r="I193" i="6"/>
  <c r="E193" i="6" s="1"/>
  <c r="I192" i="6"/>
  <c r="E192" i="6" s="1"/>
  <c r="I191" i="6"/>
  <c r="E191" i="6" s="1"/>
  <c r="I190" i="6"/>
  <c r="E190" i="6" s="1"/>
  <c r="I189" i="6"/>
  <c r="E189" i="6" s="1"/>
  <c r="I188" i="6"/>
  <c r="E188" i="6" s="1"/>
  <c r="I187" i="6"/>
  <c r="E187" i="6" s="1"/>
  <c r="I186" i="6"/>
  <c r="E186" i="6" s="1"/>
  <c r="BC285" i="5"/>
  <c r="BB285" i="5"/>
  <c r="BA285" i="5"/>
  <c r="AZ285" i="5"/>
  <c r="AU285" i="5"/>
  <c r="AT285" i="5"/>
  <c r="AS285" i="5"/>
  <c r="Y285" i="5"/>
  <c r="X285" i="5" s="1"/>
  <c r="S285" i="5"/>
  <c r="R285" i="5" s="1"/>
  <c r="M285" i="5"/>
  <c r="G285" i="5"/>
  <c r="BC284" i="5"/>
  <c r="BB284" i="5"/>
  <c r="BA284" i="5"/>
  <c r="AZ284" i="5"/>
  <c r="AU284" i="5"/>
  <c r="AT284" i="5"/>
  <c r="AS284" i="5"/>
  <c r="Y284" i="5"/>
  <c r="X284" i="5" s="1"/>
  <c r="S284" i="5"/>
  <c r="R284" i="5" s="1"/>
  <c r="M284" i="5"/>
  <c r="L284" i="5" s="1"/>
  <c r="G284" i="5"/>
  <c r="BC313" i="5"/>
  <c r="BB313" i="5"/>
  <c r="BA313" i="5"/>
  <c r="AZ313" i="5"/>
  <c r="AU313" i="5"/>
  <c r="AT313" i="5"/>
  <c r="AS313" i="5"/>
  <c r="X313" i="5"/>
  <c r="R313" i="5"/>
  <c r="L313" i="5"/>
  <c r="G313" i="5"/>
  <c r="BC312" i="5"/>
  <c r="BB312" i="5"/>
  <c r="BA312" i="5"/>
  <c r="AZ312" i="5"/>
  <c r="AU312" i="5"/>
  <c r="AT312" i="5"/>
  <c r="AS312" i="5"/>
  <c r="X312" i="5"/>
  <c r="R312" i="5"/>
  <c r="L312" i="5"/>
  <c r="G312" i="5"/>
  <c r="BC311" i="5"/>
  <c r="BB311" i="5"/>
  <c r="BA311" i="5"/>
  <c r="AZ311" i="5"/>
  <c r="AU311" i="5"/>
  <c r="AT311" i="5"/>
  <c r="AS311" i="5"/>
  <c r="Y311" i="5"/>
  <c r="X311" i="5" s="1"/>
  <c r="S311" i="5"/>
  <c r="M311" i="5"/>
  <c r="L311" i="5" s="1"/>
  <c r="G311" i="5"/>
  <c r="BC310" i="5"/>
  <c r="BB310" i="5"/>
  <c r="BA310" i="5"/>
  <c r="AZ310" i="5"/>
  <c r="AU310" i="5"/>
  <c r="AT310" i="5"/>
  <c r="AS310" i="5"/>
  <c r="Y310" i="5"/>
  <c r="S310" i="5"/>
  <c r="R310" i="5" s="1"/>
  <c r="M310" i="5"/>
  <c r="L310" i="5" s="1"/>
  <c r="G310" i="5"/>
  <c r="BC309" i="5"/>
  <c r="BB309" i="5"/>
  <c r="BA309" i="5"/>
  <c r="AZ309" i="5"/>
  <c r="AU309" i="5"/>
  <c r="AT309" i="5"/>
  <c r="AS309" i="5"/>
  <c r="Y309" i="5"/>
  <c r="X309" i="5" s="1"/>
  <c r="S309" i="5"/>
  <c r="R309" i="5" s="1"/>
  <c r="M309" i="5"/>
  <c r="L309" i="5" s="1"/>
  <c r="G309" i="5"/>
  <c r="BC308" i="5"/>
  <c r="BB308" i="5"/>
  <c r="BA308" i="5"/>
  <c r="AZ308" i="5"/>
  <c r="AU308" i="5"/>
  <c r="AT308" i="5"/>
  <c r="AS308" i="5"/>
  <c r="Y308" i="5"/>
  <c r="X308" i="5" s="1"/>
  <c r="S308" i="5"/>
  <c r="M308" i="5"/>
  <c r="L308" i="5" s="1"/>
  <c r="G308" i="5"/>
  <c r="BC307" i="5"/>
  <c r="BB307" i="5"/>
  <c r="BA307" i="5"/>
  <c r="AZ307" i="5"/>
  <c r="AU307" i="5"/>
  <c r="AT307" i="5"/>
  <c r="AS307" i="5"/>
  <c r="X307" i="5"/>
  <c r="R307" i="5"/>
  <c r="L307" i="5"/>
  <c r="G307" i="5"/>
  <c r="BC306" i="5"/>
  <c r="BB306" i="5"/>
  <c r="BA306" i="5"/>
  <c r="AZ306" i="5"/>
  <c r="AU306" i="5"/>
  <c r="AT306" i="5"/>
  <c r="AS306" i="5"/>
  <c r="X306" i="5"/>
  <c r="R306" i="5"/>
  <c r="L306" i="5"/>
  <c r="G306" i="5"/>
  <c r="BC305" i="5"/>
  <c r="BB305" i="5"/>
  <c r="BA305" i="5"/>
  <c r="AZ305" i="5"/>
  <c r="AU305" i="5"/>
  <c r="AT305" i="5"/>
  <c r="AS305" i="5"/>
  <c r="X305" i="5"/>
  <c r="R305" i="5"/>
  <c r="L305" i="5"/>
  <c r="G305" i="5"/>
  <c r="BC303" i="5"/>
  <c r="BB303" i="5"/>
  <c r="BA303" i="5"/>
  <c r="AZ303" i="5"/>
  <c r="AU303" i="5"/>
  <c r="AT303" i="5"/>
  <c r="AS303" i="5"/>
  <c r="X303" i="5"/>
  <c r="R303" i="5"/>
  <c r="L303" i="5"/>
  <c r="G303" i="5"/>
  <c r="BC302" i="5"/>
  <c r="BB302" i="5"/>
  <c r="BA302" i="5"/>
  <c r="AZ302" i="5"/>
  <c r="AU302" i="5"/>
  <c r="AT302" i="5"/>
  <c r="AS302" i="5"/>
  <c r="X302" i="5"/>
  <c r="R302" i="5"/>
  <c r="L302" i="5"/>
  <c r="G302" i="5"/>
  <c r="BC301" i="5"/>
  <c r="BB301" i="5"/>
  <c r="BA301" i="5"/>
  <c r="AZ301" i="5"/>
  <c r="AU301" i="5"/>
  <c r="AT301" i="5"/>
  <c r="AS301" i="5"/>
  <c r="Y301" i="5"/>
  <c r="X301" i="5" s="1"/>
  <c r="S301" i="5"/>
  <c r="R301" i="5" s="1"/>
  <c r="M301" i="5"/>
  <c r="G301" i="5"/>
  <c r="BC299" i="5"/>
  <c r="BB299" i="5"/>
  <c r="BA299" i="5"/>
  <c r="AZ299" i="5"/>
  <c r="AU299" i="5"/>
  <c r="AT299" i="5"/>
  <c r="AS299" i="5"/>
  <c r="Y299" i="5"/>
  <c r="S299" i="5"/>
  <c r="R299" i="5" s="1"/>
  <c r="M299" i="5"/>
  <c r="L299" i="5" s="1"/>
  <c r="G299" i="5"/>
  <c r="BC298" i="5"/>
  <c r="BB298" i="5"/>
  <c r="BA298" i="5"/>
  <c r="AZ298" i="5"/>
  <c r="AU298" i="5"/>
  <c r="AT298" i="5"/>
  <c r="AS298" i="5"/>
  <c r="Y298" i="5"/>
  <c r="X298" i="5" s="1"/>
  <c r="S298" i="5"/>
  <c r="R298" i="5" s="1"/>
  <c r="M298" i="5"/>
  <c r="G298" i="5"/>
  <c r="I58" i="9"/>
  <c r="E58" i="9" s="1"/>
  <c r="I185" i="6"/>
  <c r="E185" i="6" s="1"/>
  <c r="I184" i="6"/>
  <c r="E184" i="6" s="1"/>
  <c r="I183" i="6"/>
  <c r="E183" i="6" s="1"/>
  <c r="I182" i="6"/>
  <c r="E182" i="6" s="1"/>
  <c r="I181" i="6"/>
  <c r="E181" i="6" s="1"/>
  <c r="I180" i="6"/>
  <c r="E180" i="6" s="1"/>
  <c r="I179" i="6"/>
  <c r="E179" i="6" s="1"/>
  <c r="I178" i="6"/>
  <c r="E178" i="6" s="1"/>
  <c r="I177" i="6"/>
  <c r="E177" i="6" s="1"/>
  <c r="I176" i="6"/>
  <c r="E176" i="6" s="1"/>
  <c r="BC268" i="5"/>
  <c r="BB268" i="5"/>
  <c r="BA268" i="5"/>
  <c r="AZ268" i="5"/>
  <c r="AU268" i="5"/>
  <c r="AT268" i="5"/>
  <c r="AS268" i="5"/>
  <c r="Y268" i="5"/>
  <c r="X268" i="5" s="1"/>
  <c r="S268" i="5"/>
  <c r="R268" i="5" s="1"/>
  <c r="M268" i="5"/>
  <c r="L268" i="5" s="1"/>
  <c r="G268" i="5"/>
  <c r="BC297" i="5"/>
  <c r="BB297" i="5"/>
  <c r="BA297" i="5"/>
  <c r="AZ297" i="5"/>
  <c r="AU297" i="5"/>
  <c r="AT297" i="5"/>
  <c r="AS297" i="5"/>
  <c r="X297" i="5"/>
  <c r="R297" i="5"/>
  <c r="L297" i="5"/>
  <c r="G297" i="5"/>
  <c r="BC296" i="5"/>
  <c r="BB296" i="5"/>
  <c r="BA296" i="5"/>
  <c r="AZ296" i="5"/>
  <c r="AU296" i="5"/>
  <c r="AT296" i="5"/>
  <c r="AS296" i="5"/>
  <c r="X296" i="5"/>
  <c r="R296" i="5"/>
  <c r="L296" i="5"/>
  <c r="G296" i="5"/>
  <c r="BC295" i="5"/>
  <c r="BB295" i="5"/>
  <c r="BA295" i="5"/>
  <c r="AZ295" i="5"/>
  <c r="AU295" i="5"/>
  <c r="AT295" i="5"/>
  <c r="AS295" i="5"/>
  <c r="Y295" i="5"/>
  <c r="X295" i="5" s="1"/>
  <c r="S295" i="5"/>
  <c r="R295" i="5" s="1"/>
  <c r="M295" i="5"/>
  <c r="G295" i="5"/>
  <c r="BC294" i="5"/>
  <c r="BB294" i="5"/>
  <c r="BA294" i="5"/>
  <c r="AZ294" i="5"/>
  <c r="AU294" i="5"/>
  <c r="AT294" i="5"/>
  <c r="AS294" i="5"/>
  <c r="Y294" i="5"/>
  <c r="S294" i="5"/>
  <c r="R294" i="5" s="1"/>
  <c r="M294" i="5"/>
  <c r="L294" i="5" s="1"/>
  <c r="G294" i="5"/>
  <c r="BC293" i="5"/>
  <c r="BB293" i="5"/>
  <c r="BA293" i="5"/>
  <c r="AZ293" i="5"/>
  <c r="AU293" i="5"/>
  <c r="AT293" i="5"/>
  <c r="AS293" i="5"/>
  <c r="Y293" i="5"/>
  <c r="X293" i="5" s="1"/>
  <c r="S293" i="5"/>
  <c r="R293" i="5" s="1"/>
  <c r="M293" i="5"/>
  <c r="L293" i="5" s="1"/>
  <c r="G293" i="5"/>
  <c r="BC292" i="5"/>
  <c r="BB292" i="5"/>
  <c r="BA292" i="5"/>
  <c r="AZ292" i="5"/>
  <c r="AU292" i="5"/>
  <c r="AT292" i="5"/>
  <c r="AS292" i="5"/>
  <c r="Y292" i="5"/>
  <c r="X292" i="5" s="1"/>
  <c r="S292" i="5"/>
  <c r="R292" i="5" s="1"/>
  <c r="M292" i="5"/>
  <c r="G292" i="5"/>
  <c r="BC291" i="5"/>
  <c r="BB291" i="5"/>
  <c r="BA291" i="5"/>
  <c r="AZ291" i="5"/>
  <c r="AU291" i="5"/>
  <c r="AT291" i="5"/>
  <c r="AS291" i="5"/>
  <c r="X291" i="5"/>
  <c r="R291" i="5"/>
  <c r="L291" i="5"/>
  <c r="G291" i="5"/>
  <c r="BC290" i="5"/>
  <c r="BB290" i="5"/>
  <c r="BA290" i="5"/>
  <c r="AZ290" i="5"/>
  <c r="AU290" i="5"/>
  <c r="AT290" i="5"/>
  <c r="AS290" i="5"/>
  <c r="X290" i="5"/>
  <c r="R290" i="5"/>
  <c r="L290" i="5"/>
  <c r="G290" i="5"/>
  <c r="BC289" i="5"/>
  <c r="BB289" i="5"/>
  <c r="BA289" i="5"/>
  <c r="AZ289" i="5"/>
  <c r="AU289" i="5"/>
  <c r="AT289" i="5"/>
  <c r="AS289" i="5"/>
  <c r="X289" i="5"/>
  <c r="R289" i="5"/>
  <c r="L289" i="5"/>
  <c r="G289" i="5"/>
  <c r="BC288" i="5"/>
  <c r="BB288" i="5"/>
  <c r="BA288" i="5"/>
  <c r="AZ288" i="5"/>
  <c r="AU288" i="5"/>
  <c r="AT288" i="5"/>
  <c r="AS288" i="5"/>
  <c r="X288" i="5"/>
  <c r="R288" i="5"/>
  <c r="L288" i="5"/>
  <c r="G288" i="5"/>
  <c r="BC287" i="5"/>
  <c r="BB287" i="5"/>
  <c r="BA287" i="5"/>
  <c r="AZ287" i="5"/>
  <c r="AU287" i="5"/>
  <c r="AT287" i="5"/>
  <c r="AS287" i="5"/>
  <c r="X287" i="5"/>
  <c r="R287" i="5"/>
  <c r="L287" i="5"/>
  <c r="G287" i="5"/>
  <c r="BC286" i="5"/>
  <c r="BB286" i="5"/>
  <c r="BA286" i="5"/>
  <c r="AZ286" i="5"/>
  <c r="AU286" i="5"/>
  <c r="AT286" i="5"/>
  <c r="AS286" i="5"/>
  <c r="Y286" i="5"/>
  <c r="X286" i="5" s="1"/>
  <c r="S286" i="5"/>
  <c r="R286" i="5" s="1"/>
  <c r="M286" i="5"/>
  <c r="G286" i="5"/>
  <c r="BC283" i="5"/>
  <c r="BB283" i="5"/>
  <c r="BA283" i="5"/>
  <c r="AZ283" i="5"/>
  <c r="AU283" i="5"/>
  <c r="AT283" i="5"/>
  <c r="AS283" i="5"/>
  <c r="Y283" i="5"/>
  <c r="S283" i="5"/>
  <c r="R283" i="5" s="1"/>
  <c r="M283" i="5"/>
  <c r="L283" i="5" s="1"/>
  <c r="G283" i="5"/>
  <c r="BC282" i="5"/>
  <c r="BB282" i="5"/>
  <c r="BA282" i="5"/>
  <c r="AZ282" i="5"/>
  <c r="AU282" i="5"/>
  <c r="AT282" i="5"/>
  <c r="AS282" i="5"/>
  <c r="Y282" i="5"/>
  <c r="S282" i="5"/>
  <c r="R282" i="5" s="1"/>
  <c r="M282" i="5"/>
  <c r="L282" i="5" s="1"/>
  <c r="G282" i="5"/>
  <c r="I56" i="9"/>
  <c r="E56" i="9" s="1"/>
  <c r="I175" i="6"/>
  <c r="E175" i="6" s="1"/>
  <c r="I174" i="6"/>
  <c r="E174" i="6" s="1"/>
  <c r="I173" i="6"/>
  <c r="E173" i="6" s="1"/>
  <c r="I172" i="6"/>
  <c r="E172" i="6" s="1"/>
  <c r="I171" i="6"/>
  <c r="E171" i="6" s="1"/>
  <c r="I170" i="6"/>
  <c r="E170" i="6" s="1"/>
  <c r="I169" i="6"/>
  <c r="E169" i="6" s="1"/>
  <c r="I168" i="6"/>
  <c r="E168" i="6" s="1"/>
  <c r="I167" i="6"/>
  <c r="E167" i="6" s="1"/>
  <c r="I166" i="6"/>
  <c r="E166" i="6" s="1"/>
  <c r="BC281" i="5"/>
  <c r="BB281" i="5"/>
  <c r="BA281" i="5"/>
  <c r="AZ281" i="5"/>
  <c r="AU281" i="5"/>
  <c r="AT281" i="5"/>
  <c r="AS281" i="5"/>
  <c r="X281" i="5"/>
  <c r="R281" i="5"/>
  <c r="L281" i="5"/>
  <c r="G281" i="5"/>
  <c r="BC280" i="5"/>
  <c r="BB280" i="5"/>
  <c r="BA280" i="5"/>
  <c r="AZ280" i="5"/>
  <c r="AU280" i="5"/>
  <c r="AT280" i="5"/>
  <c r="AS280" i="5"/>
  <c r="X280" i="5"/>
  <c r="R280" i="5"/>
  <c r="L280" i="5"/>
  <c r="G280" i="5"/>
  <c r="BC279" i="5"/>
  <c r="BB279" i="5"/>
  <c r="BA279" i="5"/>
  <c r="AZ279" i="5"/>
  <c r="AU279" i="5"/>
  <c r="AT279" i="5"/>
  <c r="AS279" i="5"/>
  <c r="Y279" i="5"/>
  <c r="X279" i="5" s="1"/>
  <c r="S279" i="5"/>
  <c r="M279" i="5"/>
  <c r="L279" i="5" s="1"/>
  <c r="G279" i="5"/>
  <c r="BC278" i="5"/>
  <c r="BB278" i="5"/>
  <c r="BA278" i="5"/>
  <c r="AZ278" i="5"/>
  <c r="AU278" i="5"/>
  <c r="AT278" i="5"/>
  <c r="AS278" i="5"/>
  <c r="Y278" i="5"/>
  <c r="X278" i="5" s="1"/>
  <c r="S278" i="5"/>
  <c r="R278" i="5" s="1"/>
  <c r="M278" i="5"/>
  <c r="G278" i="5"/>
  <c r="BC276" i="5"/>
  <c r="BB276" i="5"/>
  <c r="BA276" i="5"/>
  <c r="AZ276" i="5"/>
  <c r="AU276" i="5"/>
  <c r="AT276" i="5"/>
  <c r="AS276" i="5"/>
  <c r="Y276" i="5"/>
  <c r="X276" i="5" s="1"/>
  <c r="S276" i="5"/>
  <c r="R276" i="5" s="1"/>
  <c r="M276" i="5"/>
  <c r="L276" i="5" s="1"/>
  <c r="G276" i="5"/>
  <c r="BC275" i="5"/>
  <c r="BB275" i="5"/>
  <c r="BA275" i="5"/>
  <c r="AZ275" i="5"/>
  <c r="AU275" i="5"/>
  <c r="AT275" i="5"/>
  <c r="AS275" i="5"/>
  <c r="Y275" i="5"/>
  <c r="X275" i="5" s="1"/>
  <c r="S275" i="5"/>
  <c r="M275" i="5"/>
  <c r="L275" i="5" s="1"/>
  <c r="G275" i="5"/>
  <c r="BC274" i="5"/>
  <c r="BB274" i="5"/>
  <c r="BA274" i="5"/>
  <c r="AZ274" i="5"/>
  <c r="AU274" i="5"/>
  <c r="AT274" i="5"/>
  <c r="AS274" i="5"/>
  <c r="X274" i="5"/>
  <c r="R274" i="5"/>
  <c r="L274" i="5"/>
  <c r="G274" i="5"/>
  <c r="BC273" i="5"/>
  <c r="BB273" i="5"/>
  <c r="BA273" i="5"/>
  <c r="AZ273" i="5"/>
  <c r="AU273" i="5"/>
  <c r="AT273" i="5"/>
  <c r="AS273" i="5"/>
  <c r="X273" i="5"/>
  <c r="R273" i="5"/>
  <c r="L273" i="5"/>
  <c r="G273" i="5"/>
  <c r="BC272" i="5"/>
  <c r="BB272" i="5"/>
  <c r="BA272" i="5"/>
  <c r="AZ272" i="5"/>
  <c r="AU272" i="5"/>
  <c r="AT272" i="5"/>
  <c r="AS272" i="5"/>
  <c r="X272" i="5"/>
  <c r="R272" i="5"/>
  <c r="L272" i="5"/>
  <c r="G272" i="5"/>
  <c r="BC271" i="5"/>
  <c r="BB271" i="5"/>
  <c r="BA271" i="5"/>
  <c r="AZ271" i="5"/>
  <c r="AU271" i="5"/>
  <c r="AT271" i="5"/>
  <c r="AS271" i="5"/>
  <c r="X271" i="5"/>
  <c r="R271" i="5"/>
  <c r="L271" i="5"/>
  <c r="G271" i="5"/>
  <c r="BC270" i="5"/>
  <c r="BB270" i="5"/>
  <c r="BA270" i="5"/>
  <c r="AZ270" i="5"/>
  <c r="AU270" i="5"/>
  <c r="AT270" i="5"/>
  <c r="AS270" i="5"/>
  <c r="X270" i="5"/>
  <c r="R270" i="5"/>
  <c r="L270" i="5"/>
  <c r="G270" i="5"/>
  <c r="BC269" i="5"/>
  <c r="BB269" i="5"/>
  <c r="BA269" i="5"/>
  <c r="AZ269" i="5"/>
  <c r="AU269" i="5"/>
  <c r="AT269" i="5"/>
  <c r="AS269" i="5"/>
  <c r="Y269" i="5"/>
  <c r="X269" i="5" s="1"/>
  <c r="S269" i="5"/>
  <c r="R269" i="5" s="1"/>
  <c r="M269" i="5"/>
  <c r="L269" i="5" s="1"/>
  <c r="G269" i="5"/>
  <c r="BC267" i="5"/>
  <c r="BB267" i="5"/>
  <c r="BA267" i="5"/>
  <c r="AZ267" i="5"/>
  <c r="AU267" i="5"/>
  <c r="AT267" i="5"/>
  <c r="AS267" i="5"/>
  <c r="Y267" i="5"/>
  <c r="X267" i="5" s="1"/>
  <c r="S267" i="5"/>
  <c r="R267" i="5" s="1"/>
  <c r="M267" i="5"/>
  <c r="G267" i="5"/>
  <c r="BC266" i="5"/>
  <c r="BB266" i="5"/>
  <c r="BA266" i="5"/>
  <c r="AZ266" i="5"/>
  <c r="AU266" i="5"/>
  <c r="AT266" i="5"/>
  <c r="AS266" i="5"/>
  <c r="Y266" i="5"/>
  <c r="X266" i="5" s="1"/>
  <c r="S266" i="5"/>
  <c r="R266" i="5" s="1"/>
  <c r="M266" i="5"/>
  <c r="L266" i="5" s="1"/>
  <c r="G266" i="5"/>
  <c r="H55" i="9"/>
  <c r="I55" i="9" s="1"/>
  <c r="E55" i="9" s="1"/>
  <c r="I54" i="9"/>
  <c r="E54" i="9" s="1"/>
  <c r="I53" i="9"/>
  <c r="E53" i="9" s="1"/>
  <c r="I52" i="9"/>
  <c r="E52" i="9" s="1"/>
  <c r="I165" i="6"/>
  <c r="E165" i="6" s="1"/>
  <c r="I164" i="6"/>
  <c r="E164" i="6" s="1"/>
  <c r="I163" i="6"/>
  <c r="E163" i="6" s="1"/>
  <c r="I162" i="6"/>
  <c r="E162" i="6" s="1"/>
  <c r="I161" i="6"/>
  <c r="E161" i="6" s="1"/>
  <c r="I160" i="6"/>
  <c r="E160" i="6" s="1"/>
  <c r="I159" i="6"/>
  <c r="E159" i="6" s="1"/>
  <c r="I158" i="6"/>
  <c r="E158" i="6" s="1"/>
  <c r="I157" i="6"/>
  <c r="E157" i="6" s="1"/>
  <c r="I156" i="6"/>
  <c r="E156" i="6" s="1"/>
  <c r="BC249" i="5"/>
  <c r="BB249" i="5"/>
  <c r="BA249" i="5"/>
  <c r="AZ249" i="5"/>
  <c r="AU249" i="5"/>
  <c r="AT249" i="5"/>
  <c r="AS249" i="5"/>
  <c r="X249" i="5"/>
  <c r="R249" i="5"/>
  <c r="L249" i="5"/>
  <c r="G249" i="5"/>
  <c r="BC243" i="5"/>
  <c r="BB243" i="5"/>
  <c r="BA243" i="5"/>
  <c r="AZ243" i="5"/>
  <c r="AU243" i="5"/>
  <c r="AT243" i="5"/>
  <c r="AS243" i="5"/>
  <c r="Y243" i="5"/>
  <c r="X243" i="5" s="1"/>
  <c r="S243" i="5"/>
  <c r="R243" i="5" s="1"/>
  <c r="M243" i="5"/>
  <c r="L243" i="5" s="1"/>
  <c r="G243" i="5"/>
  <c r="BC247" i="5"/>
  <c r="BB247" i="5"/>
  <c r="BA247" i="5"/>
  <c r="AZ247" i="5"/>
  <c r="AU247" i="5"/>
  <c r="AT247" i="5"/>
  <c r="AS247" i="5"/>
  <c r="Y247" i="5"/>
  <c r="X247" i="5" s="1"/>
  <c r="S247" i="5"/>
  <c r="R247" i="5" s="1"/>
  <c r="M247" i="5"/>
  <c r="L247" i="5" s="1"/>
  <c r="G247" i="5"/>
  <c r="BC245" i="5"/>
  <c r="BB245" i="5"/>
  <c r="BA245" i="5"/>
  <c r="AZ245" i="5"/>
  <c r="AU245" i="5"/>
  <c r="AT245" i="5"/>
  <c r="AS245" i="5"/>
  <c r="Y245" i="5"/>
  <c r="X245" i="5" s="1"/>
  <c r="S245" i="5"/>
  <c r="R245" i="5" s="1"/>
  <c r="M245" i="5"/>
  <c r="L245" i="5" s="1"/>
  <c r="G245" i="5"/>
  <c r="G235" i="5"/>
  <c r="M235" i="5"/>
  <c r="S235" i="5"/>
  <c r="R235" i="5" s="1"/>
  <c r="Y235" i="5"/>
  <c r="X235" i="5" s="1"/>
  <c r="AS235" i="5"/>
  <c r="AT235" i="5"/>
  <c r="AU235" i="5"/>
  <c r="AZ235" i="5"/>
  <c r="BA235" i="5"/>
  <c r="BB235" i="5"/>
  <c r="BC235" i="5"/>
  <c r="BE293" i="5"/>
  <c r="BD281" i="5"/>
  <c r="BD291" i="5"/>
  <c r="BD266" i="5"/>
  <c r="BE285" i="5"/>
  <c r="BD272" i="5"/>
  <c r="BE278" i="5"/>
  <c r="BE297" i="5"/>
  <c r="BD275" i="5"/>
  <c r="BE287" i="5"/>
  <c r="BD294" i="5"/>
  <c r="BD284" i="5"/>
  <c r="BD300" i="5"/>
  <c r="BD268" i="5"/>
  <c r="BD303" i="5"/>
  <c r="BE300" i="5"/>
  <c r="BD312" i="5"/>
  <c r="BD299" i="5"/>
  <c r="BE274" i="5"/>
  <c r="BE245" i="5"/>
  <c r="BE271" i="5"/>
  <c r="BD249" i="5"/>
  <c r="BE275" i="5"/>
  <c r="BD292" i="5"/>
  <c r="BD296" i="5"/>
  <c r="BE291" i="5"/>
  <c r="BD274" i="5"/>
  <c r="BE268" i="5"/>
  <c r="BD289" i="5"/>
  <c r="BD280" i="5"/>
  <c r="BD306" i="5"/>
  <c r="BE286" i="5"/>
  <c r="BD247" i="5"/>
  <c r="BD278" i="5"/>
  <c r="BD287" i="5"/>
  <c r="BD290" i="5"/>
  <c r="BE283" i="5"/>
  <c r="BE280" i="5"/>
  <c r="BD313" i="5"/>
  <c r="BE292" i="5"/>
  <c r="BD245" i="5"/>
  <c r="BE311" i="5"/>
  <c r="BE312" i="5"/>
  <c r="BE281" i="5"/>
  <c r="BE301" i="5"/>
  <c r="BD276" i="5"/>
  <c r="BE295" i="5"/>
  <c r="BE307" i="5"/>
  <c r="BE289" i="5"/>
  <c r="BD285" i="5"/>
  <c r="BE296" i="5"/>
  <c r="BD295" i="5"/>
  <c r="BD267" i="5"/>
  <c r="BD279" i="5"/>
  <c r="BD269" i="5"/>
  <c r="BD288" i="5"/>
  <c r="BD305" i="5"/>
  <c r="BE247" i="5"/>
  <c r="BD311" i="5"/>
  <c r="BD273" i="5"/>
  <c r="BE273" i="5"/>
  <c r="BD286" i="5"/>
  <c r="BE243" i="5"/>
  <c r="BE269" i="5"/>
  <c r="BE290" i="5"/>
  <c r="BE266" i="5"/>
  <c r="BE284" i="5"/>
  <c r="BD293" i="5"/>
  <c r="BD271" i="5"/>
  <c r="BE282" i="5"/>
  <c r="BE279" i="5"/>
  <c r="BE302" i="5"/>
  <c r="BD307" i="5"/>
  <c r="BE310" i="5"/>
  <c r="BD270" i="5"/>
  <c r="BD282" i="5"/>
  <c r="BD310" i="5"/>
  <c r="BE288" i="5"/>
  <c r="BE313" i="5"/>
  <c r="BE272" i="5"/>
  <c r="BE308" i="5"/>
  <c r="BD243" i="5"/>
  <c r="BD302" i="5"/>
  <c r="BD297" i="5"/>
  <c r="BE305" i="5"/>
  <c r="BE270" i="5"/>
  <c r="BD283" i="5"/>
  <c r="BD309" i="5"/>
  <c r="BE309" i="5"/>
  <c r="BE249" i="5"/>
  <c r="BD301" i="5"/>
  <c r="BE294" i="5"/>
  <c r="BD298" i="5"/>
  <c r="BE267" i="5"/>
  <c r="BE299" i="5"/>
  <c r="BD235" i="5"/>
  <c r="BE235" i="5"/>
  <c r="BE306" i="5"/>
  <c r="BD308" i="5"/>
  <c r="BE303" i="5"/>
  <c r="BE276" i="5"/>
  <c r="BE298" i="5"/>
  <c r="AV300" i="5" l="1"/>
  <c r="Z300" i="5"/>
  <c r="AA300" i="5"/>
  <c r="AV302" i="5"/>
  <c r="AV285" i="5"/>
  <c r="AA285" i="5"/>
  <c r="L285" i="5"/>
  <c r="Z285" i="5" s="1"/>
  <c r="AV284" i="5"/>
  <c r="Z284" i="5"/>
  <c r="AA284" i="5"/>
  <c r="AV286" i="5"/>
  <c r="AV298" i="5"/>
  <c r="Z281" i="5"/>
  <c r="AV283" i="5"/>
  <c r="AV312" i="5"/>
  <c r="Z303" i="5"/>
  <c r="AV307" i="5"/>
  <c r="AV310" i="5"/>
  <c r="AA298" i="5"/>
  <c r="Z302" i="5"/>
  <c r="L298" i="5"/>
  <c r="Z298" i="5" s="1"/>
  <c r="AA301" i="5"/>
  <c r="AV309" i="5"/>
  <c r="AV305" i="5"/>
  <c r="AA299" i="5"/>
  <c r="Z307" i="5"/>
  <c r="Z306" i="5"/>
  <c r="Z305" i="5"/>
  <c r="Z312" i="5"/>
  <c r="X299" i="5"/>
  <c r="Z299" i="5" s="1"/>
  <c r="AB299" i="5" s="1"/>
  <c r="AV306" i="5"/>
  <c r="AV301" i="5"/>
  <c r="AV303" i="5"/>
  <c r="AV308" i="5"/>
  <c r="Z313" i="5"/>
  <c r="AV299" i="5"/>
  <c r="AA311" i="5"/>
  <c r="AA310" i="5"/>
  <c r="AV311" i="5"/>
  <c r="AV313" i="5"/>
  <c r="Z309" i="5"/>
  <c r="AB309" i="5" s="1"/>
  <c r="AA308" i="5"/>
  <c r="Z297" i="5"/>
  <c r="L301" i="5"/>
  <c r="Z301" i="5" s="1"/>
  <c r="AV297" i="5"/>
  <c r="AV268" i="5"/>
  <c r="R308" i="5"/>
  <c r="Z308" i="5" s="1"/>
  <c r="AB308" i="5" s="1"/>
  <c r="R311" i="5"/>
  <c r="Z311" i="5" s="1"/>
  <c r="AV247" i="5"/>
  <c r="AA309" i="5"/>
  <c r="AV292" i="5"/>
  <c r="Z272" i="5"/>
  <c r="AV275" i="5"/>
  <c r="X310" i="5"/>
  <c r="Z310" i="5" s="1"/>
  <c r="AA292" i="5"/>
  <c r="Z291" i="5"/>
  <c r="Z296" i="5"/>
  <c r="AA268" i="5"/>
  <c r="Z268" i="5"/>
  <c r="Z287" i="5"/>
  <c r="Z249" i="5"/>
  <c r="AA283" i="5"/>
  <c r="AV289" i="5"/>
  <c r="AV296" i="5"/>
  <c r="AA282" i="5"/>
  <c r="AV282" i="5"/>
  <c r="AV280" i="5"/>
  <c r="L292" i="5"/>
  <c r="Z292" i="5" s="1"/>
  <c r="AB292" i="5" s="1"/>
  <c r="Z290" i="5"/>
  <c r="Z289" i="5"/>
  <c r="AA295" i="5"/>
  <c r="Z293" i="5"/>
  <c r="AB293" i="5" s="1"/>
  <c r="AA286" i="5"/>
  <c r="Z288" i="5"/>
  <c r="AV288" i="5"/>
  <c r="AV290" i="5"/>
  <c r="AV291" i="5"/>
  <c r="L295" i="5"/>
  <c r="Z295" i="5" s="1"/>
  <c r="AA293" i="5"/>
  <c r="AV287" i="5"/>
  <c r="AA294" i="5"/>
  <c r="AV293" i="5"/>
  <c r="AV294" i="5"/>
  <c r="AV295" i="5"/>
  <c r="AV281" i="5"/>
  <c r="X282" i="5"/>
  <c r="Z282" i="5" s="1"/>
  <c r="L286" i="5"/>
  <c r="Z286" i="5" s="1"/>
  <c r="AV278" i="5"/>
  <c r="AA267" i="5"/>
  <c r="AV243" i="5"/>
  <c r="X294" i="5"/>
  <c r="Z294" i="5" s="1"/>
  <c r="X283" i="5"/>
  <c r="Z283" i="5" s="1"/>
  <c r="Z280" i="5"/>
  <c r="AA278" i="5"/>
  <c r="Z274" i="5"/>
  <c r="AA276" i="5"/>
  <c r="Z273" i="5"/>
  <c r="AA279" i="5"/>
  <c r="Z269" i="5"/>
  <c r="Z271" i="5"/>
  <c r="Z270" i="5"/>
  <c r="AV266" i="5"/>
  <c r="AV272" i="5"/>
  <c r="AV269" i="5"/>
  <c r="AA266" i="5"/>
  <c r="Z266" i="5"/>
  <c r="L267" i="5"/>
  <c r="Z267" i="5" s="1"/>
  <c r="Z276" i="5"/>
  <c r="AB276" i="5" s="1"/>
  <c r="AA275" i="5"/>
  <c r="AA269" i="5"/>
  <c r="AV273" i="5"/>
  <c r="AV267" i="5"/>
  <c r="AV271" i="5"/>
  <c r="AV274" i="5"/>
  <c r="AV276" i="5"/>
  <c r="AV279" i="5"/>
  <c r="AV270" i="5"/>
  <c r="AV245" i="5"/>
  <c r="R275" i="5"/>
  <c r="Z275" i="5" s="1"/>
  <c r="AB275" i="5" s="1"/>
  <c r="R279" i="5"/>
  <c r="Z279" i="5" s="1"/>
  <c r="L278" i="5"/>
  <c r="Z278" i="5" s="1"/>
  <c r="AV249" i="5"/>
  <c r="Z243" i="5"/>
  <c r="AV235" i="5"/>
  <c r="AA243" i="5"/>
  <c r="Z247" i="5"/>
  <c r="AA245" i="5"/>
  <c r="AA247" i="5"/>
  <c r="Z245" i="5"/>
  <c r="AA235" i="5"/>
  <c r="L235" i="5"/>
  <c r="Z235" i="5" s="1"/>
  <c r="BC265" i="5"/>
  <c r="BB265" i="5"/>
  <c r="BA265" i="5"/>
  <c r="AZ265" i="5"/>
  <c r="AU265" i="5"/>
  <c r="AT265" i="5"/>
  <c r="AS265" i="5"/>
  <c r="X265" i="5"/>
  <c r="R265" i="5"/>
  <c r="L265" i="5"/>
  <c r="G265" i="5"/>
  <c r="BC264" i="5"/>
  <c r="BB264" i="5"/>
  <c r="BA264" i="5"/>
  <c r="AZ264" i="5"/>
  <c r="AU264" i="5"/>
  <c r="AT264" i="5"/>
  <c r="AS264" i="5"/>
  <c r="X264" i="5"/>
  <c r="R264" i="5"/>
  <c r="L264" i="5"/>
  <c r="G264" i="5"/>
  <c r="BC263" i="5"/>
  <c r="BB263" i="5"/>
  <c r="BA263" i="5"/>
  <c r="AZ263" i="5"/>
  <c r="AU263" i="5"/>
  <c r="AT263" i="5"/>
  <c r="AS263" i="5"/>
  <c r="Y263" i="5"/>
  <c r="X263" i="5" s="1"/>
  <c r="S263" i="5"/>
  <c r="M263" i="5"/>
  <c r="L263" i="5" s="1"/>
  <c r="G263" i="5"/>
  <c r="BC262" i="5"/>
  <c r="BB262" i="5"/>
  <c r="BA262" i="5"/>
  <c r="AZ262" i="5"/>
  <c r="AU262" i="5"/>
  <c r="AT262" i="5"/>
  <c r="AS262" i="5"/>
  <c r="Y262" i="5"/>
  <c r="X262" i="5" s="1"/>
  <c r="S262" i="5"/>
  <c r="R262" i="5" s="1"/>
  <c r="M262" i="5"/>
  <c r="L262" i="5" s="1"/>
  <c r="G262" i="5"/>
  <c r="BC260" i="5"/>
  <c r="BB260" i="5"/>
  <c r="BA260" i="5"/>
  <c r="AZ260" i="5"/>
  <c r="AU260" i="5"/>
  <c r="AT260" i="5"/>
  <c r="AS260" i="5"/>
  <c r="Y260" i="5"/>
  <c r="X260" i="5" s="1"/>
  <c r="S260" i="5"/>
  <c r="M260" i="5"/>
  <c r="L260" i="5" s="1"/>
  <c r="G260" i="5"/>
  <c r="BC259" i="5"/>
  <c r="BB259" i="5"/>
  <c r="BA259" i="5"/>
  <c r="AZ259" i="5"/>
  <c r="AU259" i="5"/>
  <c r="AT259" i="5"/>
  <c r="AS259" i="5"/>
  <c r="Y259" i="5"/>
  <c r="X259" i="5" s="1"/>
  <c r="S259" i="5"/>
  <c r="R259" i="5" s="1"/>
  <c r="M259" i="5"/>
  <c r="L259" i="5" s="1"/>
  <c r="G259" i="5"/>
  <c r="BC258" i="5"/>
  <c r="BB258" i="5"/>
  <c r="BA258" i="5"/>
  <c r="AZ258" i="5"/>
  <c r="AU258" i="5"/>
  <c r="AT258" i="5"/>
  <c r="AS258" i="5"/>
  <c r="X258" i="5"/>
  <c r="R258" i="5"/>
  <c r="L258" i="5"/>
  <c r="G258" i="5"/>
  <c r="BC257" i="5"/>
  <c r="BB257" i="5"/>
  <c r="BA257" i="5"/>
  <c r="AZ257" i="5"/>
  <c r="AU257" i="5"/>
  <c r="AT257" i="5"/>
  <c r="AS257" i="5"/>
  <c r="X257" i="5"/>
  <c r="R257" i="5"/>
  <c r="L257" i="5"/>
  <c r="BC256" i="5"/>
  <c r="BB256" i="5"/>
  <c r="BA256" i="5"/>
  <c r="AZ256" i="5"/>
  <c r="AU256" i="5"/>
  <c r="AT256" i="5"/>
  <c r="AS256" i="5"/>
  <c r="X256" i="5"/>
  <c r="R256" i="5"/>
  <c r="L256" i="5"/>
  <c r="G256" i="5"/>
  <c r="BC255" i="5"/>
  <c r="BB255" i="5"/>
  <c r="BA255" i="5"/>
  <c r="AZ255" i="5"/>
  <c r="AU255" i="5"/>
  <c r="AT255" i="5"/>
  <c r="AS255" i="5"/>
  <c r="X255" i="5"/>
  <c r="R255" i="5"/>
  <c r="L255" i="5"/>
  <c r="G255" i="5"/>
  <c r="BC254" i="5"/>
  <c r="BB254" i="5"/>
  <c r="BA254" i="5"/>
  <c r="AZ254" i="5"/>
  <c r="AU254" i="5"/>
  <c r="AT254" i="5"/>
  <c r="AS254" i="5"/>
  <c r="X254" i="5"/>
  <c r="R254" i="5"/>
  <c r="L254" i="5"/>
  <c r="G254" i="5"/>
  <c r="BC253" i="5"/>
  <c r="BB253" i="5"/>
  <c r="BA253" i="5"/>
  <c r="AZ253" i="5"/>
  <c r="AU253" i="5"/>
  <c r="AT253" i="5"/>
  <c r="AS253" i="5"/>
  <c r="Y253" i="5"/>
  <c r="X253" i="5" s="1"/>
  <c r="S253" i="5"/>
  <c r="R253" i="5" s="1"/>
  <c r="M253" i="5"/>
  <c r="L253" i="5" s="1"/>
  <c r="G253" i="5"/>
  <c r="BC252" i="5"/>
  <c r="BB252" i="5"/>
  <c r="BA252" i="5"/>
  <c r="AZ252" i="5"/>
  <c r="AU252" i="5"/>
  <c r="AT252" i="5"/>
  <c r="AS252" i="5"/>
  <c r="Y252" i="5"/>
  <c r="X252" i="5" s="1"/>
  <c r="S252" i="5"/>
  <c r="R252" i="5" s="1"/>
  <c r="M252" i="5"/>
  <c r="G252" i="5"/>
  <c r="BC251" i="5"/>
  <c r="BB251" i="5"/>
  <c r="BA251" i="5"/>
  <c r="AZ251" i="5"/>
  <c r="AU251" i="5"/>
  <c r="AT251" i="5"/>
  <c r="AS251" i="5"/>
  <c r="Y251" i="5"/>
  <c r="X251" i="5" s="1"/>
  <c r="S251" i="5"/>
  <c r="R251" i="5" s="1"/>
  <c r="M251" i="5"/>
  <c r="L251" i="5" s="1"/>
  <c r="G251" i="5"/>
  <c r="BD253" i="5"/>
  <c r="BD259" i="5"/>
  <c r="BD260" i="5"/>
  <c r="BD254" i="5"/>
  <c r="BE257" i="5"/>
  <c r="BE256" i="5"/>
  <c r="BE251" i="5"/>
  <c r="BD256" i="5"/>
  <c r="BE254" i="5"/>
  <c r="BE253" i="5"/>
  <c r="BE260" i="5"/>
  <c r="BD258" i="5"/>
  <c r="BD251" i="5"/>
  <c r="BE255" i="5"/>
  <c r="BE258" i="5"/>
  <c r="BD257" i="5"/>
  <c r="BE265" i="5"/>
  <c r="BE264" i="5"/>
  <c r="BE262" i="5"/>
  <c r="BE259" i="5"/>
  <c r="BD264" i="5"/>
  <c r="BD263" i="5"/>
  <c r="BD265" i="5"/>
  <c r="BD252" i="5"/>
  <c r="BE252" i="5"/>
  <c r="BE263" i="5"/>
  <c r="BD255" i="5"/>
  <c r="BD262" i="5"/>
  <c r="AB298" i="5" l="1"/>
  <c r="AB266" i="5"/>
  <c r="AB282" i="5"/>
  <c r="AB310" i="5"/>
  <c r="AB294" i="5"/>
  <c r="AB300" i="5"/>
  <c r="AB301" i="5"/>
  <c r="AB311" i="5"/>
  <c r="AB286" i="5"/>
  <c r="AB295" i="5"/>
  <c r="AB285" i="5"/>
  <c r="AB284" i="5"/>
  <c r="AB283" i="5"/>
  <c r="AB279" i="5"/>
  <c r="AB278" i="5"/>
  <c r="AB269" i="5"/>
  <c r="AB268" i="5"/>
  <c r="AB267" i="5"/>
  <c r="AV264" i="5"/>
  <c r="AB243" i="5"/>
  <c r="AB247" i="5"/>
  <c r="AB245" i="5"/>
  <c r="AB235" i="5"/>
  <c r="AV265" i="5"/>
  <c r="Z251" i="5"/>
  <c r="AV252" i="5"/>
  <c r="AV251" i="5"/>
  <c r="AA252" i="5"/>
  <c r="Z264" i="5"/>
  <c r="Z253" i="5"/>
  <c r="AV254" i="5"/>
  <c r="Z255" i="5"/>
  <c r="AV259" i="5"/>
  <c r="AA260" i="5"/>
  <c r="AA263" i="5"/>
  <c r="Z265" i="5"/>
  <c r="Z256" i="5"/>
  <c r="AV253" i="5"/>
  <c r="AA259" i="5"/>
  <c r="AV260" i="5"/>
  <c r="AV263" i="5"/>
  <c r="AV257" i="5"/>
  <c r="Z258" i="5"/>
  <c r="AV255" i="5"/>
  <c r="AA262" i="5"/>
  <c r="AV258" i="5"/>
  <c r="AV256" i="5"/>
  <c r="Z257" i="5"/>
  <c r="Z259" i="5"/>
  <c r="AB259" i="5" s="1"/>
  <c r="AV262" i="5"/>
  <c r="Z254" i="5"/>
  <c r="Z262" i="5"/>
  <c r="L252" i="5"/>
  <c r="Z252" i="5" s="1"/>
  <c r="R260" i="5"/>
  <c r="Z260" i="5" s="1"/>
  <c r="AB260" i="5" s="1"/>
  <c r="R263" i="5"/>
  <c r="Z263" i="5" s="1"/>
  <c r="AA253" i="5"/>
  <c r="AA251" i="5"/>
  <c r="AB262" i="5" l="1"/>
  <c r="AB251" i="5"/>
  <c r="AB252" i="5"/>
  <c r="AB263" i="5"/>
  <c r="AB253" i="5"/>
  <c r="I50" i="9"/>
  <c r="E50" i="9" s="1"/>
  <c r="I49" i="9"/>
  <c r="E49" i="9" s="1"/>
  <c r="I155" i="6"/>
  <c r="E155" i="6" s="1"/>
  <c r="I154" i="6"/>
  <c r="E154" i="6" s="1"/>
  <c r="I153" i="6"/>
  <c r="E153" i="6" s="1"/>
  <c r="I152" i="6"/>
  <c r="E152" i="6" s="1"/>
  <c r="I151" i="6"/>
  <c r="E151" i="6" s="1"/>
  <c r="I150" i="6"/>
  <c r="E150" i="6" s="1"/>
  <c r="I149" i="6"/>
  <c r="E149" i="6" s="1"/>
  <c r="I148" i="6"/>
  <c r="E148" i="6" s="1"/>
  <c r="I147" i="6"/>
  <c r="E147" i="6" s="1"/>
  <c r="I146" i="6"/>
  <c r="E146" i="6" s="1"/>
  <c r="BC227" i="5"/>
  <c r="BB227" i="5"/>
  <c r="BA227" i="5"/>
  <c r="AZ227" i="5"/>
  <c r="AU227" i="5"/>
  <c r="AT227" i="5"/>
  <c r="AS227" i="5"/>
  <c r="Y227" i="5"/>
  <c r="X227" i="5" s="1"/>
  <c r="S227" i="5"/>
  <c r="R227" i="5" s="1"/>
  <c r="M227" i="5"/>
  <c r="L227" i="5" s="1"/>
  <c r="G227" i="5"/>
  <c r="BC219" i="5"/>
  <c r="BB219" i="5"/>
  <c r="BA219" i="5"/>
  <c r="AZ219" i="5"/>
  <c r="AU219" i="5"/>
  <c r="AT219" i="5"/>
  <c r="AS219" i="5"/>
  <c r="Y219" i="5"/>
  <c r="X219" i="5" s="1"/>
  <c r="S219" i="5"/>
  <c r="R219" i="5" s="1"/>
  <c r="M219" i="5"/>
  <c r="L219" i="5" s="1"/>
  <c r="G219" i="5"/>
  <c r="BC250" i="5"/>
  <c r="BB250" i="5"/>
  <c r="BA250" i="5"/>
  <c r="AZ250" i="5"/>
  <c r="AU250" i="5"/>
  <c r="AT250" i="5"/>
  <c r="AS250" i="5"/>
  <c r="X250" i="5"/>
  <c r="R250" i="5"/>
  <c r="L250" i="5"/>
  <c r="G250" i="5"/>
  <c r="BC246" i="5"/>
  <c r="BB246" i="5"/>
  <c r="BA246" i="5"/>
  <c r="AZ246" i="5"/>
  <c r="AU246" i="5"/>
  <c r="AT246" i="5"/>
  <c r="AS246" i="5"/>
  <c r="Y246" i="5"/>
  <c r="X246" i="5" s="1"/>
  <c r="S246" i="5"/>
  <c r="M246" i="5"/>
  <c r="L246" i="5" s="1"/>
  <c r="G246" i="5"/>
  <c r="BC244" i="5"/>
  <c r="BB244" i="5"/>
  <c r="BA244" i="5"/>
  <c r="AZ244" i="5"/>
  <c r="AU244" i="5"/>
  <c r="AT244" i="5"/>
  <c r="AS244" i="5"/>
  <c r="Y244" i="5"/>
  <c r="X244" i="5" s="1"/>
  <c r="S244" i="5"/>
  <c r="R244" i="5" s="1"/>
  <c r="M244" i="5"/>
  <c r="L244" i="5" s="1"/>
  <c r="G244" i="5"/>
  <c r="BC242" i="5"/>
  <c r="BB242" i="5"/>
  <c r="BA242" i="5"/>
  <c r="AZ242" i="5"/>
  <c r="AU242" i="5"/>
  <c r="AT242" i="5"/>
  <c r="AS242" i="5"/>
  <c r="Y242" i="5"/>
  <c r="X242" i="5" s="1"/>
  <c r="S242" i="5"/>
  <c r="M242" i="5"/>
  <c r="L242" i="5" s="1"/>
  <c r="G242" i="5"/>
  <c r="BC241" i="5"/>
  <c r="BB241" i="5"/>
  <c r="BA241" i="5"/>
  <c r="AZ241" i="5"/>
  <c r="AU241" i="5"/>
  <c r="AT241" i="5"/>
  <c r="AS241" i="5"/>
  <c r="Y241" i="5"/>
  <c r="X241" i="5" s="1"/>
  <c r="S241" i="5"/>
  <c r="R241" i="5" s="1"/>
  <c r="M241" i="5"/>
  <c r="L241" i="5" s="1"/>
  <c r="G241" i="5"/>
  <c r="BC248" i="5"/>
  <c r="BB248" i="5"/>
  <c r="BA248" i="5"/>
  <c r="AZ248" i="5"/>
  <c r="AU248" i="5"/>
  <c r="AT248" i="5"/>
  <c r="AS248" i="5"/>
  <c r="X248" i="5"/>
  <c r="R248" i="5"/>
  <c r="L248" i="5"/>
  <c r="G248" i="5"/>
  <c r="BC240" i="5"/>
  <c r="BB240" i="5"/>
  <c r="BA240" i="5"/>
  <c r="AZ240" i="5"/>
  <c r="AU240" i="5"/>
  <c r="AT240" i="5"/>
  <c r="AS240" i="5"/>
  <c r="X240" i="5"/>
  <c r="R240" i="5"/>
  <c r="L240" i="5"/>
  <c r="G240" i="5"/>
  <c r="BC239" i="5"/>
  <c r="BB239" i="5"/>
  <c r="BA239" i="5"/>
  <c r="AZ239" i="5"/>
  <c r="AU239" i="5"/>
  <c r="AT239" i="5"/>
  <c r="AS239" i="5"/>
  <c r="X239" i="5"/>
  <c r="R239" i="5"/>
  <c r="L239" i="5"/>
  <c r="G239" i="5"/>
  <c r="BC238" i="5"/>
  <c r="BB238" i="5"/>
  <c r="BA238" i="5"/>
  <c r="AZ238" i="5"/>
  <c r="AU238" i="5"/>
  <c r="AT238" i="5"/>
  <c r="AS238" i="5"/>
  <c r="X238" i="5"/>
  <c r="R238" i="5"/>
  <c r="L238" i="5"/>
  <c r="G238" i="5"/>
  <c r="BC237" i="5"/>
  <c r="BB237" i="5"/>
  <c r="BA237" i="5"/>
  <c r="AZ237" i="5"/>
  <c r="AU237" i="5"/>
  <c r="AT237" i="5"/>
  <c r="AS237" i="5"/>
  <c r="X237" i="5"/>
  <c r="R237" i="5"/>
  <c r="L237" i="5"/>
  <c r="G237" i="5"/>
  <c r="BC236" i="5"/>
  <c r="BB236" i="5"/>
  <c r="BA236" i="5"/>
  <c r="AZ236" i="5"/>
  <c r="AU236" i="5"/>
  <c r="AT236" i="5"/>
  <c r="AS236" i="5"/>
  <c r="X236" i="5"/>
  <c r="R236" i="5"/>
  <c r="L236" i="5"/>
  <c r="G236" i="5"/>
  <c r="BC234" i="5"/>
  <c r="BB234" i="5"/>
  <c r="BA234" i="5"/>
  <c r="AZ234" i="5"/>
  <c r="AU234" i="5"/>
  <c r="AT234" i="5"/>
  <c r="AS234" i="5"/>
  <c r="Y234" i="5"/>
  <c r="X234" i="5" s="1"/>
  <c r="S234" i="5"/>
  <c r="R234" i="5" s="1"/>
  <c r="M234" i="5"/>
  <c r="L234" i="5" s="1"/>
  <c r="G234" i="5"/>
  <c r="BC233" i="5"/>
  <c r="BB233" i="5"/>
  <c r="BA233" i="5"/>
  <c r="AZ233" i="5"/>
  <c r="AU233" i="5"/>
  <c r="AT233" i="5"/>
  <c r="AS233" i="5"/>
  <c r="Y233" i="5"/>
  <c r="X233" i="5" s="1"/>
  <c r="S233" i="5"/>
  <c r="R233" i="5" s="1"/>
  <c r="M233" i="5"/>
  <c r="G233" i="5"/>
  <c r="BC232" i="5"/>
  <c r="BB232" i="5"/>
  <c r="BA232" i="5"/>
  <c r="AZ232" i="5"/>
  <c r="AU232" i="5"/>
  <c r="AT232" i="5"/>
  <c r="AS232" i="5"/>
  <c r="Y232" i="5"/>
  <c r="X232" i="5" s="1"/>
  <c r="S232" i="5"/>
  <c r="R232" i="5" s="1"/>
  <c r="M232" i="5"/>
  <c r="L232" i="5" s="1"/>
  <c r="G232" i="5"/>
  <c r="BD248" i="5"/>
  <c r="BD241" i="5"/>
  <c r="BE241" i="5"/>
  <c r="BE236" i="5"/>
  <c r="BE244" i="5"/>
  <c r="BE250" i="5"/>
  <c r="BD237" i="5"/>
  <c r="BE227" i="5"/>
  <c r="BD236" i="5"/>
  <c r="BD239" i="5"/>
  <c r="BD232" i="5"/>
  <c r="BE234" i="5"/>
  <c r="BD244" i="5"/>
  <c r="BD227" i="5"/>
  <c r="BE233" i="5"/>
  <c r="BD234" i="5"/>
  <c r="BE219" i="5"/>
  <c r="BD250" i="5"/>
  <c r="BD246" i="5"/>
  <c r="BE248" i="5"/>
  <c r="BE232" i="5"/>
  <c r="BE239" i="5"/>
  <c r="BE237" i="5"/>
  <c r="BE240" i="5"/>
  <c r="BE242" i="5"/>
  <c r="BD233" i="5"/>
  <c r="BD238" i="5"/>
  <c r="BE238" i="5"/>
  <c r="BE246" i="5"/>
  <c r="BD242" i="5"/>
  <c r="BD240" i="5"/>
  <c r="BD219" i="5"/>
  <c r="AV227" i="5" l="1"/>
  <c r="Z227" i="5"/>
  <c r="AA227" i="5"/>
  <c r="AV250" i="5"/>
  <c r="AV236" i="5"/>
  <c r="AV248" i="5"/>
  <c r="Z219" i="5"/>
  <c r="AV219" i="5"/>
  <c r="Z250" i="5"/>
  <c r="AV234" i="5"/>
  <c r="AV242" i="5"/>
  <c r="AV239" i="5"/>
  <c r="Z236" i="5"/>
  <c r="AV241" i="5"/>
  <c r="AV232" i="5"/>
  <c r="AV238" i="5"/>
  <c r="AV246" i="5"/>
  <c r="AA219" i="5"/>
  <c r="AV237" i="5"/>
  <c r="Z238" i="5"/>
  <c r="Z232" i="5"/>
  <c r="Z240" i="5"/>
  <c r="Z244" i="5"/>
  <c r="AV244" i="5"/>
  <c r="AA246" i="5"/>
  <c r="AA241" i="5"/>
  <c r="AV240" i="5"/>
  <c r="AA233" i="5"/>
  <c r="Z239" i="5"/>
  <c r="Z248" i="5"/>
  <c r="Z241" i="5"/>
  <c r="AB241" i="5" s="1"/>
  <c r="AA242" i="5"/>
  <c r="AA244" i="5"/>
  <c r="AV233" i="5"/>
  <c r="Z237" i="5"/>
  <c r="Z234" i="5"/>
  <c r="L233" i="5"/>
  <c r="Z233" i="5" s="1"/>
  <c r="R242" i="5"/>
  <c r="Z242" i="5" s="1"/>
  <c r="AB242" i="5" s="1"/>
  <c r="R246" i="5"/>
  <c r="Z246" i="5" s="1"/>
  <c r="AA232" i="5"/>
  <c r="AA234" i="5"/>
  <c r="AB233" i="5" l="1"/>
  <c r="AB246" i="5"/>
  <c r="AB244" i="5"/>
  <c r="AB234" i="5"/>
  <c r="AB232" i="5"/>
  <c r="AB227" i="5"/>
  <c r="AB219" i="5"/>
  <c r="G197" i="5" l="1"/>
  <c r="BC187" i="5"/>
  <c r="BB187" i="5"/>
  <c r="BA187" i="5"/>
  <c r="AZ187" i="5"/>
  <c r="AU187" i="5"/>
  <c r="AT187" i="5"/>
  <c r="AS187" i="5"/>
  <c r="X187" i="5"/>
  <c r="R187" i="5"/>
  <c r="L187" i="5"/>
  <c r="G187" i="5"/>
  <c r="BC184" i="5"/>
  <c r="BB184" i="5"/>
  <c r="BA184" i="5"/>
  <c r="AZ184" i="5"/>
  <c r="AU184" i="5"/>
  <c r="AT184" i="5"/>
  <c r="AS184" i="5"/>
  <c r="X184" i="5"/>
  <c r="R184" i="5"/>
  <c r="L184" i="5"/>
  <c r="G184" i="5"/>
  <c r="BD187" i="5"/>
  <c r="BE184" i="5"/>
  <c r="BD184" i="5"/>
  <c r="BE187" i="5"/>
  <c r="AV187" i="5" l="1"/>
  <c r="Z187" i="5"/>
  <c r="Z184" i="5"/>
  <c r="AV184" i="5"/>
  <c r="I47" i="9"/>
  <c r="E47" i="9" s="1"/>
  <c r="I46" i="9"/>
  <c r="E46" i="9" s="1"/>
  <c r="I45" i="9"/>
  <c r="E45" i="9" s="1"/>
  <c r="I145" i="6"/>
  <c r="E145" i="6" s="1"/>
  <c r="I144" i="6"/>
  <c r="E144" i="6" s="1"/>
  <c r="I143" i="6"/>
  <c r="E143" i="6" s="1"/>
  <c r="I142" i="6"/>
  <c r="E142" i="6" s="1"/>
  <c r="I141" i="6"/>
  <c r="E141" i="6" s="1"/>
  <c r="I140" i="6"/>
  <c r="E140" i="6" s="1"/>
  <c r="I139" i="6"/>
  <c r="E139" i="6" s="1"/>
  <c r="I138" i="6"/>
  <c r="E138" i="6" s="1"/>
  <c r="I137" i="6"/>
  <c r="E137" i="6" s="1"/>
  <c r="I136" i="6"/>
  <c r="E136" i="6" s="1"/>
  <c r="BC210" i="5"/>
  <c r="BB210" i="5"/>
  <c r="BA210" i="5"/>
  <c r="AZ210" i="5"/>
  <c r="AU210" i="5"/>
  <c r="AT210" i="5"/>
  <c r="AS210" i="5"/>
  <c r="Y210" i="5"/>
  <c r="X210" i="5" s="1"/>
  <c r="S210" i="5"/>
  <c r="R210" i="5" s="1"/>
  <c r="M210" i="5"/>
  <c r="L210" i="5" s="1"/>
  <c r="G210" i="5"/>
  <c r="BC214" i="5"/>
  <c r="BB214" i="5"/>
  <c r="BA214" i="5"/>
  <c r="AZ214" i="5"/>
  <c r="AU214" i="5"/>
  <c r="AT214" i="5"/>
  <c r="AS214" i="5"/>
  <c r="Y214" i="5"/>
  <c r="X214" i="5" s="1"/>
  <c r="S214" i="5"/>
  <c r="R214" i="5" s="1"/>
  <c r="M214" i="5"/>
  <c r="G214" i="5"/>
  <c r="BC212" i="5"/>
  <c r="BB212" i="5"/>
  <c r="BA212" i="5"/>
  <c r="AZ212" i="5"/>
  <c r="AU212" i="5"/>
  <c r="AT212" i="5"/>
  <c r="AS212" i="5"/>
  <c r="Y212" i="5"/>
  <c r="X212" i="5" s="1"/>
  <c r="S212" i="5"/>
  <c r="R212" i="5" s="1"/>
  <c r="M212" i="5"/>
  <c r="L212" i="5" s="1"/>
  <c r="G212" i="5"/>
  <c r="BC202" i="5"/>
  <c r="BB202" i="5"/>
  <c r="BA202" i="5"/>
  <c r="AZ202" i="5"/>
  <c r="AU202" i="5"/>
  <c r="AT202" i="5"/>
  <c r="AS202" i="5"/>
  <c r="X202" i="5"/>
  <c r="R202" i="5"/>
  <c r="L202" i="5"/>
  <c r="G202" i="5"/>
  <c r="BD214" i="5"/>
  <c r="BE202" i="5"/>
  <c r="BE212" i="5"/>
  <c r="BD212" i="5"/>
  <c r="BE210" i="5"/>
  <c r="BD210" i="5"/>
  <c r="BD202" i="5"/>
  <c r="BE214" i="5"/>
  <c r="AV212" i="5" l="1"/>
  <c r="AV210" i="5"/>
  <c r="Z202" i="5"/>
  <c r="AV202" i="5"/>
  <c r="AV214" i="5"/>
  <c r="Z210" i="5"/>
  <c r="AA210" i="5"/>
  <c r="AA214" i="5"/>
  <c r="L214" i="5"/>
  <c r="Z214" i="5" s="1"/>
  <c r="AA212" i="5"/>
  <c r="Z212" i="5"/>
  <c r="BC231" i="5"/>
  <c r="BB231" i="5"/>
  <c r="BA231" i="5"/>
  <c r="AZ231" i="5"/>
  <c r="AU231" i="5"/>
  <c r="AT231" i="5"/>
  <c r="AS231" i="5"/>
  <c r="X231" i="5"/>
  <c r="R231" i="5"/>
  <c r="L231" i="5"/>
  <c r="G231" i="5"/>
  <c r="BC229" i="5"/>
  <c r="BB229" i="5"/>
  <c r="BA229" i="5"/>
  <c r="AZ229" i="5"/>
  <c r="AU229" i="5"/>
  <c r="AT229" i="5"/>
  <c r="AS229" i="5"/>
  <c r="Y229" i="5"/>
  <c r="X229" i="5" s="1"/>
  <c r="S229" i="5"/>
  <c r="R229" i="5" s="1"/>
  <c r="M229" i="5"/>
  <c r="L229" i="5" s="1"/>
  <c r="G229" i="5"/>
  <c r="BC228" i="5"/>
  <c r="BB228" i="5"/>
  <c r="BA228" i="5"/>
  <c r="AZ228" i="5"/>
  <c r="AU228" i="5"/>
  <c r="AT228" i="5"/>
  <c r="AS228" i="5"/>
  <c r="Y228" i="5"/>
  <c r="X228" i="5" s="1"/>
  <c r="S228" i="5"/>
  <c r="M228" i="5"/>
  <c r="L228" i="5" s="1"/>
  <c r="G228" i="5"/>
  <c r="BC226" i="5"/>
  <c r="BB226" i="5"/>
  <c r="BA226" i="5"/>
  <c r="AZ226" i="5"/>
  <c r="AU226" i="5"/>
  <c r="AT226" i="5"/>
  <c r="AS226" i="5"/>
  <c r="Y226" i="5"/>
  <c r="X226" i="5" s="1"/>
  <c r="S226" i="5"/>
  <c r="M226" i="5"/>
  <c r="L226" i="5" s="1"/>
  <c r="G226" i="5"/>
  <c r="BC225" i="5"/>
  <c r="BB225" i="5"/>
  <c r="BA225" i="5"/>
  <c r="AZ225" i="5"/>
  <c r="AU225" i="5"/>
  <c r="AT225" i="5"/>
  <c r="AS225" i="5"/>
  <c r="Y225" i="5"/>
  <c r="X225" i="5" s="1"/>
  <c r="S225" i="5"/>
  <c r="R225" i="5" s="1"/>
  <c r="M225" i="5"/>
  <c r="L225" i="5" s="1"/>
  <c r="G225" i="5"/>
  <c r="BC230" i="5"/>
  <c r="BB230" i="5"/>
  <c r="BA230" i="5"/>
  <c r="AZ230" i="5"/>
  <c r="AU230" i="5"/>
  <c r="AT230" i="5"/>
  <c r="AS230" i="5"/>
  <c r="X230" i="5"/>
  <c r="R230" i="5"/>
  <c r="L230" i="5"/>
  <c r="G230" i="5"/>
  <c r="BC224" i="5"/>
  <c r="BB224" i="5"/>
  <c r="BA224" i="5"/>
  <c r="AZ224" i="5"/>
  <c r="AU224" i="5"/>
  <c r="AT224" i="5"/>
  <c r="AS224" i="5"/>
  <c r="X224" i="5"/>
  <c r="R224" i="5"/>
  <c r="L224" i="5"/>
  <c r="G224" i="5"/>
  <c r="BC223" i="5"/>
  <c r="BB223" i="5"/>
  <c r="BA223" i="5"/>
  <c r="AZ223" i="5"/>
  <c r="AU223" i="5"/>
  <c r="AT223" i="5"/>
  <c r="AS223" i="5"/>
  <c r="X223" i="5"/>
  <c r="R223" i="5"/>
  <c r="L223" i="5"/>
  <c r="G223" i="5"/>
  <c r="BC222" i="5"/>
  <c r="BB222" i="5"/>
  <c r="BA222" i="5"/>
  <c r="AZ222" i="5"/>
  <c r="AU222" i="5"/>
  <c r="AT222" i="5"/>
  <c r="AS222" i="5"/>
  <c r="X222" i="5"/>
  <c r="R222" i="5"/>
  <c r="L222" i="5"/>
  <c r="G222" i="5"/>
  <c r="BC221" i="5"/>
  <c r="BB221" i="5"/>
  <c r="BA221" i="5"/>
  <c r="AZ221" i="5"/>
  <c r="AU221" i="5"/>
  <c r="AT221" i="5"/>
  <c r="AS221" i="5"/>
  <c r="X221" i="5"/>
  <c r="R221" i="5"/>
  <c r="L221" i="5"/>
  <c r="G221" i="5"/>
  <c r="BC220" i="5"/>
  <c r="BB220" i="5"/>
  <c r="BA220" i="5"/>
  <c r="AZ220" i="5"/>
  <c r="AU220" i="5"/>
  <c r="AT220" i="5"/>
  <c r="AS220" i="5"/>
  <c r="X220" i="5"/>
  <c r="R220" i="5"/>
  <c r="L220" i="5"/>
  <c r="G220" i="5"/>
  <c r="BC218" i="5"/>
  <c r="BB218" i="5"/>
  <c r="BA218" i="5"/>
  <c r="AZ218" i="5"/>
  <c r="AU218" i="5"/>
  <c r="AT218" i="5"/>
  <c r="AS218" i="5"/>
  <c r="Y218" i="5"/>
  <c r="X218" i="5" s="1"/>
  <c r="S218" i="5"/>
  <c r="R218" i="5" s="1"/>
  <c r="M218" i="5"/>
  <c r="L218" i="5" s="1"/>
  <c r="G218" i="5"/>
  <c r="BC217" i="5"/>
  <c r="BB217" i="5"/>
  <c r="BA217" i="5"/>
  <c r="AZ217" i="5"/>
  <c r="AU217" i="5"/>
  <c r="AT217" i="5"/>
  <c r="AS217" i="5"/>
  <c r="Y217" i="5"/>
  <c r="X217" i="5" s="1"/>
  <c r="S217" i="5"/>
  <c r="R217" i="5" s="1"/>
  <c r="M217" i="5"/>
  <c r="G217" i="5"/>
  <c r="BC216" i="5"/>
  <c r="BB216" i="5"/>
  <c r="BA216" i="5"/>
  <c r="AZ216" i="5"/>
  <c r="AU216" i="5"/>
  <c r="AT216" i="5"/>
  <c r="AS216" i="5"/>
  <c r="Y216" i="5"/>
  <c r="X216" i="5" s="1"/>
  <c r="S216" i="5"/>
  <c r="R216" i="5" s="1"/>
  <c r="M216" i="5"/>
  <c r="L216" i="5" s="1"/>
  <c r="G216" i="5"/>
  <c r="I42" i="9"/>
  <c r="E42" i="9" s="1"/>
  <c r="I41" i="9"/>
  <c r="E41" i="9" s="1"/>
  <c r="BC195" i="5"/>
  <c r="BB195" i="5"/>
  <c r="BA195" i="5"/>
  <c r="AZ195" i="5"/>
  <c r="AU195" i="5"/>
  <c r="AT195" i="5"/>
  <c r="AS195" i="5"/>
  <c r="Y195" i="5"/>
  <c r="X195" i="5" s="1"/>
  <c r="S195" i="5"/>
  <c r="R195" i="5" s="1"/>
  <c r="M195" i="5"/>
  <c r="L195" i="5" s="1"/>
  <c r="G195" i="5"/>
  <c r="BC194" i="5"/>
  <c r="BB194" i="5"/>
  <c r="BA194" i="5"/>
  <c r="AZ194" i="5"/>
  <c r="AU194" i="5"/>
  <c r="AT194" i="5"/>
  <c r="AS194" i="5"/>
  <c r="Y194" i="5"/>
  <c r="X194" i="5" s="1"/>
  <c r="S194" i="5"/>
  <c r="R194" i="5" s="1"/>
  <c r="M194" i="5"/>
  <c r="L194" i="5" s="1"/>
  <c r="G194" i="5"/>
  <c r="BC181" i="5"/>
  <c r="BB181" i="5"/>
  <c r="BA181" i="5"/>
  <c r="AZ181" i="5"/>
  <c r="AU181" i="5"/>
  <c r="AT181" i="5"/>
  <c r="AS181" i="5"/>
  <c r="Y181" i="5"/>
  <c r="X181" i="5" s="1"/>
  <c r="S181" i="5"/>
  <c r="R181" i="5" s="1"/>
  <c r="M181" i="5"/>
  <c r="L181" i="5" s="1"/>
  <c r="G181" i="5"/>
  <c r="BD230" i="5"/>
  <c r="BD220" i="5"/>
  <c r="BE218" i="5"/>
  <c r="BE223" i="5"/>
  <c r="BD223" i="5"/>
  <c r="BE226" i="5"/>
  <c r="BD224" i="5"/>
  <c r="BE231" i="5"/>
  <c r="BD229" i="5"/>
  <c r="BE224" i="5"/>
  <c r="BE194" i="5"/>
  <c r="BD217" i="5"/>
  <c r="BE195" i="5"/>
  <c r="BD226" i="5"/>
  <c r="BD222" i="5"/>
  <c r="BD231" i="5"/>
  <c r="BE181" i="5"/>
  <c r="BE217" i="5"/>
  <c r="BE228" i="5"/>
  <c r="BD228" i="5"/>
  <c r="BE222" i="5"/>
  <c r="BE216" i="5"/>
  <c r="BD195" i="5"/>
  <c r="BD221" i="5"/>
  <c r="BE229" i="5"/>
  <c r="BE221" i="5"/>
  <c r="BD218" i="5"/>
  <c r="BD181" i="5"/>
  <c r="BE230" i="5"/>
  <c r="BD225" i="5"/>
  <c r="BD216" i="5"/>
  <c r="BE225" i="5"/>
  <c r="BE220" i="5"/>
  <c r="BD194" i="5"/>
  <c r="AB210" i="5" l="1"/>
  <c r="AB212" i="5"/>
  <c r="Z231" i="5"/>
  <c r="AB214" i="5"/>
  <c r="AV195" i="5"/>
  <c r="AV194" i="5"/>
  <c r="AV220" i="5"/>
  <c r="AV217" i="5"/>
  <c r="AV231" i="5"/>
  <c r="Z230" i="5"/>
  <c r="Z221" i="5"/>
  <c r="AV225" i="5"/>
  <c r="AA226" i="5"/>
  <c r="AV222" i="5"/>
  <c r="Z223" i="5"/>
  <c r="R226" i="5"/>
  <c r="Z226" i="5" s="1"/>
  <c r="AB226" i="5" s="1"/>
  <c r="AV230" i="5"/>
  <c r="AV216" i="5"/>
  <c r="AA217" i="5"/>
  <c r="Z224" i="5"/>
  <c r="AA229" i="5"/>
  <c r="AV226" i="5"/>
  <c r="AV181" i="5"/>
  <c r="AA228" i="5"/>
  <c r="AV229" i="5"/>
  <c r="Z216" i="5"/>
  <c r="AV221" i="5"/>
  <c r="AV218" i="5"/>
  <c r="L217" i="5"/>
  <c r="Z217" i="5" s="1"/>
  <c r="AB217" i="5" s="1"/>
  <c r="R228" i="5"/>
  <c r="Z228" i="5" s="1"/>
  <c r="Z229" i="5"/>
  <c r="Z225" i="5"/>
  <c r="AB225" i="5" s="1"/>
  <c r="Z220" i="5"/>
  <c r="AA225" i="5"/>
  <c r="AV228" i="5"/>
  <c r="AA218" i="5"/>
  <c r="Z222" i="5"/>
  <c r="AV224" i="5"/>
  <c r="AV223" i="5"/>
  <c r="Z218" i="5"/>
  <c r="AA216" i="5"/>
  <c r="Z195" i="5"/>
  <c r="AA195" i="5"/>
  <c r="AA194" i="5"/>
  <c r="Z194" i="5"/>
  <c r="AA181" i="5"/>
  <c r="Z181" i="5"/>
  <c r="AB218" i="5" l="1"/>
  <c r="AB216" i="5"/>
  <c r="AB229" i="5"/>
  <c r="AB228" i="5"/>
  <c r="AB194" i="5"/>
  <c r="AB195" i="5"/>
  <c r="AB181" i="5"/>
  <c r="BC215" i="5" l="1"/>
  <c r="BB215" i="5"/>
  <c r="BA215" i="5"/>
  <c r="AZ215" i="5"/>
  <c r="AU215" i="5"/>
  <c r="AT215" i="5"/>
  <c r="AS215" i="5"/>
  <c r="X215" i="5"/>
  <c r="R215" i="5"/>
  <c r="L215" i="5"/>
  <c r="G215" i="5"/>
  <c r="BC213" i="5"/>
  <c r="BB213" i="5"/>
  <c r="BA213" i="5"/>
  <c r="AZ213" i="5"/>
  <c r="AU213" i="5"/>
  <c r="AT213" i="5"/>
  <c r="AS213" i="5"/>
  <c r="Y213" i="5"/>
  <c r="X213" i="5" s="1"/>
  <c r="S213" i="5"/>
  <c r="R213" i="5" s="1"/>
  <c r="M213" i="5"/>
  <c r="L213" i="5" s="1"/>
  <c r="G213" i="5"/>
  <c r="BC211" i="5"/>
  <c r="BB211" i="5"/>
  <c r="BA211" i="5"/>
  <c r="AZ211" i="5"/>
  <c r="AU211" i="5"/>
  <c r="AT211" i="5"/>
  <c r="AS211" i="5"/>
  <c r="Y211" i="5"/>
  <c r="X211" i="5" s="1"/>
  <c r="S211" i="5"/>
  <c r="R211" i="5" s="1"/>
  <c r="M211" i="5"/>
  <c r="L211" i="5" s="1"/>
  <c r="G211" i="5"/>
  <c r="BC209" i="5"/>
  <c r="BB209" i="5"/>
  <c r="BA209" i="5"/>
  <c r="AZ209" i="5"/>
  <c r="AU209" i="5"/>
  <c r="AT209" i="5"/>
  <c r="AS209" i="5"/>
  <c r="Y209" i="5"/>
  <c r="X209" i="5" s="1"/>
  <c r="S209" i="5"/>
  <c r="M209" i="5"/>
  <c r="L209" i="5" s="1"/>
  <c r="G209" i="5"/>
  <c r="BC208" i="5"/>
  <c r="BB208" i="5"/>
  <c r="BA208" i="5"/>
  <c r="AZ208" i="5"/>
  <c r="AU208" i="5"/>
  <c r="AT208" i="5"/>
  <c r="AS208" i="5"/>
  <c r="Y208" i="5"/>
  <c r="X208" i="5" s="1"/>
  <c r="S208" i="5"/>
  <c r="R208" i="5" s="1"/>
  <c r="M208" i="5"/>
  <c r="L208" i="5" s="1"/>
  <c r="G208" i="5"/>
  <c r="BC207" i="5"/>
  <c r="BB207" i="5"/>
  <c r="BA207" i="5"/>
  <c r="AZ207" i="5"/>
  <c r="AU207" i="5"/>
  <c r="AT207" i="5"/>
  <c r="AS207" i="5"/>
  <c r="X207" i="5"/>
  <c r="R207" i="5"/>
  <c r="L207" i="5"/>
  <c r="G207" i="5"/>
  <c r="BC206" i="5"/>
  <c r="BB206" i="5"/>
  <c r="BA206" i="5"/>
  <c r="AZ206" i="5"/>
  <c r="AU206" i="5"/>
  <c r="AT206" i="5"/>
  <c r="AS206" i="5"/>
  <c r="X206" i="5"/>
  <c r="R206" i="5"/>
  <c r="L206" i="5"/>
  <c r="G206" i="5"/>
  <c r="BC205" i="5"/>
  <c r="BB205" i="5"/>
  <c r="BA205" i="5"/>
  <c r="AZ205" i="5"/>
  <c r="AU205" i="5"/>
  <c r="AT205" i="5"/>
  <c r="AS205" i="5"/>
  <c r="X205" i="5"/>
  <c r="R205" i="5"/>
  <c r="L205" i="5"/>
  <c r="G205" i="5"/>
  <c r="BC204" i="5"/>
  <c r="BB204" i="5"/>
  <c r="BA204" i="5"/>
  <c r="AZ204" i="5"/>
  <c r="AU204" i="5"/>
  <c r="AT204" i="5"/>
  <c r="AS204" i="5"/>
  <c r="X204" i="5"/>
  <c r="R204" i="5"/>
  <c r="L204" i="5"/>
  <c r="G204" i="5"/>
  <c r="BC203" i="5"/>
  <c r="BB203" i="5"/>
  <c r="BA203" i="5"/>
  <c r="AZ203" i="5"/>
  <c r="AU203" i="5"/>
  <c r="AT203" i="5"/>
  <c r="AS203" i="5"/>
  <c r="X203" i="5"/>
  <c r="R203" i="5"/>
  <c r="L203" i="5"/>
  <c r="G203" i="5"/>
  <c r="BC201" i="5"/>
  <c r="BB201" i="5"/>
  <c r="BA201" i="5"/>
  <c r="AZ201" i="5"/>
  <c r="AU201" i="5"/>
  <c r="AT201" i="5"/>
  <c r="AS201" i="5"/>
  <c r="X201" i="5"/>
  <c r="R201" i="5"/>
  <c r="L201" i="5"/>
  <c r="G201" i="5"/>
  <c r="BC200" i="5"/>
  <c r="BB200" i="5"/>
  <c r="BA200" i="5"/>
  <c r="AZ200" i="5"/>
  <c r="AU200" i="5"/>
  <c r="AT200" i="5"/>
  <c r="AS200" i="5"/>
  <c r="Y200" i="5"/>
  <c r="X200" i="5" s="1"/>
  <c r="S200" i="5"/>
  <c r="R200" i="5" s="1"/>
  <c r="M200" i="5"/>
  <c r="G200" i="5"/>
  <c r="BC199" i="5"/>
  <c r="BB199" i="5"/>
  <c r="BA199" i="5"/>
  <c r="AZ199" i="5"/>
  <c r="AU199" i="5"/>
  <c r="AT199" i="5"/>
  <c r="AS199" i="5"/>
  <c r="Y199" i="5"/>
  <c r="X199" i="5" s="1"/>
  <c r="S199" i="5"/>
  <c r="R199" i="5" s="1"/>
  <c r="M199" i="5"/>
  <c r="G199" i="5"/>
  <c r="BC198" i="5"/>
  <c r="BB198" i="5"/>
  <c r="BA198" i="5"/>
  <c r="AZ198" i="5"/>
  <c r="AU198" i="5"/>
  <c r="AT198" i="5"/>
  <c r="AS198" i="5"/>
  <c r="Y198" i="5"/>
  <c r="X198" i="5" s="1"/>
  <c r="S198" i="5"/>
  <c r="R198" i="5" s="1"/>
  <c r="M198" i="5"/>
  <c r="L198" i="5" s="1"/>
  <c r="G198" i="5"/>
  <c r="I135" i="6"/>
  <c r="E135" i="6" s="1"/>
  <c r="I134" i="6"/>
  <c r="E134" i="6" s="1"/>
  <c r="I133" i="6"/>
  <c r="E133" i="6" s="1"/>
  <c r="I132" i="6"/>
  <c r="E132" i="6" s="1"/>
  <c r="I131" i="6"/>
  <c r="E131" i="6" s="1"/>
  <c r="I130" i="6"/>
  <c r="E130" i="6" s="1"/>
  <c r="I129" i="6"/>
  <c r="E129" i="6" s="1"/>
  <c r="I128" i="6"/>
  <c r="E128" i="6" s="1"/>
  <c r="I127" i="6"/>
  <c r="E127" i="6" s="1"/>
  <c r="I126" i="6"/>
  <c r="E126" i="6" s="1"/>
  <c r="I39" i="9"/>
  <c r="E39" i="9" s="1"/>
  <c r="I125" i="6"/>
  <c r="E125" i="6" s="1"/>
  <c r="I124" i="6"/>
  <c r="E124" i="6" s="1"/>
  <c r="I123" i="6"/>
  <c r="E123" i="6" s="1"/>
  <c r="I122" i="6"/>
  <c r="E122" i="6" s="1"/>
  <c r="I121" i="6"/>
  <c r="E121" i="6" s="1"/>
  <c r="I120" i="6"/>
  <c r="E120" i="6" s="1"/>
  <c r="I119" i="6"/>
  <c r="E119" i="6" s="1"/>
  <c r="I118" i="6"/>
  <c r="E118" i="6" s="1"/>
  <c r="I117" i="6"/>
  <c r="E117" i="6" s="1"/>
  <c r="I116" i="6"/>
  <c r="E116" i="6" s="1"/>
  <c r="BC166" i="5"/>
  <c r="BB166" i="5"/>
  <c r="BA166" i="5"/>
  <c r="AZ166" i="5"/>
  <c r="AU166" i="5"/>
  <c r="AT166" i="5"/>
  <c r="AS166" i="5"/>
  <c r="Y166" i="5"/>
  <c r="X166" i="5" s="1"/>
  <c r="S166" i="5"/>
  <c r="R166" i="5" s="1"/>
  <c r="M166" i="5"/>
  <c r="L166" i="5" s="1"/>
  <c r="G166" i="5"/>
  <c r="BC197" i="5"/>
  <c r="BB197" i="5"/>
  <c r="BA197" i="5"/>
  <c r="AZ197" i="5"/>
  <c r="AU197" i="5"/>
  <c r="AT197" i="5"/>
  <c r="AS197" i="5"/>
  <c r="X197" i="5"/>
  <c r="R197" i="5"/>
  <c r="L197" i="5"/>
  <c r="BC196" i="5"/>
  <c r="BB196" i="5"/>
  <c r="BA196" i="5"/>
  <c r="AZ196" i="5"/>
  <c r="AU196" i="5"/>
  <c r="AT196" i="5"/>
  <c r="AS196" i="5"/>
  <c r="Y196" i="5"/>
  <c r="X196" i="5" s="1"/>
  <c r="S196" i="5"/>
  <c r="R196" i="5" s="1"/>
  <c r="M196" i="5"/>
  <c r="G196" i="5"/>
  <c r="BC193" i="5"/>
  <c r="BB193" i="5"/>
  <c r="BA193" i="5"/>
  <c r="AZ193" i="5"/>
  <c r="AU193" i="5"/>
  <c r="AT193" i="5"/>
  <c r="AS193" i="5"/>
  <c r="Y193" i="5"/>
  <c r="X193" i="5" s="1"/>
  <c r="S193" i="5"/>
  <c r="R193" i="5" s="1"/>
  <c r="M193" i="5"/>
  <c r="L193" i="5" s="1"/>
  <c r="G193" i="5"/>
  <c r="BC192" i="5"/>
  <c r="BB192" i="5"/>
  <c r="BA192" i="5"/>
  <c r="AZ192" i="5"/>
  <c r="AU192" i="5"/>
  <c r="AT192" i="5"/>
  <c r="AS192" i="5"/>
  <c r="Y192" i="5"/>
  <c r="X192" i="5" s="1"/>
  <c r="S192" i="5"/>
  <c r="M192" i="5"/>
  <c r="L192" i="5" s="1"/>
  <c r="G192" i="5"/>
  <c r="BC191" i="5"/>
  <c r="BB191" i="5"/>
  <c r="BA191" i="5"/>
  <c r="AZ191" i="5"/>
  <c r="AU191" i="5"/>
  <c r="AT191" i="5"/>
  <c r="AS191" i="5"/>
  <c r="Y191" i="5"/>
  <c r="X191" i="5" s="1"/>
  <c r="S191" i="5"/>
  <c r="R191" i="5" s="1"/>
  <c r="M191" i="5"/>
  <c r="G191" i="5"/>
  <c r="BC190" i="5"/>
  <c r="BB190" i="5"/>
  <c r="BA190" i="5"/>
  <c r="AZ190" i="5"/>
  <c r="AU190" i="5"/>
  <c r="AT190" i="5"/>
  <c r="AS190" i="5"/>
  <c r="X190" i="5"/>
  <c r="R190" i="5"/>
  <c r="L190" i="5"/>
  <c r="G190" i="5"/>
  <c r="BC189" i="5"/>
  <c r="BB189" i="5"/>
  <c r="BA189" i="5"/>
  <c r="AZ189" i="5"/>
  <c r="AU189" i="5"/>
  <c r="AT189" i="5"/>
  <c r="AS189" i="5"/>
  <c r="X189" i="5"/>
  <c r="R189" i="5"/>
  <c r="L189" i="5"/>
  <c r="G189" i="5"/>
  <c r="BC188" i="5"/>
  <c r="BB188" i="5"/>
  <c r="BA188" i="5"/>
  <c r="AZ188" i="5"/>
  <c r="AU188" i="5"/>
  <c r="AT188" i="5"/>
  <c r="AS188" i="5"/>
  <c r="X188" i="5"/>
  <c r="R188" i="5"/>
  <c r="L188" i="5"/>
  <c r="G188" i="5"/>
  <c r="BC186" i="5"/>
  <c r="BB186" i="5"/>
  <c r="BA186" i="5"/>
  <c r="AZ186" i="5"/>
  <c r="AU186" i="5"/>
  <c r="AT186" i="5"/>
  <c r="AS186" i="5"/>
  <c r="X186" i="5"/>
  <c r="R186" i="5"/>
  <c r="L186" i="5"/>
  <c r="G186" i="5"/>
  <c r="BC185" i="5"/>
  <c r="BB185" i="5"/>
  <c r="BA185" i="5"/>
  <c r="AZ185" i="5"/>
  <c r="AU185" i="5"/>
  <c r="AT185" i="5"/>
  <c r="AS185" i="5"/>
  <c r="X185" i="5"/>
  <c r="R185" i="5"/>
  <c r="L185" i="5"/>
  <c r="G185" i="5"/>
  <c r="BC183" i="5"/>
  <c r="BB183" i="5"/>
  <c r="BA183" i="5"/>
  <c r="AZ183" i="5"/>
  <c r="AU183" i="5"/>
  <c r="AT183" i="5"/>
  <c r="AS183" i="5"/>
  <c r="X183" i="5"/>
  <c r="R183" i="5"/>
  <c r="L183" i="5"/>
  <c r="G183" i="5"/>
  <c r="BC182" i="5"/>
  <c r="BB182" i="5"/>
  <c r="BA182" i="5"/>
  <c r="AZ182" i="5"/>
  <c r="AU182" i="5"/>
  <c r="AT182" i="5"/>
  <c r="AS182" i="5"/>
  <c r="Y182" i="5"/>
  <c r="X182" i="5" s="1"/>
  <c r="S182" i="5"/>
  <c r="R182" i="5" s="1"/>
  <c r="M182" i="5"/>
  <c r="L182" i="5" s="1"/>
  <c r="G182" i="5"/>
  <c r="BC180" i="5"/>
  <c r="BB180" i="5"/>
  <c r="BA180" i="5"/>
  <c r="AZ180" i="5"/>
  <c r="AU180" i="5"/>
  <c r="AT180" i="5"/>
  <c r="AS180" i="5"/>
  <c r="Y180" i="5"/>
  <c r="X180" i="5" s="1"/>
  <c r="S180" i="5"/>
  <c r="R180" i="5" s="1"/>
  <c r="M180" i="5"/>
  <c r="G180" i="5"/>
  <c r="BC179" i="5"/>
  <c r="BB179" i="5"/>
  <c r="BA179" i="5"/>
  <c r="AZ179" i="5"/>
  <c r="AU179" i="5"/>
  <c r="AT179" i="5"/>
  <c r="AS179" i="5"/>
  <c r="Y179" i="5"/>
  <c r="S179" i="5"/>
  <c r="R179" i="5" s="1"/>
  <c r="M179" i="5"/>
  <c r="L179" i="5" s="1"/>
  <c r="G179" i="5"/>
  <c r="I37" i="9"/>
  <c r="E37" i="9" s="1"/>
  <c r="I36" i="9"/>
  <c r="E36" i="9" s="1"/>
  <c r="I115" i="6"/>
  <c r="E115" i="6" s="1"/>
  <c r="I114" i="6"/>
  <c r="E114" i="6" s="1"/>
  <c r="I113" i="6"/>
  <c r="E113" i="6" s="1"/>
  <c r="I112" i="6"/>
  <c r="E112" i="6" s="1"/>
  <c r="I111" i="6"/>
  <c r="E111" i="6" s="1"/>
  <c r="I110" i="6"/>
  <c r="E110" i="6" s="1"/>
  <c r="I109" i="6"/>
  <c r="E109" i="6" s="1"/>
  <c r="I108" i="6"/>
  <c r="E108" i="6" s="1"/>
  <c r="I107" i="6"/>
  <c r="E107" i="6" s="1"/>
  <c r="I106" i="6"/>
  <c r="E106" i="6" s="1"/>
  <c r="BC161" i="5"/>
  <c r="BB161" i="5"/>
  <c r="BA161" i="5"/>
  <c r="AZ161" i="5"/>
  <c r="AU161" i="5"/>
  <c r="AT161" i="5"/>
  <c r="AS161" i="5"/>
  <c r="Y161" i="5"/>
  <c r="X161" i="5" s="1"/>
  <c r="S161" i="5"/>
  <c r="R161" i="5" s="1"/>
  <c r="M161" i="5"/>
  <c r="L161" i="5" s="1"/>
  <c r="G161" i="5"/>
  <c r="BC150" i="5"/>
  <c r="BB150" i="5"/>
  <c r="BA150" i="5"/>
  <c r="AZ150" i="5"/>
  <c r="AU150" i="5"/>
  <c r="AT150" i="5"/>
  <c r="AS150" i="5"/>
  <c r="Y150" i="5"/>
  <c r="X150" i="5" s="1"/>
  <c r="S150" i="5"/>
  <c r="M150" i="5"/>
  <c r="L150" i="5" s="1"/>
  <c r="G150" i="5"/>
  <c r="BC178" i="5"/>
  <c r="BB178" i="5"/>
  <c r="BA178" i="5"/>
  <c r="AZ178" i="5"/>
  <c r="AU178" i="5"/>
  <c r="AT178" i="5"/>
  <c r="AS178" i="5"/>
  <c r="X178" i="5"/>
  <c r="R178" i="5"/>
  <c r="L178" i="5"/>
  <c r="G178" i="5"/>
  <c r="BC177" i="5"/>
  <c r="BB177" i="5"/>
  <c r="BA177" i="5"/>
  <c r="AZ177" i="5"/>
  <c r="AU177" i="5"/>
  <c r="AT177" i="5"/>
  <c r="AS177" i="5"/>
  <c r="Y177" i="5"/>
  <c r="X177" i="5" s="1"/>
  <c r="S177" i="5"/>
  <c r="M177" i="5"/>
  <c r="L177" i="5" s="1"/>
  <c r="G177" i="5"/>
  <c r="BC176" i="5"/>
  <c r="BB176" i="5"/>
  <c r="BA176" i="5"/>
  <c r="AZ176" i="5"/>
  <c r="AU176" i="5"/>
  <c r="AT176" i="5"/>
  <c r="AS176" i="5"/>
  <c r="Y176" i="5"/>
  <c r="X176" i="5" s="1"/>
  <c r="S176" i="5"/>
  <c r="M176" i="5"/>
  <c r="L176" i="5" s="1"/>
  <c r="G176" i="5"/>
  <c r="BC175" i="5"/>
  <c r="BB175" i="5"/>
  <c r="BA175" i="5"/>
  <c r="AZ175" i="5"/>
  <c r="AU175" i="5"/>
  <c r="AT175" i="5"/>
  <c r="AS175" i="5"/>
  <c r="Y175" i="5"/>
  <c r="X175" i="5" s="1"/>
  <c r="S175" i="5"/>
  <c r="R175" i="5" s="1"/>
  <c r="M175" i="5"/>
  <c r="L175" i="5" s="1"/>
  <c r="G175" i="5"/>
  <c r="BC174" i="5"/>
  <c r="BB174" i="5"/>
  <c r="BA174" i="5"/>
  <c r="AZ174" i="5"/>
  <c r="AU174" i="5"/>
  <c r="AT174" i="5"/>
  <c r="AS174" i="5"/>
  <c r="Y174" i="5"/>
  <c r="X174" i="5" s="1"/>
  <c r="S174" i="5"/>
  <c r="M174" i="5"/>
  <c r="L174" i="5" s="1"/>
  <c r="G174" i="5"/>
  <c r="BC173" i="5"/>
  <c r="BB173" i="5"/>
  <c r="BA173" i="5"/>
  <c r="AZ173" i="5"/>
  <c r="AU173" i="5"/>
  <c r="AT173" i="5"/>
  <c r="AS173" i="5"/>
  <c r="X173" i="5"/>
  <c r="R173" i="5"/>
  <c r="L173" i="5"/>
  <c r="G173" i="5"/>
  <c r="BC172" i="5"/>
  <c r="BB172" i="5"/>
  <c r="BA172" i="5"/>
  <c r="AZ172" i="5"/>
  <c r="AU172" i="5"/>
  <c r="AT172" i="5"/>
  <c r="AS172" i="5"/>
  <c r="X172" i="5"/>
  <c r="R172" i="5"/>
  <c r="L172" i="5"/>
  <c r="G172" i="5"/>
  <c r="BC171" i="5"/>
  <c r="BB171" i="5"/>
  <c r="BA171" i="5"/>
  <c r="AZ171" i="5"/>
  <c r="AU171" i="5"/>
  <c r="AT171" i="5"/>
  <c r="AS171" i="5"/>
  <c r="X171" i="5"/>
  <c r="R171" i="5"/>
  <c r="L171" i="5"/>
  <c r="G171" i="5"/>
  <c r="BC170" i="5"/>
  <c r="BB170" i="5"/>
  <c r="BA170" i="5"/>
  <c r="AZ170" i="5"/>
  <c r="AU170" i="5"/>
  <c r="AT170" i="5"/>
  <c r="AS170" i="5"/>
  <c r="X170" i="5"/>
  <c r="R170" i="5"/>
  <c r="L170" i="5"/>
  <c r="G170" i="5"/>
  <c r="BC169" i="5"/>
  <c r="BB169" i="5"/>
  <c r="BA169" i="5"/>
  <c r="AZ169" i="5"/>
  <c r="AU169" i="5"/>
  <c r="AT169" i="5"/>
  <c r="AS169" i="5"/>
  <c r="X169" i="5"/>
  <c r="R169" i="5"/>
  <c r="L169" i="5"/>
  <c r="G169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Y167" i="5"/>
  <c r="X167" i="5" s="1"/>
  <c r="S167" i="5"/>
  <c r="R167" i="5" s="1"/>
  <c r="M167" i="5"/>
  <c r="G167" i="5"/>
  <c r="BC165" i="5"/>
  <c r="BB165" i="5"/>
  <c r="BA165" i="5"/>
  <c r="AZ165" i="5"/>
  <c r="AU165" i="5"/>
  <c r="AT165" i="5"/>
  <c r="AS165" i="5"/>
  <c r="Y165" i="5"/>
  <c r="X165" i="5" s="1"/>
  <c r="S165" i="5"/>
  <c r="R165" i="5" s="1"/>
  <c r="M165" i="5"/>
  <c r="G165" i="5"/>
  <c r="BC164" i="5"/>
  <c r="BB164" i="5"/>
  <c r="BA164" i="5"/>
  <c r="AZ164" i="5"/>
  <c r="AU164" i="5"/>
  <c r="AT164" i="5"/>
  <c r="AS164" i="5"/>
  <c r="Y164" i="5"/>
  <c r="X164" i="5" s="1"/>
  <c r="S164" i="5"/>
  <c r="R164" i="5" s="1"/>
  <c r="M164" i="5"/>
  <c r="L164" i="5" s="1"/>
  <c r="G164" i="5"/>
  <c r="I34" i="9"/>
  <c r="E34" i="9" s="1"/>
  <c r="I105" i="6"/>
  <c r="E105" i="6" s="1"/>
  <c r="I104" i="6"/>
  <c r="E104" i="6" s="1"/>
  <c r="I103" i="6"/>
  <c r="E103" i="6" s="1"/>
  <c r="I102" i="6"/>
  <c r="E102" i="6" s="1"/>
  <c r="I101" i="6"/>
  <c r="E101" i="6" s="1"/>
  <c r="I100" i="6"/>
  <c r="E100" i="6" s="1"/>
  <c r="I99" i="6"/>
  <c r="E99" i="6" s="1"/>
  <c r="I98" i="6"/>
  <c r="E98" i="6" s="1"/>
  <c r="I97" i="6"/>
  <c r="E97" i="6" s="1"/>
  <c r="I96" i="6"/>
  <c r="E96" i="6" s="1"/>
  <c r="BC135" i="5"/>
  <c r="BB135" i="5"/>
  <c r="BA135" i="5"/>
  <c r="AZ135" i="5"/>
  <c r="AU135" i="5"/>
  <c r="AT135" i="5"/>
  <c r="AS135" i="5"/>
  <c r="Y135" i="5"/>
  <c r="X135" i="5" s="1"/>
  <c r="S135" i="5"/>
  <c r="R135" i="5" s="1"/>
  <c r="M135" i="5"/>
  <c r="L135" i="5" s="1"/>
  <c r="G135" i="5"/>
  <c r="BC163" i="5"/>
  <c r="BB163" i="5"/>
  <c r="BA163" i="5"/>
  <c r="AZ163" i="5"/>
  <c r="AU163" i="5"/>
  <c r="AT163" i="5"/>
  <c r="AS163" i="5"/>
  <c r="X163" i="5"/>
  <c r="R163" i="5"/>
  <c r="L163" i="5"/>
  <c r="G163" i="5"/>
  <c r="BC162" i="5"/>
  <c r="BB162" i="5"/>
  <c r="BA162" i="5"/>
  <c r="AZ162" i="5"/>
  <c r="AU162" i="5"/>
  <c r="AT162" i="5"/>
  <c r="AS162" i="5"/>
  <c r="Y162" i="5"/>
  <c r="X162" i="5" s="1"/>
  <c r="S162" i="5"/>
  <c r="M162" i="5"/>
  <c r="L162" i="5" s="1"/>
  <c r="G162" i="5"/>
  <c r="BC160" i="5"/>
  <c r="BB160" i="5"/>
  <c r="BA160" i="5"/>
  <c r="AZ160" i="5"/>
  <c r="AU160" i="5"/>
  <c r="AT160" i="5"/>
  <c r="AS160" i="5"/>
  <c r="Y160" i="5"/>
  <c r="X160" i="5" s="1"/>
  <c r="S160" i="5"/>
  <c r="R160" i="5" s="1"/>
  <c r="M160" i="5"/>
  <c r="L160" i="5" s="1"/>
  <c r="G160" i="5"/>
  <c r="BC159" i="5"/>
  <c r="BB159" i="5"/>
  <c r="BA159" i="5"/>
  <c r="AZ159" i="5"/>
  <c r="AU159" i="5"/>
  <c r="AT159" i="5"/>
  <c r="AS159" i="5"/>
  <c r="Y159" i="5"/>
  <c r="X159" i="5" s="1"/>
  <c r="S159" i="5"/>
  <c r="R159" i="5" s="1"/>
  <c r="M159" i="5"/>
  <c r="L159" i="5" s="1"/>
  <c r="G159" i="5"/>
  <c r="BC158" i="5"/>
  <c r="BB158" i="5"/>
  <c r="BA158" i="5"/>
  <c r="AZ158" i="5"/>
  <c r="AU158" i="5"/>
  <c r="AT158" i="5"/>
  <c r="AS158" i="5"/>
  <c r="Y158" i="5"/>
  <c r="X158" i="5" s="1"/>
  <c r="S158" i="5"/>
  <c r="M158" i="5"/>
  <c r="L158" i="5" s="1"/>
  <c r="G158" i="5"/>
  <c r="BC157" i="5"/>
  <c r="BB157" i="5"/>
  <c r="BA157" i="5"/>
  <c r="AZ157" i="5"/>
  <c r="AU157" i="5"/>
  <c r="AT157" i="5"/>
  <c r="AS157" i="5"/>
  <c r="X157" i="5"/>
  <c r="R157" i="5"/>
  <c r="L157" i="5"/>
  <c r="G157" i="5"/>
  <c r="BC156" i="5"/>
  <c r="BB156" i="5"/>
  <c r="BA156" i="5"/>
  <c r="AZ156" i="5"/>
  <c r="AU156" i="5"/>
  <c r="AT156" i="5"/>
  <c r="AS156" i="5"/>
  <c r="X156" i="5"/>
  <c r="R156" i="5"/>
  <c r="L156" i="5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C154" i="5"/>
  <c r="BB154" i="5"/>
  <c r="BA154" i="5"/>
  <c r="AZ154" i="5"/>
  <c r="AU154" i="5"/>
  <c r="AT154" i="5"/>
  <c r="AS154" i="5"/>
  <c r="X154" i="5"/>
  <c r="R154" i="5"/>
  <c r="L154" i="5"/>
  <c r="G154" i="5"/>
  <c r="BC153" i="5"/>
  <c r="BB153" i="5"/>
  <c r="BA153" i="5"/>
  <c r="AZ153" i="5"/>
  <c r="AU153" i="5"/>
  <c r="AT153" i="5"/>
  <c r="AS153" i="5"/>
  <c r="X153" i="5"/>
  <c r="R153" i="5"/>
  <c r="L153" i="5"/>
  <c r="G153" i="5"/>
  <c r="BC152" i="5"/>
  <c r="BB152" i="5"/>
  <c r="BA152" i="5"/>
  <c r="AZ152" i="5"/>
  <c r="AU152" i="5"/>
  <c r="AT152" i="5"/>
  <c r="AS152" i="5"/>
  <c r="X152" i="5"/>
  <c r="R152" i="5"/>
  <c r="L152" i="5"/>
  <c r="G152" i="5"/>
  <c r="BC151" i="5"/>
  <c r="BB151" i="5"/>
  <c r="BA151" i="5"/>
  <c r="AZ151" i="5"/>
  <c r="AU151" i="5"/>
  <c r="AT151" i="5"/>
  <c r="AS151" i="5"/>
  <c r="Y151" i="5"/>
  <c r="X151" i="5" s="1"/>
  <c r="S151" i="5"/>
  <c r="R151" i="5" s="1"/>
  <c r="M151" i="5"/>
  <c r="L151" i="5" s="1"/>
  <c r="G151" i="5"/>
  <c r="BC149" i="5"/>
  <c r="BB149" i="5"/>
  <c r="BA149" i="5"/>
  <c r="AZ149" i="5"/>
  <c r="AU149" i="5"/>
  <c r="AT149" i="5"/>
  <c r="AS149" i="5"/>
  <c r="Y149" i="5"/>
  <c r="X149" i="5" s="1"/>
  <c r="S149" i="5"/>
  <c r="R149" i="5" s="1"/>
  <c r="M149" i="5"/>
  <c r="G149" i="5"/>
  <c r="BC148" i="5"/>
  <c r="BB148" i="5"/>
  <c r="BA148" i="5"/>
  <c r="AZ148" i="5"/>
  <c r="AU148" i="5"/>
  <c r="AT148" i="5"/>
  <c r="AS148" i="5"/>
  <c r="Y148" i="5"/>
  <c r="X148" i="5" s="1"/>
  <c r="S148" i="5"/>
  <c r="R148" i="5" s="1"/>
  <c r="M148" i="5"/>
  <c r="L148" i="5" s="1"/>
  <c r="G148" i="5"/>
  <c r="I33" i="9"/>
  <c r="E33" i="9" s="1"/>
  <c r="I32" i="9"/>
  <c r="E32" i="9" s="1"/>
  <c r="I95" i="6"/>
  <c r="E95" i="6" s="1"/>
  <c r="I94" i="6"/>
  <c r="E94" i="6" s="1"/>
  <c r="I93" i="6"/>
  <c r="E93" i="6" s="1"/>
  <c r="I92" i="6"/>
  <c r="E92" i="6" s="1"/>
  <c r="I91" i="6"/>
  <c r="E91" i="6" s="1"/>
  <c r="I90" i="6"/>
  <c r="E90" i="6" s="1"/>
  <c r="I89" i="6"/>
  <c r="E89" i="6" s="1"/>
  <c r="I88" i="6"/>
  <c r="E88" i="6" s="1"/>
  <c r="I87" i="6"/>
  <c r="E87" i="6" s="1"/>
  <c r="I86" i="6"/>
  <c r="E86" i="6" s="1"/>
  <c r="AX120" i="5"/>
  <c r="I120" i="5"/>
  <c r="I121" i="5"/>
  <c r="AX121" i="5"/>
  <c r="BC147" i="5"/>
  <c r="BB147" i="5"/>
  <c r="BA147" i="5"/>
  <c r="AZ147" i="5"/>
  <c r="AU147" i="5"/>
  <c r="AT147" i="5"/>
  <c r="AS147" i="5"/>
  <c r="X147" i="5"/>
  <c r="R147" i="5"/>
  <c r="L147" i="5"/>
  <c r="G147" i="5"/>
  <c r="BC146" i="5"/>
  <c r="BB146" i="5"/>
  <c r="BA146" i="5"/>
  <c r="AZ146" i="5"/>
  <c r="AU146" i="5"/>
  <c r="AT146" i="5"/>
  <c r="AS146" i="5"/>
  <c r="Y146" i="5"/>
  <c r="X146" i="5" s="1"/>
  <c r="S146" i="5"/>
  <c r="R146" i="5" s="1"/>
  <c r="M146" i="5"/>
  <c r="L146" i="5" s="1"/>
  <c r="G146" i="5"/>
  <c r="BC145" i="5"/>
  <c r="BB145" i="5"/>
  <c r="BA145" i="5"/>
  <c r="AZ145" i="5"/>
  <c r="AU145" i="5"/>
  <c r="AT145" i="5"/>
  <c r="AS145" i="5"/>
  <c r="Y145" i="5"/>
  <c r="X145" i="5" s="1"/>
  <c r="S145" i="5"/>
  <c r="R145" i="5" s="1"/>
  <c r="M145" i="5"/>
  <c r="L145" i="5" s="1"/>
  <c r="G145" i="5"/>
  <c r="BC144" i="5"/>
  <c r="BB144" i="5"/>
  <c r="BA144" i="5"/>
  <c r="AZ144" i="5"/>
  <c r="AU144" i="5"/>
  <c r="AT144" i="5"/>
  <c r="AS144" i="5"/>
  <c r="Y144" i="5"/>
  <c r="X144" i="5" s="1"/>
  <c r="S144" i="5"/>
  <c r="R144" i="5" s="1"/>
  <c r="M144" i="5"/>
  <c r="L144" i="5" s="1"/>
  <c r="G144" i="5"/>
  <c r="BC143" i="5"/>
  <c r="BB143" i="5"/>
  <c r="BA143" i="5"/>
  <c r="AZ143" i="5"/>
  <c r="AU143" i="5"/>
  <c r="AT143" i="5"/>
  <c r="AS143" i="5"/>
  <c r="Y143" i="5"/>
  <c r="X143" i="5" s="1"/>
  <c r="S143" i="5"/>
  <c r="R143" i="5" s="1"/>
  <c r="M143" i="5"/>
  <c r="G143" i="5"/>
  <c r="BC142" i="5"/>
  <c r="BB142" i="5"/>
  <c r="BA142" i="5"/>
  <c r="AZ142" i="5"/>
  <c r="AU142" i="5"/>
  <c r="AT142" i="5"/>
  <c r="AS142" i="5"/>
  <c r="X142" i="5"/>
  <c r="R142" i="5"/>
  <c r="L142" i="5"/>
  <c r="G142" i="5"/>
  <c r="BC141" i="5"/>
  <c r="BB141" i="5"/>
  <c r="BA141" i="5"/>
  <c r="AZ141" i="5"/>
  <c r="AU141" i="5"/>
  <c r="AT141" i="5"/>
  <c r="AS141" i="5"/>
  <c r="X141" i="5"/>
  <c r="R141" i="5"/>
  <c r="L141" i="5"/>
  <c r="G141" i="5"/>
  <c r="BC140" i="5"/>
  <c r="BB140" i="5"/>
  <c r="BA140" i="5"/>
  <c r="AZ140" i="5"/>
  <c r="AU140" i="5"/>
  <c r="AT140" i="5"/>
  <c r="AS140" i="5"/>
  <c r="X140" i="5"/>
  <c r="R140" i="5"/>
  <c r="L140" i="5"/>
  <c r="G140" i="5"/>
  <c r="BC139" i="5"/>
  <c r="BB139" i="5"/>
  <c r="BA139" i="5"/>
  <c r="AZ139" i="5"/>
  <c r="AU139" i="5"/>
  <c r="AT139" i="5"/>
  <c r="AS139" i="5"/>
  <c r="X139" i="5"/>
  <c r="R139" i="5"/>
  <c r="L139" i="5"/>
  <c r="G139" i="5"/>
  <c r="BC138" i="5"/>
  <c r="BB138" i="5"/>
  <c r="BA138" i="5"/>
  <c r="AZ138" i="5"/>
  <c r="AU138" i="5"/>
  <c r="AT138" i="5"/>
  <c r="AS138" i="5"/>
  <c r="X138" i="5"/>
  <c r="R138" i="5"/>
  <c r="L138" i="5"/>
  <c r="G138" i="5"/>
  <c r="BC137" i="5"/>
  <c r="BB137" i="5"/>
  <c r="BA137" i="5"/>
  <c r="AZ137" i="5"/>
  <c r="AU137" i="5"/>
  <c r="AT137" i="5"/>
  <c r="AS137" i="5"/>
  <c r="X137" i="5"/>
  <c r="R137" i="5"/>
  <c r="L137" i="5"/>
  <c r="G137" i="5"/>
  <c r="BC136" i="5"/>
  <c r="BB136" i="5"/>
  <c r="BA136" i="5"/>
  <c r="AZ136" i="5"/>
  <c r="AU136" i="5"/>
  <c r="AT136" i="5"/>
  <c r="AS136" i="5"/>
  <c r="Y136" i="5"/>
  <c r="X136" i="5" s="1"/>
  <c r="S136" i="5"/>
  <c r="R136" i="5" s="1"/>
  <c r="M136" i="5"/>
  <c r="G136" i="5"/>
  <c r="BC134" i="5"/>
  <c r="BB134" i="5"/>
  <c r="BA134" i="5"/>
  <c r="AZ134" i="5"/>
  <c r="AU134" i="5"/>
  <c r="AT134" i="5"/>
  <c r="AS134" i="5"/>
  <c r="Y134" i="5"/>
  <c r="X134" i="5" s="1"/>
  <c r="S134" i="5"/>
  <c r="R134" i="5" s="1"/>
  <c r="M134" i="5"/>
  <c r="L134" i="5" s="1"/>
  <c r="G134" i="5"/>
  <c r="BC133" i="5"/>
  <c r="BB133" i="5"/>
  <c r="BA133" i="5"/>
  <c r="AZ133" i="5"/>
  <c r="AU133" i="5"/>
  <c r="AT133" i="5"/>
  <c r="AS133" i="5"/>
  <c r="Y133" i="5"/>
  <c r="X133" i="5" s="1"/>
  <c r="S133" i="5"/>
  <c r="R133" i="5" s="1"/>
  <c r="M133" i="5"/>
  <c r="G133" i="5"/>
  <c r="BE166" i="5"/>
  <c r="BD186" i="5"/>
  <c r="BD206" i="5"/>
  <c r="BD209" i="5"/>
  <c r="BD197" i="5"/>
  <c r="BE176" i="5"/>
  <c r="BD153" i="5"/>
  <c r="BD161" i="5"/>
  <c r="BD189" i="5"/>
  <c r="BE161" i="5"/>
  <c r="BE134" i="5"/>
  <c r="BE135" i="5"/>
  <c r="BD134" i="5"/>
  <c r="BD163" i="5"/>
  <c r="BE153" i="5"/>
  <c r="BD204" i="5"/>
  <c r="BE170" i="5"/>
  <c r="BD154" i="5"/>
  <c r="BE199" i="5"/>
  <c r="BE178" i="5"/>
  <c r="BE145" i="5"/>
  <c r="BE143" i="5"/>
  <c r="BD201" i="5"/>
  <c r="BD179" i="5"/>
  <c r="BD149" i="5"/>
  <c r="BE151" i="5"/>
  <c r="BD199" i="5"/>
  <c r="BE183" i="5"/>
  <c r="BE188" i="5"/>
  <c r="BD144" i="5"/>
  <c r="BD174" i="5"/>
  <c r="BE171" i="5"/>
  <c r="BE172" i="5"/>
  <c r="BD169" i="5"/>
  <c r="BD151" i="5"/>
  <c r="BE137" i="5"/>
  <c r="BE211" i="5"/>
  <c r="BD192" i="5"/>
  <c r="BE186" i="5"/>
  <c r="BD148" i="5"/>
  <c r="BD158" i="5"/>
  <c r="BE149" i="5"/>
  <c r="BE198" i="5"/>
  <c r="BE159" i="5"/>
  <c r="BE142" i="5"/>
  <c r="BD156" i="5"/>
  <c r="BD168" i="5"/>
  <c r="BD137" i="5"/>
  <c r="BD171" i="5"/>
  <c r="BE177" i="5"/>
  <c r="BD162" i="5"/>
  <c r="BD150" i="5"/>
  <c r="BE163" i="5"/>
  <c r="BD176" i="5"/>
  <c r="BD136" i="5"/>
  <c r="BD183" i="5"/>
  <c r="BE152" i="5"/>
  <c r="BE164" i="5"/>
  <c r="BD145" i="5"/>
  <c r="BD196" i="5"/>
  <c r="BE207" i="5"/>
  <c r="BD185" i="5"/>
  <c r="BD146" i="5"/>
  <c r="BD159" i="5"/>
  <c r="BE209" i="5"/>
  <c r="BE179" i="5"/>
  <c r="BD157" i="5"/>
  <c r="BD172" i="5"/>
  <c r="BD170" i="5"/>
  <c r="BD180" i="5"/>
  <c r="BE185" i="5"/>
  <c r="BE190" i="5"/>
  <c r="BD191" i="5"/>
  <c r="BD142" i="5"/>
  <c r="BD164" i="5"/>
  <c r="BD167" i="5"/>
  <c r="BD166" i="5"/>
  <c r="BE203" i="5"/>
  <c r="BD173" i="5"/>
  <c r="BE154" i="5"/>
  <c r="BE182" i="5"/>
  <c r="BE146" i="5"/>
  <c r="BD138" i="5"/>
  <c r="BD135" i="5"/>
  <c r="BE158" i="5"/>
  <c r="BD198" i="5"/>
  <c r="BE141" i="5"/>
  <c r="BE189" i="5"/>
  <c r="BD147" i="5"/>
  <c r="BE205" i="5"/>
  <c r="BD143" i="5"/>
  <c r="BD188" i="5"/>
  <c r="BD213" i="5"/>
  <c r="BE139" i="5"/>
  <c r="BE180" i="5"/>
  <c r="BD133" i="5"/>
  <c r="BD193" i="5"/>
  <c r="BD140" i="5"/>
  <c r="BE200" i="5"/>
  <c r="BD200" i="5"/>
  <c r="BD155" i="5"/>
  <c r="BE215" i="5"/>
  <c r="BE162" i="5"/>
  <c r="BE191" i="5"/>
  <c r="BD177" i="5"/>
  <c r="BE156" i="5"/>
  <c r="BE140" i="5"/>
  <c r="BD141" i="5"/>
  <c r="BE196" i="5"/>
  <c r="BE175" i="5"/>
  <c r="BD165" i="5"/>
  <c r="BE165" i="5"/>
  <c r="BE160" i="5"/>
  <c r="BE208" i="5"/>
  <c r="BE193" i="5"/>
  <c r="BE169" i="5"/>
  <c r="BD152" i="5"/>
  <c r="BE197" i="5"/>
  <c r="BE150" i="5"/>
  <c r="BD160" i="5"/>
  <c r="BE213" i="5"/>
  <c r="BE173" i="5"/>
  <c r="BD182" i="5"/>
  <c r="BD178" i="5"/>
  <c r="BE148" i="5"/>
  <c r="BE206" i="5"/>
  <c r="BE138" i="5"/>
  <c r="BD208" i="5"/>
  <c r="BD211" i="5"/>
  <c r="BE192" i="5"/>
  <c r="BE201" i="5"/>
  <c r="BD207" i="5"/>
  <c r="BE147" i="5"/>
  <c r="BE168" i="5"/>
  <c r="BE136" i="5"/>
  <c r="BE204" i="5"/>
  <c r="BE157" i="5"/>
  <c r="BD215" i="5"/>
  <c r="BD205" i="5"/>
  <c r="BE155" i="5"/>
  <c r="BD175" i="5"/>
  <c r="BE133" i="5"/>
  <c r="BE167" i="5"/>
  <c r="BE174" i="5"/>
  <c r="BD190" i="5"/>
  <c r="BD203" i="5"/>
  <c r="BD139" i="5"/>
  <c r="BE144" i="5"/>
  <c r="AV208" i="5" l="1"/>
  <c r="AV207" i="5"/>
  <c r="AV206" i="5"/>
  <c r="AV205" i="5"/>
  <c r="AA200" i="5"/>
  <c r="AV204" i="5"/>
  <c r="Z201" i="5"/>
  <c r="AA199" i="5"/>
  <c r="AV191" i="5"/>
  <c r="Z198" i="5"/>
  <c r="AV203" i="5"/>
  <c r="AV201" i="5"/>
  <c r="Z213" i="5"/>
  <c r="AA209" i="5"/>
  <c r="Z206" i="5"/>
  <c r="Z190" i="5"/>
  <c r="AA198" i="5"/>
  <c r="AV199" i="5"/>
  <c r="AV198" i="5"/>
  <c r="Z208" i="5"/>
  <c r="AB208" i="5" s="1"/>
  <c r="Z211" i="5"/>
  <c r="Z215" i="5"/>
  <c r="Z207" i="5"/>
  <c r="Z205" i="5"/>
  <c r="AA213" i="5"/>
  <c r="Z203" i="5"/>
  <c r="Z204" i="5"/>
  <c r="AA208" i="5"/>
  <c r="AV211" i="5"/>
  <c r="AV213" i="5"/>
  <c r="AV215" i="5"/>
  <c r="AV209" i="5"/>
  <c r="AV200" i="5"/>
  <c r="L200" i="5"/>
  <c r="Z200" i="5" s="1"/>
  <c r="R209" i="5"/>
  <c r="Z209" i="5" s="1"/>
  <c r="AB209" i="5" s="1"/>
  <c r="AA211" i="5"/>
  <c r="AV196" i="5"/>
  <c r="AV166" i="5"/>
  <c r="L199" i="5"/>
  <c r="Z199" i="5" s="1"/>
  <c r="AB199" i="5" s="1"/>
  <c r="AV190" i="5"/>
  <c r="Z183" i="5"/>
  <c r="AV188" i="5"/>
  <c r="AA191" i="5"/>
  <c r="AV197" i="5"/>
  <c r="Z189" i="5"/>
  <c r="AV192" i="5"/>
  <c r="AV193" i="5"/>
  <c r="Z166" i="5"/>
  <c r="AA166" i="5"/>
  <c r="Z188" i="5"/>
  <c r="Z185" i="5"/>
  <c r="AA182" i="5"/>
  <c r="AV185" i="5"/>
  <c r="AV180" i="5"/>
  <c r="AA196" i="5"/>
  <c r="Z197" i="5"/>
  <c r="L191" i="5"/>
  <c r="Z191" i="5" s="1"/>
  <c r="AB191" i="5" s="1"/>
  <c r="Z193" i="5"/>
  <c r="AA180" i="5"/>
  <c r="Z182" i="5"/>
  <c r="Z186" i="5"/>
  <c r="AA192" i="5"/>
  <c r="L196" i="5"/>
  <c r="Z196" i="5" s="1"/>
  <c r="AV189" i="5"/>
  <c r="AA179" i="5"/>
  <c r="AV186" i="5"/>
  <c r="AV182" i="5"/>
  <c r="AV183" i="5"/>
  <c r="AV179" i="5"/>
  <c r="X179" i="5"/>
  <c r="Z179" i="5" s="1"/>
  <c r="R192" i="5"/>
  <c r="Z192" i="5" s="1"/>
  <c r="AB192" i="5" s="1"/>
  <c r="AV161" i="5"/>
  <c r="AA193" i="5"/>
  <c r="L180" i="5"/>
  <c r="Z180" i="5" s="1"/>
  <c r="AV173" i="5"/>
  <c r="AA150" i="5"/>
  <c r="AA161" i="5"/>
  <c r="Z161" i="5"/>
  <c r="AV178" i="5"/>
  <c r="AA176" i="5"/>
  <c r="AV154" i="5"/>
  <c r="AV169" i="5"/>
  <c r="AV164" i="5"/>
  <c r="AV151" i="5"/>
  <c r="AV135" i="5"/>
  <c r="R150" i="5"/>
  <c r="Z150" i="5" s="1"/>
  <c r="AV150" i="5"/>
  <c r="AA175" i="5"/>
  <c r="AA143" i="5"/>
  <c r="AV171" i="5"/>
  <c r="AV176" i="5"/>
  <c r="AV167" i="5"/>
  <c r="AV174" i="5"/>
  <c r="Z172" i="5"/>
  <c r="Z175" i="5"/>
  <c r="AB175" i="5" s="1"/>
  <c r="Z163" i="5"/>
  <c r="AV158" i="5"/>
  <c r="Z171" i="5"/>
  <c r="Z170" i="5"/>
  <c r="Z178" i="5"/>
  <c r="AA167" i="5"/>
  <c r="Z168" i="5"/>
  <c r="Z169" i="5"/>
  <c r="Z173" i="5"/>
  <c r="AA174" i="5"/>
  <c r="AV165" i="5"/>
  <c r="AV168" i="5"/>
  <c r="AV170" i="5"/>
  <c r="AV172" i="5"/>
  <c r="R176" i="5"/>
  <c r="Z176" i="5" s="1"/>
  <c r="AA177" i="5"/>
  <c r="Z164" i="5"/>
  <c r="AV175" i="5"/>
  <c r="AA164" i="5"/>
  <c r="AA165" i="5"/>
  <c r="L167" i="5"/>
  <c r="Z167" i="5" s="1"/>
  <c r="AV177" i="5"/>
  <c r="AV163" i="5"/>
  <c r="L165" i="5"/>
  <c r="Z165" i="5" s="1"/>
  <c r="R174" i="5"/>
  <c r="Z174" i="5" s="1"/>
  <c r="AB174" i="5" s="1"/>
  <c r="R177" i="5"/>
  <c r="Z177" i="5" s="1"/>
  <c r="Z154" i="5"/>
  <c r="Z160" i="5"/>
  <c r="Z155" i="5"/>
  <c r="Z148" i="5"/>
  <c r="AA149" i="5"/>
  <c r="AA135" i="5"/>
  <c r="Z135" i="5"/>
  <c r="AV159" i="5"/>
  <c r="AA158" i="5"/>
  <c r="AV147" i="5"/>
  <c r="Z157" i="5"/>
  <c r="Z153" i="5"/>
  <c r="AV157" i="5"/>
  <c r="Z141" i="5"/>
  <c r="AV155" i="5"/>
  <c r="AV148" i="5"/>
  <c r="AV149" i="5"/>
  <c r="AV152" i="5"/>
  <c r="Z159" i="5"/>
  <c r="AB159" i="5" s="1"/>
  <c r="AA162" i="5"/>
  <c r="Z152" i="5"/>
  <c r="AV156" i="5"/>
  <c r="AV153" i="5"/>
  <c r="AA160" i="5"/>
  <c r="AV160" i="5"/>
  <c r="AV162" i="5"/>
  <c r="AA151" i="5"/>
  <c r="Z156" i="5"/>
  <c r="AA159" i="5"/>
  <c r="Z151" i="5"/>
  <c r="AA148" i="5"/>
  <c r="AV136" i="5"/>
  <c r="L149" i="5"/>
  <c r="Z149" i="5" s="1"/>
  <c r="R158" i="5"/>
  <c r="Z158" i="5" s="1"/>
  <c r="AB158" i="5" s="1"/>
  <c r="R162" i="5"/>
  <c r="Z162" i="5" s="1"/>
  <c r="AV144" i="5"/>
  <c r="Z139" i="5"/>
  <c r="AV134" i="5"/>
  <c r="AA145" i="5"/>
  <c r="AV146" i="5"/>
  <c r="AV140" i="5"/>
  <c r="AV145" i="5"/>
  <c r="AA133" i="5"/>
  <c r="AA136" i="5"/>
  <c r="Z138" i="5"/>
  <c r="Z140" i="5"/>
  <c r="AV141" i="5"/>
  <c r="L133" i="5"/>
  <c r="Z133" i="5" s="1"/>
  <c r="AV137" i="5"/>
  <c r="AV143" i="5"/>
  <c r="L136" i="5"/>
  <c r="Z136" i="5" s="1"/>
  <c r="L143" i="5"/>
  <c r="Z143" i="5" s="1"/>
  <c r="AB143" i="5" s="1"/>
  <c r="Z146" i="5"/>
  <c r="AV142" i="5"/>
  <c r="AV133" i="5"/>
  <c r="Z134" i="5"/>
  <c r="AV138" i="5"/>
  <c r="Z147" i="5"/>
  <c r="Z137" i="5"/>
  <c r="AV139" i="5"/>
  <c r="Z142" i="5"/>
  <c r="Z145" i="5"/>
  <c r="Z144" i="5"/>
  <c r="AB144" i="5" s="1"/>
  <c r="AA134" i="5"/>
  <c r="AA144" i="5"/>
  <c r="AA146" i="5"/>
  <c r="AB200" i="5" l="1"/>
  <c r="AB133" i="5"/>
  <c r="AB179" i="5"/>
  <c r="AB164" i="5"/>
  <c r="AB148" i="5"/>
  <c r="AB213" i="5"/>
  <c r="AB211" i="5"/>
  <c r="AB136" i="5"/>
  <c r="AB198" i="5"/>
  <c r="AB196" i="5"/>
  <c r="AB193" i="5"/>
  <c r="AB162" i="5"/>
  <c r="AB182" i="5"/>
  <c r="AB180" i="5"/>
  <c r="AB167" i="5"/>
  <c r="AB177" i="5"/>
  <c r="AB176" i="5"/>
  <c r="AB166" i="5"/>
  <c r="AB165" i="5"/>
  <c r="AB150" i="5"/>
  <c r="AB161" i="5"/>
  <c r="AB149" i="5"/>
  <c r="AB160" i="5"/>
  <c r="AB151" i="5"/>
  <c r="AB146" i="5"/>
  <c r="AB145" i="5"/>
  <c r="AB135" i="5"/>
  <c r="AB134" i="5"/>
  <c r="I30" i="9"/>
  <c r="E30" i="9" s="1"/>
  <c r="I29" i="9"/>
  <c r="E29" i="9" s="1"/>
  <c r="I28" i="9"/>
  <c r="E28" i="9" s="1"/>
  <c r="I27" i="9"/>
  <c r="E27" i="9" s="1"/>
  <c r="I85" i="6"/>
  <c r="E85" i="6" s="1"/>
  <c r="I84" i="6"/>
  <c r="E84" i="6" s="1"/>
  <c r="I83" i="6"/>
  <c r="E83" i="6" s="1"/>
  <c r="I82" i="6"/>
  <c r="E82" i="6" s="1"/>
  <c r="I81" i="6"/>
  <c r="E81" i="6" s="1"/>
  <c r="I80" i="6"/>
  <c r="E80" i="6" s="1"/>
  <c r="I79" i="6"/>
  <c r="E79" i="6" s="1"/>
  <c r="I78" i="6"/>
  <c r="E78" i="6" s="1"/>
  <c r="I77" i="6"/>
  <c r="E77" i="6" s="1"/>
  <c r="I76" i="6"/>
  <c r="E76" i="6" s="1"/>
  <c r="BC132" i="5"/>
  <c r="BB132" i="5"/>
  <c r="BA132" i="5"/>
  <c r="AZ132" i="5"/>
  <c r="AU132" i="5"/>
  <c r="AT132" i="5"/>
  <c r="AS132" i="5"/>
  <c r="X132" i="5"/>
  <c r="R132" i="5"/>
  <c r="L132" i="5"/>
  <c r="G132" i="5"/>
  <c r="BC131" i="5"/>
  <c r="BB131" i="5"/>
  <c r="BA131" i="5"/>
  <c r="AZ131" i="5"/>
  <c r="AU131" i="5"/>
  <c r="AT131" i="5"/>
  <c r="AS131" i="5"/>
  <c r="Y131" i="5"/>
  <c r="X131" i="5" s="1"/>
  <c r="S131" i="5"/>
  <c r="M131" i="5"/>
  <c r="L131" i="5" s="1"/>
  <c r="G131" i="5"/>
  <c r="BC130" i="5"/>
  <c r="BB130" i="5"/>
  <c r="BA130" i="5"/>
  <c r="AZ130" i="5"/>
  <c r="AU130" i="5"/>
  <c r="AT130" i="5"/>
  <c r="AS130" i="5"/>
  <c r="Y130" i="5"/>
  <c r="X130" i="5" s="1"/>
  <c r="S130" i="5"/>
  <c r="R130" i="5" s="1"/>
  <c r="M130" i="5"/>
  <c r="G130" i="5"/>
  <c r="BC129" i="5"/>
  <c r="BB129" i="5"/>
  <c r="BA129" i="5"/>
  <c r="AZ129" i="5"/>
  <c r="AU129" i="5"/>
  <c r="AT129" i="5"/>
  <c r="AS129" i="5"/>
  <c r="Y129" i="5"/>
  <c r="X129" i="5" s="1"/>
  <c r="S129" i="5"/>
  <c r="M129" i="5"/>
  <c r="L129" i="5" s="1"/>
  <c r="G129" i="5"/>
  <c r="BC128" i="5"/>
  <c r="BB128" i="5"/>
  <c r="BA128" i="5"/>
  <c r="AZ128" i="5"/>
  <c r="AU128" i="5"/>
  <c r="AT128" i="5"/>
  <c r="AS128" i="5"/>
  <c r="Y128" i="5"/>
  <c r="X128" i="5" s="1"/>
  <c r="S128" i="5"/>
  <c r="R128" i="5" s="1"/>
  <c r="M128" i="5"/>
  <c r="L128" i="5" s="1"/>
  <c r="G128" i="5"/>
  <c r="BC127" i="5"/>
  <c r="BB127" i="5"/>
  <c r="BA127" i="5"/>
  <c r="AZ127" i="5"/>
  <c r="AU127" i="5"/>
  <c r="AT127" i="5"/>
  <c r="AS127" i="5"/>
  <c r="X127" i="5"/>
  <c r="R127" i="5"/>
  <c r="L127" i="5"/>
  <c r="G127" i="5"/>
  <c r="BC126" i="5"/>
  <c r="BB126" i="5"/>
  <c r="BA126" i="5"/>
  <c r="AZ126" i="5"/>
  <c r="AU126" i="5"/>
  <c r="AT126" i="5"/>
  <c r="AS126" i="5"/>
  <c r="X126" i="5"/>
  <c r="R126" i="5"/>
  <c r="L126" i="5"/>
  <c r="G126" i="5"/>
  <c r="BC125" i="5"/>
  <c r="BB125" i="5"/>
  <c r="BA125" i="5"/>
  <c r="AZ125" i="5"/>
  <c r="AU125" i="5"/>
  <c r="AT125" i="5"/>
  <c r="AS125" i="5"/>
  <c r="X125" i="5"/>
  <c r="R125" i="5"/>
  <c r="L125" i="5"/>
  <c r="G125" i="5"/>
  <c r="BC124" i="5"/>
  <c r="BB124" i="5"/>
  <c r="BA124" i="5"/>
  <c r="AZ124" i="5"/>
  <c r="AU124" i="5"/>
  <c r="AT124" i="5"/>
  <c r="AS124" i="5"/>
  <c r="X124" i="5"/>
  <c r="R124" i="5"/>
  <c r="L124" i="5"/>
  <c r="G124" i="5"/>
  <c r="BC123" i="5"/>
  <c r="BB123" i="5"/>
  <c r="BA123" i="5"/>
  <c r="AZ123" i="5"/>
  <c r="AU123" i="5"/>
  <c r="AT123" i="5"/>
  <c r="AS123" i="5"/>
  <c r="X123" i="5"/>
  <c r="R123" i="5"/>
  <c r="L123" i="5"/>
  <c r="G123" i="5"/>
  <c r="BC122" i="5"/>
  <c r="BB122" i="5"/>
  <c r="BA122" i="5"/>
  <c r="AZ122" i="5"/>
  <c r="AU122" i="5"/>
  <c r="AT122" i="5"/>
  <c r="AS122" i="5"/>
  <c r="X122" i="5"/>
  <c r="R122" i="5"/>
  <c r="L122" i="5"/>
  <c r="G122" i="5"/>
  <c r="BC121" i="5"/>
  <c r="BB121" i="5"/>
  <c r="BA121" i="5"/>
  <c r="AZ121" i="5"/>
  <c r="AU121" i="5"/>
  <c r="AT121" i="5"/>
  <c r="AS121" i="5"/>
  <c r="Y121" i="5"/>
  <c r="X121" i="5" s="1"/>
  <c r="S121" i="5"/>
  <c r="R121" i="5" s="1"/>
  <c r="M121" i="5"/>
  <c r="L121" i="5" s="1"/>
  <c r="G121" i="5"/>
  <c r="BC120" i="5"/>
  <c r="BB120" i="5"/>
  <c r="BA120" i="5"/>
  <c r="AZ120" i="5"/>
  <c r="AU120" i="5"/>
  <c r="AT120" i="5"/>
  <c r="AS120" i="5"/>
  <c r="Y120" i="5"/>
  <c r="X120" i="5" s="1"/>
  <c r="S120" i="5"/>
  <c r="R120" i="5" s="1"/>
  <c r="M120" i="5"/>
  <c r="G120" i="5"/>
  <c r="BC119" i="5"/>
  <c r="BB119" i="5"/>
  <c r="BA119" i="5"/>
  <c r="AZ119" i="5"/>
  <c r="AU119" i="5"/>
  <c r="AT119" i="5"/>
  <c r="AS119" i="5"/>
  <c r="Y119" i="5"/>
  <c r="X119" i="5" s="1"/>
  <c r="S119" i="5"/>
  <c r="R119" i="5" s="1"/>
  <c r="M119" i="5"/>
  <c r="L119" i="5" s="1"/>
  <c r="G119" i="5"/>
  <c r="BD132" i="5"/>
  <c r="BD119" i="5"/>
  <c r="BE124" i="5"/>
  <c r="BE127" i="5"/>
  <c r="BD128" i="5"/>
  <c r="BE121" i="5"/>
  <c r="BE126" i="5"/>
  <c r="BD120" i="5"/>
  <c r="BE130" i="5"/>
  <c r="BE128" i="5"/>
  <c r="BE123" i="5"/>
  <c r="BE131" i="5"/>
  <c r="BD131" i="5"/>
  <c r="BD121" i="5"/>
  <c r="BE129" i="5"/>
  <c r="BD125" i="5"/>
  <c r="BE122" i="5"/>
  <c r="BE119" i="5"/>
  <c r="BE120" i="5"/>
  <c r="BD122" i="5"/>
  <c r="BD126" i="5"/>
  <c r="BD130" i="5"/>
  <c r="BD124" i="5"/>
  <c r="BD129" i="5"/>
  <c r="BD127" i="5"/>
  <c r="BE125" i="5"/>
  <c r="BE132" i="5"/>
  <c r="BD123" i="5"/>
  <c r="AV132" i="5" l="1"/>
  <c r="AV124" i="5"/>
  <c r="AV119" i="5"/>
  <c r="AV130" i="5"/>
  <c r="AV131" i="5"/>
  <c r="Z132" i="5"/>
  <c r="Z124" i="5"/>
  <c r="AA130" i="5"/>
  <c r="AV122" i="5"/>
  <c r="AV120" i="5"/>
  <c r="L130" i="5"/>
  <c r="Z130" i="5" s="1"/>
  <c r="Z126" i="5"/>
  <c r="AA128" i="5"/>
  <c r="AV121" i="5"/>
  <c r="AA129" i="5"/>
  <c r="Z127" i="5"/>
  <c r="AV128" i="5"/>
  <c r="Z128" i="5"/>
  <c r="AB128" i="5" s="1"/>
  <c r="AA131" i="5"/>
  <c r="Z123" i="5"/>
  <c r="AV125" i="5"/>
  <c r="AV127" i="5"/>
  <c r="AV123" i="5"/>
  <c r="AV129" i="5"/>
  <c r="AA120" i="5"/>
  <c r="Z122" i="5"/>
  <c r="AV126" i="5"/>
  <c r="Z125" i="5"/>
  <c r="Z119" i="5"/>
  <c r="Z121" i="5"/>
  <c r="L120" i="5"/>
  <c r="Z120" i="5" s="1"/>
  <c r="R129" i="5"/>
  <c r="Z129" i="5" s="1"/>
  <c r="AB129" i="5" s="1"/>
  <c r="R131" i="5"/>
  <c r="Z131" i="5" s="1"/>
  <c r="AA119" i="5"/>
  <c r="AA121" i="5"/>
  <c r="AB130" i="5" l="1"/>
  <c r="AB121" i="5"/>
  <c r="AB119" i="5"/>
  <c r="AB120" i="5"/>
  <c r="AB131" i="5"/>
  <c r="I25" i="9"/>
  <c r="E25" i="9" s="1"/>
  <c r="I24" i="9"/>
  <c r="E24" i="9" s="1"/>
  <c r="BC103" i="5"/>
  <c r="BB103" i="5"/>
  <c r="BA103" i="5"/>
  <c r="AZ103" i="5"/>
  <c r="AU103" i="5"/>
  <c r="AT103" i="5"/>
  <c r="AS103" i="5"/>
  <c r="Y103" i="5"/>
  <c r="X103" i="5" s="1"/>
  <c r="S103" i="5"/>
  <c r="R103" i="5" s="1"/>
  <c r="M103" i="5"/>
  <c r="L103" i="5" s="1"/>
  <c r="G103" i="5"/>
  <c r="BC101" i="5"/>
  <c r="BB101" i="5"/>
  <c r="BA101" i="5"/>
  <c r="AZ101" i="5"/>
  <c r="AU101" i="5"/>
  <c r="AT101" i="5"/>
  <c r="AS101" i="5"/>
  <c r="Y101" i="5"/>
  <c r="X101" i="5" s="1"/>
  <c r="S101" i="5"/>
  <c r="R101" i="5" s="1"/>
  <c r="M101" i="5"/>
  <c r="L101" i="5" s="1"/>
  <c r="G101" i="5"/>
  <c r="G104" i="5"/>
  <c r="BC91" i="5"/>
  <c r="BB91" i="5"/>
  <c r="BA91" i="5"/>
  <c r="AZ91" i="5"/>
  <c r="AU91" i="5"/>
  <c r="AT91" i="5"/>
  <c r="AS91" i="5"/>
  <c r="Y91" i="5"/>
  <c r="X91" i="5" s="1"/>
  <c r="S91" i="5"/>
  <c r="R91" i="5" s="1"/>
  <c r="M91" i="5"/>
  <c r="L91" i="5" s="1"/>
  <c r="G91" i="5"/>
  <c r="BC90" i="5"/>
  <c r="BB90" i="5"/>
  <c r="BA90" i="5"/>
  <c r="AZ90" i="5"/>
  <c r="AU90" i="5"/>
  <c r="AT90" i="5"/>
  <c r="AS90" i="5"/>
  <c r="Y90" i="5"/>
  <c r="X90" i="5" s="1"/>
  <c r="S90" i="5"/>
  <c r="R90" i="5" s="1"/>
  <c r="M90" i="5"/>
  <c r="L90" i="5" s="1"/>
  <c r="G90" i="5"/>
  <c r="BC88" i="5"/>
  <c r="BB88" i="5"/>
  <c r="BA88" i="5"/>
  <c r="AZ88" i="5"/>
  <c r="AU88" i="5"/>
  <c r="AT88" i="5"/>
  <c r="AS88" i="5"/>
  <c r="Y88" i="5"/>
  <c r="X88" i="5" s="1"/>
  <c r="S88" i="5"/>
  <c r="R88" i="5" s="1"/>
  <c r="M88" i="5"/>
  <c r="L88" i="5" s="1"/>
  <c r="G88" i="5"/>
  <c r="I75" i="6"/>
  <c r="E75" i="6" s="1"/>
  <c r="I74" i="6"/>
  <c r="E74" i="6" s="1"/>
  <c r="I73" i="6"/>
  <c r="E73" i="6" s="1"/>
  <c r="I72" i="6"/>
  <c r="E72" i="6" s="1"/>
  <c r="I71" i="6"/>
  <c r="E71" i="6" s="1"/>
  <c r="I70" i="6"/>
  <c r="E70" i="6" s="1"/>
  <c r="I69" i="6"/>
  <c r="E69" i="6" s="1"/>
  <c r="I68" i="6"/>
  <c r="E68" i="6" s="1"/>
  <c r="I67" i="6"/>
  <c r="E67" i="6" s="1"/>
  <c r="I66" i="6"/>
  <c r="E66" i="6" s="1"/>
  <c r="BC118" i="5"/>
  <c r="BB118" i="5"/>
  <c r="BA118" i="5"/>
  <c r="AZ118" i="5"/>
  <c r="AU118" i="5"/>
  <c r="AT118" i="5"/>
  <c r="AS118" i="5"/>
  <c r="X118" i="5"/>
  <c r="R118" i="5"/>
  <c r="L118" i="5"/>
  <c r="G118" i="5"/>
  <c r="BC117" i="5"/>
  <c r="BB117" i="5"/>
  <c r="BA117" i="5"/>
  <c r="AZ117" i="5"/>
  <c r="AU117" i="5"/>
  <c r="AT117" i="5"/>
  <c r="AS117" i="5"/>
  <c r="Y117" i="5"/>
  <c r="X117" i="5" s="1"/>
  <c r="S117" i="5"/>
  <c r="M117" i="5"/>
  <c r="L117" i="5" s="1"/>
  <c r="G117" i="5"/>
  <c r="BC116" i="5"/>
  <c r="BB116" i="5"/>
  <c r="BA116" i="5"/>
  <c r="AZ116" i="5"/>
  <c r="AU116" i="5"/>
  <c r="AT116" i="5"/>
  <c r="AS116" i="5"/>
  <c r="Y116" i="5"/>
  <c r="X116" i="5" s="1"/>
  <c r="S116" i="5"/>
  <c r="R116" i="5" s="1"/>
  <c r="M116" i="5"/>
  <c r="L116" i="5" s="1"/>
  <c r="G116" i="5"/>
  <c r="BC115" i="5"/>
  <c r="BB115" i="5"/>
  <c r="BA115" i="5"/>
  <c r="AZ115" i="5"/>
  <c r="AU115" i="5"/>
  <c r="AT115" i="5"/>
  <c r="AS115" i="5"/>
  <c r="Y115" i="5"/>
  <c r="X115" i="5" s="1"/>
  <c r="S115" i="5"/>
  <c r="M115" i="5"/>
  <c r="L115" i="5" s="1"/>
  <c r="G115" i="5"/>
  <c r="BC114" i="5"/>
  <c r="BB114" i="5"/>
  <c r="BA114" i="5"/>
  <c r="AZ114" i="5"/>
  <c r="AU114" i="5"/>
  <c r="AT114" i="5"/>
  <c r="AS114" i="5"/>
  <c r="Y114" i="5"/>
  <c r="X114" i="5" s="1"/>
  <c r="S114" i="5"/>
  <c r="R114" i="5" s="1"/>
  <c r="M114" i="5"/>
  <c r="L114" i="5" s="1"/>
  <c r="G114" i="5"/>
  <c r="BC113" i="5"/>
  <c r="BB113" i="5"/>
  <c r="BA113" i="5"/>
  <c r="AZ113" i="5"/>
  <c r="AU113" i="5"/>
  <c r="AT113" i="5"/>
  <c r="AS113" i="5"/>
  <c r="X113" i="5"/>
  <c r="R113" i="5"/>
  <c r="L113" i="5"/>
  <c r="G113" i="5"/>
  <c r="BC112" i="5"/>
  <c r="BB112" i="5"/>
  <c r="BA112" i="5"/>
  <c r="AZ112" i="5"/>
  <c r="AU112" i="5"/>
  <c r="AT112" i="5"/>
  <c r="AS112" i="5"/>
  <c r="X112" i="5"/>
  <c r="R112" i="5"/>
  <c r="L112" i="5"/>
  <c r="G112" i="5"/>
  <c r="BC111" i="5"/>
  <c r="BB111" i="5"/>
  <c r="BA111" i="5"/>
  <c r="AZ111" i="5"/>
  <c r="AU111" i="5"/>
  <c r="AT111" i="5"/>
  <c r="AS111" i="5"/>
  <c r="X111" i="5"/>
  <c r="R111" i="5"/>
  <c r="L111" i="5"/>
  <c r="G111" i="5"/>
  <c r="BC110" i="5"/>
  <c r="BB110" i="5"/>
  <c r="BA110" i="5"/>
  <c r="AZ110" i="5"/>
  <c r="AU110" i="5"/>
  <c r="AT110" i="5"/>
  <c r="AS110" i="5"/>
  <c r="X110" i="5"/>
  <c r="R110" i="5"/>
  <c r="L110" i="5"/>
  <c r="G110" i="5"/>
  <c r="BC109" i="5"/>
  <c r="BB109" i="5"/>
  <c r="BA109" i="5"/>
  <c r="AZ109" i="5"/>
  <c r="AU109" i="5"/>
  <c r="AT109" i="5"/>
  <c r="AS109" i="5"/>
  <c r="X109" i="5"/>
  <c r="R109" i="5"/>
  <c r="L109" i="5"/>
  <c r="G109" i="5"/>
  <c r="BC108" i="5"/>
  <c r="BB108" i="5"/>
  <c r="BA108" i="5"/>
  <c r="AZ108" i="5"/>
  <c r="AU108" i="5"/>
  <c r="AT108" i="5"/>
  <c r="AS108" i="5"/>
  <c r="X108" i="5"/>
  <c r="R108" i="5"/>
  <c r="L108" i="5"/>
  <c r="G108" i="5"/>
  <c r="BC107" i="5"/>
  <c r="BB107" i="5"/>
  <c r="BA107" i="5"/>
  <c r="AZ107" i="5"/>
  <c r="AU107" i="5"/>
  <c r="AT107" i="5"/>
  <c r="AS107" i="5"/>
  <c r="Y107" i="5"/>
  <c r="X107" i="5" s="1"/>
  <c r="S107" i="5"/>
  <c r="R107" i="5" s="1"/>
  <c r="M107" i="5"/>
  <c r="L107" i="5" s="1"/>
  <c r="G107" i="5"/>
  <c r="BC106" i="5"/>
  <c r="BB106" i="5"/>
  <c r="BA106" i="5"/>
  <c r="AZ106" i="5"/>
  <c r="AU106" i="5"/>
  <c r="AT106" i="5"/>
  <c r="AS106" i="5"/>
  <c r="Y106" i="5"/>
  <c r="X106" i="5" s="1"/>
  <c r="S106" i="5"/>
  <c r="R106" i="5" s="1"/>
  <c r="M106" i="5"/>
  <c r="G106" i="5"/>
  <c r="BC105" i="5"/>
  <c r="BB105" i="5"/>
  <c r="BA105" i="5"/>
  <c r="AZ105" i="5"/>
  <c r="AU105" i="5"/>
  <c r="AT105" i="5"/>
  <c r="AS105" i="5"/>
  <c r="Y105" i="5"/>
  <c r="X105" i="5" s="1"/>
  <c r="S105" i="5"/>
  <c r="R105" i="5" s="1"/>
  <c r="M105" i="5"/>
  <c r="L105" i="5" s="1"/>
  <c r="G105" i="5"/>
  <c r="BE101" i="5"/>
  <c r="BE118" i="5"/>
  <c r="BD111" i="5"/>
  <c r="BE109" i="5"/>
  <c r="BE108" i="5"/>
  <c r="BD90" i="5"/>
  <c r="BE91" i="5"/>
  <c r="BD103" i="5"/>
  <c r="BE111" i="5"/>
  <c r="BE105" i="5"/>
  <c r="BD108" i="5"/>
  <c r="BE113" i="5"/>
  <c r="BE90" i="5"/>
  <c r="BD112" i="5"/>
  <c r="BE117" i="5"/>
  <c r="BD106" i="5"/>
  <c r="BE107" i="5"/>
  <c r="BE103" i="5"/>
  <c r="BD88" i="5"/>
  <c r="BD114" i="5"/>
  <c r="BD109" i="5"/>
  <c r="BD115" i="5"/>
  <c r="BE114" i="5"/>
  <c r="BD107" i="5"/>
  <c r="BE88" i="5"/>
  <c r="BE110" i="5"/>
  <c r="BD110" i="5"/>
  <c r="BD116" i="5"/>
  <c r="BD117" i="5"/>
  <c r="BD91" i="5"/>
  <c r="BD101" i="5"/>
  <c r="BD118" i="5"/>
  <c r="BE106" i="5"/>
  <c r="BE115" i="5"/>
  <c r="BD113" i="5"/>
  <c r="BD105" i="5"/>
  <c r="BE116" i="5"/>
  <c r="BE112" i="5"/>
  <c r="AV103" i="5" l="1"/>
  <c r="AV90" i="5"/>
  <c r="AV101" i="5"/>
  <c r="Z103" i="5"/>
  <c r="AV91" i="5"/>
  <c r="AA103" i="5"/>
  <c r="Z101" i="5"/>
  <c r="AA101" i="5"/>
  <c r="AV88" i="5"/>
  <c r="Z91" i="5"/>
  <c r="Z90" i="5"/>
  <c r="AA91" i="5"/>
  <c r="AV105" i="5"/>
  <c r="AA90" i="5"/>
  <c r="AV107" i="5"/>
  <c r="Z111" i="5"/>
  <c r="AV106" i="5"/>
  <c r="Z88" i="5"/>
  <c r="Z118" i="5"/>
  <c r="Z110" i="5"/>
  <c r="AA116" i="5"/>
  <c r="AV117" i="5"/>
  <c r="AA115" i="5"/>
  <c r="Z113" i="5"/>
  <c r="AV114" i="5"/>
  <c r="AV118" i="5"/>
  <c r="AV110" i="5"/>
  <c r="AV116" i="5"/>
  <c r="AA117" i="5"/>
  <c r="AA88" i="5"/>
  <c r="AA114" i="5"/>
  <c r="Z112" i="5"/>
  <c r="Z105" i="5"/>
  <c r="AV108" i="5"/>
  <c r="Z109" i="5"/>
  <c r="AV111" i="5"/>
  <c r="AV113" i="5"/>
  <c r="Z116" i="5"/>
  <c r="AV109" i="5"/>
  <c r="Z108" i="5"/>
  <c r="AA106" i="5"/>
  <c r="AV115" i="5"/>
  <c r="AV112" i="5"/>
  <c r="Z107" i="5"/>
  <c r="Z114" i="5"/>
  <c r="AB114" i="5" s="1"/>
  <c r="L106" i="5"/>
  <c r="Z106" i="5" s="1"/>
  <c r="R115" i="5"/>
  <c r="Z115" i="5" s="1"/>
  <c r="AB115" i="5" s="1"/>
  <c r="R117" i="5"/>
  <c r="Z117" i="5" s="1"/>
  <c r="AA105" i="5"/>
  <c r="AA107" i="5"/>
  <c r="AB116" i="5" l="1"/>
  <c r="AB105" i="5"/>
  <c r="AB117" i="5"/>
  <c r="AB106" i="5"/>
  <c r="AB107" i="5"/>
  <c r="AB103" i="5"/>
  <c r="AB101" i="5"/>
  <c r="AB91" i="5"/>
  <c r="AB90" i="5"/>
  <c r="AB88" i="5"/>
  <c r="I21" i="9" l="1"/>
  <c r="E21" i="9" s="1"/>
  <c r="I20" i="9"/>
  <c r="E20" i="9" s="1"/>
  <c r="I19" i="9"/>
  <c r="E19" i="9" s="1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I59" i="6"/>
  <c r="E59" i="6" s="1"/>
  <c r="I58" i="6"/>
  <c r="E58" i="6" s="1"/>
  <c r="I57" i="6"/>
  <c r="E57" i="6" s="1"/>
  <c r="I56" i="6"/>
  <c r="E56" i="6" s="1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L82" i="5" s="1"/>
  <c r="G82" i="5"/>
  <c r="BC104" i="5"/>
  <c r="BB104" i="5"/>
  <c r="BA104" i="5"/>
  <c r="AZ104" i="5"/>
  <c r="AU104" i="5"/>
  <c r="AT104" i="5"/>
  <c r="AS104" i="5"/>
  <c r="X104" i="5"/>
  <c r="R104" i="5"/>
  <c r="L104" i="5"/>
  <c r="BC102" i="5"/>
  <c r="BB102" i="5"/>
  <c r="BA102" i="5"/>
  <c r="AZ102" i="5"/>
  <c r="AU102" i="5"/>
  <c r="AT102" i="5"/>
  <c r="AS102" i="5"/>
  <c r="Y102" i="5"/>
  <c r="S102" i="5"/>
  <c r="R102" i="5" s="1"/>
  <c r="M102" i="5"/>
  <c r="L102" i="5" s="1"/>
  <c r="G102" i="5"/>
  <c r="BC100" i="5"/>
  <c r="BB100" i="5"/>
  <c r="BA100" i="5"/>
  <c r="AZ100" i="5"/>
  <c r="AU100" i="5"/>
  <c r="AT100" i="5"/>
  <c r="AS100" i="5"/>
  <c r="Y100" i="5"/>
  <c r="X100" i="5" s="1"/>
  <c r="S100" i="5"/>
  <c r="R100" i="5" s="1"/>
  <c r="M100" i="5"/>
  <c r="L100" i="5" s="1"/>
  <c r="G100" i="5"/>
  <c r="BC99" i="5"/>
  <c r="BB99" i="5"/>
  <c r="BA99" i="5"/>
  <c r="AZ99" i="5"/>
  <c r="AU99" i="5"/>
  <c r="AT99" i="5"/>
  <c r="AS99" i="5"/>
  <c r="Y99" i="5"/>
  <c r="X99" i="5" s="1"/>
  <c r="S99" i="5"/>
  <c r="M99" i="5"/>
  <c r="L99" i="5" s="1"/>
  <c r="G99" i="5"/>
  <c r="BC98" i="5"/>
  <c r="BB98" i="5"/>
  <c r="BA98" i="5"/>
  <c r="AZ98" i="5"/>
  <c r="AU98" i="5"/>
  <c r="AT98" i="5"/>
  <c r="AS98" i="5"/>
  <c r="Y98" i="5"/>
  <c r="S98" i="5"/>
  <c r="R98" i="5" s="1"/>
  <c r="M98" i="5"/>
  <c r="L98" i="5" s="1"/>
  <c r="G9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AS96" i="5"/>
  <c r="X96" i="5"/>
  <c r="R96" i="5"/>
  <c r="L96" i="5"/>
  <c r="G96" i="5"/>
  <c r="BC95" i="5"/>
  <c r="BB95" i="5"/>
  <c r="BA95" i="5"/>
  <c r="AZ95" i="5"/>
  <c r="AU95" i="5"/>
  <c r="AT95" i="5"/>
  <c r="AS95" i="5"/>
  <c r="X95" i="5"/>
  <c r="R95" i="5"/>
  <c r="L95" i="5"/>
  <c r="G95" i="5"/>
  <c r="BC94" i="5"/>
  <c r="BB94" i="5"/>
  <c r="BA94" i="5"/>
  <c r="AZ94" i="5"/>
  <c r="AU94" i="5"/>
  <c r="AT94" i="5"/>
  <c r="AS94" i="5"/>
  <c r="X94" i="5"/>
  <c r="R94" i="5"/>
  <c r="L94" i="5"/>
  <c r="G94" i="5"/>
  <c r="BC93" i="5"/>
  <c r="BB93" i="5"/>
  <c r="BA93" i="5"/>
  <c r="AZ93" i="5"/>
  <c r="AU93" i="5"/>
  <c r="AT93" i="5"/>
  <c r="AS93" i="5"/>
  <c r="X93" i="5"/>
  <c r="R93" i="5"/>
  <c r="L93" i="5"/>
  <c r="G93" i="5"/>
  <c r="BC92" i="5"/>
  <c r="BB92" i="5"/>
  <c r="BA92" i="5"/>
  <c r="AZ92" i="5"/>
  <c r="AU92" i="5"/>
  <c r="AT92" i="5"/>
  <c r="AS92" i="5"/>
  <c r="X92" i="5"/>
  <c r="R92" i="5"/>
  <c r="L92" i="5"/>
  <c r="G92" i="5"/>
  <c r="BC89" i="5"/>
  <c r="BB89" i="5"/>
  <c r="BA89" i="5"/>
  <c r="AZ89" i="5"/>
  <c r="AU89" i="5"/>
  <c r="AT89" i="5"/>
  <c r="AS89" i="5"/>
  <c r="Y89" i="5"/>
  <c r="X89" i="5" s="1"/>
  <c r="S89" i="5"/>
  <c r="R89" i="5" s="1"/>
  <c r="M89" i="5"/>
  <c r="G89" i="5"/>
  <c r="BC87" i="5"/>
  <c r="BB87" i="5"/>
  <c r="BA87" i="5"/>
  <c r="AZ87" i="5"/>
  <c r="AU87" i="5"/>
  <c r="AT87" i="5"/>
  <c r="AS87" i="5"/>
  <c r="Y87" i="5"/>
  <c r="X87" i="5" s="1"/>
  <c r="S87" i="5"/>
  <c r="R87" i="5" s="1"/>
  <c r="M87" i="5"/>
  <c r="G87" i="5"/>
  <c r="BC86" i="5"/>
  <c r="BB86" i="5"/>
  <c r="BA86" i="5"/>
  <c r="AZ86" i="5"/>
  <c r="AU86" i="5"/>
  <c r="AT86" i="5"/>
  <c r="AS86" i="5"/>
  <c r="Y86" i="5"/>
  <c r="X86" i="5" s="1"/>
  <c r="S86" i="5"/>
  <c r="R86" i="5" s="1"/>
  <c r="M86" i="5"/>
  <c r="L86" i="5" s="1"/>
  <c r="G86" i="5"/>
  <c r="I17" i="9"/>
  <c r="E17" i="9" s="1"/>
  <c r="I55" i="6"/>
  <c r="E55" i="6" s="1"/>
  <c r="I54" i="6"/>
  <c r="E54" i="6" s="1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I47" i="6"/>
  <c r="E47" i="6" s="1"/>
  <c r="I46" i="6"/>
  <c r="E46" i="6" s="1"/>
  <c r="BC59" i="5"/>
  <c r="BB59" i="5"/>
  <c r="BA59" i="5"/>
  <c r="AZ59" i="5"/>
  <c r="AU59" i="5"/>
  <c r="AT59" i="5"/>
  <c r="AS59" i="5"/>
  <c r="Y59" i="5"/>
  <c r="X59" i="5" s="1"/>
  <c r="S59" i="5"/>
  <c r="R59" i="5" s="1"/>
  <c r="M59" i="5"/>
  <c r="L59" i="5" s="1"/>
  <c r="G59" i="5"/>
  <c r="BC58" i="5"/>
  <c r="BB58" i="5"/>
  <c r="BA58" i="5"/>
  <c r="AZ58" i="5"/>
  <c r="AU58" i="5"/>
  <c r="AT58" i="5"/>
  <c r="AS58" i="5"/>
  <c r="Y58" i="5"/>
  <c r="S58" i="5"/>
  <c r="R58" i="5" s="1"/>
  <c r="M58" i="5"/>
  <c r="L58" i="5" s="1"/>
  <c r="G58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Y84" i="5"/>
  <c r="X84" i="5" s="1"/>
  <c r="S84" i="5"/>
  <c r="M84" i="5"/>
  <c r="L84" i="5" s="1"/>
  <c r="G84" i="5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L83" i="5" s="1"/>
  <c r="G83" i="5"/>
  <c r="BC81" i="5"/>
  <c r="BB81" i="5"/>
  <c r="BA81" i="5"/>
  <c r="AZ81" i="5"/>
  <c r="AU81" i="5"/>
  <c r="AT81" i="5"/>
  <c r="AS81" i="5"/>
  <c r="Y81" i="5"/>
  <c r="X81" i="5" s="1"/>
  <c r="S81" i="5"/>
  <c r="M81" i="5"/>
  <c r="L81" i="5" s="1"/>
  <c r="G81" i="5"/>
  <c r="BC80" i="5"/>
  <c r="BB80" i="5"/>
  <c r="BA80" i="5"/>
  <c r="AZ80" i="5"/>
  <c r="AU80" i="5"/>
  <c r="AT80" i="5"/>
  <c r="AS80" i="5"/>
  <c r="X80" i="5"/>
  <c r="R80" i="5"/>
  <c r="L80" i="5"/>
  <c r="G80" i="5"/>
  <c r="BC79" i="5"/>
  <c r="BB79" i="5"/>
  <c r="BA79" i="5"/>
  <c r="AZ79" i="5"/>
  <c r="AU79" i="5"/>
  <c r="AT79" i="5"/>
  <c r="AS79" i="5"/>
  <c r="X79" i="5"/>
  <c r="R79" i="5"/>
  <c r="L79" i="5"/>
  <c r="G79" i="5"/>
  <c r="BC78" i="5"/>
  <c r="BB78" i="5"/>
  <c r="BA78" i="5"/>
  <c r="AZ78" i="5"/>
  <c r="AU78" i="5"/>
  <c r="AT78" i="5"/>
  <c r="AS78" i="5"/>
  <c r="X78" i="5"/>
  <c r="R78" i="5"/>
  <c r="L78" i="5"/>
  <c r="G78" i="5"/>
  <c r="BC77" i="5"/>
  <c r="BB77" i="5"/>
  <c r="BA77" i="5"/>
  <c r="AZ77" i="5"/>
  <c r="AU77" i="5"/>
  <c r="AT77" i="5"/>
  <c r="AS77" i="5"/>
  <c r="X77" i="5"/>
  <c r="R77" i="5"/>
  <c r="L77" i="5"/>
  <c r="G77" i="5"/>
  <c r="BC76" i="5"/>
  <c r="BB76" i="5"/>
  <c r="BA76" i="5"/>
  <c r="AZ76" i="5"/>
  <c r="AU76" i="5"/>
  <c r="AT76" i="5"/>
  <c r="AS76" i="5"/>
  <c r="X76" i="5"/>
  <c r="R76" i="5"/>
  <c r="L76" i="5"/>
  <c r="G76" i="5"/>
  <c r="BC75" i="5"/>
  <c r="BB75" i="5"/>
  <c r="BA75" i="5"/>
  <c r="AZ75" i="5"/>
  <c r="AU75" i="5"/>
  <c r="AT75" i="5"/>
  <c r="AS75" i="5"/>
  <c r="X75" i="5"/>
  <c r="R75" i="5"/>
  <c r="L75" i="5"/>
  <c r="G75" i="5"/>
  <c r="BC74" i="5"/>
  <c r="BB74" i="5"/>
  <c r="BA74" i="5"/>
  <c r="AZ74" i="5"/>
  <c r="AU74" i="5"/>
  <c r="AT74" i="5"/>
  <c r="AS74" i="5"/>
  <c r="Y74" i="5"/>
  <c r="X74" i="5" s="1"/>
  <c r="S74" i="5"/>
  <c r="R74" i="5" s="1"/>
  <c r="M74" i="5"/>
  <c r="G74" i="5"/>
  <c r="BC73" i="5"/>
  <c r="BB73" i="5"/>
  <c r="BA73" i="5"/>
  <c r="AZ73" i="5"/>
  <c r="AU73" i="5"/>
  <c r="AT73" i="5"/>
  <c r="AS73" i="5"/>
  <c r="Y73" i="5"/>
  <c r="X73" i="5" s="1"/>
  <c r="S73" i="5"/>
  <c r="R73" i="5" s="1"/>
  <c r="M73" i="5"/>
  <c r="G73" i="5"/>
  <c r="BC72" i="5"/>
  <c r="BB72" i="5"/>
  <c r="BA72" i="5"/>
  <c r="AZ72" i="5"/>
  <c r="AU72" i="5"/>
  <c r="AT72" i="5"/>
  <c r="AS72" i="5"/>
  <c r="Y72" i="5"/>
  <c r="X72" i="5" s="1"/>
  <c r="S72" i="5"/>
  <c r="R72" i="5" s="1"/>
  <c r="M72" i="5"/>
  <c r="L72" i="5" s="1"/>
  <c r="G72" i="5"/>
  <c r="H16" i="9"/>
  <c r="I15" i="9"/>
  <c r="E15" i="9" s="1"/>
  <c r="I14" i="9"/>
  <c r="E14" i="9" s="1"/>
  <c r="I45" i="6"/>
  <c r="E45" i="6" s="1"/>
  <c r="I44" i="6"/>
  <c r="E44" i="6" s="1"/>
  <c r="I43" i="6"/>
  <c r="E43" i="6" s="1"/>
  <c r="I42" i="6"/>
  <c r="E42" i="6" s="1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BC53" i="5"/>
  <c r="BB53" i="5"/>
  <c r="BA53" i="5"/>
  <c r="AZ53" i="5"/>
  <c r="AU53" i="5"/>
  <c r="AT53" i="5"/>
  <c r="AS53" i="5"/>
  <c r="Y53" i="5"/>
  <c r="X53" i="5" s="1"/>
  <c r="S53" i="5"/>
  <c r="R53" i="5" s="1"/>
  <c r="M53" i="5"/>
  <c r="L53" i="5" s="1"/>
  <c r="G53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Y70" i="5"/>
  <c r="X70" i="5" s="1"/>
  <c r="S70" i="5"/>
  <c r="M70" i="5"/>
  <c r="L70" i="5" s="1"/>
  <c r="G70" i="5"/>
  <c r="BC69" i="5"/>
  <c r="BB69" i="5"/>
  <c r="BA69" i="5"/>
  <c r="AZ69" i="5"/>
  <c r="AU69" i="5"/>
  <c r="AT69" i="5"/>
  <c r="AS69" i="5"/>
  <c r="Y69" i="5"/>
  <c r="X69" i="5" s="1"/>
  <c r="S69" i="5"/>
  <c r="R69" i="5" s="1"/>
  <c r="M69" i="5"/>
  <c r="L69" i="5" s="1"/>
  <c r="G69" i="5"/>
  <c r="BC68" i="5"/>
  <c r="BB68" i="5"/>
  <c r="BA68" i="5"/>
  <c r="AZ68" i="5"/>
  <c r="AU68" i="5"/>
  <c r="AT68" i="5"/>
  <c r="AS68" i="5"/>
  <c r="Y68" i="5"/>
  <c r="X68" i="5" s="1"/>
  <c r="S68" i="5"/>
  <c r="M68" i="5"/>
  <c r="L68" i="5" s="1"/>
  <c r="G68" i="5"/>
  <c r="BC67" i="5"/>
  <c r="BB67" i="5"/>
  <c r="BA67" i="5"/>
  <c r="AZ67" i="5"/>
  <c r="AU67" i="5"/>
  <c r="AT67" i="5"/>
  <c r="AS67" i="5"/>
  <c r="Y67" i="5"/>
  <c r="X67" i="5" s="1"/>
  <c r="S67" i="5"/>
  <c r="M67" i="5"/>
  <c r="L67" i="5" s="1"/>
  <c r="G67" i="5"/>
  <c r="BC66" i="5"/>
  <c r="BB66" i="5"/>
  <c r="BA66" i="5"/>
  <c r="AZ66" i="5"/>
  <c r="AU66" i="5"/>
  <c r="AT66" i="5"/>
  <c r="AS66" i="5"/>
  <c r="X66" i="5"/>
  <c r="R66" i="5"/>
  <c r="L66" i="5"/>
  <c r="G66" i="5"/>
  <c r="BC65" i="5"/>
  <c r="BB65" i="5"/>
  <c r="BA65" i="5"/>
  <c r="AZ65" i="5"/>
  <c r="AU65" i="5"/>
  <c r="AT65" i="5"/>
  <c r="AS65" i="5"/>
  <c r="X65" i="5"/>
  <c r="R65" i="5"/>
  <c r="L65" i="5"/>
  <c r="G65" i="5"/>
  <c r="BC64" i="5"/>
  <c r="BB64" i="5"/>
  <c r="BA64" i="5"/>
  <c r="AZ64" i="5"/>
  <c r="AU64" i="5"/>
  <c r="AT64" i="5"/>
  <c r="AS64" i="5"/>
  <c r="X64" i="5"/>
  <c r="R64" i="5"/>
  <c r="L64" i="5"/>
  <c r="G64" i="5"/>
  <c r="BC63" i="5"/>
  <c r="BB63" i="5"/>
  <c r="BA63" i="5"/>
  <c r="AZ63" i="5"/>
  <c r="AU63" i="5"/>
  <c r="AT63" i="5"/>
  <c r="AS63" i="5"/>
  <c r="X63" i="5"/>
  <c r="R63" i="5"/>
  <c r="L63" i="5"/>
  <c r="G63" i="5"/>
  <c r="BC62" i="5"/>
  <c r="BB62" i="5"/>
  <c r="BA62" i="5"/>
  <c r="AZ62" i="5"/>
  <c r="AU62" i="5"/>
  <c r="AT62" i="5"/>
  <c r="AS62" i="5"/>
  <c r="X62" i="5"/>
  <c r="R62" i="5"/>
  <c r="L62" i="5"/>
  <c r="G62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Y60" i="5"/>
  <c r="X60" i="5" s="1"/>
  <c r="S60" i="5"/>
  <c r="R60" i="5" s="1"/>
  <c r="M60" i="5"/>
  <c r="L60" i="5" s="1"/>
  <c r="G60" i="5"/>
  <c r="BC57" i="5"/>
  <c r="BB57" i="5"/>
  <c r="BA57" i="5"/>
  <c r="AZ57" i="5"/>
  <c r="AU57" i="5"/>
  <c r="AT57" i="5"/>
  <c r="AS57" i="5"/>
  <c r="Y57" i="5"/>
  <c r="X57" i="5" s="1"/>
  <c r="S57" i="5"/>
  <c r="R57" i="5" s="1"/>
  <c r="M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I12" i="9"/>
  <c r="E12" i="9" s="1"/>
  <c r="I11" i="9"/>
  <c r="E11" i="9" s="1"/>
  <c r="I10" i="9"/>
  <c r="E10" i="9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I29" i="6"/>
  <c r="E29" i="6" s="1"/>
  <c r="I28" i="6"/>
  <c r="E28" i="6" s="1"/>
  <c r="I27" i="6"/>
  <c r="E27" i="6" s="1"/>
  <c r="I26" i="6"/>
  <c r="E26" i="6" s="1"/>
  <c r="BC27" i="5"/>
  <c r="BB27" i="5"/>
  <c r="BA27" i="5"/>
  <c r="AZ27" i="5"/>
  <c r="AU27" i="5"/>
  <c r="AT27" i="5"/>
  <c r="AS27" i="5"/>
  <c r="Y27" i="5"/>
  <c r="X27" i="5" s="1"/>
  <c r="S27" i="5"/>
  <c r="R27" i="5" s="1"/>
  <c r="M27" i="5"/>
  <c r="L27" i="5" s="1"/>
  <c r="G27" i="5"/>
  <c r="BC25" i="5"/>
  <c r="BB25" i="5"/>
  <c r="BA25" i="5"/>
  <c r="AZ25" i="5"/>
  <c r="AU25" i="5"/>
  <c r="AT25" i="5"/>
  <c r="AS25" i="5"/>
  <c r="Y25" i="5"/>
  <c r="X25" i="5" s="1"/>
  <c r="S25" i="5"/>
  <c r="R25" i="5" s="1"/>
  <c r="M25" i="5"/>
  <c r="L25" i="5" s="1"/>
  <c r="G25" i="5"/>
  <c r="BC55" i="5"/>
  <c r="BB55" i="5"/>
  <c r="BA55" i="5"/>
  <c r="AZ55" i="5"/>
  <c r="AU55" i="5"/>
  <c r="AT55" i="5"/>
  <c r="AS55" i="5"/>
  <c r="X55" i="5"/>
  <c r="R55" i="5"/>
  <c r="L55" i="5"/>
  <c r="G55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L54" i="5" s="1"/>
  <c r="G54" i="5"/>
  <c r="BC51" i="5"/>
  <c r="BB51" i="5"/>
  <c r="BA51" i="5"/>
  <c r="AZ51" i="5"/>
  <c r="AU51" i="5"/>
  <c r="AT51" i="5"/>
  <c r="AS51" i="5"/>
  <c r="Y51" i="5"/>
  <c r="X51" i="5" s="1"/>
  <c r="S51" i="5"/>
  <c r="R51" i="5" s="1"/>
  <c r="M51" i="5"/>
  <c r="L51" i="5" s="1"/>
  <c r="G51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49" i="5"/>
  <c r="BB49" i="5"/>
  <c r="BA49" i="5"/>
  <c r="AZ49" i="5"/>
  <c r="AU49" i="5"/>
  <c r="AT49" i="5"/>
  <c r="AS49" i="5"/>
  <c r="Y49" i="5"/>
  <c r="X49" i="5" s="1"/>
  <c r="S49" i="5"/>
  <c r="R49" i="5" s="1"/>
  <c r="M49" i="5"/>
  <c r="L49" i="5" s="1"/>
  <c r="G49" i="5"/>
  <c r="BC48" i="5"/>
  <c r="BB48" i="5"/>
  <c r="BA48" i="5"/>
  <c r="AZ48" i="5"/>
  <c r="AU48" i="5"/>
  <c r="AT48" i="5"/>
  <c r="AS48" i="5"/>
  <c r="X48" i="5"/>
  <c r="R48" i="5"/>
  <c r="L48" i="5"/>
  <c r="G48" i="5"/>
  <c r="BC47" i="5"/>
  <c r="BB47" i="5"/>
  <c r="BA47" i="5"/>
  <c r="AZ47" i="5"/>
  <c r="AU47" i="5"/>
  <c r="AT47" i="5"/>
  <c r="AS47" i="5"/>
  <c r="X47" i="5"/>
  <c r="R47" i="5"/>
  <c r="L47" i="5"/>
  <c r="G47" i="5"/>
  <c r="BC46" i="5"/>
  <c r="BB46" i="5"/>
  <c r="BA46" i="5"/>
  <c r="AZ46" i="5"/>
  <c r="AU46" i="5"/>
  <c r="AT46" i="5"/>
  <c r="AS46" i="5"/>
  <c r="X46" i="5"/>
  <c r="R46" i="5"/>
  <c r="L46" i="5"/>
  <c r="G46" i="5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X44" i="5"/>
  <c r="R44" i="5"/>
  <c r="L44" i="5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R42" i="5" s="1"/>
  <c r="M42" i="5"/>
  <c r="G42" i="5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L40" i="5" s="1"/>
  <c r="G40" i="5"/>
  <c r="I9" i="9"/>
  <c r="E9" i="9" s="1"/>
  <c r="I8" i="9"/>
  <c r="E8" i="9" s="1"/>
  <c r="I7" i="9"/>
  <c r="E7" i="9" s="1"/>
  <c r="BC18" i="5"/>
  <c r="BB18" i="5"/>
  <c r="BA18" i="5"/>
  <c r="AZ18" i="5"/>
  <c r="AU18" i="5"/>
  <c r="AT18" i="5"/>
  <c r="AS18" i="5"/>
  <c r="Y18" i="5"/>
  <c r="X18" i="5" s="1"/>
  <c r="S18" i="5"/>
  <c r="R18" i="5" s="1"/>
  <c r="M18" i="5"/>
  <c r="L18" i="5" s="1"/>
  <c r="G18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L16" i="5" s="1"/>
  <c r="G16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0" i="5"/>
  <c r="BB20" i="5"/>
  <c r="BA20" i="5"/>
  <c r="AZ20" i="5"/>
  <c r="AU20" i="5"/>
  <c r="AT20" i="5"/>
  <c r="AS20" i="5"/>
  <c r="Y20" i="5"/>
  <c r="X20" i="5" s="1"/>
  <c r="S20" i="5"/>
  <c r="R20" i="5" s="1"/>
  <c r="M20" i="5"/>
  <c r="L20" i="5" s="1"/>
  <c r="G20" i="5"/>
  <c r="BE87" i="5"/>
  <c r="BD93" i="5"/>
  <c r="BE104" i="5"/>
  <c r="BE81" i="5"/>
  <c r="BD47" i="5"/>
  <c r="BE62" i="5"/>
  <c r="BD102" i="5"/>
  <c r="BD100" i="5"/>
  <c r="BE27" i="5"/>
  <c r="BE56" i="5"/>
  <c r="BD22" i="5"/>
  <c r="BE43" i="5"/>
  <c r="BE74" i="5"/>
  <c r="BE68" i="5"/>
  <c r="BD56" i="5"/>
  <c r="BE80" i="5"/>
  <c r="BE89" i="5"/>
  <c r="BD55" i="5"/>
  <c r="BD52" i="5"/>
  <c r="BD70" i="5"/>
  <c r="BD80" i="5"/>
  <c r="BE86" i="5"/>
  <c r="BD89" i="5"/>
  <c r="BE40" i="5"/>
  <c r="BD87" i="5"/>
  <c r="BD65" i="5"/>
  <c r="BD84" i="5"/>
  <c r="BD66" i="5"/>
  <c r="BD45" i="5"/>
  <c r="BE58" i="5"/>
  <c r="BE50" i="5"/>
  <c r="BD57" i="5"/>
  <c r="BE52" i="5"/>
  <c r="BE41" i="5"/>
  <c r="BE47" i="5"/>
  <c r="BE96" i="5"/>
  <c r="BD73" i="5"/>
  <c r="BD42" i="5"/>
  <c r="BD79" i="5"/>
  <c r="BD69" i="5"/>
  <c r="BE97" i="5"/>
  <c r="BE93" i="5"/>
  <c r="BE83" i="5"/>
  <c r="BD98" i="5"/>
  <c r="BE46" i="5"/>
  <c r="BD20" i="5"/>
  <c r="BD40" i="5"/>
  <c r="BE60" i="5"/>
  <c r="BE100" i="5"/>
  <c r="BD59" i="5"/>
  <c r="BD75" i="5"/>
  <c r="BD92" i="5"/>
  <c r="BE49" i="5"/>
  <c r="BD53" i="5"/>
  <c r="BE22" i="5"/>
  <c r="BD18" i="5"/>
  <c r="BE73" i="5"/>
  <c r="BE25" i="5"/>
  <c r="BE51" i="5"/>
  <c r="BD50" i="5"/>
  <c r="BD83" i="5"/>
  <c r="BD54" i="5"/>
  <c r="BD58" i="5"/>
  <c r="BD86" i="5"/>
  <c r="BD72" i="5"/>
  <c r="BE54" i="5"/>
  <c r="BE71" i="5"/>
  <c r="BE78" i="5"/>
  <c r="BE102" i="5"/>
  <c r="BE44" i="5"/>
  <c r="BD48" i="5"/>
  <c r="BD67" i="5"/>
  <c r="BD74" i="5"/>
  <c r="BD61" i="5"/>
  <c r="BD81" i="5"/>
  <c r="BE76" i="5"/>
  <c r="BE53" i="5"/>
  <c r="BD94" i="5"/>
  <c r="BD60" i="5"/>
  <c r="BD16" i="5"/>
  <c r="BD104" i="5"/>
  <c r="BE18" i="5"/>
  <c r="BD96" i="5"/>
  <c r="BE85" i="5"/>
  <c r="BD68" i="5"/>
  <c r="BD64" i="5"/>
  <c r="BE95" i="5"/>
  <c r="BE77" i="5"/>
  <c r="BE55" i="5"/>
  <c r="BD99" i="5"/>
  <c r="BE65" i="5"/>
  <c r="BD41" i="5"/>
  <c r="BE84" i="5"/>
  <c r="BD82" i="5"/>
  <c r="BE79" i="5"/>
  <c r="BD95" i="5"/>
  <c r="BE64" i="5"/>
  <c r="BD85" i="5"/>
  <c r="BD44" i="5"/>
  <c r="BD78" i="5"/>
  <c r="BE94" i="5"/>
  <c r="BD76" i="5"/>
  <c r="BE98" i="5"/>
  <c r="BE66" i="5"/>
  <c r="BE67" i="5"/>
  <c r="BD25" i="5"/>
  <c r="BE75" i="5"/>
  <c r="BE69" i="5"/>
  <c r="BE92" i="5"/>
  <c r="BE42" i="5"/>
  <c r="BE59" i="5"/>
  <c r="BE61" i="5"/>
  <c r="BE16" i="5"/>
  <c r="BD63" i="5"/>
  <c r="BD97" i="5"/>
  <c r="BD77" i="5"/>
  <c r="BE20" i="5"/>
  <c r="BE99" i="5"/>
  <c r="BD43" i="5"/>
  <c r="BD62" i="5"/>
  <c r="BE70" i="5"/>
  <c r="BE57" i="5"/>
  <c r="BE72" i="5"/>
  <c r="BE82" i="5"/>
  <c r="BE63" i="5"/>
  <c r="BD46" i="5"/>
  <c r="BE48" i="5"/>
  <c r="BD27" i="5"/>
  <c r="BE45" i="5"/>
  <c r="BD51" i="5"/>
  <c r="BD49" i="5"/>
  <c r="BD71" i="5"/>
  <c r="AV82" i="5" l="1"/>
  <c r="AV102" i="5"/>
  <c r="AA82" i="5"/>
  <c r="Z92" i="5"/>
  <c r="AV95" i="5"/>
  <c r="Z82" i="5"/>
  <c r="AV104" i="5"/>
  <c r="AV99" i="5"/>
  <c r="AV52" i="5"/>
  <c r="Z97" i="5"/>
  <c r="AA98" i="5"/>
  <c r="AV100" i="5"/>
  <c r="AV58" i="5"/>
  <c r="Z104" i="5"/>
  <c r="AV86" i="5"/>
  <c r="Z96" i="5"/>
  <c r="AA99" i="5"/>
  <c r="Z94" i="5"/>
  <c r="AV97" i="5"/>
  <c r="AA102" i="5"/>
  <c r="Z95" i="5"/>
  <c r="AA89" i="5"/>
  <c r="AV98" i="5"/>
  <c r="AV96" i="5"/>
  <c r="AA86" i="5"/>
  <c r="AA87" i="5"/>
  <c r="Z93" i="5"/>
  <c r="AV93" i="5"/>
  <c r="AV94" i="5"/>
  <c r="Z86" i="5"/>
  <c r="AV87" i="5"/>
  <c r="AV89" i="5"/>
  <c r="AV92" i="5"/>
  <c r="Z100" i="5"/>
  <c r="L89" i="5"/>
  <c r="Z89" i="5" s="1"/>
  <c r="R99" i="5"/>
  <c r="Z99" i="5" s="1"/>
  <c r="AB99" i="5" s="1"/>
  <c r="AA100" i="5"/>
  <c r="AV59" i="5"/>
  <c r="L87" i="5"/>
  <c r="Z87" i="5" s="1"/>
  <c r="Z77" i="5"/>
  <c r="X98" i="5"/>
  <c r="Z98" i="5" s="1"/>
  <c r="X102" i="5"/>
  <c r="Z102" i="5" s="1"/>
  <c r="AV76" i="5"/>
  <c r="Z85" i="5"/>
  <c r="AV78" i="5"/>
  <c r="AV79" i="5"/>
  <c r="AA73" i="5"/>
  <c r="Z59" i="5"/>
  <c r="AA58" i="5"/>
  <c r="AA59" i="5"/>
  <c r="X58" i="5"/>
  <c r="Z58" i="5" s="1"/>
  <c r="AV85" i="5"/>
  <c r="AV84" i="5"/>
  <c r="Z79" i="5"/>
  <c r="Z78" i="5"/>
  <c r="Z76" i="5"/>
  <c r="AV75" i="5"/>
  <c r="Z80" i="5"/>
  <c r="AV83" i="5"/>
  <c r="AV81" i="5"/>
  <c r="AA81" i="5"/>
  <c r="AA74" i="5"/>
  <c r="AV80" i="5"/>
  <c r="AV77" i="5"/>
  <c r="AV27" i="5"/>
  <c r="AA84" i="5"/>
  <c r="Z75" i="5"/>
  <c r="Z72" i="5"/>
  <c r="AA83" i="5"/>
  <c r="AV73" i="5"/>
  <c r="AV74" i="5"/>
  <c r="AV72" i="5"/>
  <c r="Z52" i="5"/>
  <c r="Z83" i="5"/>
  <c r="L74" i="5"/>
  <c r="Z74" i="5" s="1"/>
  <c r="AA72" i="5"/>
  <c r="L73" i="5"/>
  <c r="Z73" i="5" s="1"/>
  <c r="R81" i="5"/>
  <c r="Z81" i="5" s="1"/>
  <c r="R84" i="5"/>
  <c r="Z84" i="5" s="1"/>
  <c r="AA52" i="5"/>
  <c r="AV53" i="5"/>
  <c r="AV56" i="5"/>
  <c r="AA53" i="5"/>
  <c r="Z53" i="5"/>
  <c r="AV71" i="5"/>
  <c r="AV25" i="5"/>
  <c r="AV70" i="5"/>
  <c r="Z65" i="5"/>
  <c r="AV60" i="5"/>
  <c r="AV61" i="5"/>
  <c r="AA68" i="5"/>
  <c r="AA70" i="5"/>
  <c r="AA67" i="5"/>
  <c r="Z64" i="5"/>
  <c r="Z66" i="5"/>
  <c r="AV67" i="5"/>
  <c r="Z63" i="5"/>
  <c r="AV63" i="5"/>
  <c r="Z71" i="5"/>
  <c r="AA57" i="5"/>
  <c r="AV64" i="5"/>
  <c r="AV65" i="5"/>
  <c r="AV68" i="5"/>
  <c r="AA56" i="5"/>
  <c r="Z61" i="5"/>
  <c r="Z62" i="5"/>
  <c r="AV66" i="5"/>
  <c r="AV69" i="5"/>
  <c r="AV57" i="5"/>
  <c r="AA60" i="5"/>
  <c r="AV62" i="5"/>
  <c r="Z69" i="5"/>
  <c r="Z60" i="5"/>
  <c r="Z56" i="5"/>
  <c r="AV51" i="5"/>
  <c r="R68" i="5"/>
  <c r="Z68" i="5" s="1"/>
  <c r="AA69" i="5"/>
  <c r="AV50" i="5"/>
  <c r="AV46" i="5"/>
  <c r="L57" i="5"/>
  <c r="Z57" i="5" s="1"/>
  <c r="R67" i="5"/>
  <c r="Z67" i="5" s="1"/>
  <c r="R70" i="5"/>
  <c r="Z70" i="5" s="1"/>
  <c r="Z25" i="5"/>
  <c r="AV41" i="5"/>
  <c r="Z46" i="5"/>
  <c r="AV47" i="5"/>
  <c r="AA27" i="5"/>
  <c r="Z27" i="5"/>
  <c r="AA25" i="5"/>
  <c r="Z47" i="5"/>
  <c r="AV55" i="5"/>
  <c r="AV54" i="5"/>
  <c r="Z45" i="5"/>
  <c r="AV45" i="5"/>
  <c r="AV44" i="5"/>
  <c r="AV42" i="5"/>
  <c r="AV43" i="5"/>
  <c r="AA42" i="5"/>
  <c r="Z43" i="5"/>
  <c r="AV48" i="5"/>
  <c r="AA49" i="5"/>
  <c r="Z55" i="5"/>
  <c r="Z40" i="5"/>
  <c r="AA41" i="5"/>
  <c r="Z44" i="5"/>
  <c r="AA54" i="5"/>
  <c r="AA50" i="5"/>
  <c r="AV49" i="5"/>
  <c r="Z48" i="5"/>
  <c r="AV40" i="5"/>
  <c r="Z51" i="5"/>
  <c r="Z49" i="5"/>
  <c r="Z50" i="5"/>
  <c r="Z54" i="5"/>
  <c r="AV20" i="5"/>
  <c r="L42" i="5"/>
  <c r="Z42" i="5" s="1"/>
  <c r="AA51" i="5"/>
  <c r="AA40" i="5"/>
  <c r="L41" i="5"/>
  <c r="Z41" i="5" s="1"/>
  <c r="AV18" i="5"/>
  <c r="AA18" i="5"/>
  <c r="Z18" i="5"/>
  <c r="AV16" i="5"/>
  <c r="AA16" i="5"/>
  <c r="Z16" i="5"/>
  <c r="AV22" i="5"/>
  <c r="Z22" i="5"/>
  <c r="AA22" i="5"/>
  <c r="Z20" i="5"/>
  <c r="AA20" i="5"/>
  <c r="AB102" i="5" l="1"/>
  <c r="AB100" i="5"/>
  <c r="AB98" i="5"/>
  <c r="AB81" i="5"/>
  <c r="AB82" i="5"/>
  <c r="AB86" i="5"/>
  <c r="AB89" i="5"/>
  <c r="AB87" i="5"/>
  <c r="AB40" i="5"/>
  <c r="AB72" i="5"/>
  <c r="AB56" i="5"/>
  <c r="AB84" i="5"/>
  <c r="AB83" i="5"/>
  <c r="AB58" i="5"/>
  <c r="AB74" i="5"/>
  <c r="AB73" i="5"/>
  <c r="AB57" i="5"/>
  <c r="AB68" i="5"/>
  <c r="AB67" i="5"/>
  <c r="AB70" i="5"/>
  <c r="AB69" i="5"/>
  <c r="AB60" i="5"/>
  <c r="AB59" i="5"/>
  <c r="AB42" i="5"/>
  <c r="AB51" i="5"/>
  <c r="AB52" i="5"/>
  <c r="AB53" i="5"/>
  <c r="AB54" i="5"/>
  <c r="AB50" i="5"/>
  <c r="AB49" i="5"/>
  <c r="AB41" i="5"/>
  <c r="AB25" i="5"/>
  <c r="AB27" i="5"/>
  <c r="AB18" i="5"/>
  <c r="AB16" i="5"/>
  <c r="AB22" i="5"/>
  <c r="AB20" i="5"/>
  <c r="K1" i="8" l="1"/>
  <c r="J2" i="6"/>
  <c r="I25" i="6"/>
  <c r="E25" i="6" s="1"/>
  <c r="I24" i="6"/>
  <c r="E24" i="6" s="1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I17" i="6"/>
  <c r="E17" i="6" s="1"/>
  <c r="I16" i="6"/>
  <c r="E16" i="6" s="1"/>
  <c r="M2" i="5"/>
  <c r="BC39" i="5"/>
  <c r="BB39" i="5"/>
  <c r="BA39" i="5"/>
  <c r="AZ39" i="5"/>
  <c r="AU39" i="5"/>
  <c r="AT39" i="5"/>
  <c r="AS39" i="5"/>
  <c r="X39" i="5"/>
  <c r="R39" i="5"/>
  <c r="L39" i="5"/>
  <c r="G39" i="5"/>
  <c r="BC38" i="5"/>
  <c r="BB38" i="5"/>
  <c r="BA38" i="5"/>
  <c r="AZ38" i="5"/>
  <c r="AU38" i="5"/>
  <c r="AT38" i="5"/>
  <c r="AS38" i="5"/>
  <c r="Y38" i="5"/>
  <c r="X38" i="5" s="1"/>
  <c r="S38" i="5"/>
  <c r="M38" i="5"/>
  <c r="L38" i="5" s="1"/>
  <c r="G38" i="5"/>
  <c r="BC37" i="5"/>
  <c r="BB37" i="5"/>
  <c r="BA37" i="5"/>
  <c r="AZ37" i="5"/>
  <c r="AU37" i="5"/>
  <c r="AT37" i="5"/>
  <c r="AS37" i="5"/>
  <c r="Y37" i="5"/>
  <c r="X37" i="5" s="1"/>
  <c r="S37" i="5"/>
  <c r="R37" i="5" s="1"/>
  <c r="M37" i="5"/>
  <c r="L37" i="5" s="1"/>
  <c r="G37" i="5"/>
  <c r="BC36" i="5"/>
  <c r="BB36" i="5"/>
  <c r="BA36" i="5"/>
  <c r="AZ36" i="5"/>
  <c r="AU36" i="5"/>
  <c r="AT36" i="5"/>
  <c r="AS36" i="5"/>
  <c r="Y36" i="5"/>
  <c r="X36" i="5" s="1"/>
  <c r="S36" i="5"/>
  <c r="M36" i="5"/>
  <c r="L36" i="5" s="1"/>
  <c r="G36" i="5"/>
  <c r="BC35" i="5"/>
  <c r="BB35" i="5"/>
  <c r="BA35" i="5"/>
  <c r="AZ35" i="5"/>
  <c r="AU35" i="5"/>
  <c r="AT35" i="5"/>
  <c r="AS35" i="5"/>
  <c r="Y35" i="5"/>
  <c r="X35" i="5" s="1"/>
  <c r="S35" i="5"/>
  <c r="R35" i="5" s="1"/>
  <c r="M35" i="5"/>
  <c r="L35" i="5" s="1"/>
  <c r="G35" i="5"/>
  <c r="BC34" i="5"/>
  <c r="BB34" i="5"/>
  <c r="BA34" i="5"/>
  <c r="AZ34" i="5"/>
  <c r="AU34" i="5"/>
  <c r="AT34" i="5"/>
  <c r="AS34" i="5"/>
  <c r="X34" i="5"/>
  <c r="R34" i="5"/>
  <c r="L34" i="5"/>
  <c r="G34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X31" i="5"/>
  <c r="R31" i="5"/>
  <c r="L31" i="5"/>
  <c r="G31" i="5"/>
  <c r="BC30" i="5"/>
  <c r="BB30" i="5"/>
  <c r="BA30" i="5"/>
  <c r="AZ30" i="5"/>
  <c r="AU30" i="5"/>
  <c r="AT30" i="5"/>
  <c r="AS30" i="5"/>
  <c r="X30" i="5"/>
  <c r="R30" i="5"/>
  <c r="L30" i="5"/>
  <c r="G30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26" i="5"/>
  <c r="BB26" i="5"/>
  <c r="BA26" i="5"/>
  <c r="AZ26" i="5"/>
  <c r="AU26" i="5"/>
  <c r="AT26" i="5"/>
  <c r="AS26" i="5"/>
  <c r="Y26" i="5"/>
  <c r="X26" i="5" s="1"/>
  <c r="S26" i="5"/>
  <c r="R26" i="5" s="1"/>
  <c r="M26" i="5"/>
  <c r="L26" i="5" s="1"/>
  <c r="G26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L24" i="5" s="1"/>
  <c r="G24" i="5"/>
  <c r="BD35" i="5"/>
  <c r="BE26" i="5"/>
  <c r="BD24" i="5"/>
  <c r="BD26" i="5"/>
  <c r="BE38" i="5"/>
  <c r="BD30" i="5"/>
  <c r="BE33" i="5"/>
  <c r="BD39" i="5"/>
  <c r="BE37" i="5"/>
  <c r="BE32" i="5"/>
  <c r="BE35" i="5"/>
  <c r="BE31" i="5"/>
  <c r="BE24" i="5"/>
  <c r="BD36" i="5"/>
  <c r="BE39" i="5"/>
  <c r="BD28" i="5"/>
  <c r="BD38" i="5"/>
  <c r="BE29" i="5"/>
  <c r="BD37" i="5"/>
  <c r="BE28" i="5"/>
  <c r="BE30" i="5"/>
  <c r="BD33" i="5"/>
  <c r="BE36" i="5"/>
  <c r="BD29" i="5"/>
  <c r="BE34" i="5"/>
  <c r="BD32" i="5"/>
  <c r="BD31" i="5"/>
  <c r="BD34" i="5"/>
  <c r="AV39" i="5" l="1"/>
  <c r="AV28" i="5"/>
  <c r="AV30" i="5"/>
  <c r="AV26" i="5"/>
  <c r="Z31" i="5"/>
  <c r="AV24" i="5"/>
  <c r="AV31" i="5"/>
  <c r="AA36" i="5"/>
  <c r="AV35" i="5"/>
  <c r="Z39" i="5"/>
  <c r="AV38" i="5"/>
  <c r="AA35" i="5"/>
  <c r="AV29" i="5"/>
  <c r="AA37" i="5"/>
  <c r="Z37" i="5"/>
  <c r="Z30" i="5"/>
  <c r="AV32" i="5"/>
  <c r="AV34" i="5"/>
  <c r="Z33" i="5"/>
  <c r="AV37" i="5"/>
  <c r="AA38" i="5"/>
  <c r="AV33" i="5"/>
  <c r="Z29" i="5"/>
  <c r="AV36" i="5"/>
  <c r="Z32" i="5"/>
  <c r="Z34" i="5"/>
  <c r="Z35" i="5"/>
  <c r="Z24" i="5"/>
  <c r="Z28" i="5"/>
  <c r="Z26" i="5"/>
  <c r="AA26" i="5"/>
  <c r="R36" i="5"/>
  <c r="Z36" i="5" s="1"/>
  <c r="R38" i="5"/>
  <c r="Z38" i="5" s="1"/>
  <c r="AA24" i="5"/>
  <c r="AA28" i="5"/>
  <c r="AB24" i="5" l="1"/>
  <c r="AB38" i="5"/>
  <c r="AB37" i="5"/>
  <c r="AB36" i="5"/>
  <c r="AB35" i="5"/>
  <c r="AB28" i="5"/>
  <c r="AB26" i="5"/>
  <c r="I15" i="6"/>
  <c r="E15" i="6" s="1"/>
  <c r="I14" i="6"/>
  <c r="E14" i="6" s="1"/>
  <c r="I13" i="6"/>
  <c r="E13" i="6" s="1"/>
  <c r="I12" i="6"/>
  <c r="E12" i="6" s="1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23" i="5"/>
  <c r="BB23" i="5"/>
  <c r="BA23" i="5"/>
  <c r="AZ23" i="5"/>
  <c r="AU23" i="5"/>
  <c r="AT23" i="5"/>
  <c r="AS23" i="5"/>
  <c r="X23" i="5"/>
  <c r="R23" i="5"/>
  <c r="L23" i="5"/>
  <c r="G23" i="5"/>
  <c r="BC21" i="5"/>
  <c r="BB21" i="5"/>
  <c r="BA21" i="5"/>
  <c r="AZ21" i="5"/>
  <c r="AU21" i="5"/>
  <c r="AT21" i="5"/>
  <c r="AS21" i="5"/>
  <c r="Y21" i="5"/>
  <c r="X21" i="5" s="1"/>
  <c r="S21" i="5"/>
  <c r="M21" i="5"/>
  <c r="L21" i="5" s="1"/>
  <c r="G21" i="5"/>
  <c r="BC19" i="5"/>
  <c r="BB19" i="5"/>
  <c r="BA19" i="5"/>
  <c r="AZ19" i="5"/>
  <c r="AU19" i="5"/>
  <c r="AT19" i="5"/>
  <c r="AS19" i="5"/>
  <c r="Y19" i="5"/>
  <c r="X19" i="5" s="1"/>
  <c r="S19" i="5"/>
  <c r="R19" i="5" s="1"/>
  <c r="M19" i="5"/>
  <c r="L19" i="5" s="1"/>
  <c r="G19" i="5"/>
  <c r="BC17" i="5"/>
  <c r="BB17" i="5"/>
  <c r="BA17" i="5"/>
  <c r="AZ17" i="5"/>
  <c r="AU17" i="5"/>
  <c r="AT17" i="5"/>
  <c r="AS17" i="5"/>
  <c r="Y17" i="5"/>
  <c r="X17" i="5" s="1"/>
  <c r="S17" i="5"/>
  <c r="M17" i="5"/>
  <c r="L17" i="5" s="1"/>
  <c r="G17" i="5"/>
  <c r="BC15" i="5"/>
  <c r="BB15" i="5"/>
  <c r="BA15" i="5"/>
  <c r="AZ15" i="5"/>
  <c r="AU15" i="5"/>
  <c r="AT15" i="5"/>
  <c r="AS15" i="5"/>
  <c r="Y15" i="5"/>
  <c r="S15" i="5"/>
  <c r="R15" i="5" s="1"/>
  <c r="M15" i="5"/>
  <c r="L15" i="5" s="1"/>
  <c r="G15" i="5"/>
  <c r="BC14" i="5"/>
  <c r="BB14" i="5"/>
  <c r="BA14" i="5"/>
  <c r="AZ14" i="5"/>
  <c r="AU14" i="5"/>
  <c r="AT14" i="5"/>
  <c r="AS14" i="5"/>
  <c r="X14" i="5"/>
  <c r="R14" i="5"/>
  <c r="L14" i="5"/>
  <c r="G14" i="5"/>
  <c r="BC13" i="5"/>
  <c r="BB13" i="5"/>
  <c r="BA13" i="5"/>
  <c r="AZ13" i="5"/>
  <c r="AU13" i="5"/>
  <c r="AT13" i="5"/>
  <c r="AS13" i="5"/>
  <c r="X13" i="5"/>
  <c r="R13" i="5"/>
  <c r="L13" i="5"/>
  <c r="G13" i="5"/>
  <c r="BC12" i="5"/>
  <c r="BB12" i="5"/>
  <c r="BA12" i="5"/>
  <c r="AZ12" i="5"/>
  <c r="AU12" i="5"/>
  <c r="AT12" i="5"/>
  <c r="AS12" i="5"/>
  <c r="X12" i="5"/>
  <c r="R12" i="5"/>
  <c r="L12" i="5"/>
  <c r="G12" i="5"/>
  <c r="BC11" i="5"/>
  <c r="BB11" i="5"/>
  <c r="BA11" i="5"/>
  <c r="AZ11" i="5"/>
  <c r="AU11" i="5"/>
  <c r="AT11" i="5"/>
  <c r="AS11" i="5"/>
  <c r="X11" i="5"/>
  <c r="R11" i="5"/>
  <c r="L11" i="5"/>
  <c r="G11" i="5"/>
  <c r="BC10" i="5"/>
  <c r="BB10" i="5"/>
  <c r="BA10" i="5"/>
  <c r="AZ10" i="5"/>
  <c r="AU10" i="5"/>
  <c r="AT10" i="5"/>
  <c r="AS10" i="5"/>
  <c r="X10" i="5"/>
  <c r="R10" i="5"/>
  <c r="L10" i="5"/>
  <c r="G10" i="5"/>
  <c r="BC9" i="5"/>
  <c r="BB9" i="5"/>
  <c r="BA9" i="5"/>
  <c r="AZ9" i="5"/>
  <c r="AU9" i="5"/>
  <c r="AT9" i="5"/>
  <c r="AS9" i="5"/>
  <c r="X9" i="5"/>
  <c r="R9" i="5"/>
  <c r="L9" i="5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Y7" i="5"/>
  <c r="X7" i="5" s="1"/>
  <c r="S7" i="5"/>
  <c r="R7" i="5" s="1"/>
  <c r="M7" i="5"/>
  <c r="L7" i="5" s="1"/>
  <c r="G7" i="5"/>
  <c r="BC6" i="5"/>
  <c r="BB6" i="5"/>
  <c r="BA6" i="5"/>
  <c r="AZ6" i="5"/>
  <c r="AU6" i="5"/>
  <c r="AT6" i="5"/>
  <c r="AS6" i="5"/>
  <c r="Y6" i="5"/>
  <c r="X6" i="5" s="1"/>
  <c r="S6" i="5"/>
  <c r="R6" i="5" s="1"/>
  <c r="M6" i="5"/>
  <c r="L6" i="5" s="1"/>
  <c r="G6" i="5"/>
  <c r="BE19" i="5"/>
  <c r="BD9" i="5"/>
  <c r="BE14" i="5"/>
  <c r="BD15" i="5"/>
  <c r="BE7" i="5"/>
  <c r="BD21" i="5"/>
  <c r="BD23" i="5"/>
  <c r="BE11" i="5"/>
  <c r="BD12" i="5"/>
  <c r="BE15" i="5"/>
  <c r="BE9" i="5"/>
  <c r="BD14" i="5"/>
  <c r="BD13" i="5"/>
  <c r="BD19" i="5"/>
  <c r="BE17" i="5"/>
  <c r="BE21" i="5"/>
  <c r="BE6" i="5"/>
  <c r="BE10" i="5"/>
  <c r="BD17" i="5"/>
  <c r="BE13" i="5"/>
  <c r="BE8" i="5"/>
  <c r="BE23" i="5"/>
  <c r="BD6" i="5"/>
  <c r="BD8" i="5"/>
  <c r="BD7" i="5"/>
  <c r="BE12" i="5"/>
  <c r="BD11" i="5"/>
  <c r="BD10" i="5"/>
  <c r="AV11" i="5" l="1"/>
  <c r="Z23" i="5"/>
  <c r="AV21" i="5"/>
  <c r="AV23" i="5"/>
  <c r="AA19" i="5"/>
  <c r="AA15" i="5"/>
  <c r="AV19" i="5"/>
  <c r="AA21" i="5"/>
  <c r="Z11" i="5"/>
  <c r="AV6" i="5"/>
  <c r="Z14" i="5"/>
  <c r="AV15" i="5"/>
  <c r="AV7" i="5"/>
  <c r="Z13" i="5"/>
  <c r="X15" i="5"/>
  <c r="Z15" i="5" s="1"/>
  <c r="AV8" i="5"/>
  <c r="AA17" i="5"/>
  <c r="AV9" i="5"/>
  <c r="Z10" i="5"/>
  <c r="AV12" i="5"/>
  <c r="AV14" i="5"/>
  <c r="Z19" i="5"/>
  <c r="AV10" i="5"/>
  <c r="Z9" i="5"/>
  <c r="AV17" i="5"/>
  <c r="AV13" i="5"/>
  <c r="Z12" i="5"/>
  <c r="Z6" i="5"/>
  <c r="Z8" i="5"/>
  <c r="Z7" i="5"/>
  <c r="AA7" i="5"/>
  <c r="R17" i="5"/>
  <c r="Z17" i="5" s="1"/>
  <c r="R21" i="5"/>
  <c r="Z21" i="5" s="1"/>
  <c r="AA6" i="5"/>
  <c r="AA8" i="5"/>
  <c r="AB15" i="5" l="1"/>
  <c r="AB19" i="5"/>
  <c r="AB6" i="5"/>
  <c r="AB8" i="5"/>
  <c r="AB7" i="5"/>
  <c r="AB17" i="5"/>
  <c r="AB21" i="5"/>
  <c r="I76" i="9"/>
  <c r="E76" i="9" s="1"/>
  <c r="I75" i="9"/>
  <c r="E75" i="9" s="1"/>
  <c r="I74" i="9"/>
  <c r="E74" i="9" s="1"/>
  <c r="I71" i="9" l="1"/>
  <c r="E71" i="9" s="1"/>
  <c r="I70" i="9"/>
  <c r="E70" i="9" s="1"/>
  <c r="I69" i="9"/>
  <c r="E69" i="9" s="1"/>
  <c r="I66" i="9"/>
  <c r="E66" i="9" s="1"/>
  <c r="I65" i="9"/>
  <c r="E65" i="9" s="1"/>
  <c r="I64" i="9"/>
  <c r="E64" i="9" s="1"/>
  <c r="I61" i="9"/>
  <c r="E61" i="9" s="1"/>
  <c r="I57" i="9"/>
  <c r="E57" i="9" s="1"/>
  <c r="I48" i="9"/>
  <c r="E48" i="9" s="1"/>
  <c r="I44" i="9"/>
  <c r="E44" i="9" s="1"/>
  <c r="I40" i="9"/>
  <c r="E40" i="9" s="1"/>
  <c r="I35" i="9"/>
  <c r="E35" i="9" s="1"/>
  <c r="I31" i="9" l="1"/>
  <c r="E31" i="9" s="1"/>
  <c r="I26" i="9"/>
  <c r="E26" i="9" s="1"/>
  <c r="I23" i="9"/>
  <c r="E23" i="9" s="1"/>
  <c r="I22" i="9"/>
  <c r="E22" i="9" s="1"/>
  <c r="AX3" i="5" l="1"/>
  <c r="AW3" i="5"/>
  <c r="J2" i="9"/>
  <c r="I16" i="9"/>
  <c r="E16" i="9" s="1"/>
  <c r="I13" i="9"/>
  <c r="E13" i="9" s="1"/>
  <c r="I18" i="9"/>
  <c r="E18" i="9" s="1"/>
  <c r="I38" i="9"/>
  <c r="E38" i="9" s="1"/>
  <c r="I43" i="9"/>
  <c r="E43" i="9" s="1"/>
  <c r="I51" i="9"/>
  <c r="E51" i="9" s="1"/>
  <c r="I59" i="9"/>
  <c r="E59" i="9" s="1"/>
  <c r="I68" i="9"/>
  <c r="E68" i="9" s="1"/>
  <c r="I72" i="9"/>
  <c r="E72" i="9" s="1"/>
  <c r="I73" i="9"/>
  <c r="E73" i="9" s="1"/>
  <c r="I6" i="9"/>
  <c r="E6" i="9" s="1"/>
  <c r="AV3" i="5" l="1"/>
  <c r="I6" i="11" l="1"/>
  <c r="J6" i="11" s="1"/>
  <c r="I5" i="11" l="1"/>
  <c r="J5" i="11" s="1"/>
  <c r="I4" i="11"/>
  <c r="J4" i="11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Q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W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W620" i="3"/>
  <c r="Y620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AA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W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W479" i="3" s="1"/>
  <c r="Q479" i="3"/>
  <c r="L479" i="3"/>
  <c r="G479" i="3"/>
  <c r="Q478" i="3"/>
  <c r="L478" i="3"/>
  <c r="G478" i="3"/>
  <c r="Z477" i="3"/>
  <c r="X477" i="3"/>
  <c r="V477" i="3"/>
  <c r="U477" i="3"/>
  <c r="W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W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Y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Y386" i="3" s="1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AA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W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W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W270" i="3" s="1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W249" i="3" s="1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AA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W191" i="3" s="1"/>
  <c r="Q191" i="3"/>
  <c r="L191" i="3"/>
  <c r="G191" i="3"/>
  <c r="Q190" i="3"/>
  <c r="L190" i="3"/>
  <c r="G190" i="3"/>
  <c r="Z189" i="3"/>
  <c r="X189" i="3"/>
  <c r="V189" i="3"/>
  <c r="U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W154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Q127" i="3"/>
  <c r="L127" i="3"/>
  <c r="G127" i="3"/>
  <c r="Q126" i="3"/>
  <c r="L126" i="3"/>
  <c r="G126" i="3"/>
  <c r="Z125" i="3"/>
  <c r="X125" i="3"/>
  <c r="V125" i="3"/>
  <c r="U125" i="3"/>
  <c r="AA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Y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AA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W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W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Q11" i="3"/>
  <c r="L11" i="3"/>
  <c r="G11" i="3"/>
  <c r="Q10" i="3"/>
  <c r="L10" i="3"/>
  <c r="G10" i="3"/>
  <c r="Z9" i="3"/>
  <c r="X9" i="3"/>
  <c r="V9" i="3"/>
  <c r="U9" i="3"/>
  <c r="AA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38" i="3"/>
  <c r="Y38" i="3"/>
  <c r="Y48" i="3"/>
  <c r="W158" i="3"/>
  <c r="Y158" i="3"/>
  <c r="Y162" i="3"/>
  <c r="Q170" i="3"/>
  <c r="W100" i="3"/>
  <c r="Y100" i="3"/>
  <c r="Q112" i="3"/>
  <c r="W214" i="3"/>
  <c r="W365" i="3"/>
  <c r="Y365" i="3"/>
  <c r="W367" i="3"/>
  <c r="Y367" i="3"/>
  <c r="W328" i="3"/>
  <c r="Y328" i="3"/>
  <c r="AA328" i="3"/>
  <c r="W330" i="3"/>
  <c r="Y330" i="3"/>
  <c r="Y274" i="3"/>
  <c r="W272" i="3"/>
  <c r="W251" i="3"/>
  <c r="Y251" i="3"/>
  <c r="W274" i="3"/>
  <c r="W386" i="3"/>
  <c r="W396" i="3"/>
  <c r="Y396" i="3"/>
  <c r="W415" i="3"/>
  <c r="Y415" i="3"/>
  <c r="Y423" i="3"/>
  <c r="W425" i="3"/>
  <c r="Y425" i="3"/>
  <c r="W444" i="3"/>
  <c r="Y444" i="3"/>
  <c r="AA444" i="3"/>
  <c r="Q460" i="3"/>
  <c r="W564" i="3"/>
  <c r="Y564" i="3"/>
  <c r="W568" i="3"/>
  <c r="Y566" i="3"/>
  <c r="Q547" i="3"/>
  <c r="W541" i="3"/>
  <c r="W506" i="3"/>
  <c r="Y506" i="3"/>
  <c r="Q518" i="3"/>
  <c r="Y504" i="3"/>
  <c r="Q489" i="3"/>
  <c r="Y475" i="3"/>
  <c r="Y483" i="3"/>
  <c r="W591" i="3"/>
  <c r="Y591" i="3"/>
  <c r="AA386" i="3" l="1"/>
  <c r="W502" i="3"/>
  <c r="Y73" i="3"/>
  <c r="W73" i="3"/>
  <c r="Y417" i="3"/>
  <c r="Y357" i="3"/>
  <c r="Q141" i="3"/>
  <c r="Y98" i="3"/>
  <c r="W504" i="3"/>
  <c r="W98" i="3"/>
  <c r="Y133" i="3"/>
  <c r="W133" i="3"/>
  <c r="Y156" i="3"/>
  <c r="W156" i="3"/>
  <c r="Y597" i="3"/>
  <c r="W597" i="3"/>
  <c r="Y562" i="3"/>
  <c r="W562" i="3"/>
  <c r="Y214" i="3"/>
  <c r="AA272" i="3"/>
  <c r="W305" i="3"/>
  <c r="AA280" i="3"/>
  <c r="Y628" i="3"/>
  <c r="W628" i="3"/>
  <c r="Y9" i="3"/>
  <c r="W220" i="3"/>
  <c r="AA251" i="3"/>
  <c r="W96" i="3"/>
  <c r="Y131" i="3"/>
  <c r="W212" i="3"/>
  <c r="Y106" i="3"/>
  <c r="W44" i="3"/>
  <c r="AA243" i="3"/>
  <c r="W301" i="3"/>
  <c r="W131" i="3"/>
  <c r="W106" i="3"/>
  <c r="AA154" i="3"/>
  <c r="Y154" i="3"/>
  <c r="Y129" i="3"/>
  <c r="W129" i="3"/>
  <c r="Y164" i="3"/>
  <c r="Y77" i="3"/>
  <c r="W77" i="3"/>
  <c r="W164" i="3"/>
  <c r="AA96" i="3"/>
  <c r="Y44" i="3"/>
  <c r="Y537" i="3"/>
  <c r="Y560" i="3"/>
  <c r="Z64" i="2"/>
  <c r="AB64" i="2" s="1"/>
  <c r="W218" i="3"/>
  <c r="Y104" i="3"/>
  <c r="Y272" i="3"/>
  <c r="P634" i="3"/>
  <c r="W276" i="3"/>
  <c r="W243" i="3"/>
  <c r="W392" i="3"/>
  <c r="W595" i="3"/>
  <c r="W390" i="3"/>
  <c r="R634" i="3"/>
  <c r="Y390" i="3"/>
  <c r="Y212" i="3"/>
  <c r="AA222" i="3"/>
  <c r="W570" i="3"/>
  <c r="W359" i="3"/>
  <c r="Y13" i="3"/>
  <c r="Y243" i="3"/>
  <c r="AA299" i="3"/>
  <c r="Y301" i="3"/>
  <c r="Y570" i="3"/>
  <c r="AA560" i="3"/>
  <c r="Y185" i="3"/>
  <c r="Y220" i="3"/>
  <c r="W241" i="3"/>
  <c r="W593" i="3"/>
  <c r="Y241" i="3"/>
  <c r="AA508" i="3"/>
  <c r="AA531" i="3"/>
  <c r="W566" i="3"/>
  <c r="Y502" i="3"/>
  <c r="Y450" i="3"/>
  <c r="Y359" i="3"/>
  <c r="Y336" i="3"/>
  <c r="Y479" i="3"/>
  <c r="W450" i="3"/>
  <c r="W336" i="3"/>
  <c r="Y593" i="3"/>
  <c r="Z434" i="2"/>
  <c r="AB434" i="2" s="1"/>
  <c r="Y595" i="3"/>
  <c r="Y392" i="3"/>
  <c r="W48" i="3"/>
  <c r="Y218" i="3"/>
  <c r="AA274" i="3"/>
  <c r="W125" i="3"/>
  <c r="R199" i="3"/>
  <c r="P489" i="3"/>
  <c r="Y568" i="3"/>
  <c r="W475" i="3"/>
  <c r="W417" i="3"/>
  <c r="Y125" i="3"/>
  <c r="Z499" i="2"/>
  <c r="AB499" i="2" s="1"/>
  <c r="Y448" i="3"/>
  <c r="R431" i="3"/>
  <c r="S431" i="3" s="1"/>
  <c r="Z485" i="3"/>
  <c r="Y626" i="3"/>
  <c r="W357" i="3"/>
  <c r="Y160" i="3"/>
  <c r="W448" i="3"/>
  <c r="W160" i="3"/>
  <c r="Y19" i="3"/>
  <c r="Z365" i="2"/>
  <c r="AB365" i="2" s="1"/>
  <c r="Z378" i="2"/>
  <c r="AB378" i="2" s="1"/>
  <c r="AA481" i="3"/>
  <c r="S634" i="3"/>
  <c r="P170" i="3"/>
  <c r="Z246" i="2"/>
  <c r="AB246" i="2" s="1"/>
  <c r="Y245" i="3"/>
  <c r="W19" i="3"/>
  <c r="Z16" i="2"/>
  <c r="AB16" i="2" s="1"/>
  <c r="P141" i="3"/>
  <c r="AA212" i="3"/>
  <c r="AA288" i="2"/>
  <c r="AA290" i="2"/>
  <c r="P257" i="3"/>
  <c r="Q257" i="3" s="1"/>
  <c r="AA270" i="3"/>
  <c r="AA479" i="3"/>
  <c r="Z150" i="2"/>
  <c r="R141" i="3"/>
  <c r="AA301" i="3"/>
  <c r="W537" i="3"/>
  <c r="W9" i="3"/>
  <c r="W185" i="3"/>
  <c r="AA512" i="3"/>
  <c r="Q605" i="3"/>
  <c r="W423" i="3"/>
  <c r="W104" i="3"/>
  <c r="W162" i="3"/>
  <c r="W187" i="3"/>
  <c r="AA185" i="3"/>
  <c r="Z288" i="2"/>
  <c r="AB288" i="2" s="1"/>
  <c r="R257" i="3"/>
  <c r="S257" i="3" s="1"/>
  <c r="Z355" i="2"/>
  <c r="AB355" i="2" s="1"/>
  <c r="Z363" i="2"/>
  <c r="AB363" i="2" s="1"/>
  <c r="Y222" i="3"/>
  <c r="Y40" i="3"/>
  <c r="Z79" i="3"/>
  <c r="Z424" i="2"/>
  <c r="AB424" i="2" s="1"/>
  <c r="Y187" i="3"/>
  <c r="Y338" i="3"/>
  <c r="W222" i="3"/>
  <c r="W40" i="3"/>
  <c r="Z89" i="2"/>
  <c r="AB89" i="2" s="1"/>
  <c r="AA276" i="3"/>
  <c r="U369" i="3"/>
  <c r="W369" i="3" s="1"/>
  <c r="Z334" i="2"/>
  <c r="AB334" i="2" s="1"/>
  <c r="Y541" i="3"/>
  <c r="Z495" i="2"/>
  <c r="AB495" i="2" s="1"/>
  <c r="W338" i="3"/>
  <c r="Z33" i="2"/>
  <c r="AB33" i="2" s="1"/>
  <c r="AA242" i="2"/>
  <c r="Z248" i="2"/>
  <c r="AB248" i="2" s="1"/>
  <c r="Z269" i="2"/>
  <c r="AB269" i="2" s="1"/>
  <c r="AA311" i="2"/>
  <c r="AA313" i="2"/>
  <c r="Z60" i="2"/>
  <c r="AB60" i="2" s="1"/>
  <c r="Z135" i="2"/>
  <c r="AB135" i="2" s="1"/>
  <c r="W193" i="3"/>
  <c r="AA265" i="2"/>
  <c r="Z311" i="2"/>
  <c r="AB311" i="2" s="1"/>
  <c r="R402" i="3"/>
  <c r="AA537" i="3"/>
  <c r="U572" i="3"/>
  <c r="Y361" i="3"/>
  <c r="Z357" i="2"/>
  <c r="AB357" i="2" s="1"/>
  <c r="V572" i="3"/>
  <c r="U630" i="3"/>
  <c r="Y630" i="3" s="1"/>
  <c r="Z56" i="2"/>
  <c r="AB56" i="2" s="1"/>
  <c r="W245" i="3"/>
  <c r="Y589" i="3"/>
  <c r="W481" i="3"/>
  <c r="W280" i="3"/>
  <c r="W361" i="3"/>
  <c r="AA12" i="2"/>
  <c r="Y309" i="3"/>
  <c r="R344" i="3"/>
  <c r="S344" i="3" s="1"/>
  <c r="W483" i="3"/>
  <c r="W589" i="3"/>
  <c r="Y280" i="3"/>
  <c r="U166" i="3"/>
  <c r="W531" i="3"/>
  <c r="AA473" i="3"/>
  <c r="Y454" i="3"/>
  <c r="Y394" i="3"/>
  <c r="W13" i="3"/>
  <c r="Z204" i="2"/>
  <c r="AB204" i="2" s="1"/>
  <c r="U340" i="3"/>
  <c r="W340" i="3" s="1"/>
  <c r="AA568" i="3"/>
  <c r="Y481" i="3"/>
  <c r="W454" i="3"/>
  <c r="W394" i="3"/>
  <c r="X108" i="3"/>
  <c r="V456" i="3"/>
  <c r="AA380" i="2"/>
  <c r="Z14" i="2"/>
  <c r="AB14" i="2" s="1"/>
  <c r="Z85" i="2"/>
  <c r="AB85" i="2" s="1"/>
  <c r="Z102" i="2"/>
  <c r="AB102" i="2" s="1"/>
  <c r="X282" i="3"/>
  <c r="Y512" i="3"/>
  <c r="AA14" i="2"/>
  <c r="AA81" i="2"/>
  <c r="AA83" i="2"/>
  <c r="Z158" i="2"/>
  <c r="AB158" i="2" s="1"/>
  <c r="Z196" i="2"/>
  <c r="Z198" i="2"/>
  <c r="Z265" i="2"/>
  <c r="AB265" i="2" s="1"/>
  <c r="Z296" i="2"/>
  <c r="AB296" i="2" s="1"/>
  <c r="Z369" i="3"/>
  <c r="U398" i="3"/>
  <c r="AA426" i="2"/>
  <c r="W510" i="3"/>
  <c r="Y622" i="3"/>
  <c r="AA495" i="2"/>
  <c r="AA497" i="2"/>
  <c r="W512" i="3"/>
  <c r="Y535" i="3"/>
  <c r="Z81" i="2"/>
  <c r="AB81" i="2" s="1"/>
  <c r="Z110" i="2"/>
  <c r="AB110" i="2" s="1"/>
  <c r="Z127" i="2"/>
  <c r="AB127" i="2" s="1"/>
  <c r="Z129" i="2"/>
  <c r="AB129" i="2" s="1"/>
  <c r="Z131" i="2"/>
  <c r="AB131" i="2" s="1"/>
  <c r="Z267" i="2"/>
  <c r="AB267" i="2" s="1"/>
  <c r="Z338" i="2"/>
  <c r="AB338" i="2" s="1"/>
  <c r="P431" i="3"/>
  <c r="Q431" i="3" s="1"/>
  <c r="Y510" i="3"/>
  <c r="AA570" i="3"/>
  <c r="W535" i="3"/>
  <c r="X79" i="3"/>
  <c r="Z58" i="2"/>
  <c r="AB58" i="2" s="1"/>
  <c r="AA127" i="2"/>
  <c r="AA129" i="2"/>
  <c r="V137" i="3"/>
  <c r="Y191" i="3"/>
  <c r="Z200" i="2"/>
  <c r="AB200" i="2" s="1"/>
  <c r="AA267" i="2"/>
  <c r="Y305" i="3"/>
  <c r="AA334" i="2"/>
  <c r="AA336" i="2"/>
  <c r="Z503" i="2"/>
  <c r="AB503" i="2" s="1"/>
  <c r="Y332" i="3"/>
  <c r="U21" i="3"/>
  <c r="Y21" i="3" s="1"/>
  <c r="V21" i="3"/>
  <c r="Z35" i="2"/>
  <c r="AB35" i="2" s="1"/>
  <c r="Z37" i="2"/>
  <c r="AB37" i="2" s="1"/>
  <c r="Z39" i="2"/>
  <c r="AB39" i="2" s="1"/>
  <c r="AA58" i="2"/>
  <c r="Z62" i="2"/>
  <c r="AB62" i="2" s="1"/>
  <c r="Z407" i="2"/>
  <c r="AB407" i="2" s="1"/>
  <c r="V543" i="3"/>
  <c r="Y599" i="3"/>
  <c r="W560" i="3"/>
  <c r="W332" i="3"/>
  <c r="AA35" i="2"/>
  <c r="AA37" i="2"/>
  <c r="R54" i="3"/>
  <c r="AA173" i="2"/>
  <c r="AA175" i="2"/>
  <c r="P112" i="3"/>
  <c r="Z137" i="3"/>
  <c r="R170" i="3"/>
  <c r="P228" i="3"/>
  <c r="Q228" i="3" s="1"/>
  <c r="Z225" i="2"/>
  <c r="AB225" i="2" s="1"/>
  <c r="Z244" i="2"/>
  <c r="AB244" i="2" s="1"/>
  <c r="Z273" i="2"/>
  <c r="AB273" i="2" s="1"/>
  <c r="R315" i="3"/>
  <c r="S315" i="3" s="1"/>
  <c r="Z340" i="3"/>
  <c r="P344" i="3"/>
  <c r="Q344" i="3" s="1"/>
  <c r="Z359" i="2"/>
  <c r="W599" i="3"/>
  <c r="P199" i="3"/>
  <c r="AA403" i="2"/>
  <c r="Z449" i="2"/>
  <c r="AB449" i="2" s="1"/>
  <c r="Z451" i="2"/>
  <c r="AB451" i="2" s="1"/>
  <c r="Z453" i="2"/>
  <c r="AB453" i="2" s="1"/>
  <c r="U601" i="3"/>
  <c r="P605" i="3"/>
  <c r="Y421" i="3"/>
  <c r="Y307" i="3"/>
  <c r="Y71" i="3"/>
  <c r="X21" i="3"/>
  <c r="Z66" i="2"/>
  <c r="AB66" i="2" s="1"/>
  <c r="Z104" i="2"/>
  <c r="AB104" i="2" s="1"/>
  <c r="Z361" i="2"/>
  <c r="AB361" i="2" s="1"/>
  <c r="AA449" i="2"/>
  <c r="AA451" i="2"/>
  <c r="V601" i="3"/>
  <c r="R605" i="3"/>
  <c r="Z472" i="2"/>
  <c r="AB472" i="2" s="1"/>
  <c r="Z476" i="2"/>
  <c r="AB476" i="2" s="1"/>
  <c r="Z630" i="3"/>
  <c r="W421" i="3"/>
  <c r="W71" i="3"/>
  <c r="Y15" i="3"/>
  <c r="Z18" i="2"/>
  <c r="AB18" i="2" s="1"/>
  <c r="Z21" i="3"/>
  <c r="R25" i="3"/>
  <c r="V50" i="3"/>
  <c r="AA104" i="2"/>
  <c r="Z202" i="2"/>
  <c r="AB202" i="2" s="1"/>
  <c r="Z250" i="2"/>
  <c r="AB250" i="2" s="1"/>
  <c r="Y249" i="3"/>
  <c r="Y276" i="3"/>
  <c r="Z427" i="3"/>
  <c r="Z380" i="2"/>
  <c r="AB380" i="2" s="1"/>
  <c r="Z401" i="2"/>
  <c r="AB401" i="2" s="1"/>
  <c r="AA472" i="2"/>
  <c r="AA474" i="2"/>
  <c r="Y388" i="3"/>
  <c r="W15" i="3"/>
  <c r="Z106" i="2"/>
  <c r="AB106" i="2" s="1"/>
  <c r="Z112" i="2"/>
  <c r="AB112" i="2" s="1"/>
  <c r="Z171" i="2"/>
  <c r="AB171" i="2" s="1"/>
  <c r="Z240" i="2"/>
  <c r="AB240" i="2" s="1"/>
  <c r="AA309" i="3"/>
  <c r="P373" i="3"/>
  <c r="Q373" i="3" s="1"/>
  <c r="Z384" i="2"/>
  <c r="AB384" i="2" s="1"/>
  <c r="Q576" i="3"/>
  <c r="W388" i="3"/>
  <c r="Z154" i="2"/>
  <c r="AB154" i="2" s="1"/>
  <c r="AA220" i="3"/>
  <c r="AA219" i="2"/>
  <c r="AA221" i="2"/>
  <c r="Z271" i="2"/>
  <c r="AB271" i="2" s="1"/>
  <c r="W309" i="3"/>
  <c r="R489" i="3"/>
  <c r="R576" i="3"/>
  <c r="Z480" i="2"/>
  <c r="AB480" i="2" s="1"/>
  <c r="AA539" i="3"/>
  <c r="W539" i="3"/>
  <c r="Y539" i="3"/>
  <c r="AA17" i="3"/>
  <c r="W17" i="3"/>
  <c r="Z217" i="2"/>
  <c r="AB217" i="2" s="1"/>
  <c r="AA334" i="3"/>
  <c r="W334" i="3"/>
  <c r="Y334" i="3"/>
  <c r="AA363" i="3"/>
  <c r="W363" i="3"/>
  <c r="Y363" i="3"/>
  <c r="U427" i="3"/>
  <c r="AA415" i="3"/>
  <c r="AA419" i="3"/>
  <c r="W419" i="3"/>
  <c r="U485" i="3"/>
  <c r="W473" i="3"/>
  <c r="Y473" i="3"/>
  <c r="AA477" i="3"/>
  <c r="Y477" i="3"/>
  <c r="X543" i="3"/>
  <c r="Y531" i="3"/>
  <c r="AA533" i="3"/>
  <c r="U543" i="3"/>
  <c r="Y533" i="3"/>
  <c r="AA127" i="3"/>
  <c r="W127" i="3"/>
  <c r="Y127" i="3"/>
  <c r="Y183" i="3"/>
  <c r="Q25" i="3"/>
  <c r="AA135" i="3"/>
  <c r="W135" i="3"/>
  <c r="Y135" i="3"/>
  <c r="AA216" i="3"/>
  <c r="Y216" i="3"/>
  <c r="U224" i="3"/>
  <c r="Q83" i="3"/>
  <c r="Y42" i="3"/>
  <c r="Y17" i="3"/>
  <c r="P25" i="3"/>
  <c r="U79" i="3"/>
  <c r="Y79" i="3" s="1"/>
  <c r="W67" i="3"/>
  <c r="Y67" i="3"/>
  <c r="W69" i="3"/>
  <c r="Y69" i="3"/>
  <c r="Z108" i="3"/>
  <c r="AA102" i="3"/>
  <c r="W102" i="3"/>
  <c r="Y102" i="3"/>
  <c r="S199" i="3"/>
  <c r="Q199" i="3"/>
  <c r="V224" i="3"/>
  <c r="V311" i="3"/>
  <c r="W299" i="3"/>
  <c r="AA303" i="3"/>
  <c r="Y303" i="3"/>
  <c r="U311" i="3"/>
  <c r="AA307" i="3"/>
  <c r="AA452" i="3"/>
  <c r="W452" i="3"/>
  <c r="Y452" i="3"/>
  <c r="Z426" i="2"/>
  <c r="AB426" i="2" s="1"/>
  <c r="Z514" i="3"/>
  <c r="AA502" i="3"/>
  <c r="W508" i="3"/>
  <c r="Y508" i="3"/>
  <c r="P518" i="3"/>
  <c r="AA46" i="3"/>
  <c r="Y46" i="3"/>
  <c r="AA183" i="3"/>
  <c r="U195" i="3"/>
  <c r="AA75" i="3"/>
  <c r="W75" i="3"/>
  <c r="W216" i="3"/>
  <c r="Y193" i="3"/>
  <c r="Y75" i="3"/>
  <c r="Z12" i="2"/>
  <c r="AB12" i="2" s="1"/>
  <c r="Z20" i="2"/>
  <c r="AB20" i="2" s="1"/>
  <c r="AA11" i="3"/>
  <c r="W11" i="3"/>
  <c r="Y11" i="3"/>
  <c r="Z41" i="2"/>
  <c r="AB41" i="2" s="1"/>
  <c r="U50" i="3"/>
  <c r="AA50" i="3" s="1"/>
  <c r="AA38" i="3"/>
  <c r="AA42" i="3"/>
  <c r="S54" i="3"/>
  <c r="Q54" i="3"/>
  <c r="V79" i="3"/>
  <c r="AA106" i="2"/>
  <c r="AA189" i="3"/>
  <c r="W189" i="3"/>
  <c r="Y189" i="3"/>
  <c r="AA193" i="3"/>
  <c r="AA247" i="3"/>
  <c r="W247" i="3"/>
  <c r="Y247" i="3"/>
  <c r="AA278" i="3"/>
  <c r="Y278" i="3"/>
  <c r="U282" i="3"/>
  <c r="W278" i="3"/>
  <c r="X311" i="3"/>
  <c r="Y299" i="3"/>
  <c r="X456" i="3"/>
  <c r="AA446" i="3"/>
  <c r="U456" i="3"/>
  <c r="Y446" i="3"/>
  <c r="Z403" i="2"/>
  <c r="AB403" i="2" s="1"/>
  <c r="Z430" i="2"/>
  <c r="AB430" i="2" s="1"/>
  <c r="Z447" i="2"/>
  <c r="AB447" i="2" s="1"/>
  <c r="X50" i="3"/>
  <c r="P83" i="3"/>
  <c r="AA60" i="2"/>
  <c r="Z79" i="2"/>
  <c r="AB79" i="2" s="1"/>
  <c r="Z108" i="2"/>
  <c r="AB108" i="2" s="1"/>
  <c r="Z133" i="2"/>
  <c r="AB133" i="2" s="1"/>
  <c r="V195" i="3"/>
  <c r="U253" i="3"/>
  <c r="Z282" i="3"/>
  <c r="P315" i="3"/>
  <c r="Q315" i="3" s="1"/>
  <c r="R373" i="3"/>
  <c r="S373" i="3" s="1"/>
  <c r="Z319" i="2"/>
  <c r="AB319" i="2" s="1"/>
  <c r="Z398" i="3"/>
  <c r="P402" i="3"/>
  <c r="Q402" i="3" s="1"/>
  <c r="R460" i="3"/>
  <c r="Z388" i="2"/>
  <c r="AB388" i="2" s="1"/>
  <c r="Z411" i="2"/>
  <c r="AB411" i="2" s="1"/>
  <c r="U514" i="3"/>
  <c r="Z10" i="2"/>
  <c r="AB10" i="2" s="1"/>
  <c r="Z43" i="2"/>
  <c r="AB43" i="2" s="1"/>
  <c r="Z50" i="3"/>
  <c r="P54" i="3"/>
  <c r="R83" i="3"/>
  <c r="Z83" i="2"/>
  <c r="AB83" i="2" s="1"/>
  <c r="Z87" i="2"/>
  <c r="AB87" i="2" s="1"/>
  <c r="Z177" i="2"/>
  <c r="AB177" i="2" s="1"/>
  <c r="V108" i="3"/>
  <c r="X137" i="3"/>
  <c r="V166" i="3"/>
  <c r="R228" i="3"/>
  <c r="S228" i="3" s="1"/>
  <c r="Z242" i="2"/>
  <c r="AB242" i="2" s="1"/>
  <c r="Z292" i="2"/>
  <c r="AB292" i="2" s="1"/>
  <c r="V253" i="3"/>
  <c r="AA245" i="3"/>
  <c r="X340" i="3"/>
  <c r="Z315" i="2"/>
  <c r="AB315" i="2" s="1"/>
  <c r="Z342" i="2"/>
  <c r="AB342" i="2" s="1"/>
  <c r="Z386" i="2"/>
  <c r="AB386" i="2" s="1"/>
  <c r="Z409" i="2"/>
  <c r="AB409" i="2" s="1"/>
  <c r="Z455" i="2"/>
  <c r="AB455" i="2" s="1"/>
  <c r="AA624" i="3"/>
  <c r="Y624" i="3"/>
  <c r="W626" i="3"/>
  <c r="Z148" i="2"/>
  <c r="AB148" i="2" s="1"/>
  <c r="Z152" i="2"/>
  <c r="Z156" i="2"/>
  <c r="AB156" i="2" s="1"/>
  <c r="Z181" i="2"/>
  <c r="AB181" i="2" s="1"/>
  <c r="R112" i="3"/>
  <c r="U137" i="3"/>
  <c r="AA137" i="3" s="1"/>
  <c r="X166" i="3"/>
  <c r="X195" i="3"/>
  <c r="AA191" i="3"/>
  <c r="X224" i="3"/>
  <c r="AA214" i="3"/>
  <c r="Z194" i="2"/>
  <c r="AB194" i="2" s="1"/>
  <c r="AA196" i="2"/>
  <c r="AA198" i="2"/>
  <c r="Z227" i="2"/>
  <c r="AB227" i="2" s="1"/>
  <c r="AA244" i="2"/>
  <c r="Z286" i="2"/>
  <c r="AB286" i="2" s="1"/>
  <c r="X253" i="3"/>
  <c r="AA249" i="3"/>
  <c r="Y270" i="3"/>
  <c r="P286" i="3"/>
  <c r="Q286" i="3" s="1"/>
  <c r="Z311" i="3"/>
  <c r="AA305" i="3"/>
  <c r="V369" i="3"/>
  <c r="Z309" i="2"/>
  <c r="AB309" i="2" s="1"/>
  <c r="V398" i="3"/>
  <c r="S402" i="3"/>
  <c r="Z332" i="2"/>
  <c r="AB332" i="2" s="1"/>
  <c r="V427" i="3"/>
  <c r="AA357" i="2"/>
  <c r="AA359" i="2"/>
  <c r="Z456" i="3"/>
  <c r="Z382" i="2"/>
  <c r="Z405" i="2"/>
  <c r="AB405" i="2" s="1"/>
  <c r="Z428" i="2"/>
  <c r="AB428" i="2" s="1"/>
  <c r="Z432" i="2"/>
  <c r="AB432" i="2" s="1"/>
  <c r="V485" i="3"/>
  <c r="V514" i="3"/>
  <c r="R518" i="3"/>
  <c r="Z543" i="3"/>
  <c r="P547" i="3"/>
  <c r="X572" i="3"/>
  <c r="X601" i="3"/>
  <c r="Z470" i="2"/>
  <c r="AB470" i="2" s="1"/>
  <c r="Z493" i="2"/>
  <c r="AB493" i="2" s="1"/>
  <c r="V630" i="3"/>
  <c r="Z125" i="2"/>
  <c r="AB125" i="2" s="1"/>
  <c r="AA150" i="2"/>
  <c r="AA152" i="2"/>
  <c r="Z173" i="2"/>
  <c r="Z175" i="2"/>
  <c r="Z179" i="2"/>
  <c r="AB179" i="2" s="1"/>
  <c r="U108" i="3"/>
  <c r="AA108" i="3" s="1"/>
  <c r="Z166" i="3"/>
  <c r="Z195" i="3"/>
  <c r="Z224" i="3"/>
  <c r="AA218" i="3"/>
  <c r="Z219" i="2"/>
  <c r="Z221" i="2"/>
  <c r="Z223" i="2"/>
  <c r="AB223" i="2" s="1"/>
  <c r="Z263" i="2"/>
  <c r="AB263" i="2" s="1"/>
  <c r="Z290" i="2"/>
  <c r="AB290" i="2" s="1"/>
  <c r="Z294" i="2"/>
  <c r="AB294" i="2" s="1"/>
  <c r="Z253" i="3"/>
  <c r="V282" i="3"/>
  <c r="R286" i="3"/>
  <c r="S286" i="3" s="1"/>
  <c r="V340" i="3"/>
  <c r="X369" i="3"/>
  <c r="Z313" i="2"/>
  <c r="AB313" i="2" s="1"/>
  <c r="Z317" i="2"/>
  <c r="AB317" i="2" s="1"/>
  <c r="X398" i="3"/>
  <c r="Z336" i="2"/>
  <c r="AB336" i="2" s="1"/>
  <c r="Z340" i="2"/>
  <c r="AB340" i="2" s="1"/>
  <c r="X427" i="3"/>
  <c r="P460" i="3"/>
  <c r="AA382" i="2"/>
  <c r="AA405" i="2"/>
  <c r="AA428" i="2"/>
  <c r="Z457" i="2"/>
  <c r="AB457" i="2" s="1"/>
  <c r="X485" i="3"/>
  <c r="X514" i="3"/>
  <c r="AA510" i="3"/>
  <c r="AA541" i="3"/>
  <c r="R547" i="3"/>
  <c r="Z572" i="3"/>
  <c r="AA566" i="3"/>
  <c r="P576" i="3"/>
  <c r="Z601" i="3"/>
  <c r="Z474" i="2"/>
  <c r="AB474" i="2" s="1"/>
  <c r="Z478" i="2"/>
  <c r="AB478" i="2" s="1"/>
  <c r="W622" i="3"/>
  <c r="Z497" i="2"/>
  <c r="AB497" i="2" s="1"/>
  <c r="Z501" i="2"/>
  <c r="AB501" i="2" s="1"/>
  <c r="X630" i="3"/>
  <c r="AB173" i="2" l="1"/>
  <c r="AA572" i="3"/>
  <c r="AB150" i="2"/>
  <c r="AA630" i="3"/>
  <c r="AB175" i="2"/>
  <c r="Y137" i="3"/>
  <c r="W630" i="3"/>
  <c r="W79" i="3"/>
  <c r="AA79" i="3"/>
  <c r="AB359" i="2"/>
  <c r="Y340" i="3"/>
  <c r="AA224" i="3"/>
  <c r="W572" i="3"/>
  <c r="Y572" i="3"/>
  <c r="AA340" i="3"/>
  <c r="W108" i="3"/>
  <c r="AA166" i="3"/>
  <c r="Y166" i="3"/>
  <c r="W166" i="3"/>
  <c r="Y108" i="3"/>
  <c r="AB219" i="2"/>
  <c r="W137" i="3"/>
  <c r="AB382" i="2"/>
  <c r="Y369" i="3"/>
  <c r="AA369" i="3"/>
  <c r="AB196" i="2"/>
  <c r="AB221" i="2"/>
  <c r="W50" i="3"/>
  <c r="Y195" i="3"/>
  <c r="Y50" i="3"/>
  <c r="AA398" i="3"/>
  <c r="Y398" i="3"/>
  <c r="W398" i="3"/>
  <c r="AB198" i="2"/>
  <c r="AA601" i="3"/>
  <c r="Y601" i="3"/>
  <c r="W601" i="3"/>
  <c r="AA21" i="3"/>
  <c r="W21" i="3"/>
  <c r="Y253" i="3"/>
  <c r="W253" i="3"/>
  <c r="AA253" i="3"/>
  <c r="AA456" i="3"/>
  <c r="Y456" i="3"/>
  <c r="W456" i="3"/>
  <c r="W311" i="3"/>
  <c r="AA311" i="3"/>
  <c r="Y311" i="3"/>
  <c r="W224" i="3"/>
  <c r="Y224" i="3"/>
  <c r="AB152" i="2"/>
  <c r="AA514" i="3"/>
  <c r="W514" i="3"/>
  <c r="Y514" i="3"/>
  <c r="Y282" i="3"/>
  <c r="AA282" i="3"/>
  <c r="W282" i="3"/>
  <c r="W195" i="3"/>
  <c r="AA195" i="3"/>
  <c r="Y543" i="3"/>
  <c r="AA543" i="3"/>
  <c r="W543" i="3"/>
  <c r="AA485" i="3"/>
  <c r="Y485" i="3"/>
  <c r="W485" i="3"/>
  <c r="Y427" i="3"/>
  <c r="W427" i="3"/>
  <c r="AA427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`Ctrl-ShiftC` before entering data below the highlighted range.
Need to modify the code when more machines were added. (Current: 10)</t>
        </r>
      </text>
    </comment>
  </commentList>
</comments>
</file>

<file path=xl/sharedStrings.xml><?xml version="1.0" encoding="utf-8"?>
<sst xmlns="http://schemas.openxmlformats.org/spreadsheetml/2006/main" count="5838" uniqueCount="295">
  <si>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</si>
  <si>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</si>
  <si>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</si>
  <si>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</si>
  <si>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</si>
  <si>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</si>
  <si>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</si>
  <si>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</si>
  <si>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</si>
  <si>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</si>
  <si>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</si>
  <si>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</si>
  <si>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</si>
  <si>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</si>
  <si>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</si>
  <si>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</si>
  <si>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</si>
  <si>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</si>
  <si>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</si>
  <si>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</si>
  <si>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</si>
  <si>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</si>
  <si>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</si>
  <si>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</si>
  <si>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</si>
  <si>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</si>
  <si>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</si>
  <si>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</si>
  <si>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</si>
  <si>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</si>
  <si>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</si>
  <si>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</si>
  <si>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</si>
  <si>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</si>
  <si>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</si>
  <si>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</si>
  <si>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</si>
  <si>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</si>
  <si>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</si>
  <si>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</si>
  <si>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</si>
  <si>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</si>
  <si>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</si>
  <si>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</si>
  <si>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</si>
  <si>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</si>
  <si>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</si>
  <si>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</si>
  <si>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</si>
  <si>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</si>
  <si>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</si>
  <si>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</si>
  <si>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</si>
  <si>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</si>
  <si>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</si>
  <si>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</si>
  <si>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</si>
  <si>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</si>
  <si>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</si>
  <si>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</si>
  <si>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</si>
  <si>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</si>
  <si>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</si>
  <si>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</si>
  <si>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</si>
  <si>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</si>
  <si>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</si>
  <si>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</si>
  <si>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</si>
  <si>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</si>
  <si>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</si>
  <si>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</si>
  <si>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</si>
  <si>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</si>
  <si>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</si>
  <si>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</si>
  <si>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</si>
  <si>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</si>
  <si>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</si>
  <si>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</si>
  <si>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</si>
  <si>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</si>
  <si>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</si>
  <si>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</si>
  <si>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</si>
  <si>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</si>
  <si>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</si>
  <si>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</si>
  <si>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</si>
  <si>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</si>
  <si>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</si>
  <si>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</si>
  <si>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</si>
  <si>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</si>
  <si>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</si>
  <si>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</si>
  <si>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</si>
  <si>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</si>
  <si>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</si>
  <si>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</si>
  <si>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</si>
  <si>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</si>
  <si>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</si>
  <si>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</si>
  <si>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</si>
  <si>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</si>
  <si>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</si>
  <si>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</si>
  <si>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</si>
  <si>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</si>
  <si>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</si>
  <si>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</si>
  <si>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</si>
  <si>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</si>
  <si>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</si>
  <si>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</si>
  <si>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</si>
  <si>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</si>
  <si>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</si>
  <si>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</si>
  <si>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</si>
  <si>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</si>
  <si>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</si>
  <si>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</si>
  <si>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</si>
  <si>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</si>
  <si>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</si>
  <si>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</si>
  <si>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</si>
  <si>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</si>
  <si>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</si>
  <si>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</si>
  <si>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</si>
  <si>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</si>
  <si>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</si>
  <si>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</si>
  <si>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</si>
  <si>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</si>
  <si>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</si>
  <si>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</si>
  <si>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</si>
  <si>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</si>
  <si>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</si>
  <si>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</si>
  <si>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DEO-C02</t>
  </si>
  <si>
    <t>DEO-U02</t>
  </si>
  <si>
    <t>12A</t>
  </si>
  <si>
    <t>Remarks</t>
  </si>
  <si>
    <t>S1%</t>
  </si>
  <si>
    <t>S2%</t>
  </si>
  <si>
    <t>S3%</t>
  </si>
  <si>
    <t>Daily%</t>
  </si>
  <si>
    <t>Machine Days</t>
  </si>
  <si>
    <t>JAC-02</t>
  </si>
  <si>
    <t>Finch DEO Production Defects Count</t>
  </si>
  <si>
    <t>Total Number of</t>
  </si>
  <si>
    <t>Defects</t>
  </si>
  <si>
    <t>HrStrtCls</t>
  </si>
  <si>
    <t>HrMaint</t>
  </si>
  <si>
    <t>HrSample</t>
  </si>
  <si>
    <t>Deo (Good)</t>
  </si>
  <si>
    <t>ASS-07</t>
  </si>
  <si>
    <t>17B</t>
  </si>
  <si>
    <t>DEO-B01</t>
  </si>
  <si>
    <t>16B</t>
  </si>
  <si>
    <t>DEO-P03</t>
  </si>
  <si>
    <t>Daily Output (2 machines)</t>
  </si>
  <si>
    <t>Grand Total</t>
  </si>
  <si>
    <t>09B</t>
  </si>
  <si>
    <t>DEO-P01</t>
  </si>
  <si>
    <t>ASS-08</t>
  </si>
  <si>
    <t>ASS-09</t>
  </si>
  <si>
    <t>DEO-B03</t>
  </si>
  <si>
    <t>Pcs/Carton</t>
  </si>
  <si>
    <t>20B</t>
  </si>
  <si>
    <t>DEO-C05</t>
  </si>
  <si>
    <t>21B</t>
  </si>
  <si>
    <t>Row Labels</t>
  </si>
  <si>
    <t>Sum of HrStrtCls</t>
  </si>
  <si>
    <t>Sum of HrMaint</t>
  </si>
  <si>
    <t>Sum of HrSample</t>
  </si>
  <si>
    <t>Sum of HrProd</t>
  </si>
  <si>
    <t>Sum of CycleTime</t>
  </si>
  <si>
    <t>Max of Cavity</t>
  </si>
  <si>
    <t>StdOutputPerHr</t>
  </si>
  <si>
    <t>S1CycleNotZero</t>
  </si>
  <si>
    <t>S2CycleNotZero</t>
  </si>
  <si>
    <t>S3CycleNotZero</t>
  </si>
  <si>
    <t>AverageCycle</t>
  </si>
  <si>
    <t>Sum of CycleNotZero</t>
  </si>
  <si>
    <t>01B</t>
  </si>
  <si>
    <t>ASS-10</t>
  </si>
  <si>
    <t>08B</t>
  </si>
  <si>
    <t>DEO-D04</t>
  </si>
  <si>
    <t>14A</t>
  </si>
  <si>
    <t>29B</t>
  </si>
  <si>
    <t>08A</t>
  </si>
  <si>
    <t>B/C</t>
  </si>
  <si>
    <t>JAC</t>
  </si>
  <si>
    <t>White</t>
  </si>
  <si>
    <t>Shift-1 換色油</t>
  </si>
  <si>
    <t>Shift-1 13:30 開機 維修6.5小時</t>
  </si>
  <si>
    <t>Shift-1, 2, 3 自動機組裝 #27248, #27336, #27134, #27136</t>
  </si>
  <si>
    <t>Shift-2 維修1.5小時</t>
  </si>
  <si>
    <t>Lume</t>
  </si>
  <si>
    <t>Shift-1 转单27713</t>
  </si>
  <si>
    <t>Shift-2 转单27713</t>
  </si>
  <si>
    <t>Shift-1, 2, 3 自動機組裝 #27134-#27111， #27136-#27712</t>
  </si>
  <si>
    <t>Shift-1 1:00PM开机</t>
  </si>
  <si>
    <t>Orange</t>
  </si>
  <si>
    <t>Shift-3 转单27430, 走色</t>
  </si>
  <si>
    <t>Shift-1, 2, 3 自動機組裝 #27111， #27712-#27713</t>
  </si>
  <si>
    <t>Shift-3 转单27578</t>
  </si>
  <si>
    <t>Shift-1, 2, 3 自動機組裝 #27501， #27713</t>
  </si>
  <si>
    <t>Dove</t>
  </si>
  <si>
    <t>Shift-1 做sample 7.5小时</t>
  </si>
  <si>
    <t>Shift-1 做sample</t>
  </si>
  <si>
    <t>Shift-1 转模DS</t>
  </si>
  <si>
    <t>Shift-2 转模DS</t>
  </si>
  <si>
    <t>Shift-1, 2, 3 自動機組裝 #27501-#27578， #27713-#27430</t>
  </si>
  <si>
    <t>Mando</t>
  </si>
  <si>
    <t>Shift-1 轉 #26746</t>
  </si>
  <si>
    <t>Shift-3 完單停機</t>
  </si>
  <si>
    <t>Shift-1 維修</t>
  </si>
  <si>
    <t>Shift-1, 2, 3 自動機組裝 #27578, #27430, #27714</t>
  </si>
  <si>
    <t>Shift-1 維修電腦</t>
  </si>
  <si>
    <t>Shift-2 機械故障</t>
  </si>
  <si>
    <t>Soapbox</t>
  </si>
  <si>
    <t>Lab</t>
  </si>
  <si>
    <t>Shift-1, 2, 3 自動機組裝 #27822, #27714, #27824, #27937, #27430</t>
  </si>
  <si>
    <t>Shift-1 模房維修</t>
  </si>
  <si>
    <t>Shift-1 模房維修、機械手維修</t>
  </si>
  <si>
    <t>Shift-1, 2, 3 自動機組裝 #27716, #27430, #27575</t>
  </si>
  <si>
    <t>Shift-3 转单27760</t>
  </si>
  <si>
    <t>Shift-1, 2, 3 自動機組裝 #27716,  #27575</t>
  </si>
  <si>
    <t xml:space="preserve">Black </t>
  </si>
  <si>
    <t>Shift-2 转单27760</t>
  </si>
  <si>
    <t>Shift-3 转单27715</t>
  </si>
  <si>
    <t>Shift-2 待货管子</t>
  </si>
  <si>
    <t>Pink Red</t>
  </si>
  <si>
    <t>Shift-3 转单27692，转料走色</t>
  </si>
  <si>
    <t>Shift-1, 2, 3 自動機組裝 #27760,  #27715</t>
  </si>
  <si>
    <t>Evangelists</t>
  </si>
  <si>
    <t>Shift-2，Shift-3 调机</t>
  </si>
  <si>
    <t>Shift-1 做sample 2小时</t>
  </si>
  <si>
    <t>Shift-3 转单27651</t>
  </si>
  <si>
    <t>Shift-3 转单27576</t>
  </si>
  <si>
    <t>Shift-2 转单27576</t>
  </si>
  <si>
    <t>Shift-1, 2, 3 自動機組裝 #27760,  #27715-#27576</t>
  </si>
  <si>
    <t>Shift-3 完單走水口</t>
  </si>
  <si>
    <t>26684-1</t>
  </si>
  <si>
    <t>Shift-3 清理機底</t>
  </si>
  <si>
    <t>Shift-1 補貨</t>
  </si>
  <si>
    <t>27A</t>
  </si>
  <si>
    <t>19B</t>
  </si>
  <si>
    <t>DEO-C07</t>
  </si>
  <si>
    <t>Shift-1, 2, 3 自動機組裝 #27760, #27576, #27692, #27715</t>
  </si>
  <si>
    <t>Duradry</t>
  </si>
  <si>
    <t>Shift-1 轉單 #27692</t>
  </si>
  <si>
    <t>36A</t>
  </si>
  <si>
    <t>Shift-1, 2, 3 自動機組裝 #27692, #27576, #27691</t>
  </si>
  <si>
    <t>Shift-1 Change Order</t>
  </si>
  <si>
    <t>Red</t>
  </si>
  <si>
    <t>Shift-1, 2, 3 自動機組裝 #27651, #27576, #27577, #27581, #27826</t>
  </si>
  <si>
    <t>真空泵维修</t>
  </si>
  <si>
    <t>Shift-1, 2, 3 自動機組裝 #27826, #27581</t>
  </si>
  <si>
    <t>Shift-3 转单28185</t>
  </si>
  <si>
    <t>Shift-1 维修马达, 11:30AM开机</t>
  </si>
  <si>
    <t>Shift-1, 2, 3 自動機組裝 #27581-#27579</t>
  </si>
  <si>
    <t>Shift-2 机械手故障停机</t>
  </si>
  <si>
    <t>Megenta</t>
  </si>
  <si>
    <t>Shift-1 转单26416；Shift-2 ESP停电2小时，#26416完单停机</t>
  </si>
  <si>
    <t>Shift-2 ESP停电2小时，模具有水，注不满</t>
  </si>
  <si>
    <t>Shift-1 机械手故障停机</t>
  </si>
  <si>
    <t>Shift-3 转单26416，走色</t>
  </si>
  <si>
    <t>Shift-2 ESP停电2小时</t>
  </si>
  <si>
    <t>Shift-1, 2, 3 自動機組裝 #28185-#27579</t>
  </si>
  <si>
    <t xml:space="preserve">   Beach House</t>
  </si>
  <si>
    <t>待大盖</t>
  </si>
  <si>
    <t>Light Grey</t>
  </si>
  <si>
    <t>Shift-1 转单27897；Shift-2 ESP停电2小时</t>
  </si>
  <si>
    <t>Shift-1 1:30PM开机；Shift-2 ESP停电2小时</t>
  </si>
  <si>
    <t>Shift-1, 2, 3 自動機組裝 #28185-#27579-#26416</t>
  </si>
  <si>
    <t>Shift-2 ESP停电2小时；Shift-3 完成18tray 未吸尘</t>
  </si>
  <si>
    <t>Shift-3 水位有黑點</t>
  </si>
  <si>
    <t>Shift-1, 2, 3 自動機組裝 #27579</t>
  </si>
  <si>
    <t>Shift-2 轉單轉色油</t>
  </si>
  <si>
    <t>Dark Gray</t>
  </si>
  <si>
    <t>Shift-2 換料轉單</t>
  </si>
  <si>
    <t>Shift-1 Finish order</t>
  </si>
  <si>
    <t>補貨</t>
  </si>
  <si>
    <t>Shift-3 多次扣後模</t>
  </si>
  <si>
    <t>Light Gray</t>
  </si>
  <si>
    <t>Shift-1, 2, 3 自動機組裝 #27579, #27897</t>
  </si>
  <si>
    <t>Sweatblock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</si>
</sst>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4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</cellStyleXfs>
  <cellXfs count="334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Alignment="1">
      <alignment horizontal="center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20" fillId="0" borderId="0" xfId="4" applyFont="1" applyAlignment="1">
      <alignment horizontal="center"/>
    </xf>
    <xf numFmtId="171" fontId="20" fillId="0" borderId="0" xfId="4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0" fontId="25" fillId="0" borderId="0" xfId="4" applyFont="1" applyAlignment="1">
      <alignment horizontal="center"/>
    </xf>
    <xf numFmtId="0" fontId="25" fillId="0" borderId="0" xfId="0" applyFont="1" applyAlignment="1">
      <alignment horizontal="center"/>
    </xf>
    <xf numFmtId="171" fontId="25" fillId="0" borderId="0" xfId="4" applyNumberFormat="1" applyFont="1" applyAlignment="1">
      <alignment horizontal="center"/>
    </xf>
    <xf numFmtId="166" fontId="25" fillId="0" borderId="0" xfId="1" applyNumberFormat="1" applyFont="1" applyBorder="1" applyAlignment="1">
      <alignment horizontal="center"/>
    </xf>
    <xf numFmtId="166" fontId="25" fillId="0" borderId="0" xfId="1" applyNumberFormat="1" applyFont="1" applyAlignment="1">
      <alignment horizontal="center"/>
    </xf>
    <xf numFmtId="49" fontId="25" fillId="0" borderId="0" xfId="4" applyNumberFormat="1" applyFont="1" applyAlignment="1">
      <alignment horizontal="center"/>
    </xf>
    <xf numFmtId="0" fontId="15" fillId="0" borderId="0" xfId="17" applyFont="1" applyAlignment="1">
      <alignment horizontal="left"/>
    </xf>
    <xf numFmtId="0" fontId="15" fillId="0" borderId="0" xfId="17" applyFont="1"/>
    <xf numFmtId="0" fontId="15" fillId="0" borderId="0" xfId="17" applyFont="1" applyAlignment="1">
      <alignment horizontal="center"/>
    </xf>
    <xf numFmtId="0" fontId="15" fillId="0" borderId="0" xfId="10" applyFont="1"/>
    <xf numFmtId="22" fontId="15" fillId="0" borderId="0" xfId="17" applyNumberFormat="1" applyFont="1" applyAlignment="1">
      <alignment horizontal="center"/>
    </xf>
    <xf numFmtId="38" fontId="17" fillId="0" borderId="0" xfId="17" applyNumberFormat="1" applyFont="1"/>
    <xf numFmtId="38" fontId="6" fillId="0" borderId="0" xfId="17" applyNumberFormat="1" applyFont="1"/>
    <xf numFmtId="14" fontId="16" fillId="0" borderId="0" xfId="17" applyNumberFormat="1" applyFont="1" applyAlignment="1" applyProtection="1">
      <alignment horizontal="right"/>
      <protection locked="0"/>
    </xf>
    <xf numFmtId="14" fontId="7" fillId="0" borderId="0" xfId="17" applyNumberFormat="1" applyFont="1" applyAlignment="1" applyProtection="1">
      <alignment horizontal="right"/>
      <protection locked="0"/>
    </xf>
    <xf numFmtId="38" fontId="6" fillId="0" borderId="0" xfId="17" applyNumberFormat="1" applyFont="1" applyAlignment="1">
      <alignment horizontal="right"/>
    </xf>
    <xf numFmtId="38" fontId="3" fillId="0" borderId="0" xfId="17" applyNumberFormat="1" applyProtection="1">
      <protection locked="0"/>
    </xf>
    <xf numFmtId="0" fontId="3" fillId="0" borderId="0" xfId="10"/>
    <xf numFmtId="0" fontId="5" fillId="0" borderId="0" xfId="17" applyFont="1" applyAlignment="1">
      <alignment horizontal="left"/>
    </xf>
    <xf numFmtId="0" fontId="5" fillId="0" borderId="0" xfId="17" applyFont="1"/>
    <xf numFmtId="0" fontId="5" fillId="0" borderId="0" xfId="17" applyFont="1" applyAlignment="1">
      <alignment horizontal="center"/>
    </xf>
    <xf numFmtId="22" fontId="5" fillId="0" borderId="0" xfId="17" applyNumberFormat="1" applyFont="1" applyAlignment="1">
      <alignment horizontal="center"/>
    </xf>
    <xf numFmtId="10" fontId="6" fillId="0" borderId="0" xfId="17" applyNumberFormat="1" applyFont="1" applyAlignment="1">
      <alignment horizontal="right"/>
    </xf>
    <xf numFmtId="0" fontId="20" fillId="0" borderId="0" xfId="10" applyFont="1" applyAlignment="1">
      <alignment horizontal="left"/>
    </xf>
    <xf numFmtId="0" fontId="20" fillId="0" borderId="0" xfId="10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172" fontId="7" fillId="11" borderId="0" xfId="0" applyNumberFormat="1" applyFont="1" applyFill="1"/>
    <xf numFmtId="172" fontId="0" fillId="0" borderId="0" xfId="0" applyNumberFormat="1"/>
    <xf numFmtId="4" fontId="0" fillId="0" borderId="0" xfId="0" applyNumberFormat="1"/>
    <xf numFmtId="166" fontId="26" fillId="0" borderId="0" xfId="1" applyNumberFormat="1" applyFont="1" applyAlignment="1">
      <alignment horizontal="center"/>
    </xf>
    <xf numFmtId="167" fontId="26" fillId="0" borderId="0" xfId="10" applyNumberFormat="1" applyFont="1" applyAlignment="1">
      <alignment horizontal="center"/>
    </xf>
    <xf numFmtId="0" fontId="26" fillId="0" borderId="0" xfId="10" applyFont="1" applyAlignment="1">
      <alignment horizontal="center"/>
    </xf>
    <xf numFmtId="166" fontId="27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6" fontId="0" fillId="0" borderId="0" xfId="0" applyNumberFormat="1"/>
    <xf numFmtId="164" fontId="0" fillId="0" borderId="0" xfId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1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166" fontId="28" fillId="0" borderId="0" xfId="1" applyNumberFormat="1" applyFont="1" applyAlignment="1">
      <alignment horizontal="center"/>
    </xf>
    <xf numFmtId="49" fontId="28" fillId="0" borderId="0" xfId="4" applyNumberFormat="1" applyFont="1" applyAlignment="1">
      <alignment horizontal="center"/>
    </xf>
    <xf numFmtId="164" fontId="3" fillId="0" borderId="0" xfId="1" applyFont="1" applyAlignment="1">
      <alignment horizontal="center"/>
    </xf>
    <xf numFmtId="167" fontId="0" fillId="11" borderId="0" xfId="0" applyNumberFormat="1" applyFill="1"/>
    <xf numFmtId="166" fontId="0" fillId="11" borderId="0" xfId="1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164" fontId="0" fillId="11" borderId="0" xfId="1" applyFont="1" applyFill="1" applyAlignment="1">
      <alignment horizontal="center"/>
    </xf>
    <xf numFmtId="165" fontId="0" fillId="11" borderId="0" xfId="1" applyNumberFormat="1" applyFont="1" applyFill="1" applyAlignment="1">
      <alignment horizontal="center"/>
    </xf>
    <xf numFmtId="166" fontId="3" fillId="11" borderId="0" xfId="1" applyNumberFormat="1" applyFont="1" applyFill="1" applyAlignment="1">
      <alignment horizontal="center"/>
    </xf>
    <xf numFmtId="166" fontId="0" fillId="11" borderId="0" xfId="1" applyNumberFormat="1" applyFont="1" applyFill="1" applyBorder="1" applyAlignment="1">
      <alignment horizontal="center"/>
    </xf>
    <xf numFmtId="10" fontId="0" fillId="11" borderId="0" xfId="5" applyNumberFormat="1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168" fontId="0" fillId="11" borderId="0" xfId="1" applyNumberFormat="1" applyFont="1" applyFill="1" applyAlignment="1">
      <alignment horizontal="center"/>
    </xf>
    <xf numFmtId="1" fontId="0" fillId="11" borderId="0" xfId="1" applyNumberFormat="1" applyFont="1" applyFill="1" applyAlignment="1">
      <alignment horizontal="center"/>
    </xf>
    <xf numFmtId="166" fontId="0" fillId="11" borderId="16" xfId="1" applyNumberFormat="1" applyFont="1" applyFill="1" applyBorder="1" applyAlignment="1">
      <alignment horizontal="center"/>
    </xf>
    <xf numFmtId="10" fontId="0" fillId="11" borderId="16" xfId="5" applyNumberFormat="1" applyFont="1" applyFill="1" applyBorder="1" applyAlignment="1">
      <alignment horizontal="center"/>
    </xf>
    <xf numFmtId="164" fontId="3" fillId="11" borderId="0" xfId="1" applyFont="1" applyFill="1" applyAlignment="1">
      <alignment horizontal="center"/>
    </xf>
    <xf numFmtId="165" fontId="3" fillId="11" borderId="0" xfId="1" applyNumberFormat="1" applyFont="1" applyFill="1" applyAlignment="1">
      <alignment horizontal="center"/>
    </xf>
    <xf numFmtId="0" fontId="29" fillId="0" borderId="0" xfId="4" applyFont="1" applyAlignment="1">
      <alignment horizontal="center"/>
    </xf>
    <xf numFmtId="0" fontId="29" fillId="0" borderId="0" xfId="0" applyFont="1" applyAlignment="1">
      <alignment horizontal="center"/>
    </xf>
    <xf numFmtId="171" fontId="29" fillId="0" borderId="0" xfId="4" applyNumberFormat="1" applyFont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166" fontId="29" fillId="0" borderId="0" xfId="1" applyNumberFormat="1" applyFont="1" applyAlignment="1">
      <alignment horizontal="center"/>
    </xf>
    <xf numFmtId="49" fontId="29" fillId="0" borderId="0" xfId="4" applyNumberFormat="1" applyFont="1" applyAlignment="1">
      <alignment horizontal="center"/>
    </xf>
    <xf numFmtId="0" fontId="30" fillId="0" borderId="0" xfId="4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4" applyNumberFormat="1" applyFont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166" fontId="30" fillId="0" borderId="0" xfId="1" applyNumberFormat="1" applyFont="1" applyAlignment="1">
      <alignment horizontal="center"/>
    </xf>
    <xf numFmtId="49" fontId="30" fillId="0" borderId="0" xfId="4" applyNumberFormat="1" applyFont="1" applyAlignment="1">
      <alignment horizontal="center"/>
    </xf>
    <xf numFmtId="0" fontId="31" fillId="0" borderId="0" xfId="4" applyFont="1" applyAlignment="1">
      <alignment horizontal="center"/>
    </xf>
    <xf numFmtId="0" fontId="31" fillId="0" borderId="0" xfId="0" applyFont="1" applyAlignment="1">
      <alignment horizontal="center"/>
    </xf>
    <xf numFmtId="171" fontId="31" fillId="0" borderId="0" xfId="4" applyNumberFormat="1" applyFont="1" applyAlignment="1">
      <alignment horizontal="center"/>
    </xf>
    <xf numFmtId="166" fontId="31" fillId="0" borderId="0" xfId="1" applyNumberFormat="1" applyFont="1" applyBorder="1" applyAlignment="1">
      <alignment horizontal="center"/>
    </xf>
    <xf numFmtId="166" fontId="31" fillId="0" borderId="0" xfId="1" applyNumberFormat="1" applyFont="1" applyAlignment="1">
      <alignment horizontal="center"/>
    </xf>
    <xf numFmtId="49" fontId="31" fillId="0" borderId="0" xfId="4" applyNumberFormat="1" applyFont="1" applyAlignment="1">
      <alignment horizontal="center"/>
    </xf>
    <xf numFmtId="0" fontId="32" fillId="0" borderId="0" xfId="4" applyFont="1" applyAlignment="1">
      <alignment horizontal="center"/>
    </xf>
    <xf numFmtId="0" fontId="32" fillId="0" borderId="0" xfId="0" applyFont="1" applyAlignment="1">
      <alignment horizontal="center"/>
    </xf>
    <xf numFmtId="171" fontId="32" fillId="0" borderId="0" xfId="4" applyNumberFormat="1" applyFont="1" applyAlignment="1">
      <alignment horizontal="center"/>
    </xf>
    <xf numFmtId="166" fontId="32" fillId="0" borderId="0" xfId="1" applyNumberFormat="1" applyFont="1" applyBorder="1" applyAlignment="1">
      <alignment horizontal="center"/>
    </xf>
    <xf numFmtId="166" fontId="32" fillId="0" borderId="0" xfId="1" applyNumberFormat="1" applyFont="1" applyAlignment="1">
      <alignment horizontal="center"/>
    </xf>
    <xf numFmtId="49" fontId="32" fillId="0" borderId="0" xfId="4" applyNumberFormat="1" applyFont="1" applyAlignment="1">
      <alignment horizontal="center"/>
    </xf>
    <xf numFmtId="0" fontId="33" fillId="0" borderId="0" xfId="4" applyFont="1" applyAlignment="1">
      <alignment horizontal="center"/>
    </xf>
    <xf numFmtId="0" fontId="33" fillId="0" borderId="0" xfId="0" applyFont="1" applyAlignment="1">
      <alignment horizontal="center"/>
    </xf>
    <xf numFmtId="171" fontId="33" fillId="0" borderId="0" xfId="4" applyNumberFormat="1" applyFont="1" applyAlignment="1">
      <alignment horizontal="center"/>
    </xf>
    <xf numFmtId="166" fontId="33" fillId="0" borderId="0" xfId="1" applyNumberFormat="1" applyFont="1" applyBorder="1" applyAlignment="1">
      <alignment horizontal="center"/>
    </xf>
    <xf numFmtId="166" fontId="33" fillId="0" borderId="0" xfId="1" applyNumberFormat="1" applyFont="1" applyAlignment="1">
      <alignment horizontal="center"/>
    </xf>
    <xf numFmtId="49" fontId="33" fillId="0" borderId="0" xfId="4" applyNumberFormat="1" applyFont="1" applyAlignment="1">
      <alignment horizontal="center"/>
    </xf>
    <xf numFmtId="166" fontId="3" fillId="0" borderId="0" xfId="1" applyNumberFormat="1" applyFont="1" applyFill="1" applyAlignment="1">
      <alignment horizontal="center"/>
    </xf>
    <xf numFmtId="164" fontId="0" fillId="0" borderId="0" xfId="1" applyFon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6" fontId="0" fillId="0" borderId="0" xfId="1" applyNumberFormat="1" applyFont="1" applyFill="1" applyAlignment="1">
      <alignment horizontal="center"/>
    </xf>
    <xf numFmtId="166" fontId="0" fillId="0" borderId="0" xfId="1" applyNumberFormat="1" applyFont="1" applyFill="1" applyBorder="1" applyAlignment="1">
      <alignment horizontal="center"/>
    </xf>
    <xf numFmtId="10" fontId="0" fillId="0" borderId="0" xfId="5" applyNumberFormat="1" applyFont="1" applyFill="1" applyAlignment="1">
      <alignment horizontal="center"/>
    </xf>
    <xf numFmtId="168" fontId="0" fillId="0" borderId="0" xfId="1" applyNumberFormat="1" applyFont="1" applyFill="1" applyAlignment="1">
      <alignment horizontal="center"/>
    </xf>
    <xf numFmtId="1" fontId="0" fillId="0" borderId="0" xfId="1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0" fillId="0" borderId="0" xfId="4" applyFont="1" applyFill="1" applyAlignment="1">
      <alignment horizontal="center"/>
    </xf>
    <xf numFmtId="171" fontId="20" fillId="0" borderId="0" xfId="4" applyNumberFormat="1" applyFont="1" applyFill="1" applyAlignment="1">
      <alignment horizontal="center"/>
    </xf>
    <xf numFmtId="49" fontId="20" fillId="0" borderId="0" xfId="4" applyNumberFormat="1" applyFont="1" applyFill="1" applyAlignment="1">
      <alignment horizont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170" fontId="16" fillId="8" borderId="14" xfId="17" applyNumberFormat="1" applyFont="1" applyFill="1" applyBorder="1" applyAlignment="1" applyProtection="1">
      <alignment horizontal="center"/>
      <protection locked="0"/>
    </xf>
    <xf numFmtId="0" fontId="23" fillId="10" borderId="17" xfId="0" applyFont="1" applyFill="1" applyBorder="1" applyAlignment="1">
      <alignment horizontal="center"/>
    </xf>
    <xf numFmtId="0" fontId="23" fillId="10" borderId="18" xfId="0" applyFont="1" applyFill="1" applyBorder="1" applyAlignment="1">
      <alignment horizontal="center"/>
    </xf>
    <xf numFmtId="0" fontId="18" fillId="0" borderId="0" xfId="4" applyFont="1"/>
  </cellXfs>
  <cellStyles count="18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5"/>
    <cellStyle name="Normal 4" xfId="6"/>
    <cellStyle name="Normal 5" xfId="14"/>
    <cellStyle name="Normal_Sheet2" xfId="4"/>
    <cellStyle name="Normal_Sheet2 2" xfId="17"/>
    <cellStyle name="Percent" xfId="5" builtinId="5"/>
    <cellStyle name="Percent 2" xfId="11"/>
    <cellStyle name="Percent 3" xfId="12"/>
    <cellStyle name="Percent 4" xfId="16"/>
  </cellStyles>
  <dxfs count="106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DEO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DEO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Bottom Fill Oval)</a:t>
            </a:r>
            <a:endParaRPr lang="en-CA"/>
          </a:p>
        </c:rich>
      </c:tx>
      <c:overlay val="0"/>
    </c:title>
    <c:autoTitleDeleted val="0"/>
    <c:pivotFmts>
      <c:pivotFmt>
        <c:idx val="0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Summary'!$B$2:$B$23</c:f>
              <c:numCache>
                <c:formatCode>#,##0</c:formatCode>
                <c:ptCount val="21"/>
                <c:pt idx="0">
                  <c:v>74034</c:v>
                </c:pt>
                <c:pt idx="1">
                  <c:v>80924</c:v>
                </c:pt>
                <c:pt idx="2">
                  <c:v>82070</c:v>
                </c:pt>
                <c:pt idx="3">
                  <c:v>81161</c:v>
                </c:pt>
                <c:pt idx="4">
                  <c:v>79545</c:v>
                </c:pt>
                <c:pt idx="5">
                  <c:v>58615</c:v>
                </c:pt>
                <c:pt idx="6">
                  <c:v>60865</c:v>
                </c:pt>
                <c:pt idx="7">
                  <c:v>80250</c:v>
                </c:pt>
                <c:pt idx="8">
                  <c:v>74496</c:v>
                </c:pt>
                <c:pt idx="9">
                  <c:v>56777</c:v>
                </c:pt>
                <c:pt idx="10">
                  <c:v>26027</c:v>
                </c:pt>
                <c:pt idx="11">
                  <c:v>69135</c:v>
                </c:pt>
                <c:pt idx="12">
                  <c:v>40379</c:v>
                </c:pt>
                <c:pt idx="13">
                  <c:v>55859</c:v>
                </c:pt>
                <c:pt idx="14">
                  <c:v>57009</c:v>
                </c:pt>
                <c:pt idx="15">
                  <c:v>57003</c:v>
                </c:pt>
                <c:pt idx="16">
                  <c:v>33546</c:v>
                </c:pt>
                <c:pt idx="17">
                  <c:v>38966</c:v>
                </c:pt>
                <c:pt idx="18">
                  <c:v>39597</c:v>
                </c:pt>
                <c:pt idx="19">
                  <c:v>28495</c:v>
                </c:pt>
                <c:pt idx="20">
                  <c:v>25738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D4-4178-BD19-BE430A846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499712"/>
        <c:axId val="410505600"/>
      </c:lineChart>
      <c:catAx>
        <c:axId val="410499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10505600"/>
        <c:crosses val="autoZero"/>
        <c:auto val="1"/>
        <c:lblAlgn val="ctr"/>
        <c:lblOffset val="100"/>
        <c:noMultiLvlLbl val="0"/>
      </c:catAx>
      <c:valAx>
        <c:axId val="4105056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10499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5.632046412036" createdVersion="4" refreshedVersion="4" minRefreshableVersion="3" recordCount="356">
  <cacheSource type="worksheet">
    <worksheetSource name="Prod"/>
  </cacheSource>
  <cacheFields count="60">
    <cacheField name="Date" numFmtId="167">
      <sharedItems containsSemiMixedTypes="0" containsNonDate="0" containsDate="1" containsString="0" minDate="2024-06-01T00:00:00" maxDate="2024-06-23T00:00:00"/>
    </cacheField>
    <cacheField name="LineNo" numFmtId="166">
      <sharedItems/>
    </cacheField>
    <cacheField name="MoldNo" numFmtId="0">
      <sharedItems count="23">
        <s v="JAC-02"/>
        <s v="DEO-C01"/>
        <s v="DEO-B03"/>
        <s v="DEO-P03"/>
        <s v="DEO-S02"/>
        <s v="DEO-D04"/>
        <s v="DEO-P01"/>
        <s v="DEO-D02"/>
        <s v="DEO-S01"/>
        <s v="DEO-C02"/>
        <s v="DEO-B01"/>
        <s v="DEO-C05"/>
        <s v="DEO-B02"/>
        <s v="DEO-U02"/>
        <s v="DEO-C07"/>
        <s v="DEO-C04" u="1"/>
        <s v="DEO-U01" u="1"/>
        <s v="DEO-U04" u="1"/>
        <s v="DEO-B06" u="1"/>
        <s v="DEO-M01" u="1"/>
        <s v="DEO-S03" u="1"/>
        <s v="DEO-D01" u="1"/>
        <s v="DEO-D03" u="1"/>
      </sharedItems>
    </cacheField>
    <cacheField name="Index" numFmtId="0">
      <sharedItems containsBlank="1" containsMixedTypes="1" containsNumber="1" containsInteger="1" minValue="24738" maxValue="28210"/>
    </cacheField>
    <cacheField name="Color" numFmtId="0">
      <sharedItems containsBlank="1"/>
    </cacheField>
    <cacheField name="Resin" numFmtId="0">
      <sharedItems containsString="0" containsBlank="1" containsNumber="1" containsInteger="1" minValue="814" maxValue="6331"/>
    </cacheField>
    <cacheField name="Status" numFmtId="0">
      <sharedItems/>
    </cacheField>
    <cacheField name="S1Cycle" numFmtId="164">
      <sharedItems containsSemiMixedTypes="0" containsString="0" containsNumber="1" minValue="0" maxValue="23.26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440"/>
    </cacheField>
    <cacheField name="S1Cavity" numFmtId="166">
      <sharedItems containsSemiMixedTypes="0" containsString="0" containsNumber="1" containsInteger="1" minValue="0" maxValue="24"/>
    </cacheField>
    <cacheField name="S1Qty" numFmtId="166">
      <sharedItems containsSemiMixedTypes="0" containsString="0" containsNumber="1" containsInteger="1" minValue="0" maxValue="40872"/>
    </cacheField>
    <cacheField name="S1Dft" numFmtId="166">
      <sharedItems containsString="0" containsBlank="1" containsNumber="1" containsInteger="1" minValue="0" maxValue="150"/>
    </cacheField>
    <cacheField name="S2Cycle" numFmtId="164">
      <sharedItems containsString="0" containsBlank="1" containsNumber="1" minValue="0" maxValue="23.29"/>
    </cacheField>
    <cacheField name="S2Hrs" numFmtId="165">
      <sharedItems containsString="0" containsBlank="1" containsNumber="1" minValue="0" maxValue="8"/>
    </cacheField>
    <cacheField name="S2Shot" numFmtId="166">
      <sharedItems containsString="0" containsBlank="1" containsNumber="1" containsInteger="1" minValue="0" maxValue="2610"/>
    </cacheField>
    <cacheField name="S2Cavity" numFmtId="166">
      <sharedItems containsString="0" containsBlank="1" containsNumber="1" containsInteger="1" minValue="0" maxValue="24"/>
    </cacheField>
    <cacheField name="S2Qty" numFmtId="166">
      <sharedItems containsSemiMixedTypes="0" containsString="0" containsNumber="1" containsInteger="1" minValue="0" maxValue="42432"/>
    </cacheField>
    <cacheField name="S2Dft" numFmtId="166">
      <sharedItems containsString="0" containsBlank="1" containsNumber="1" containsInteger="1" minValue="0" maxValue="155"/>
    </cacheField>
    <cacheField name="S3Cycle" numFmtId="164">
      <sharedItems containsString="0" containsBlank="1" containsNumber="1" minValue="0" maxValue="23.27"/>
    </cacheField>
    <cacheField name="S3Hrs" numFmtId="165">
      <sharedItems containsString="0" containsBlank="1" containsNumber="1" minValue="0" maxValue="8"/>
    </cacheField>
    <cacheField name="S3Shot" numFmtId="166">
      <sharedItems containsString="0" containsBlank="1" containsNumber="1" containsInteger="1" minValue="0" maxValue="2629"/>
    </cacheField>
    <cacheField name="S3Cavity" numFmtId="166">
      <sharedItems containsString="0" containsBlank="1" containsNumber="1" containsInteger="1" minValue="0" maxValue="24"/>
    </cacheField>
    <cacheField name="S3Qty" numFmtId="166">
      <sharedItems containsSemiMixedTypes="0" containsString="0" containsNumber="1" containsInteger="1" minValue="0" maxValue="43464"/>
    </cacheField>
    <cacheField name="S3Dft" numFmtId="166">
      <sharedItems containsString="0" containsBlank="1" containsNumber="1" containsInteger="1" minValue="0" maxValue="150"/>
    </cacheField>
    <cacheField name="Total" numFmtId="166">
      <sharedItems containsSemiMixedTypes="0" containsString="0" containsNumber="1" containsInteger="1" minValue="0" maxValue="121200"/>
    </cacheField>
    <cacheField name="TotalDft" numFmtId="166">
      <sharedItems containsString="0" containsBlank="1" containsNumber="1" containsInteger="1" minValue="0" maxValue="455"/>
    </cacheField>
    <cacheField name="DftRte" numFmtId="10">
      <sharedItems containsString="0" containsBlank="1" containsNumber="1" minValue="0" maxValue="2.0683649031134337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5"/>
    </cacheField>
    <cacheField name="S2Mold" numFmtId="166">
      <sharedItems containsString="0" containsBlank="1" containsNumber="1" containsInteger="1" minValue="0" maxValue="100"/>
    </cacheField>
    <cacheField name="S3Mold" numFmtId="166">
      <sharedItems containsString="0" containsBlank="1" containsNumber="1" containsInteger="1" minValue="0" maxValue="25"/>
    </cacheField>
    <cacheField name="S1Print" numFmtId="166">
      <sharedItems containsString="0" containsBlank="1" containsNumber="1" containsInteger="1" minValue="0" maxValue="125"/>
    </cacheField>
    <cacheField name="S2Print" numFmtId="166">
      <sharedItems containsString="0" containsBlank="1" containsNumber="1" containsInteger="1" minValue="0" maxValue="130"/>
    </cacheField>
    <cacheField name="S3Print" numFmtId="166">
      <sharedItems containsString="0" containsBlank="1" containsNumber="1" containsInteger="1" minValue="0" maxValue="13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0951633333333335"/>
    </cacheField>
    <cacheField name="S2%" numFmtId="168">
      <sharedItems containsSemiMixedTypes="0" containsString="0" containsNumber="1" minValue="0" maxValue="1.600785714285714"/>
    </cacheField>
    <cacheField name="S3%" numFmtId="168">
      <sharedItems containsSemiMixedTypes="0" containsString="0" containsNumber="1" minValue="0" maxValue="1.1137229166666667"/>
    </cacheField>
    <cacheField name="Daily%" numFmtId="168">
      <sharedItems containsSemiMixedTypes="0" containsString="0" containsNumber="1" minValue="0" maxValue="1.3363095238095237"/>
    </cacheField>
    <cacheField name="HrStrtCls" numFmtId="168">
      <sharedItems containsString="0" containsBlank="1" containsNumber="1" minValue="0" maxValue="2"/>
    </cacheField>
    <cacheField name="HrMaint" numFmtId="168">
      <sharedItems containsString="0" containsBlank="1" containsNumber="1" minValue="0" maxValue="8"/>
    </cacheField>
    <cacheField name="HrSample" numFmtId="168">
      <sharedItems containsString="0" containsBlank="1" containsNumber="1" minValue="0" maxValue="7.5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24"/>
    </cacheField>
    <cacheField name="B/C" numFmtId="1">
      <sharedItems/>
    </cacheField>
    <cacheField name="JA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Tim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5.632050810185" createdVersion="4" refreshedVersion="4" minRefreshableVersion="3" recordCount="71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7-01T00:00:00" count="305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3-10-13T00:00:00" u="1"/>
        <d v="2024-02-04T00:00:00" u="1"/>
        <d v="2024-05-26T00:00:00" u="1"/>
        <d v="2023-04-14T00:00:00" u="1"/>
        <d v="2024-03-09T00:00:00" u="1"/>
        <d v="2023-03-28T00:00:00" u="1"/>
        <d v="2023-05-19T00:00:00" u="1"/>
        <d v="2023-07-10T00:00:00" u="1"/>
        <d v="2024-02-23T00:00:00" u="1"/>
        <d v="2024-04-14T00:00:00" u="1"/>
        <d v="2023-03-02T00:00:00" u="1"/>
        <d v="2023-10-06T00:00:00" u="1"/>
        <d v="2024-03-28T00:00:00" u="1"/>
        <d v="2024-05-19T00:00:00" u="1"/>
        <d v="2023-04-07T00:00:00" u="1"/>
        <d v="2023-07-29T00:00:00" u="1"/>
        <d v="2024-03-02T00:00:00" u="1"/>
        <d v="2023-03-21T00:00:00" u="1"/>
        <d v="2023-05-12T00:00:00" u="1"/>
        <d v="2023-07-03T00:00:00" u="1"/>
        <d v="2023-10-25T00:00:00" u="1"/>
        <d v="2024-02-16T00:00:00" u="1"/>
        <d v="2024-04-07T00:00:00" u="1"/>
        <d v="2023-04-26T00:00:00" u="1"/>
        <d v="2024-03-21T00:00:00" u="1"/>
        <d v="2024-05-12T00:00:00" u="1"/>
        <d v="2023-05-31T00:00:00" u="1"/>
        <d v="2023-07-22T00:00:00" u="1"/>
        <d v="2024-04-26T00:00:00" u="1"/>
        <d v="2023-03-14T00:00:00" u="1"/>
        <d v="2023-05-05T00:00:00" u="1"/>
        <d v="2023-10-18T00:00:00" u="1"/>
        <d v="2024-02-09T00:00:00" u="1"/>
        <d v="2024-05-31T00:00:00" u="1"/>
        <d v="2023-04-19T00:00:00" u="1"/>
        <d v="2024-03-14T00:00:00" u="1"/>
        <d v="2024-05-05T00:00:00" u="1"/>
        <d v="2023-05-24T00:00:00" u="1"/>
        <d v="2023-07-15T00:00:00" u="1"/>
        <d v="2024-02-28T00:00:00" u="1"/>
        <d v="2024-04-19T00:00:00" u="1"/>
        <d v="2023-03-07T00:00:00" u="1"/>
        <d v="2023-10-11T00:00:00" u="1"/>
        <d v="2024-02-02T00:00:00" u="1"/>
        <d v="2024-05-24T00:00:00" u="1"/>
        <d v="2023-04-12T00:00:00" u="1"/>
        <d v="2024-03-07T00:00:00" u="1"/>
        <d v="2023-03-26T00:00:00" u="1"/>
        <d v="2023-05-17T00:00:00" u="1"/>
        <d v="2023-07-08T00:00:00" u="1"/>
        <d v="2023-10-30T00:00:00" u="1"/>
        <d v="2024-02-21T00:00:00" u="1"/>
        <d v="2024-04-12T00:00:00" u="1"/>
        <d v="2023-10-04T00:00:00" u="1"/>
        <d v="2024-03-26T00:00:00" u="1"/>
        <d v="2024-05-17T00:00:00" u="1"/>
        <d v="2023-04-05T00:00:00" u="1"/>
        <d v="2023-07-27T00:00:00" u="1"/>
        <d v="2023-03-19T00:00:00" u="1"/>
        <d v="2023-05-10T00:00:00" u="1"/>
        <d v="2023-07-01T00:00:00" u="1"/>
        <d v="2023-10-23T00:00:00" u="1"/>
        <d v="2024-02-14T00:00:00" u="1"/>
        <d v="2024-04-05T00:00:00" u="1"/>
        <d v="2023-04-24T00:00:00" u="1"/>
        <d v="2024-03-19T00:00:00" u="1"/>
        <d v="2024-05-10T00:00:00" u="1"/>
        <d v="2023-05-29T00:00:00" u="1"/>
        <d v="2023-07-20T00:00:00" u="1"/>
        <d v="2024-04-24T00:00:00" u="1"/>
        <d v="2023-03-12T00:00:00" u="1"/>
        <d v="2023-05-03T00:00:00" u="1"/>
        <d v="2023-10-16T00:00:00" u="1"/>
        <d v="2024-02-07T00:00:00" u="1"/>
        <d v="2024-05-29T00:00:00" u="1"/>
        <d v="2023-04-17T00:00:00" u="1"/>
        <d v="2024-03-12T00:00:00" u="1"/>
        <d v="2024-05-03T00:00:00" u="1"/>
        <d v="2023-03-31T00:00:00" u="1"/>
        <d v="2023-05-22T00:00:00" u="1"/>
        <d v="2023-07-13T00:00:00" u="1"/>
        <d v="2024-02-26T00:00:00" u="1"/>
        <d v="2024-04-17T00:00:00" u="1"/>
        <d v="2023-03-05T00:00:00" u="1"/>
        <d v="2023-10-09T00:00:00" u="1"/>
        <d v="2024-03-31T00:00:00" u="1"/>
        <d v="2024-05-22T00:00:00" u="1"/>
        <d v="2023-04-10T00:00:00" u="1"/>
        <d v="2024-03-05T00:00:00" u="1"/>
        <d v="2023-03-24T00:00:00" u="1"/>
        <d v="2023-05-15T00:00:00" u="1"/>
        <d v="2023-07-06T00:00:00" u="1"/>
        <d v="2023-10-28T00:00:00" u="1"/>
        <d v="2024-02-19T00:00:00" u="1"/>
        <d v="2024-04-10T00:00:00" u="1"/>
        <d v="2023-04-29T00:00:00" u="1"/>
        <d v="2023-10-02T00:00:00" u="1"/>
        <d v="2024-03-24T00:00:00" u="1"/>
        <d v="2024-05-15T00:00:00" u="1"/>
        <d v="2023-04-03T00:00:00" u="1"/>
        <d v="2023-07-25T00:00:00" u="1"/>
        <d v="2024-04-29T00:00:00" u="1"/>
        <d v="2023-03-17T00:00:00" u="1"/>
        <d v="2023-05-08T00:00:00" u="1"/>
        <d v="2023-10-21T00:00:00" u="1"/>
        <d v="2024-02-12T00:00:00" u="1"/>
        <d v="2024-04-03T00:00:00" u="1"/>
        <d v="2023-04-22T00:00:00" u="1"/>
        <d v="2024-03-17T00:00:00" u="1"/>
        <d v="2024-05-08T00:00:00" u="1"/>
        <d v="2023-05-27T00:00:00" u="1"/>
        <d v="2023-07-18T00:00:00" u="1"/>
        <d v="2024-04-22T00:00:00" u="1"/>
        <d v="2023-03-10T00:00:00" u="1"/>
        <d v="2023-05-01T00:00:00" u="1"/>
        <d v="2023-10-14T00:00:00" u="1"/>
        <d v="2024-02-05T00:00:00" u="1"/>
        <d v="2024-05-27T00:00:00" u="1"/>
        <d v="2023-04-15T00:00:00" u="1"/>
        <d v="2024-03-10T00:00:00" u="1"/>
        <d v="2024-05-01T00:00:00" u="1"/>
        <d v="2023-03-29T00:00:00" u="1"/>
        <d v="2023-05-20T00:00:00" u="1"/>
        <d v="2023-07-11T00:00:00" u="1"/>
        <d v="2024-02-24T00:00:00" u="1"/>
        <d v="2024-04-15T00:00:00" u="1"/>
        <d v="2023-03-03T00:00:00" u="1"/>
        <d v="2023-10-07T00:00:00" u="1"/>
        <d v="2024-03-29T00:00:00" u="1"/>
        <d v="2024-05-20T00:00:00" u="1"/>
        <d v="2023-04-08T00:00:00" u="1"/>
        <d v="2023-07-30T00:00:00" u="1"/>
        <d v="2024-03-03T00:00:00" u="1"/>
        <d v="2023-03-22T00:00:00" u="1"/>
        <d v="2023-05-13T00:00:00" u="1"/>
        <d v="2023-07-04T00:00:00" u="1"/>
        <d v="2023-10-26T00:00:00" u="1"/>
        <d v="2024-02-17T00:00:00" u="1"/>
        <d v="2024-04-08T00:00:00" u="1"/>
        <d v="2023-04-27T00:00:00" u="1"/>
        <d v="2024-03-22T00:00:00" u="1"/>
        <d v="2024-05-13T00:00:00" u="1"/>
        <d v="2023-04-01T00:00:00" u="1"/>
        <d v="2023-07-23T00:00:00" u="1"/>
        <d v="2024-04-27T00:00:00" u="1"/>
        <d v="2023-03-15T00:00:00" u="1"/>
        <d v="2023-05-06T00:00:00" u="1"/>
        <d v="2023-10-19T00:00:00" u="1"/>
        <d v="2024-02-10T00:00:00" u="1"/>
        <d v="2024-04-01T00:00:00" u="1"/>
        <d v="2023-04-20T00:00:00" u="1"/>
        <d v="2024-03-15T00:00:00" u="1"/>
        <d v="2024-05-06T00:00:00" u="1"/>
        <d v="2023-05-25T00:00:00" u="1"/>
        <d v="2023-07-16T00:00:00" u="1"/>
        <d v="2024-02-29T00:00:00" u="1"/>
        <d v="2024-04-20T00:00:00" u="1"/>
        <d v="2023-03-08T00:00:00" u="1"/>
        <d v="2023-10-12T00:00:00" u="1"/>
        <d v="2024-02-03T00:00:00" u="1"/>
        <d v="2024-05-25T00:00:00" u="1"/>
        <d v="2023-04-13T00:00:00" u="1"/>
        <d v="2024-03-08T00:00:00" u="1"/>
        <d v="2023-03-27T00:00:00" u="1"/>
        <d v="2023-05-18T00:00:00" u="1"/>
        <d v="2023-07-09T00:00:00" u="1"/>
        <d v="2023-10-31T00:00:00" u="1"/>
        <d v="2024-02-22T00:00:00" u="1"/>
        <d v="2024-04-13T00:00:00" u="1"/>
        <d v="2023-03-01T00:00:00" u="1"/>
        <d v="2023-10-05T00:00:00" u="1"/>
        <d v="2024-03-27T00:00:00" u="1"/>
        <d v="2024-05-18T00:00:00" u="1"/>
        <d v="2023-04-06T00:00:00" u="1"/>
        <d v="2023-07-28T00:00:00" u="1"/>
        <d v="2024-03-01T00:00:00" u="1"/>
        <d v="2023-03-20T00:00:00" u="1"/>
        <d v="2023-05-11T00:00:00" u="1"/>
        <d v="2023-07-02T00:00:00" u="1"/>
        <d v="2023-10-24T00:00:00" u="1"/>
        <d v="2024-02-15T00:00:00" u="1"/>
        <d v="2024-04-06T00:00:00" u="1"/>
        <d v="2023-04-25T00:00:00" u="1"/>
        <d v="2024-03-20T00:00:00" u="1"/>
        <d v="2024-05-11T00:00:00" u="1"/>
        <d v="2023-05-30T00:00:00" u="1"/>
        <d v="2023-07-21T00:00:00" u="1"/>
        <d v="2024-04-25T00:00:00" u="1"/>
        <d v="2023-03-13T00:00:00" u="1"/>
        <d v="2023-05-04T00:00:00" u="1"/>
        <d v="2023-10-17T00:00:00" u="1"/>
        <d v="2024-02-08T00:00:00" u="1"/>
        <d v="2024-05-30T00:00:00" u="1"/>
        <d v="2023-04-18T00:00:00" u="1"/>
        <d v="2024-03-13T00:00:00" u="1"/>
        <d v="2024-05-04T00:00:00" u="1"/>
        <d v="2023-05-23T00:00:00" u="1"/>
        <d v="2023-07-14T00:00:00" u="1"/>
        <d v="2024-02-27T00:00:00" u="1"/>
        <d v="2024-04-18T00:00:00" u="1"/>
        <d v="2023-03-06T00:00:00" u="1"/>
        <d v="2023-10-10T00:00:00" u="1"/>
        <d v="2024-02-01T00:00:00" u="1"/>
        <d v="2024-05-23T00:00:00" u="1"/>
        <d v="2023-04-11T00:00:00" u="1"/>
        <d v="2024-03-06T00:00:00" u="1"/>
        <d v="2023-03-25T00:00:00" u="1"/>
        <d v="2023-05-16T00:00:00" u="1"/>
        <d v="2023-07-07T00:00:00" u="1"/>
        <d v="2023-10-29T00:00:00" u="1"/>
        <d v="2024-02-20T00:00:00" u="1"/>
        <d v="2024-04-11T00:00:00" u="1"/>
        <d v="2023-04-30T00:00:00" u="1"/>
        <d v="2023-10-03T00:00:00" u="1"/>
        <d v="2024-03-25T00:00:00" u="1"/>
        <d v="2024-05-16T00:00:00" u="1"/>
        <d v="2023-04-04T00:00:00" u="1"/>
        <d v="2023-07-26T00:00:00" u="1"/>
        <d v="2024-04-30T00:00:00" u="1"/>
        <d v="2023-03-18T00:00:00" u="1"/>
        <d v="2023-05-09T00:00:00" u="1"/>
        <d v="2023-10-22T00:00:00" u="1"/>
        <d v="2024-02-13T00:00:00" u="1"/>
        <d v="2024-04-04T00:00:00" u="1"/>
        <d v="2023-04-23T00:00:00" u="1"/>
        <d v="2024-03-18T00:00:00" u="1"/>
        <d v="2024-05-09T00:00:00" u="1"/>
        <d v="2023-05-28T00:00:00" u="1"/>
        <d v="2023-07-19T00:00:00" u="1"/>
        <d v="2024-04-23T00:00:00" u="1"/>
        <d v="2023-03-11T00:00:00" u="1"/>
        <d v="2023-05-02T00:00:00" u="1"/>
        <d v="2023-10-15T00:00:00" u="1"/>
        <d v="2024-02-06T00:00:00" u="1"/>
        <d v="2024-05-28T00:00:00" u="1"/>
        <d v="2023-04-16T00:00:00" u="1"/>
        <d v="2024-03-11T00:00:00" u="1"/>
        <d v="2024-05-02T00:00:00" u="1"/>
        <d v="2023-03-30T00:00:00" u="1"/>
        <d v="2023-05-21T00:00:00" u="1"/>
        <d v="2023-07-12T00:00:00" u="1"/>
        <d v="2024-02-25T00:00:00" u="1"/>
        <d v="2024-04-16T00:00:00" u="1"/>
        <d v="2023-03-04T00:00:00" u="1"/>
        <d v="2023-10-08T00:00:00" u="1"/>
        <d v="2024-03-30T00:00:00" u="1"/>
        <d v="2024-05-21T00:00:00" u="1"/>
        <d v="2023-04-09T00:00:00" u="1"/>
        <d v="2023-07-31T00:00:00" u="1"/>
        <d v="2024-03-04T00:00:00" u="1"/>
        <d v="2023-03-23T00:00:00" u="1"/>
        <d v="2023-05-14T00:00:00" u="1"/>
        <d v="2023-07-05T00:00:00" u="1"/>
        <d v="2023-10-27T00:00:00" u="1"/>
        <d v="2024-02-18T00:00:00" u="1"/>
        <d v="2024-04-09T00:00:00" u="1"/>
        <d v="2023-04-28T00:00:00" u="1"/>
        <d v="2023-10-01T00:00:00" u="1"/>
        <d v="2024-03-23T00:00:00" u="1"/>
        <d v="2024-05-14T00:00:00" u="1"/>
        <d v="2023-04-02T00:00:00" u="1"/>
        <d v="2023-07-24T00:00:00" u="1"/>
        <d v="2024-04-28T00:00:00" u="1"/>
        <d v="2023-03-16T00:00:00" u="1"/>
        <d v="2023-05-07T00:00:00" u="1"/>
        <d v="2023-10-20T00:00:00" u="1"/>
        <d v="2024-02-11T00:00:00" u="1"/>
        <d v="2024-04-02T00:00:00" u="1"/>
        <d v="2023-04-21T00:00:00" u="1"/>
        <d v="2024-03-16T00:00:00" u="1"/>
        <d v="2024-05-07T00:00:00" u="1"/>
        <d v="2023-05-26T00:00:00" u="1"/>
        <d v="2023-07-17T00:00:00" u="1"/>
        <d v="2024-04-21T00:00:00" u="1"/>
      </sharedItems>
    </cacheField>
    <cacheField name="Line" numFmtId="0">
      <sharedItems/>
    </cacheField>
    <cacheField name="Index" numFmtId="0">
      <sharedItems containsString="0" containsBlank="1" containsNumber="1" containsInteger="1" minValue="26416" maxValue="28185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82"/>
    </cacheField>
    <cacheField name="S2Qty" numFmtId="166">
      <sharedItems containsSemiMixedTypes="0" containsString="0" containsNumber="1" containsInteger="1" minValue="0" maxValue="100"/>
    </cacheField>
    <cacheField name="S3Qty" numFmtId="166">
      <sharedItems containsSemiMixedTypes="0" containsString="0" containsNumber="1" containsInteger="1" minValue="0" maxValue="96"/>
    </cacheField>
    <cacheField name="Total" numFmtId="166">
      <sharedItems containsSemiMixedTypes="0" containsString="0" containsNumber="1" containsInteger="1" minValue="0" maxValue="51272"/>
    </cacheField>
    <cacheField name="Defects" numFmtId="166">
      <sharedItems containsSemiMixedTypes="0" containsString="0" containsNumber="1" containsInteger="1" minValue="0" maxValue="25"/>
    </cacheField>
    <cacheField name="Remarks" numFmtId="166">
      <sharedItems containsBlank="1"/>
    </cacheField>
    <cacheField name="Pcs/Carton" numFmtId="0">
      <sharedItems containsSemiMixedTypes="0" containsString="0" containsNumber="1" containsInteger="1" minValue="230" maxValue="3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6">
  <r>
    <d v="2024-06-01T00:00:00"/>
    <s v="01B"/>
    <x v="0"/>
    <n v="27422"/>
    <s v="White"/>
    <n v="6331"/>
    <s v="Running"/>
    <n v="14.36"/>
    <n v="8"/>
    <n v="1250"/>
    <n v="4"/>
    <n v="4994"/>
    <n v="6"/>
    <n v="14.36"/>
    <n v="8"/>
    <n v="1310"/>
    <n v="4"/>
    <n v="5235"/>
    <n v="5"/>
    <n v="22.66"/>
    <n v="8"/>
    <n v="1261"/>
    <n v="4"/>
    <n v="5037"/>
    <n v="7"/>
    <n v="15266"/>
    <n v="18"/>
    <n v="1.1790907899908293E-3"/>
    <m/>
    <n v="6"/>
    <n v="5"/>
    <n v="7"/>
    <n v="0"/>
    <n v="0"/>
    <n v="0"/>
    <n v="0"/>
    <n v="0"/>
    <n v="0"/>
    <n v="0"/>
    <n v="0"/>
    <n v="0"/>
    <n v="0"/>
    <n v="0"/>
    <n v="0"/>
    <n v="0.62326388888888884"/>
    <n v="0.65318055555555554"/>
    <n v="0.99216180555555555"/>
    <n v="0.75620208333333327"/>
    <n v="0"/>
    <n v="0"/>
    <n v="0"/>
    <n v="1"/>
    <n v="1"/>
    <n v="1"/>
    <n v="4"/>
    <b v="0"/>
    <b v="1"/>
  </r>
  <r>
    <d v="2024-06-01T00:00:00"/>
    <s v="02C"/>
    <x v="1"/>
    <n v="27711"/>
    <s v="White"/>
    <n v="814"/>
    <s v="Running"/>
    <n v="16.89"/>
    <n v="8"/>
    <n v="1701"/>
    <n v="8"/>
    <n v="13458"/>
    <n v="150"/>
    <n v="16.89"/>
    <n v="8"/>
    <n v="1735"/>
    <n v="8"/>
    <n v="13735"/>
    <n v="145"/>
    <n v="16.899999999999999"/>
    <n v="8"/>
    <n v="1614"/>
    <n v="8"/>
    <n v="12767"/>
    <n v="145"/>
    <n v="39960"/>
    <n v="440"/>
    <n v="1.1011011011011011E-2"/>
    <m/>
    <n v="25"/>
    <n v="25"/>
    <n v="20"/>
    <n v="125"/>
    <n v="120"/>
    <n v="125"/>
    <n v="0"/>
    <n v="0"/>
    <n v="0"/>
    <n v="0"/>
    <n v="0"/>
    <n v="0"/>
    <n v="0"/>
    <n v="0"/>
    <n v="0"/>
    <n v="0.99756562500000001"/>
    <n v="1.0175052083333334"/>
    <n v="0.94710416666666664"/>
    <n v="0.98739166666666678"/>
    <n v="0"/>
    <n v="0"/>
    <n v="0"/>
    <n v="1"/>
    <n v="1"/>
    <n v="1"/>
    <n v="8"/>
    <b v="1"/>
    <b v="0"/>
  </r>
  <r>
    <d v="2024-06-01T00:00:00"/>
    <s v="03C"/>
    <x v="2"/>
    <n v="27711"/>
    <s v="White"/>
    <n v="814"/>
    <s v="Running"/>
    <n v="20.8"/>
    <n v="8"/>
    <n v="1414"/>
    <n v="8"/>
    <n v="11182"/>
    <n v="130"/>
    <n v="20.8"/>
    <n v="8"/>
    <n v="1434"/>
    <n v="8"/>
    <n v="11352"/>
    <n v="120"/>
    <n v="20.8"/>
    <n v="8"/>
    <n v="1312"/>
    <n v="8"/>
    <n v="10371"/>
    <n v="125"/>
    <n v="32905"/>
    <n v="375"/>
    <n v="1.1396444309375475E-2"/>
    <m/>
    <n v="25"/>
    <n v="20"/>
    <n v="20"/>
    <n v="105"/>
    <n v="100"/>
    <n v="105"/>
    <n v="0"/>
    <n v="0"/>
    <n v="0"/>
    <n v="0"/>
    <n v="0"/>
    <n v="0"/>
    <n v="0"/>
    <n v="0"/>
    <n v="0"/>
    <n v="1.0212222222222223"/>
    <n v="1.0356666666666667"/>
    <n v="0.9475555555555556"/>
    <n v="1.0014814814814816"/>
    <n v="0"/>
    <n v="0"/>
    <n v="0"/>
    <n v="1"/>
    <n v="1"/>
    <n v="1"/>
    <n v="8"/>
    <b v="1"/>
    <b v="0"/>
  </r>
  <r>
    <d v="2024-06-01T00:00:00"/>
    <s v="06B"/>
    <x v="3"/>
    <n v="27136"/>
    <s v="White"/>
    <n v="814"/>
    <s v="Running"/>
    <n v="20.43"/>
    <n v="8"/>
    <n v="1452"/>
    <n v="16"/>
    <n v="23232"/>
    <m/>
    <n v="20.43"/>
    <n v="8"/>
    <n v="1437"/>
    <n v="16"/>
    <n v="22992"/>
    <m/>
    <n v="20.420000000000002"/>
    <n v="8"/>
    <n v="1351"/>
    <n v="16"/>
    <n v="21616"/>
    <m/>
    <n v="67840"/>
    <m/>
    <m/>
    <m/>
    <m/>
    <m/>
    <m/>
    <m/>
    <m/>
    <m/>
    <m/>
    <m/>
    <m/>
    <m/>
    <m/>
    <m/>
    <m/>
    <m/>
    <m/>
    <n v="1.0300125"/>
    <n v="1.019371875"/>
    <n v="0.9578965277777779"/>
    <n v="1.0024269675925925"/>
    <n v="0"/>
    <n v="0"/>
    <n v="0"/>
    <n v="1"/>
    <n v="1"/>
    <n v="1"/>
    <n v="16"/>
    <b v="0"/>
    <b v="0"/>
  </r>
  <r>
    <d v="2024-06-01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1T00:00:00"/>
    <s v="08B"/>
    <x v="5"/>
    <n v="27031"/>
    <s v="White"/>
    <n v="814"/>
    <s v="Running"/>
    <n v="17.25"/>
    <n v="8"/>
    <n v="1570"/>
    <n v="24"/>
    <n v="37680"/>
    <m/>
    <n v="17.25"/>
    <n v="8"/>
    <n v="1669"/>
    <n v="24"/>
    <n v="40056"/>
    <m/>
    <n v="17.25"/>
    <n v="8"/>
    <n v="1811"/>
    <n v="24"/>
    <n v="43464"/>
    <m/>
    <n v="121200"/>
    <m/>
    <m/>
    <m/>
    <m/>
    <m/>
    <m/>
    <m/>
    <m/>
    <m/>
    <m/>
    <m/>
    <m/>
    <m/>
    <m/>
    <m/>
    <m/>
    <m/>
    <m/>
    <n v="0.94036458333333328"/>
    <n v="0.99966145833333331"/>
    <n v="1.0847135416666667"/>
    <n v="1.0082465277777777"/>
    <n v="0"/>
    <n v="0"/>
    <n v="0"/>
    <n v="1"/>
    <n v="1"/>
    <n v="1"/>
    <n v="24"/>
    <b v="0"/>
    <b v="0"/>
  </r>
  <r>
    <d v="2024-06-01T00:00:00"/>
    <s v="09B"/>
    <x v="6"/>
    <n v="26684"/>
    <s v="White"/>
    <n v="814"/>
    <s v="Running"/>
    <n v="16.399999999999999"/>
    <n v="8"/>
    <n v="1657"/>
    <n v="15"/>
    <n v="24855"/>
    <m/>
    <n v="16.399999999999999"/>
    <n v="8"/>
    <n v="174"/>
    <n v="15"/>
    <n v="2610"/>
    <m/>
    <n v="16.47"/>
    <n v="8"/>
    <n v="1822"/>
    <n v="15"/>
    <n v="27330"/>
    <m/>
    <n v="54795"/>
    <m/>
    <m/>
    <m/>
    <m/>
    <m/>
    <m/>
    <m/>
    <m/>
    <m/>
    <m/>
    <m/>
    <m/>
    <m/>
    <m/>
    <m/>
    <m/>
    <m/>
    <m/>
    <n v="0.94356944444444446"/>
    <n v="9.9083333333333329E-2"/>
    <n v="1.0419562499999999"/>
    <n v="0.69486967592592597"/>
    <n v="0"/>
    <n v="0"/>
    <n v="0"/>
    <n v="1"/>
    <n v="1"/>
    <n v="1"/>
    <n v="15"/>
    <b v="0"/>
    <b v="0"/>
  </r>
  <r>
    <d v="2024-06-01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1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1T00:00:00"/>
    <s v="16B"/>
    <x v="9"/>
    <n v="27136"/>
    <s v="White"/>
    <n v="814"/>
    <s v="Running"/>
    <n v="19.190000000000001"/>
    <n v="5"/>
    <n v="974"/>
    <n v="8"/>
    <n v="7707"/>
    <n v="85"/>
    <n v="0"/>
    <n v="0"/>
    <n v="0"/>
    <n v="0"/>
    <n v="0"/>
    <n v="0"/>
    <n v="0"/>
    <n v="0"/>
    <n v="0"/>
    <n v="0"/>
    <n v="0"/>
    <n v="0"/>
    <n v="7707"/>
    <n v="85"/>
    <n v="1.1028934734656805E-2"/>
    <m/>
    <n v="15"/>
    <n v="0"/>
    <n v="0"/>
    <n v="70"/>
    <n v="0"/>
    <n v="0"/>
    <n v="0"/>
    <n v="0"/>
    <n v="0"/>
    <n v="0"/>
    <n v="0"/>
    <n v="0"/>
    <n v="0"/>
    <n v="0"/>
    <n v="0"/>
    <n v="1.0383922222222224"/>
    <n v="0"/>
    <n v="0"/>
    <n v="1.0383922222222224"/>
    <n v="0.5"/>
    <n v="0"/>
    <n v="0"/>
    <n v="1"/>
    <n v="0"/>
    <n v="0"/>
    <n v="8"/>
    <b v="1"/>
    <b v="0"/>
  </r>
  <r>
    <d v="2024-06-01T00:00:00"/>
    <s v="16B"/>
    <x v="9"/>
    <n v="27712"/>
    <s v="White"/>
    <n v="814"/>
    <s v="Running"/>
    <n v="19.21"/>
    <n v="2"/>
    <n v="328"/>
    <n v="8"/>
    <n v="2579"/>
    <n v="45"/>
    <n v="19.28"/>
    <n v="8"/>
    <n v="1586"/>
    <n v="8"/>
    <n v="12563"/>
    <n v="125"/>
    <n v="19.190000000000001"/>
    <n v="8"/>
    <n v="1479"/>
    <n v="8"/>
    <n v="11707"/>
    <n v="125"/>
    <n v="26849"/>
    <n v="295"/>
    <n v="1.0987373831427614E-2"/>
    <m/>
    <n v="10"/>
    <n v="20"/>
    <n v="20"/>
    <n v="35"/>
    <n v="105"/>
    <n v="105"/>
    <n v="0"/>
    <n v="0"/>
    <n v="0"/>
    <n v="0"/>
    <n v="0"/>
    <n v="0"/>
    <n v="0"/>
    <n v="0"/>
    <n v="0"/>
    <n v="0.87512222222222225"/>
    <n v="1.061738888888889"/>
    <n v="0.98548645833333337"/>
    <n v="0.97411585648148158"/>
    <n v="0.5"/>
    <n v="0"/>
    <n v="0"/>
    <n v="1"/>
    <n v="1"/>
    <n v="1"/>
    <n v="8"/>
    <b v="1"/>
    <b v="0"/>
  </r>
  <r>
    <d v="2024-06-01T00:00:00"/>
    <s v="17B"/>
    <x v="10"/>
    <n v="27136"/>
    <s v="White"/>
    <n v="814"/>
    <s v="Running"/>
    <n v="22.29"/>
    <n v="1.5"/>
    <n v="238"/>
    <n v="8"/>
    <n v="1879"/>
    <n v="25"/>
    <n v="22.29"/>
    <n v="8"/>
    <n v="1331"/>
    <n v="8"/>
    <n v="10533"/>
    <n v="115"/>
    <n v="0"/>
    <n v="0"/>
    <n v="0"/>
    <n v="0"/>
    <n v="0"/>
    <n v="0"/>
    <n v="12412"/>
    <n v="140"/>
    <n v="1.1279407025459234E-2"/>
    <s v="Shift-1 13:30 開機 維修6.5小時"/>
    <n v="10"/>
    <n v="20"/>
    <n v="0"/>
    <n v="15"/>
    <n v="95"/>
    <n v="0"/>
    <n v="0"/>
    <n v="0"/>
    <n v="0"/>
    <n v="0"/>
    <n v="0"/>
    <n v="0"/>
    <n v="0"/>
    <n v="0"/>
    <n v="0"/>
    <n v="0.98241111111111101"/>
    <n v="1.0301385416666666"/>
    <n v="0"/>
    <n v="1.0062748263888888"/>
    <n v="0"/>
    <n v="6.5"/>
    <n v="0"/>
    <n v="1"/>
    <n v="1"/>
    <n v="0"/>
    <n v="8"/>
    <b v="1"/>
    <b v="0"/>
  </r>
  <r>
    <d v="2024-06-01T00:00:00"/>
    <s v="17B"/>
    <x v="10"/>
    <n v="27712"/>
    <s v="White"/>
    <n v="814"/>
    <s v="Running"/>
    <n v="0"/>
    <n v="0"/>
    <n v="0"/>
    <n v="0"/>
    <n v="0"/>
    <n v="0"/>
    <n v="0"/>
    <n v="0"/>
    <n v="0"/>
    <n v="0"/>
    <n v="0"/>
    <n v="0"/>
    <n v="22.29"/>
    <n v="8"/>
    <n v="1309"/>
    <n v="8"/>
    <n v="10352"/>
    <n v="120"/>
    <n v="10352"/>
    <n v="120"/>
    <n v="1.1591962905718702E-2"/>
    <m/>
    <n v="0"/>
    <n v="0"/>
    <n v="25"/>
    <n v="0"/>
    <n v="0"/>
    <n v="95"/>
    <n v="0"/>
    <n v="0"/>
    <n v="0"/>
    <n v="0"/>
    <n v="0"/>
    <n v="0"/>
    <n v="0"/>
    <n v="0"/>
    <n v="0"/>
    <n v="0"/>
    <n v="0"/>
    <n v="1.0131114583333334"/>
    <n v="1.0131114583333334"/>
    <n v="0"/>
    <n v="0"/>
    <n v="0"/>
    <n v="0"/>
    <n v="0"/>
    <n v="1"/>
    <n v="8"/>
    <b v="1"/>
    <b v="0"/>
  </r>
  <r>
    <d v="2024-06-01T00:00:00"/>
    <s v="20B"/>
    <x v="11"/>
    <n v="27248"/>
    <s v="White"/>
    <n v="814"/>
    <s v="Running"/>
    <n v="20.79"/>
    <n v="7"/>
    <n v="1257"/>
    <n v="8"/>
    <n v="9941"/>
    <n v="115"/>
    <n v="20.78"/>
    <n v="8"/>
    <n v="1476"/>
    <n v="8"/>
    <n v="11683"/>
    <n v="125"/>
    <n v="20.75"/>
    <n v="4"/>
    <n v="696"/>
    <n v="8"/>
    <n v="5503"/>
    <n v="65"/>
    <n v="27127"/>
    <n v="305"/>
    <n v="1.1243410624101448E-2"/>
    <s v="Shift-1 換色油"/>
    <n v="15"/>
    <n v="20"/>
    <n v="10"/>
    <n v="100"/>
    <n v="105"/>
    <n v="55"/>
    <n v="0"/>
    <n v="0"/>
    <n v="0"/>
    <n v="0"/>
    <n v="0"/>
    <n v="0"/>
    <n v="0"/>
    <n v="0"/>
    <n v="0"/>
    <n v="1.0370249999999999"/>
    <n v="1.064975"/>
    <n v="1.0029166666666667"/>
    <n v="1.0349722222222222"/>
    <n v="0"/>
    <n v="1"/>
    <n v="0"/>
    <n v="1"/>
    <n v="1"/>
    <n v="1"/>
    <n v="8"/>
    <b v="1"/>
    <b v="0"/>
  </r>
  <r>
    <d v="2024-06-01T00:00:00"/>
    <s v="20B"/>
    <x v="11"/>
    <n v="27713"/>
    <s v="White"/>
    <n v="814"/>
    <s v="Running"/>
    <n v="0"/>
    <n v="0"/>
    <n v="0"/>
    <n v="0"/>
    <n v="0"/>
    <n v="0"/>
    <n v="0"/>
    <n v="0"/>
    <n v="0"/>
    <n v="0"/>
    <n v="0"/>
    <n v="0"/>
    <n v="20.75"/>
    <n v="4"/>
    <n v="578"/>
    <n v="8"/>
    <n v="4574"/>
    <n v="50"/>
    <n v="4574"/>
    <n v="50"/>
    <n v="1.0931351114997814E-2"/>
    <m/>
    <n v="0"/>
    <n v="0"/>
    <n v="5"/>
    <n v="0"/>
    <n v="0"/>
    <n v="45"/>
    <n v="0"/>
    <n v="0"/>
    <n v="0"/>
    <n v="0"/>
    <n v="0"/>
    <n v="0"/>
    <n v="0"/>
    <n v="0"/>
    <n v="0"/>
    <n v="0"/>
    <n v="0"/>
    <n v="0.83288194444444441"/>
    <n v="0.83288194444444441"/>
    <n v="0"/>
    <n v="0"/>
    <n v="0"/>
    <n v="0"/>
    <n v="0"/>
    <n v="1"/>
    <n v="8"/>
    <b v="1"/>
    <b v="0"/>
  </r>
  <r>
    <d v="2024-06-01T00:00:00"/>
    <s v="21B"/>
    <x v="12"/>
    <n v="27134"/>
    <s v="White"/>
    <n v="814"/>
    <s v="Running"/>
    <n v="21.79"/>
    <n v="8"/>
    <n v="1316"/>
    <n v="8"/>
    <n v="10403"/>
    <n v="125"/>
    <n v="21.79"/>
    <n v="8"/>
    <n v="1404"/>
    <n v="8"/>
    <n v="11112"/>
    <n v="120"/>
    <n v="0"/>
    <n v="0"/>
    <n v="0"/>
    <n v="0"/>
    <n v="0"/>
    <n v="0"/>
    <n v="21515"/>
    <n v="245"/>
    <n v="1.138740413664885E-2"/>
    <m/>
    <n v="20"/>
    <n v="20"/>
    <n v="0"/>
    <n v="105"/>
    <n v="100"/>
    <n v="0"/>
    <n v="0"/>
    <n v="0"/>
    <n v="0"/>
    <n v="0"/>
    <n v="0"/>
    <n v="0"/>
    <n v="0"/>
    <n v="0"/>
    <n v="0"/>
    <n v="0.99568194444444447"/>
    <n v="1.0622624999999999"/>
    <n v="0"/>
    <n v="1.0289722222222222"/>
    <n v="0"/>
    <n v="0"/>
    <n v="0"/>
    <n v="1"/>
    <n v="1"/>
    <n v="0"/>
    <n v="8"/>
    <b v="1"/>
    <b v="0"/>
  </r>
  <r>
    <d v="2024-06-01T00:00:00"/>
    <s v="21B"/>
    <x v="12"/>
    <n v="27713"/>
    <s v="White"/>
    <n v="814"/>
    <s v="Running"/>
    <n v="0"/>
    <n v="0"/>
    <n v="0"/>
    <n v="0"/>
    <n v="0"/>
    <n v="0"/>
    <n v="0"/>
    <n v="0"/>
    <n v="0"/>
    <n v="0"/>
    <n v="0"/>
    <n v="0"/>
    <n v="21.84"/>
    <n v="8"/>
    <n v="1203"/>
    <n v="8"/>
    <n v="9514"/>
    <n v="110"/>
    <n v="9514"/>
    <n v="110"/>
    <n v="1.156190876602901E-2"/>
    <m/>
    <n v="0"/>
    <n v="0"/>
    <n v="15"/>
    <n v="0"/>
    <n v="0"/>
    <n v="95"/>
    <n v="0"/>
    <n v="0"/>
    <n v="0"/>
    <n v="0"/>
    <n v="0"/>
    <n v="0"/>
    <n v="0"/>
    <n v="0"/>
    <n v="0"/>
    <n v="0"/>
    <n v="0"/>
    <n v="0.91227500000000006"/>
    <n v="0.91227500000000006"/>
    <n v="0"/>
    <n v="0"/>
    <n v="0"/>
    <n v="0"/>
    <n v="0"/>
    <n v="1"/>
    <n v="8"/>
    <b v="1"/>
    <b v="0"/>
  </r>
  <r>
    <d v="2024-06-01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2T00:00:00"/>
    <s v="01B"/>
    <x v="0"/>
    <n v="27647"/>
    <s v="White"/>
    <n v="6331"/>
    <s v="Running"/>
    <n v="22.68"/>
    <n v="8"/>
    <n v="1244"/>
    <n v="4"/>
    <n v="4969"/>
    <n v="7"/>
    <n v="22.68"/>
    <n v="8"/>
    <n v="1177"/>
    <n v="4"/>
    <n v="4702"/>
    <n v="6"/>
    <n v="22.65"/>
    <n v="8"/>
    <n v="1194"/>
    <n v="4"/>
    <n v="4770"/>
    <n v="6"/>
    <n v="14441"/>
    <n v="19"/>
    <n v="1.3156983588394156E-3"/>
    <m/>
    <n v="7"/>
    <n v="6"/>
    <n v="6"/>
    <n v="0"/>
    <n v="0"/>
    <n v="0"/>
    <n v="0"/>
    <n v="0"/>
    <n v="0"/>
    <n v="0"/>
    <n v="0"/>
    <n v="0"/>
    <n v="0"/>
    <n v="0"/>
    <n v="0"/>
    <n v="0.97964999999999991"/>
    <n v="0.92688749999999998"/>
    <n v="0.93903124999999998"/>
    <n v="0.94852291666666666"/>
    <n v="0"/>
    <n v="0"/>
    <n v="0"/>
    <n v="1"/>
    <n v="1"/>
    <n v="1"/>
    <n v="4"/>
    <b v="0"/>
    <b v="1"/>
  </r>
  <r>
    <d v="2024-06-02T00:00:00"/>
    <s v="02C"/>
    <x v="1"/>
    <n v="27711"/>
    <s v="White"/>
    <n v="814"/>
    <s v="Running"/>
    <n v="16.899999999999999"/>
    <n v="5.3"/>
    <n v="1181"/>
    <n v="8"/>
    <n v="9386"/>
    <n v="62"/>
    <n v="0"/>
    <n v="0"/>
    <n v="0"/>
    <n v="0"/>
    <n v="0"/>
    <n v="0"/>
    <n v="0"/>
    <n v="0"/>
    <n v="0"/>
    <n v="0"/>
    <n v="0"/>
    <n v="0"/>
    <n v="9386"/>
    <n v="62"/>
    <n v="6.6055827828681015E-3"/>
    <m/>
    <n v="10"/>
    <n v="0"/>
    <n v="0"/>
    <n v="52"/>
    <n v="0"/>
    <n v="0"/>
    <n v="0"/>
    <n v="0"/>
    <n v="0"/>
    <n v="0"/>
    <n v="0"/>
    <n v="0"/>
    <n v="0"/>
    <n v="0"/>
    <n v="0"/>
    <n v="1.0460639412997903"/>
    <n v="0"/>
    <n v="0"/>
    <n v="1.0460639412997903"/>
    <n v="0"/>
    <n v="0"/>
    <n v="0"/>
    <n v="1"/>
    <n v="0"/>
    <n v="0"/>
    <n v="8"/>
    <b v="1"/>
    <b v="0"/>
  </r>
  <r>
    <d v="2024-06-02T00:00:00"/>
    <s v="02C"/>
    <x v="1"/>
    <n v="27713"/>
    <s v="White"/>
    <n v="814"/>
    <s v="Running"/>
    <n v="16.899999999999999"/>
    <n v="2.7"/>
    <n v="530"/>
    <n v="8"/>
    <n v="4202"/>
    <n v="38"/>
    <n v="16.899999999999999"/>
    <n v="8"/>
    <n v="1605"/>
    <n v="8"/>
    <n v="12725"/>
    <n v="115"/>
    <n v="16.91"/>
    <n v="8"/>
    <n v="1585"/>
    <n v="8"/>
    <n v="12555"/>
    <n v="125"/>
    <n v="29482"/>
    <n v="278"/>
    <n v="9.4294823960382607E-3"/>
    <s v="Shift-1 转单27713"/>
    <n v="8"/>
    <n v="15"/>
    <n v="20"/>
    <n v="30"/>
    <n v="100"/>
    <n v="105"/>
    <n v="0"/>
    <n v="0"/>
    <n v="0"/>
    <n v="0"/>
    <n v="0"/>
    <n v="0"/>
    <n v="0"/>
    <n v="0"/>
    <n v="0"/>
    <n v="0.92150205761316872"/>
    <n v="0.94182291666666651"/>
    <n v="0.9306371527777777"/>
    <n v="0.93132070901920427"/>
    <n v="0"/>
    <n v="0"/>
    <n v="0"/>
    <n v="1"/>
    <n v="1"/>
    <n v="1"/>
    <n v="8"/>
    <b v="1"/>
    <b v="0"/>
  </r>
  <r>
    <d v="2024-06-02T00:00:00"/>
    <s v="03C"/>
    <x v="2"/>
    <n v="27711"/>
    <s v="White"/>
    <n v="814"/>
    <s v="Running"/>
    <n v="20.75"/>
    <n v="8"/>
    <n v="1417"/>
    <n v="8"/>
    <n v="11201"/>
    <n v="135"/>
    <n v="20.75"/>
    <n v="6"/>
    <n v="1016"/>
    <n v="8"/>
    <n v="8028"/>
    <n v="100"/>
    <n v="0"/>
    <n v="0"/>
    <n v="0"/>
    <n v="0"/>
    <n v="0"/>
    <n v="0"/>
    <n v="19229"/>
    <n v="235"/>
    <n v="1.2221124343439596E-2"/>
    <m/>
    <n v="20"/>
    <n v="15"/>
    <n v="0"/>
    <n v="115"/>
    <n v="85"/>
    <n v="0"/>
    <n v="0"/>
    <n v="0"/>
    <n v="0"/>
    <n v="0"/>
    <n v="0"/>
    <n v="0"/>
    <n v="0"/>
    <n v="0"/>
    <n v="0"/>
    <n v="1.0209288194444444"/>
    <n v="0.97601851851851851"/>
    <n v="0"/>
    <n v="0.99847366898148149"/>
    <n v="0"/>
    <n v="0"/>
    <n v="0"/>
    <n v="1"/>
    <n v="1"/>
    <n v="0"/>
    <n v="8"/>
    <b v="1"/>
    <b v="0"/>
  </r>
  <r>
    <d v="2024-06-02T00:00:00"/>
    <s v="03C"/>
    <x v="2"/>
    <n v="27713"/>
    <s v="White"/>
    <n v="814"/>
    <s v="Running"/>
    <n v="0"/>
    <n v="0"/>
    <n v="0"/>
    <n v="0"/>
    <n v="0"/>
    <n v="0"/>
    <n v="20.75"/>
    <n v="2"/>
    <n v="327"/>
    <n v="8"/>
    <n v="2576"/>
    <n v="40"/>
    <n v="20.85"/>
    <n v="8"/>
    <n v="1213"/>
    <n v="8"/>
    <n v="9559"/>
    <n v="145"/>
    <n v="12135"/>
    <n v="185"/>
    <n v="1.5245158632056036E-2"/>
    <s v="Shift-2 转单27713"/>
    <n v="0"/>
    <n v="5"/>
    <n v="25"/>
    <n v="0"/>
    <n v="35"/>
    <n v="120"/>
    <n v="0"/>
    <n v="0"/>
    <n v="0"/>
    <n v="0"/>
    <n v="0"/>
    <n v="0"/>
    <n v="0"/>
    <n v="0"/>
    <n v="0"/>
    <n v="0"/>
    <n v="0.94239583333333332"/>
    <n v="0.87816145833333348"/>
    <n v="0.9102786458333334"/>
    <n v="0"/>
    <n v="0"/>
    <n v="0"/>
    <n v="0"/>
    <n v="1"/>
    <n v="1"/>
    <n v="8"/>
    <b v="1"/>
    <b v="0"/>
  </r>
  <r>
    <d v="2024-06-02T00:00:00"/>
    <s v="06B"/>
    <x v="3"/>
    <n v="27136"/>
    <s v="White"/>
    <n v="814"/>
    <s v="Running"/>
    <n v="20.43"/>
    <n v="8"/>
    <n v="1449"/>
    <n v="16"/>
    <n v="23184"/>
    <m/>
    <n v="20.43"/>
    <n v="8"/>
    <n v="1431"/>
    <n v="16"/>
    <n v="22896"/>
    <m/>
    <n v="20.420000000000002"/>
    <n v="8"/>
    <n v="1376"/>
    <n v="16"/>
    <n v="22016"/>
    <m/>
    <n v="68096"/>
    <m/>
    <m/>
    <m/>
    <m/>
    <m/>
    <m/>
    <m/>
    <m/>
    <m/>
    <m/>
    <m/>
    <m/>
    <m/>
    <m/>
    <m/>
    <m/>
    <m/>
    <m/>
    <n v="1.027884375"/>
    <n v="1.015115625"/>
    <n v="0.97562222222222228"/>
    <n v="1.0062074074074074"/>
    <n v="0"/>
    <n v="0"/>
    <n v="0"/>
    <n v="1"/>
    <n v="1"/>
    <n v="1"/>
    <n v="16"/>
    <b v="0"/>
    <b v="0"/>
  </r>
  <r>
    <d v="2024-06-02T00:00:00"/>
    <s v="08A"/>
    <x v="4"/>
    <n v="27438"/>
    <s v="White"/>
    <n v="814"/>
    <s v="Running"/>
    <n v="18.59"/>
    <n v="8"/>
    <n v="1530"/>
    <n v="16"/>
    <n v="24480"/>
    <m/>
    <n v="18.59"/>
    <n v="8"/>
    <n v="1548"/>
    <n v="16"/>
    <n v="24768"/>
    <m/>
    <n v="18.54"/>
    <n v="8"/>
    <n v="1474"/>
    <n v="15"/>
    <n v="22110"/>
    <m/>
    <n v="71358"/>
    <m/>
    <m/>
    <m/>
    <m/>
    <m/>
    <m/>
    <m/>
    <m/>
    <m/>
    <m/>
    <m/>
    <m/>
    <m/>
    <m/>
    <m/>
    <m/>
    <m/>
    <m/>
    <n v="0.98759375000000005"/>
    <n v="0.99921249999999995"/>
    <n v="0.94888749999999999"/>
    <n v="0.97856458333333329"/>
    <n v="0"/>
    <n v="0"/>
    <n v="0"/>
    <n v="1"/>
    <n v="1"/>
    <n v="1"/>
    <n v="16"/>
    <b v="0"/>
    <b v="0"/>
  </r>
  <r>
    <d v="2024-06-02T00:00:00"/>
    <s v="08B"/>
    <x v="5"/>
    <n v="27031"/>
    <s v="White"/>
    <n v="814"/>
    <s v="Running"/>
    <n v="17.25"/>
    <n v="8"/>
    <n v="1545"/>
    <n v="24"/>
    <n v="37080"/>
    <m/>
    <n v="17.25"/>
    <n v="8"/>
    <n v="1167"/>
    <n v="24"/>
    <n v="28008"/>
    <m/>
    <n v="17.25"/>
    <n v="8"/>
    <n v="1578"/>
    <n v="24"/>
    <n v="37872"/>
    <m/>
    <n v="102960"/>
    <m/>
    <m/>
    <m/>
    <m/>
    <m/>
    <m/>
    <m/>
    <m/>
    <m/>
    <m/>
    <m/>
    <m/>
    <m/>
    <m/>
    <m/>
    <m/>
    <m/>
    <m/>
    <n v="0.92539062500000002"/>
    <n v="0.69898437499999999"/>
    <n v="0.94515625000000003"/>
    <n v="0.85651041666666672"/>
    <n v="0"/>
    <n v="0"/>
    <n v="0"/>
    <n v="1"/>
    <n v="1"/>
    <n v="1"/>
    <n v="24"/>
    <b v="0"/>
    <b v="0"/>
  </r>
  <r>
    <d v="2024-06-02T00:00:00"/>
    <s v="09B"/>
    <x v="6"/>
    <n v="26684"/>
    <s v="White"/>
    <n v="814"/>
    <s v="Running"/>
    <n v="16.489999999999998"/>
    <n v="8"/>
    <n v="1694"/>
    <n v="15"/>
    <n v="25410"/>
    <m/>
    <n v="16.489999999999998"/>
    <n v="8"/>
    <n v="1741"/>
    <n v="15"/>
    <n v="26115"/>
    <m/>
    <n v="16.46"/>
    <n v="8"/>
    <n v="1665"/>
    <n v="15"/>
    <n v="24975"/>
    <m/>
    <n v="76500"/>
    <m/>
    <m/>
    <m/>
    <m/>
    <m/>
    <m/>
    <m/>
    <m/>
    <m/>
    <m/>
    <m/>
    <m/>
    <m/>
    <m/>
    <m/>
    <m/>
    <m/>
    <m/>
    <n v="0.96993263888888881"/>
    <n v="0.99684340277777761"/>
    <n v="0.95159375000000002"/>
    <n v="0.97278993055555552"/>
    <n v="0"/>
    <n v="0"/>
    <n v="0"/>
    <n v="1"/>
    <n v="1"/>
    <n v="1"/>
    <n v="15"/>
    <b v="0"/>
    <b v="0"/>
  </r>
  <r>
    <d v="2024-06-02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2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2T00:00:00"/>
    <s v="16B"/>
    <x v="9"/>
    <n v="27712"/>
    <s v="White"/>
    <n v="814"/>
    <s v="Running"/>
    <n v="19.190000000000001"/>
    <n v="8"/>
    <n v="1491"/>
    <n v="8"/>
    <n v="11778"/>
    <n v="150"/>
    <n v="19.190000000000001"/>
    <n v="8"/>
    <n v="1623"/>
    <n v="8"/>
    <n v="12844"/>
    <n v="140"/>
    <n v="19.190000000000001"/>
    <n v="6"/>
    <n v="1087"/>
    <n v="8"/>
    <n v="8576"/>
    <n v="120"/>
    <n v="33198"/>
    <n v="410"/>
    <n v="1.2350141574793663E-2"/>
    <m/>
    <n v="25"/>
    <n v="20"/>
    <n v="20"/>
    <n v="125"/>
    <n v="120"/>
    <n v="100"/>
    <n v="0"/>
    <n v="0"/>
    <n v="0"/>
    <n v="0"/>
    <n v="0"/>
    <n v="0"/>
    <n v="0"/>
    <n v="0"/>
    <n v="0"/>
    <n v="0.99348229166666668"/>
    <n v="1.0814364583333334"/>
    <n v="0.96571898148148161"/>
    <n v="1.0135459104938274"/>
    <n v="0"/>
    <n v="0"/>
    <n v="0"/>
    <n v="1"/>
    <n v="1"/>
    <n v="1"/>
    <n v="8"/>
    <b v="1"/>
    <b v="0"/>
  </r>
  <r>
    <d v="2024-06-02T00:00:00"/>
    <s v="17B"/>
    <x v="10"/>
    <n v="27712"/>
    <s v="White"/>
    <n v="814"/>
    <s v="Running"/>
    <n v="22.29"/>
    <n v="8"/>
    <n v="1280"/>
    <n v="8"/>
    <n v="10095"/>
    <n v="145"/>
    <n v="22.29"/>
    <n v="8"/>
    <n v="1408"/>
    <n v="8"/>
    <n v="11119"/>
    <n v="145"/>
    <n v="22.29"/>
    <n v="8"/>
    <n v="1189"/>
    <n v="8"/>
    <n v="9372"/>
    <n v="140"/>
    <n v="30586"/>
    <n v="430"/>
    <n v="1.4058719675668607E-2"/>
    <m/>
    <n v="20"/>
    <n v="25"/>
    <n v="20"/>
    <n v="125"/>
    <n v="120"/>
    <n v="120"/>
    <n v="0"/>
    <n v="0"/>
    <n v="0"/>
    <n v="0"/>
    <n v="0"/>
    <n v="0"/>
    <n v="0"/>
    <n v="0"/>
    <n v="0"/>
    <n v="0.99066666666666658"/>
    <n v="1.0897333333333332"/>
    <n v="0.92023645833333323"/>
    <n v="1.0002121527777776"/>
    <n v="0"/>
    <n v="0"/>
    <n v="0"/>
    <n v="1"/>
    <n v="1"/>
    <n v="1"/>
    <n v="8"/>
    <b v="1"/>
    <b v="0"/>
  </r>
  <r>
    <d v="2024-06-02T00:00:00"/>
    <s v="20B"/>
    <x v="11"/>
    <n v="27713"/>
    <s v="White"/>
    <n v="814"/>
    <s v="Running"/>
    <n v="20.79"/>
    <n v="8"/>
    <n v="1411"/>
    <n v="8"/>
    <n v="11143"/>
    <n v="145"/>
    <n v="20.79"/>
    <n v="8"/>
    <n v="1483"/>
    <n v="8"/>
    <n v="11729"/>
    <n v="135"/>
    <n v="20.75"/>
    <n v="8"/>
    <n v="1278"/>
    <n v="8"/>
    <n v="10079"/>
    <n v="145"/>
    <n v="32951"/>
    <n v="425"/>
    <n v="1.2897939364510941E-2"/>
    <m/>
    <n v="20"/>
    <n v="25"/>
    <n v="20"/>
    <n v="125"/>
    <n v="110"/>
    <n v="125"/>
    <n v="0"/>
    <n v="0"/>
    <n v="0"/>
    <n v="0"/>
    <n v="0"/>
    <n v="0"/>
    <n v="0"/>
    <n v="0"/>
    <n v="0"/>
    <n v="1.0185656249999999"/>
    <n v="1.070540625"/>
    <n v="0.92078125"/>
    <n v="1.0032958333333333"/>
    <n v="0"/>
    <n v="0"/>
    <n v="0"/>
    <n v="1"/>
    <n v="1"/>
    <n v="1"/>
    <n v="8"/>
    <b v="1"/>
    <b v="0"/>
  </r>
  <r>
    <d v="2024-06-02T00:00:00"/>
    <s v="21B"/>
    <x v="12"/>
    <n v="27713"/>
    <s v="White"/>
    <n v="814"/>
    <s v="Running"/>
    <n v="21.88"/>
    <n v="8"/>
    <n v="1061"/>
    <n v="8"/>
    <n v="8348"/>
    <n v="140"/>
    <n v="21.88"/>
    <n v="8"/>
    <n v="1278"/>
    <n v="8"/>
    <n v="10079"/>
    <n v="145"/>
    <n v="21.84"/>
    <n v="8"/>
    <n v="1222"/>
    <n v="8"/>
    <n v="9636"/>
    <n v="140"/>
    <n v="28063"/>
    <n v="425"/>
    <n v="1.5144496311869721E-2"/>
    <m/>
    <n v="25"/>
    <n v="25"/>
    <n v="20"/>
    <n v="115"/>
    <n v="120"/>
    <n v="120"/>
    <n v="0"/>
    <n v="0"/>
    <n v="0"/>
    <n v="0"/>
    <n v="0"/>
    <n v="0"/>
    <n v="0"/>
    <n v="0"/>
    <n v="0"/>
    <n v="0.80606527777777781"/>
    <n v="0.97092499999999993"/>
    <n v="0.9266833333333333"/>
    <n v="0.90122453703703709"/>
    <n v="0"/>
    <n v="0"/>
    <n v="0"/>
    <n v="1"/>
    <n v="1"/>
    <n v="1"/>
    <n v="8"/>
    <b v="1"/>
    <b v="0"/>
  </r>
  <r>
    <d v="2024-06-02T00:00:00"/>
    <s v="29B"/>
    <x v="13"/>
    <n v="27250"/>
    <s v="White"/>
    <n v="814"/>
    <s v="Running"/>
    <n v="13.36"/>
    <n v="8"/>
    <n v="2140"/>
    <n v="16"/>
    <n v="34240"/>
    <m/>
    <n v="13.36"/>
    <n v="8"/>
    <n v="2136"/>
    <n v="16"/>
    <n v="34176"/>
    <m/>
    <n v="13.33"/>
    <n v="8"/>
    <n v="2195"/>
    <n v="16"/>
    <n v="35120"/>
    <m/>
    <n v="103536"/>
    <m/>
    <m/>
    <m/>
    <m/>
    <m/>
    <m/>
    <m/>
    <m/>
    <m/>
    <m/>
    <m/>
    <m/>
    <m/>
    <m/>
    <m/>
    <m/>
    <m/>
    <m/>
    <n v="0.99272222222222217"/>
    <n v="0.99086666666666667"/>
    <n v="1.0159496527777778"/>
    <n v="0.99984618055555552"/>
    <n v="0"/>
    <n v="0"/>
    <n v="0"/>
    <n v="1"/>
    <n v="1"/>
    <n v="1"/>
    <n v="16"/>
    <b v="0"/>
    <b v="0"/>
  </r>
  <r>
    <d v="2024-06-03T00:00:00"/>
    <s v="01B"/>
    <x v="0"/>
    <n v="27647"/>
    <s v="White"/>
    <n v="6331"/>
    <s v="Running"/>
    <n v="22.68"/>
    <n v="8"/>
    <n v="1254"/>
    <n v="4"/>
    <n v="5010"/>
    <n v="6"/>
    <n v="22.68"/>
    <n v="8"/>
    <n v="1372"/>
    <n v="4"/>
    <n v="5484"/>
    <n v="4"/>
    <n v="22.67"/>
    <n v="8"/>
    <n v="1160"/>
    <n v="4"/>
    <n v="4633"/>
    <n v="7"/>
    <n v="15127"/>
    <n v="17"/>
    <n v="1.1238183380709989E-3"/>
    <m/>
    <n v="6"/>
    <n v="4"/>
    <n v="7"/>
    <n v="0"/>
    <n v="0"/>
    <n v="0"/>
    <n v="0"/>
    <n v="0"/>
    <n v="0"/>
    <n v="0"/>
    <n v="0"/>
    <n v="0"/>
    <n v="0"/>
    <n v="0"/>
    <n v="0"/>
    <n v="0.98752499999999999"/>
    <n v="1.0804499999999999"/>
    <n v="0.91309722222222223"/>
    <n v="0.99369074074074071"/>
    <n v="0"/>
    <n v="0"/>
    <n v="0"/>
    <n v="1"/>
    <n v="1"/>
    <n v="1"/>
    <n v="4"/>
    <b v="0"/>
    <b v="1"/>
  </r>
  <r>
    <d v="2024-06-03T00:00:00"/>
    <s v="02C"/>
    <x v="1"/>
    <n v="27501"/>
    <s v="White"/>
    <n v="6331"/>
    <s v="Running"/>
    <n v="16.98"/>
    <n v="3"/>
    <n v="574"/>
    <n v="8"/>
    <n v="4492"/>
    <n v="100"/>
    <n v="16.98"/>
    <n v="8"/>
    <n v="1878"/>
    <n v="8"/>
    <n v="14914"/>
    <n v="110"/>
    <n v="17.010000000000002"/>
    <n v="8"/>
    <n v="1440"/>
    <n v="8"/>
    <n v="11410"/>
    <n v="110"/>
    <n v="30816"/>
    <n v="320"/>
    <n v="1.0384215991692628E-2"/>
    <m/>
    <n v="15"/>
    <n v="20"/>
    <n v="15"/>
    <n v="85"/>
    <n v="90"/>
    <n v="95"/>
    <n v="0"/>
    <n v="0"/>
    <n v="0"/>
    <n v="0"/>
    <n v="0"/>
    <n v="0"/>
    <n v="0"/>
    <n v="0"/>
    <n v="0"/>
    <n v="0.90245555555555557"/>
    <n v="1.1072375000000001"/>
    <n v="0.85050000000000003"/>
    <n v="0.9533976851851852"/>
    <n v="0"/>
    <n v="0"/>
    <n v="0"/>
    <n v="1"/>
    <n v="1"/>
    <n v="1"/>
    <n v="8"/>
    <b v="1"/>
    <b v="0"/>
  </r>
  <r>
    <d v="2024-06-03T00:00:00"/>
    <s v="03C"/>
    <x v="2"/>
    <n v="27501"/>
    <s v="White"/>
    <n v="6331"/>
    <s v="Running"/>
    <n v="20.9"/>
    <n v="5"/>
    <n v="870"/>
    <n v="8"/>
    <n v="6855"/>
    <n v="105"/>
    <n v="20.9"/>
    <n v="8"/>
    <n v="1540"/>
    <n v="8"/>
    <n v="12200"/>
    <n v="120"/>
    <n v="20.81"/>
    <n v="8"/>
    <n v="1172"/>
    <n v="8"/>
    <n v="9261"/>
    <n v="115"/>
    <n v="28316"/>
    <n v="340"/>
    <n v="1.2007345670292414E-2"/>
    <m/>
    <n v="20"/>
    <n v="20"/>
    <n v="15"/>
    <n v="85"/>
    <n v="100"/>
    <n v="100"/>
    <n v="0"/>
    <n v="0"/>
    <n v="0"/>
    <n v="0"/>
    <n v="0"/>
    <n v="0"/>
    <n v="0"/>
    <n v="0"/>
    <n v="0"/>
    <n v="1.0101666666666667"/>
    <n v="1.1175694444444444"/>
    <n v="0.84685138888888889"/>
    <n v="0.99152916666666668"/>
    <n v="0"/>
    <n v="0"/>
    <n v="0"/>
    <n v="1"/>
    <n v="1"/>
    <n v="1"/>
    <n v="8"/>
    <b v="1"/>
    <b v="0"/>
  </r>
  <r>
    <d v="2024-06-03T00:00:00"/>
    <s v="06B"/>
    <x v="3"/>
    <n v="27501"/>
    <s v="White"/>
    <n v="6331"/>
    <s v="Running"/>
    <n v="20.43"/>
    <n v="8"/>
    <n v="1416"/>
    <n v="16"/>
    <n v="22656"/>
    <m/>
    <n v="20.43"/>
    <n v="8"/>
    <n v="1544"/>
    <n v="16"/>
    <n v="24704"/>
    <m/>
    <n v="20.420000000000002"/>
    <n v="8"/>
    <n v="1395"/>
    <n v="16"/>
    <n v="22320"/>
    <m/>
    <n v="69680"/>
    <m/>
    <m/>
    <m/>
    <m/>
    <m/>
    <m/>
    <m/>
    <m/>
    <m/>
    <m/>
    <m/>
    <m/>
    <m/>
    <m/>
    <m/>
    <m/>
    <m/>
    <m/>
    <n v="1.004475"/>
    <n v="1.095275"/>
    <n v="0.9890937500000001"/>
    <n v="1.0296145833333334"/>
    <n v="0"/>
    <n v="0"/>
    <n v="0"/>
    <n v="1"/>
    <n v="1"/>
    <n v="1"/>
    <n v="16"/>
    <b v="0"/>
    <b v="0"/>
  </r>
  <r>
    <d v="2024-06-03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3T00:00:00"/>
    <s v="08B"/>
    <x v="5"/>
    <n v="27031"/>
    <s v="White"/>
    <n v="814"/>
    <s v="Running"/>
    <n v="17.25"/>
    <n v="3"/>
    <n v="600"/>
    <n v="24"/>
    <n v="14400"/>
    <m/>
    <n v="0"/>
    <n v="0"/>
    <n v="0"/>
    <n v="0"/>
    <n v="0"/>
    <m/>
    <n v="0"/>
    <n v="0"/>
    <n v="0"/>
    <n v="0"/>
    <n v="0"/>
    <m/>
    <n v="14400"/>
    <m/>
    <m/>
    <m/>
    <m/>
    <m/>
    <m/>
    <m/>
    <m/>
    <m/>
    <m/>
    <m/>
    <m/>
    <m/>
    <m/>
    <m/>
    <m/>
    <m/>
    <m/>
    <n v="0.95833333333333337"/>
    <n v="0"/>
    <n v="0"/>
    <n v="0.95833333333333337"/>
    <n v="1"/>
    <n v="0"/>
    <n v="0"/>
    <n v="1"/>
    <n v="0"/>
    <n v="0"/>
    <n v="24"/>
    <b v="0"/>
    <b v="0"/>
  </r>
  <r>
    <d v="2024-06-03T00:00:00"/>
    <s v="09B"/>
    <x v="6"/>
    <n v="26684"/>
    <s v="White"/>
    <n v="814"/>
    <s v="Running"/>
    <n v="16.399999999999999"/>
    <n v="8"/>
    <n v="1683"/>
    <n v="15"/>
    <n v="25245"/>
    <m/>
    <n v="16.399999999999999"/>
    <n v="8"/>
    <n v="1925"/>
    <n v="15"/>
    <n v="28875"/>
    <m/>
    <n v="16.510000000000002"/>
    <n v="8"/>
    <n v="1744"/>
    <n v="15"/>
    <n v="26160"/>
    <m/>
    <n v="80280"/>
    <m/>
    <m/>
    <m/>
    <m/>
    <m/>
    <m/>
    <m/>
    <m/>
    <m/>
    <m/>
    <m/>
    <m/>
    <m/>
    <m/>
    <m/>
    <m/>
    <m/>
    <m/>
    <n v="0.95837499999999987"/>
    <n v="1.0961805555555555"/>
    <n v="0.99977222222222228"/>
    <n v="1.0181092592592593"/>
    <n v="0"/>
    <n v="0"/>
    <n v="0"/>
    <n v="1"/>
    <n v="1"/>
    <n v="1"/>
    <n v="15"/>
    <b v="0"/>
    <b v="0"/>
  </r>
  <r>
    <d v="2024-06-03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3T00:00:00"/>
    <s v="14A"/>
    <x v="8"/>
    <n v="27430"/>
    <s v="Orange"/>
    <n v="6331"/>
    <s v="Running"/>
    <n v="21.33"/>
    <n v="2"/>
    <n v="357"/>
    <n v="8"/>
    <n v="2856"/>
    <m/>
    <n v="21.93"/>
    <n v="8"/>
    <n v="1366"/>
    <n v="8"/>
    <n v="10928"/>
    <m/>
    <n v="21.33"/>
    <n v="8"/>
    <n v="1332"/>
    <n v="8"/>
    <n v="10656"/>
    <m/>
    <n v="24440"/>
    <m/>
    <m/>
    <m/>
    <m/>
    <m/>
    <m/>
    <m/>
    <m/>
    <m/>
    <m/>
    <m/>
    <m/>
    <m/>
    <m/>
    <m/>
    <m/>
    <m/>
    <m/>
    <n v="1.0576124999999998"/>
    <n v="1.0401520833333333"/>
    <n v="0.9865124999999999"/>
    <n v="1.028092361111111"/>
    <n v="0.5"/>
    <n v="0"/>
    <n v="0"/>
    <n v="1"/>
    <n v="1"/>
    <n v="1"/>
    <n v="8"/>
    <b v="0"/>
    <b v="0"/>
  </r>
  <r>
    <d v="2024-06-03T00:00:00"/>
    <s v="16B"/>
    <x v="9"/>
    <n v="27714"/>
    <s v="White"/>
    <n v="814"/>
    <s v="Running"/>
    <n v="19.190000000000001"/>
    <n v="1"/>
    <n v="97"/>
    <n v="8"/>
    <n v="766"/>
    <n v="10"/>
    <n v="19.190000000000001"/>
    <n v="8"/>
    <n v="1497"/>
    <n v="8"/>
    <n v="11856"/>
    <n v="120"/>
    <n v="19.190000000000001"/>
    <n v="8"/>
    <n v="1418"/>
    <n v="8"/>
    <n v="11204"/>
    <n v="140"/>
    <n v="23826"/>
    <n v="270"/>
    <n v="1.1332158146562578E-2"/>
    <s v="Shift-1 1:00PM开机"/>
    <n v="0"/>
    <n v="20"/>
    <n v="20"/>
    <n v="10"/>
    <n v="100"/>
    <n v="120"/>
    <n v="0"/>
    <n v="0"/>
    <n v="0"/>
    <n v="0"/>
    <n v="0"/>
    <n v="0"/>
    <n v="0"/>
    <n v="0"/>
    <n v="0"/>
    <n v="0.51706388888888888"/>
    <n v="0.9974802083333334"/>
    <n v="0.9448409722222223"/>
    <n v="0.81979502314814823"/>
    <n v="0.5"/>
    <n v="0"/>
    <n v="0"/>
    <n v="1"/>
    <n v="1"/>
    <n v="1"/>
    <n v="8"/>
    <b v="1"/>
    <b v="0"/>
  </r>
  <r>
    <d v="2024-06-03T00:00:00"/>
    <s v="17B"/>
    <x v="10"/>
    <n v="27714"/>
    <s v="White"/>
    <n v="814"/>
    <s v="Running"/>
    <n v="0"/>
    <n v="0"/>
    <n v="0"/>
    <n v="0"/>
    <n v="0"/>
    <n v="0"/>
    <n v="22.29"/>
    <n v="6"/>
    <n v="929"/>
    <n v="8"/>
    <n v="7317"/>
    <n v="115"/>
    <n v="22.29"/>
    <n v="8"/>
    <n v="1250"/>
    <n v="8"/>
    <n v="9855"/>
    <n v="145"/>
    <n v="17172"/>
    <n v="260"/>
    <n v="1.5140927090612625E-2"/>
    <m/>
    <n v="0"/>
    <n v="15"/>
    <n v="20"/>
    <n v="0"/>
    <n v="100"/>
    <n v="125"/>
    <n v="0"/>
    <n v="0"/>
    <n v="0"/>
    <n v="0"/>
    <n v="0"/>
    <n v="0"/>
    <n v="0"/>
    <n v="0"/>
    <n v="0"/>
    <n v="0"/>
    <n v="0.95867638888888884"/>
    <n v="0.96744791666666663"/>
    <n v="0.96306215277777774"/>
    <n v="0.5"/>
    <n v="0"/>
    <n v="0"/>
    <n v="0"/>
    <n v="1"/>
    <n v="1"/>
    <n v="8"/>
    <b v="1"/>
    <b v="0"/>
  </r>
  <r>
    <d v="2024-06-03T00:00:00"/>
    <s v="20B"/>
    <x v="11"/>
    <n v="27713"/>
    <s v="White"/>
    <n v="814"/>
    <s v="Running"/>
    <n v="20.69"/>
    <n v="8"/>
    <n v="1397"/>
    <n v="8"/>
    <n v="11026"/>
    <n v="150"/>
    <n v="20.78"/>
    <n v="8"/>
    <n v="1267"/>
    <n v="8"/>
    <n v="9996"/>
    <n v="140"/>
    <n v="20.76"/>
    <n v="1.5"/>
    <n v="213"/>
    <n v="8"/>
    <n v="1679"/>
    <n v="25"/>
    <n v="22701"/>
    <n v="315"/>
    <n v="1.3876040703052728E-2"/>
    <m/>
    <n v="25"/>
    <n v="20"/>
    <n v="5"/>
    <n v="125"/>
    <n v="120"/>
    <n v="20"/>
    <n v="0"/>
    <n v="0"/>
    <n v="0"/>
    <n v="0"/>
    <n v="0"/>
    <n v="0"/>
    <n v="0"/>
    <n v="0"/>
    <n v="0"/>
    <n v="1.0036086805555555"/>
    <n v="0.91417569444444446"/>
    <n v="0.81886666666666663"/>
    <n v="0.91221701388888887"/>
    <n v="0"/>
    <n v="0"/>
    <n v="0"/>
    <n v="1"/>
    <n v="1"/>
    <n v="1"/>
    <n v="8"/>
    <b v="1"/>
    <b v="0"/>
  </r>
  <r>
    <d v="2024-06-03T00:00:00"/>
    <s v="20B"/>
    <x v="11"/>
    <n v="27430"/>
    <s v="Orange"/>
    <n v="6331"/>
    <s v="Running"/>
    <n v="0"/>
    <n v="0"/>
    <n v="0"/>
    <n v="0"/>
    <n v="0"/>
    <n v="0"/>
    <n v="0"/>
    <n v="0"/>
    <n v="0"/>
    <n v="0"/>
    <n v="0"/>
    <n v="0"/>
    <n v="20.76"/>
    <n v="6.5"/>
    <n v="767"/>
    <n v="8"/>
    <n v="6016"/>
    <n v="120"/>
    <n v="6016"/>
    <n v="120"/>
    <n v="1.9946808510638299E-2"/>
    <s v="Shift-3 转单27430, 走色"/>
    <n v="0"/>
    <n v="0"/>
    <n v="20"/>
    <n v="0"/>
    <n v="0"/>
    <n v="100"/>
    <n v="0"/>
    <n v="0"/>
    <n v="0"/>
    <n v="0"/>
    <n v="0"/>
    <n v="0"/>
    <n v="0"/>
    <n v="0"/>
    <n v="0"/>
    <n v="0"/>
    <n v="0"/>
    <n v="0.68046666666666678"/>
    <n v="0.68046666666666678"/>
    <n v="0"/>
    <n v="0"/>
    <n v="0"/>
    <n v="0"/>
    <n v="0"/>
    <n v="1"/>
    <n v="8"/>
    <b v="1"/>
    <b v="0"/>
  </r>
  <r>
    <d v="2024-06-03T00:00:00"/>
    <s v="21B"/>
    <x v="12"/>
    <n v="27713"/>
    <s v="White"/>
    <n v="814"/>
    <s v="Running"/>
    <n v="21.89"/>
    <n v="8"/>
    <n v="1333"/>
    <n v="8"/>
    <n v="10519"/>
    <n v="145"/>
    <n v="21.89"/>
    <n v="8"/>
    <n v="1327"/>
    <n v="8"/>
    <n v="10466"/>
    <n v="150"/>
    <n v="21.07"/>
    <n v="2.5"/>
    <n v="435"/>
    <n v="8"/>
    <n v="3420"/>
    <n v="60"/>
    <n v="24405"/>
    <n v="355"/>
    <n v="1.4546199549272691E-2"/>
    <m/>
    <n v="20"/>
    <n v="20"/>
    <n v="10"/>
    <n v="125"/>
    <n v="130"/>
    <n v="50"/>
    <n v="0"/>
    <n v="0"/>
    <n v="0"/>
    <n v="0"/>
    <n v="0"/>
    <n v="0"/>
    <n v="0"/>
    <n v="0"/>
    <n v="0"/>
    <n v="1.0131725694444444"/>
    <n v="1.0086121527777778"/>
    <n v="1.0183833333333334"/>
    <n v="1.013389351851852"/>
    <n v="0"/>
    <n v="0"/>
    <n v="0"/>
    <n v="1"/>
    <n v="1"/>
    <n v="1"/>
    <n v="8"/>
    <b v="1"/>
    <b v="0"/>
  </r>
  <r>
    <d v="2024-06-03T00:00:00"/>
    <s v="21B"/>
    <x v="12"/>
    <n v="27430"/>
    <s v="Orange"/>
    <n v="6331"/>
    <s v="Running"/>
    <n v="0"/>
    <n v="0"/>
    <n v="0"/>
    <n v="0"/>
    <n v="0"/>
    <n v="0"/>
    <n v="0"/>
    <n v="0"/>
    <n v="0"/>
    <n v="0"/>
    <n v="0"/>
    <n v="0"/>
    <n v="21.07"/>
    <n v="5.5"/>
    <n v="586"/>
    <n v="8"/>
    <n v="4593"/>
    <n v="95"/>
    <n v="4593"/>
    <n v="95"/>
    <n v="2.0683649031134337E-2"/>
    <s v="Shift-3 转单27430, 走色"/>
    <n v="0"/>
    <n v="0"/>
    <n v="15"/>
    <n v="0"/>
    <n v="0"/>
    <n v="80"/>
    <n v="0"/>
    <n v="0"/>
    <n v="0"/>
    <n v="0"/>
    <n v="0"/>
    <n v="0"/>
    <n v="0"/>
    <n v="0"/>
    <n v="0"/>
    <n v="0"/>
    <n v="0"/>
    <n v="0.62358686868686874"/>
    <n v="0.62358686868686874"/>
    <n v="0"/>
    <n v="0"/>
    <n v="0"/>
    <n v="0"/>
    <n v="0"/>
    <n v="1"/>
    <n v="8"/>
    <b v="1"/>
    <b v="0"/>
  </r>
  <r>
    <d v="2024-06-03T00:00:00"/>
    <s v="29B"/>
    <x v="13"/>
    <n v="27250"/>
    <s v="White"/>
    <n v="814"/>
    <s v="Running"/>
    <n v="13.32"/>
    <n v="8"/>
    <n v="2030"/>
    <n v="16"/>
    <n v="32480"/>
    <m/>
    <n v="13.07"/>
    <n v="8"/>
    <n v="2365"/>
    <n v="16"/>
    <n v="37840"/>
    <m/>
    <n v="13.04"/>
    <n v="8"/>
    <n v="2068"/>
    <n v="16"/>
    <n v="33088"/>
    <m/>
    <n v="103408"/>
    <m/>
    <m/>
    <m/>
    <m/>
    <m/>
    <m/>
    <m/>
    <m/>
    <m/>
    <m/>
    <m/>
    <m/>
    <m/>
    <m/>
    <m/>
    <m/>
    <m/>
    <m/>
    <n v="0.93887500000000013"/>
    <n v="1.0732829861111111"/>
    <n v="0.93634444444444431"/>
    <n v="0.9828341435185185"/>
    <n v="0"/>
    <n v="0"/>
    <n v="0"/>
    <n v="1"/>
    <n v="1"/>
    <n v="1"/>
    <n v="16"/>
    <b v="0"/>
    <b v="0"/>
  </r>
  <r>
    <d v="2024-06-04T00:00:00"/>
    <s v="01B"/>
    <x v="0"/>
    <n v="27647"/>
    <s v="White"/>
    <n v="6331"/>
    <s v="Running"/>
    <n v="22.58"/>
    <n v="8"/>
    <n v="1241"/>
    <n v="4"/>
    <n v="4958"/>
    <n v="6"/>
    <n v="22.69"/>
    <n v="8"/>
    <n v="1342"/>
    <n v="4"/>
    <n v="5364"/>
    <n v="4"/>
    <n v="22.66"/>
    <n v="8"/>
    <n v="1198"/>
    <n v="4"/>
    <n v="4786"/>
    <n v="6"/>
    <n v="15108"/>
    <n v="16"/>
    <n v="1.0590415673815197E-3"/>
    <m/>
    <n v="6"/>
    <n v="4"/>
    <n v="6"/>
    <n v="0"/>
    <n v="0"/>
    <n v="0"/>
    <n v="0"/>
    <n v="0"/>
    <n v="0"/>
    <n v="0"/>
    <n v="0"/>
    <n v="0"/>
    <n v="0"/>
    <n v="0"/>
    <n v="0"/>
    <n v="0.97297847222222222"/>
    <n v="1.0572909722222223"/>
    <n v="0.94259305555555561"/>
    <n v="0.99095416666666669"/>
    <n v="0"/>
    <n v="0"/>
    <n v="0"/>
    <n v="1"/>
    <n v="1"/>
    <n v="1"/>
    <n v="4"/>
    <b v="0"/>
    <b v="1"/>
  </r>
  <r>
    <d v="2024-06-04T00:00:00"/>
    <s v="02C"/>
    <x v="1"/>
    <n v="27501"/>
    <s v="White"/>
    <n v="6331"/>
    <s v="Running"/>
    <n v="16.940000000000001"/>
    <n v="8"/>
    <n v="1454"/>
    <n v="8"/>
    <n v="11517"/>
    <n v="115"/>
    <n v="16.89"/>
    <n v="8"/>
    <n v="1768"/>
    <n v="8"/>
    <n v="14034"/>
    <n v="110"/>
    <n v="0"/>
    <n v="0"/>
    <n v="0"/>
    <n v="0"/>
    <n v="0"/>
    <n v="0"/>
    <n v="25551"/>
    <n v="225"/>
    <n v="8.8059175766114824E-3"/>
    <m/>
    <n v="15"/>
    <n v="20"/>
    <n v="0"/>
    <n v="100"/>
    <n v="90"/>
    <n v="0"/>
    <n v="0"/>
    <n v="0"/>
    <n v="0"/>
    <n v="0"/>
    <n v="0"/>
    <n v="0"/>
    <n v="0"/>
    <n v="0"/>
    <n v="0"/>
    <n v="0.8552347222222223"/>
    <n v="1.0368583333333334"/>
    <n v="0"/>
    <n v="0.94604652777777787"/>
    <n v="0"/>
    <n v="0"/>
    <n v="0"/>
    <n v="1"/>
    <n v="1"/>
    <n v="0"/>
    <n v="8"/>
    <b v="1"/>
    <b v="0"/>
  </r>
  <r>
    <d v="2024-06-04T00:00:00"/>
    <s v="02C"/>
    <x v="1"/>
    <n v="27578"/>
    <s v="White"/>
    <n v="6331"/>
    <s v="Running"/>
    <n v="0"/>
    <n v="0"/>
    <n v="0"/>
    <n v="0"/>
    <n v="0"/>
    <n v="0"/>
    <n v="0"/>
    <n v="0"/>
    <n v="0"/>
    <n v="0"/>
    <n v="0"/>
    <n v="0"/>
    <n v="16.989999999999998"/>
    <n v="8"/>
    <n v="1596"/>
    <n v="8"/>
    <n v="12653"/>
    <n v="115"/>
    <n v="12653"/>
    <n v="115"/>
    <n v="9.0887536552596224E-3"/>
    <s v="Shift-3 转单27578"/>
    <n v="0"/>
    <n v="0"/>
    <n v="15"/>
    <n v="0"/>
    <n v="0"/>
    <n v="100"/>
    <n v="0"/>
    <n v="0"/>
    <n v="0"/>
    <n v="0"/>
    <n v="0"/>
    <n v="0"/>
    <n v="0"/>
    <n v="0"/>
    <n v="0"/>
    <n v="0"/>
    <n v="0"/>
    <n v="0.94152916666666653"/>
    <n v="0.94152916666666653"/>
    <n v="0"/>
    <n v="0"/>
    <n v="0"/>
    <n v="0"/>
    <n v="0"/>
    <n v="1"/>
    <n v="8"/>
    <b v="1"/>
    <b v="0"/>
  </r>
  <r>
    <d v="2024-06-04T00:00:00"/>
    <s v="03C"/>
    <x v="2"/>
    <n v="27501"/>
    <s v="White"/>
    <n v="6331"/>
    <s v="Running"/>
    <n v="20.84"/>
    <n v="8"/>
    <n v="1416"/>
    <n v="8"/>
    <n v="11208"/>
    <n v="120"/>
    <n v="20.81"/>
    <n v="8"/>
    <n v="1489"/>
    <n v="8"/>
    <n v="11767"/>
    <n v="145"/>
    <n v="20.8"/>
    <n v="1.5"/>
    <n v="217"/>
    <n v="8"/>
    <n v="1711"/>
    <n v="25"/>
    <n v="24686"/>
    <n v="290"/>
    <n v="1.1747549218180345E-2"/>
    <m/>
    <n v="20"/>
    <n v="25"/>
    <n v="5"/>
    <n v="100"/>
    <n v="120"/>
    <n v="20"/>
    <n v="0"/>
    <n v="0"/>
    <n v="0"/>
    <n v="0"/>
    <n v="0"/>
    <n v="0"/>
    <n v="0"/>
    <n v="0"/>
    <n v="0"/>
    <n v="1.0246333333333333"/>
    <n v="1.0759059027777778"/>
    <n v="0.83585185185185196"/>
    <n v="0.97879702932098767"/>
    <n v="0"/>
    <n v="0"/>
    <n v="0"/>
    <n v="1"/>
    <n v="1"/>
    <n v="1"/>
    <n v="8"/>
    <b v="1"/>
    <b v="0"/>
  </r>
  <r>
    <d v="2024-06-04T00:00:00"/>
    <s v="03C"/>
    <x v="2"/>
    <n v="27578"/>
    <s v="White"/>
    <n v="6331"/>
    <s v="Running"/>
    <n v="0"/>
    <n v="0"/>
    <n v="0"/>
    <n v="0"/>
    <n v="0"/>
    <n v="0"/>
    <n v="0"/>
    <n v="0"/>
    <n v="0"/>
    <n v="0"/>
    <n v="0"/>
    <n v="0"/>
    <n v="20.8"/>
    <n v="6.5"/>
    <n v="981"/>
    <n v="8"/>
    <n v="7743"/>
    <n v="105"/>
    <n v="7743"/>
    <n v="105"/>
    <n v="1.3560635412630763E-2"/>
    <s v="Shift-3 转单27578"/>
    <n v="0"/>
    <n v="0"/>
    <n v="15"/>
    <n v="0"/>
    <n v="0"/>
    <n v="90"/>
    <n v="0"/>
    <n v="0"/>
    <n v="0"/>
    <n v="0"/>
    <n v="0"/>
    <n v="0"/>
    <n v="0"/>
    <n v="0"/>
    <n v="0"/>
    <n v="0"/>
    <n v="0"/>
    <n v="0.872"/>
    <n v="0.872"/>
    <n v="0"/>
    <n v="0"/>
    <n v="0"/>
    <n v="0"/>
    <n v="0"/>
    <n v="1"/>
    <n v="8"/>
    <b v="1"/>
    <b v="0"/>
  </r>
  <r>
    <d v="2024-06-04T00:00:00"/>
    <s v="06B"/>
    <x v="3"/>
    <n v="27501"/>
    <s v="White"/>
    <n v="6331"/>
    <s v="Running"/>
    <n v="20.43"/>
    <n v="8"/>
    <n v="1300"/>
    <n v="16"/>
    <n v="20800"/>
    <m/>
    <n v="20.43"/>
    <n v="8"/>
    <n v="1512"/>
    <n v="16"/>
    <n v="24192"/>
    <m/>
    <n v="20.43"/>
    <n v="8"/>
    <n v="1258"/>
    <n v="16"/>
    <n v="20128"/>
    <m/>
    <n v="65120"/>
    <m/>
    <m/>
    <m/>
    <m/>
    <m/>
    <m/>
    <m/>
    <m/>
    <m/>
    <m/>
    <m/>
    <m/>
    <m/>
    <m/>
    <m/>
    <m/>
    <m/>
    <m/>
    <n v="0.92218750000000005"/>
    <n v="1.0725750000000001"/>
    <n v="0.89239374999999999"/>
    <n v="0.96238541666666677"/>
    <n v="0"/>
    <n v="0"/>
    <n v="0"/>
    <n v="1"/>
    <n v="1"/>
    <n v="1"/>
    <n v="16"/>
    <b v="0"/>
    <b v="0"/>
  </r>
  <r>
    <d v="2024-06-04T00:00:00"/>
    <s v="08A"/>
    <x v="4"/>
    <n v="27501"/>
    <s v="White"/>
    <n v="6331"/>
    <s v="Running"/>
    <n v="18.73"/>
    <n v="8"/>
    <n v="1569"/>
    <n v="15"/>
    <n v="23535"/>
    <m/>
    <n v="19.23"/>
    <n v="8"/>
    <n v="1621"/>
    <n v="15"/>
    <n v="24315"/>
    <m/>
    <n v="18.72"/>
    <n v="8"/>
    <n v="1449"/>
    <n v="15"/>
    <n v="21735"/>
    <m/>
    <n v="69585"/>
    <m/>
    <m/>
    <m/>
    <m/>
    <m/>
    <m/>
    <m/>
    <m/>
    <m/>
    <m/>
    <m/>
    <m/>
    <m/>
    <m/>
    <m/>
    <m/>
    <m/>
    <m/>
    <n v="1.0203947916666667"/>
    <n v="1.0823552083333334"/>
    <n v="0.94184999999999997"/>
    <n v="1.0148666666666668"/>
    <n v="0"/>
    <n v="0"/>
    <n v="0"/>
    <n v="1"/>
    <n v="1"/>
    <n v="1"/>
    <n v="15"/>
    <b v="0"/>
    <b v="0"/>
  </r>
  <r>
    <d v="2024-06-04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4T00:00:00"/>
    <s v="09B"/>
    <x v="6"/>
    <n v="26684"/>
    <s v="White"/>
    <n v="814"/>
    <s v="Running"/>
    <n v="16.399999999999999"/>
    <n v="8"/>
    <n v="1578"/>
    <n v="15"/>
    <n v="23670"/>
    <m/>
    <n v="16.399999999999999"/>
    <n v="8"/>
    <n v="1856"/>
    <n v="15"/>
    <n v="27840"/>
    <m/>
    <n v="16.5"/>
    <n v="8"/>
    <n v="1725"/>
    <n v="15"/>
    <n v="25875"/>
    <m/>
    <n v="77385"/>
    <m/>
    <m/>
    <m/>
    <m/>
    <m/>
    <m/>
    <m/>
    <m/>
    <m/>
    <m/>
    <m/>
    <m/>
    <m/>
    <m/>
    <m/>
    <m/>
    <m/>
    <m/>
    <n v="0.89858333333333318"/>
    <n v="1.0568888888888888"/>
    <n v="0.98828125"/>
    <n v="0.98125115740740732"/>
    <n v="0"/>
    <n v="0"/>
    <n v="0"/>
    <n v="1"/>
    <n v="1"/>
    <n v="1"/>
    <n v="15"/>
    <b v="0"/>
    <b v="0"/>
  </r>
  <r>
    <d v="2024-06-04T00:00:00"/>
    <s v="12A"/>
    <x v="7"/>
    <n v="27501"/>
    <s v="White"/>
    <n v="6331"/>
    <s v="Running"/>
    <n v="0"/>
    <n v="0"/>
    <n v="0"/>
    <n v="0"/>
    <n v="0"/>
    <m/>
    <n v="14.29"/>
    <n v="8"/>
    <n v="1689"/>
    <n v="8"/>
    <n v="13512"/>
    <m/>
    <n v="14.27"/>
    <n v="1.25"/>
    <n v="299"/>
    <n v="8"/>
    <n v="2392"/>
    <m/>
    <n v="15904"/>
    <m/>
    <m/>
    <m/>
    <m/>
    <m/>
    <m/>
    <m/>
    <m/>
    <m/>
    <m/>
    <m/>
    <m/>
    <m/>
    <m/>
    <m/>
    <m/>
    <m/>
    <m/>
    <n v="0"/>
    <n v="0.83804895833333326"/>
    <n v="0.94816222222222213"/>
    <n v="0.89310559027777769"/>
    <n v="0"/>
    <n v="0"/>
    <n v="0"/>
    <n v="0"/>
    <n v="1"/>
    <n v="1"/>
    <n v="8"/>
    <b v="0"/>
    <b v="0"/>
  </r>
  <r>
    <d v="2024-06-04T00:00:00"/>
    <s v="14A"/>
    <x v="8"/>
    <n v="27430"/>
    <s v="Orange"/>
    <n v="6331"/>
    <s v="Running"/>
    <n v="21.32"/>
    <n v="8"/>
    <n v="1324"/>
    <n v="8"/>
    <n v="10592"/>
    <m/>
    <n v="21.9"/>
    <n v="8"/>
    <n v="1363"/>
    <n v="8"/>
    <n v="10904"/>
    <m/>
    <n v="21.3"/>
    <n v="8"/>
    <n v="1279"/>
    <n v="8"/>
    <n v="10232"/>
    <m/>
    <n v="31728"/>
    <m/>
    <m/>
    <m/>
    <m/>
    <m/>
    <m/>
    <m/>
    <m/>
    <m/>
    <m/>
    <m/>
    <m/>
    <m/>
    <m/>
    <m/>
    <m/>
    <m/>
    <m/>
    <n v="0.98012777777777782"/>
    <n v="1.0364479166666665"/>
    <n v="0.94592708333333331"/>
    <n v="0.98750092592592587"/>
    <n v="0"/>
    <n v="0"/>
    <n v="0"/>
    <n v="1"/>
    <n v="1"/>
    <n v="1"/>
    <n v="8"/>
    <b v="0"/>
    <b v="0"/>
  </r>
  <r>
    <d v="2024-06-04T00:00:00"/>
    <s v="16B"/>
    <x v="9"/>
    <n v="27714"/>
    <s v="White"/>
    <n v="814"/>
    <s v="Running"/>
    <n v="19.190000000000001"/>
    <n v="8"/>
    <n v="1497"/>
    <n v="8"/>
    <n v="11831"/>
    <n v="145"/>
    <n v="19.190000000000001"/>
    <n v="8"/>
    <n v="1365"/>
    <n v="8"/>
    <n v="10780"/>
    <n v="140"/>
    <n v="19.2"/>
    <n v="8"/>
    <n v="1350"/>
    <n v="8"/>
    <n v="10655"/>
    <n v="145"/>
    <n v="33266"/>
    <n v="430"/>
    <n v="1.2926110743702278E-2"/>
    <m/>
    <n v="20"/>
    <n v="20"/>
    <n v="25"/>
    <n v="125"/>
    <n v="120"/>
    <n v="120"/>
    <n v="0"/>
    <n v="0"/>
    <n v="0"/>
    <n v="0"/>
    <n v="0"/>
    <n v="0"/>
    <n v="0"/>
    <n v="0"/>
    <n v="0"/>
    <n v="0.9974802083333334"/>
    <n v="0.90952604166666673"/>
    <n v="0.9"/>
    <n v="0.93566875000000005"/>
    <n v="0"/>
    <n v="0"/>
    <n v="0"/>
    <n v="1"/>
    <n v="1"/>
    <n v="1"/>
    <n v="8"/>
    <b v="1"/>
    <b v="0"/>
  </r>
  <r>
    <d v="2024-06-04T00:00:00"/>
    <s v="17B"/>
    <x v="10"/>
    <n v="27714"/>
    <s v="White"/>
    <n v="814"/>
    <s v="Running"/>
    <n v="22.29"/>
    <n v="8"/>
    <n v="1306"/>
    <n v="8"/>
    <n v="10308"/>
    <n v="140"/>
    <n v="22.19"/>
    <n v="8"/>
    <n v="1354"/>
    <n v="8"/>
    <n v="10687"/>
    <n v="145"/>
    <n v="21.59"/>
    <n v="8"/>
    <n v="1066"/>
    <n v="8"/>
    <n v="8383"/>
    <n v="145"/>
    <n v="29378"/>
    <n v="430"/>
    <n v="1.4636803049901287E-2"/>
    <m/>
    <n v="25"/>
    <n v="20"/>
    <n v="25"/>
    <n v="115"/>
    <n v="125"/>
    <n v="120"/>
    <n v="0"/>
    <n v="0"/>
    <n v="0"/>
    <n v="0"/>
    <n v="0"/>
    <n v="0"/>
    <n v="0"/>
    <n v="0"/>
    <n v="0"/>
    <n v="1.0107895833333334"/>
    <n v="1.0432381944444444"/>
    <n v="0.79912986111111106"/>
    <n v="0.95105254629629632"/>
    <n v="0"/>
    <n v="0"/>
    <n v="0"/>
    <n v="1"/>
    <n v="1"/>
    <n v="1"/>
    <n v="8"/>
    <b v="1"/>
    <b v="0"/>
  </r>
  <r>
    <d v="2024-06-04T00:00:00"/>
    <s v="20B"/>
    <x v="11"/>
    <n v="27430"/>
    <s v="Orange"/>
    <n v="6331"/>
    <s v="Running"/>
    <n v="20.79"/>
    <n v="8"/>
    <n v="1384"/>
    <n v="8"/>
    <n v="10922"/>
    <n v="150"/>
    <n v="20.79"/>
    <n v="8"/>
    <n v="1485"/>
    <n v="8"/>
    <n v="11740"/>
    <n v="140"/>
    <n v="20.78"/>
    <n v="8"/>
    <n v="1228"/>
    <n v="8"/>
    <n v="9689"/>
    <n v="135"/>
    <n v="32351"/>
    <n v="425"/>
    <n v="1.3137151865475564E-2"/>
    <m/>
    <n v="25"/>
    <n v="20"/>
    <n v="25"/>
    <n v="125"/>
    <n v="120"/>
    <n v="110"/>
    <n v="0"/>
    <n v="0"/>
    <n v="0"/>
    <n v="0"/>
    <n v="0"/>
    <n v="0"/>
    <n v="0"/>
    <n v="0"/>
    <n v="0"/>
    <n v="0.99907500000000005"/>
    <n v="1.071984375"/>
    <n v="0.88603611111111114"/>
    <n v="0.98569849537037035"/>
    <n v="0"/>
    <n v="0"/>
    <n v="0"/>
    <n v="1"/>
    <n v="1"/>
    <n v="1"/>
    <n v="8"/>
    <b v="1"/>
    <b v="0"/>
  </r>
  <r>
    <d v="2024-06-04T00:00:00"/>
    <s v="21B"/>
    <x v="12"/>
    <n v="27430"/>
    <s v="Orange"/>
    <n v="6331"/>
    <s v="Running"/>
    <n v="21.88"/>
    <n v="8"/>
    <n v="1322"/>
    <n v="8"/>
    <n v="10441"/>
    <n v="135"/>
    <n v="21.79"/>
    <n v="8"/>
    <n v="1427"/>
    <n v="8"/>
    <n v="11271"/>
    <n v="145"/>
    <n v="21.79"/>
    <n v="8"/>
    <n v="1153"/>
    <n v="8"/>
    <n v="9079"/>
    <n v="145"/>
    <n v="30791"/>
    <n v="425"/>
    <n v="1.3802734565295054E-2"/>
    <m/>
    <n v="20"/>
    <n v="25"/>
    <n v="20"/>
    <n v="115"/>
    <n v="120"/>
    <n v="125"/>
    <n v="0"/>
    <n v="0"/>
    <n v="0"/>
    <n v="0"/>
    <n v="0"/>
    <n v="0"/>
    <n v="0"/>
    <n v="0"/>
    <n v="0"/>
    <n v="1.0043527777777776"/>
    <n v="1.0796642361111111"/>
    <n v="0.87235659722222214"/>
    <n v="0.98545787037037025"/>
    <n v="0"/>
    <n v="0"/>
    <n v="0"/>
    <n v="1"/>
    <n v="1"/>
    <n v="1"/>
    <n v="8"/>
    <b v="1"/>
    <b v="0"/>
  </r>
  <r>
    <d v="2024-06-04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5T00:00:00"/>
    <s v="01B"/>
    <x v="0"/>
    <n v="27422"/>
    <s v="White"/>
    <n v="6331"/>
    <s v="Running"/>
    <n v="22.68"/>
    <n v="8"/>
    <n v="1280"/>
    <n v="4"/>
    <n v="5114"/>
    <n v="6"/>
    <n v="22.68"/>
    <n v="8"/>
    <n v="1368"/>
    <n v="4"/>
    <n v="5467"/>
    <n v="5"/>
    <n v="22.67"/>
    <n v="8"/>
    <n v="1161"/>
    <n v="4"/>
    <n v="4638"/>
    <n v="6"/>
    <n v="15219"/>
    <n v="17"/>
    <n v="1.1170247716669952E-3"/>
    <m/>
    <n v="6"/>
    <n v="5"/>
    <n v="6"/>
    <n v="0"/>
    <n v="0"/>
    <n v="0"/>
    <n v="0"/>
    <n v="0"/>
    <n v="0"/>
    <n v="0"/>
    <n v="0"/>
    <n v="0"/>
    <n v="0"/>
    <n v="0"/>
    <n v="0"/>
    <n v="1.008"/>
    <n v="1.0772999999999999"/>
    <n v="0.91388437500000008"/>
    <n v="0.99972812500000019"/>
    <n v="0"/>
    <n v="0"/>
    <n v="0"/>
    <n v="1"/>
    <n v="1"/>
    <n v="1"/>
    <n v="4"/>
    <b v="0"/>
    <b v="1"/>
  </r>
  <r>
    <d v="2024-06-05T00:00:00"/>
    <s v="02C"/>
    <x v="1"/>
    <n v="27578"/>
    <s v="White"/>
    <n v="6331"/>
    <s v="Running"/>
    <n v="16.95"/>
    <n v="0.5"/>
    <n v="105"/>
    <n v="8"/>
    <n v="840"/>
    <n v="0"/>
    <n v="16.95"/>
    <n v="8"/>
    <n v="1562"/>
    <n v="8"/>
    <n v="12361"/>
    <n v="135"/>
    <n v="17.79"/>
    <n v="6.5"/>
    <n v="1262"/>
    <n v="8"/>
    <n v="9981"/>
    <n v="115"/>
    <n v="23182"/>
    <n v="250"/>
    <n v="1.0784229143300838E-2"/>
    <s v="Shift-1 做sample 7.5小时"/>
    <n v="0"/>
    <n v="20"/>
    <n v="15"/>
    <n v="0"/>
    <n v="115"/>
    <n v="100"/>
    <n v="0"/>
    <n v="0"/>
    <n v="0"/>
    <n v="0"/>
    <n v="0"/>
    <n v="0"/>
    <n v="0"/>
    <n v="0"/>
    <n v="0"/>
    <n v="0.98875000000000002"/>
    <n v="0.9193020833333333"/>
    <n v="0.95944358974358968"/>
    <n v="0.95583189102564103"/>
    <n v="0"/>
    <n v="0"/>
    <n v="7.5"/>
    <n v="1"/>
    <n v="1"/>
    <n v="1"/>
    <n v="8"/>
    <b v="1"/>
    <b v="0"/>
  </r>
  <r>
    <d v="2024-06-05T00:00:00"/>
    <s v="03C"/>
    <x v="2"/>
    <n v="27578"/>
    <s v="White"/>
    <n v="6331"/>
    <s v="Running"/>
    <n v="20.8"/>
    <n v="2"/>
    <n v="343"/>
    <n v="8"/>
    <n v="2714"/>
    <n v="30"/>
    <n v="20.8"/>
    <n v="8"/>
    <n v="1333"/>
    <n v="8"/>
    <n v="10544"/>
    <n v="120"/>
    <n v="20.9"/>
    <n v="8"/>
    <n v="1145"/>
    <n v="8"/>
    <n v="9040"/>
    <n v="120"/>
    <n v="22298"/>
    <n v="270"/>
    <n v="1.2108709301282626E-2"/>
    <s v="Shift-1 做sample"/>
    <n v="2"/>
    <n v="20"/>
    <n v="20"/>
    <n v="28"/>
    <n v="100"/>
    <n v="100"/>
    <n v="0"/>
    <n v="0"/>
    <n v="0"/>
    <n v="0"/>
    <n v="0"/>
    <n v="0"/>
    <n v="0"/>
    <n v="0"/>
    <n v="0"/>
    <n v="0.99088888888888893"/>
    <n v="0.96272222222222226"/>
    <n v="0.83092013888888894"/>
    <n v="0.92817708333333337"/>
    <n v="0"/>
    <n v="0"/>
    <n v="6"/>
    <n v="1"/>
    <n v="1"/>
    <n v="1"/>
    <n v="8"/>
    <b v="1"/>
    <b v="0"/>
  </r>
  <r>
    <d v="2024-06-05T00:00:00"/>
    <s v="06B"/>
    <x v="3"/>
    <n v="27501"/>
    <s v="White"/>
    <n v="6331"/>
    <s v="Running"/>
    <n v="20.43"/>
    <n v="8"/>
    <n v="1470"/>
    <n v="16"/>
    <n v="23520"/>
    <m/>
    <n v="20.43"/>
    <n v="8"/>
    <n v="1512"/>
    <n v="14"/>
    <n v="21168"/>
    <m/>
    <n v="20.420000000000002"/>
    <n v="8"/>
    <n v="1448"/>
    <n v="16"/>
    <n v="23168"/>
    <m/>
    <n v="67856"/>
    <m/>
    <m/>
    <m/>
    <m/>
    <m/>
    <m/>
    <m/>
    <m/>
    <m/>
    <m/>
    <m/>
    <m/>
    <m/>
    <m/>
    <m/>
    <m/>
    <m/>
    <m/>
    <n v="1.04278125"/>
    <n v="1.0725750000000001"/>
    <n v="1.0266722222222224"/>
    <n v="1.0473428240740741"/>
    <n v="0"/>
    <n v="0"/>
    <n v="0"/>
    <n v="1"/>
    <n v="1"/>
    <n v="1"/>
    <n v="16"/>
    <b v="0"/>
    <b v="0"/>
  </r>
  <r>
    <d v="2024-06-05T00:00:00"/>
    <s v="08A"/>
    <x v="4"/>
    <n v="25701"/>
    <s v="White"/>
    <n v="6331"/>
    <s v="Running"/>
    <n v="18.71"/>
    <n v="8"/>
    <n v="1548"/>
    <n v="15"/>
    <n v="23220"/>
    <m/>
    <n v="18.71"/>
    <n v="8"/>
    <n v="1657"/>
    <n v="15"/>
    <n v="24855"/>
    <m/>
    <n v="18.72"/>
    <n v="8"/>
    <n v="1563"/>
    <n v="15"/>
    <n v="23445"/>
    <m/>
    <n v="71520"/>
    <m/>
    <m/>
    <m/>
    <m/>
    <m/>
    <m/>
    <m/>
    <m/>
    <m/>
    <m/>
    <m/>
    <m/>
    <m/>
    <m/>
    <m/>
    <m/>
    <m/>
    <m/>
    <n v="1.0056625000000001"/>
    <n v="1.0764746527777778"/>
    <n v="1.0159499999999999"/>
    <n v="1.0326957175925926"/>
    <n v="0"/>
    <n v="0"/>
    <n v="0"/>
    <n v="1"/>
    <n v="1"/>
    <n v="1"/>
    <n v="15"/>
    <b v="0"/>
    <b v="0"/>
  </r>
  <r>
    <d v="2024-06-05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5T00:00:00"/>
    <s v="09B"/>
    <x v="6"/>
    <n v="26684"/>
    <s v="White"/>
    <n v="814"/>
    <s v="Running"/>
    <n v="16.510000000000002"/>
    <n v="2.5"/>
    <n v="597"/>
    <n v="15"/>
    <n v="8955"/>
    <m/>
    <n v="0"/>
    <n v="0"/>
    <n v="0"/>
    <n v="0"/>
    <n v="0"/>
    <m/>
    <n v="0"/>
    <n v="0"/>
    <n v="0"/>
    <n v="0"/>
    <n v="0"/>
    <m/>
    <n v="8955"/>
    <m/>
    <m/>
    <s v="Shift-1 轉 #26746"/>
    <m/>
    <m/>
    <m/>
    <m/>
    <m/>
    <m/>
    <m/>
    <m/>
    <m/>
    <m/>
    <m/>
    <m/>
    <m/>
    <m/>
    <m/>
    <n v="1.0951633333333335"/>
    <n v="0"/>
    <n v="0"/>
    <n v="1.0951633333333335"/>
    <n v="0.5"/>
    <n v="0"/>
    <n v="0"/>
    <n v="1"/>
    <n v="0"/>
    <n v="0"/>
    <n v="15"/>
    <b v="0"/>
    <b v="0"/>
  </r>
  <r>
    <d v="2024-06-05T00:00:00"/>
    <s v="12A"/>
    <x v="7"/>
    <n v="27501"/>
    <s v="White"/>
    <n v="6331"/>
    <s v="Running"/>
    <n v="14.28"/>
    <n v="7"/>
    <n v="1590"/>
    <n v="8"/>
    <n v="12720"/>
    <m/>
    <n v="14.28"/>
    <n v="2.5"/>
    <n v="673"/>
    <n v="8"/>
    <n v="5384"/>
    <m/>
    <n v="0"/>
    <n v="0"/>
    <n v="0"/>
    <n v="0"/>
    <n v="0"/>
    <m/>
    <n v="18104"/>
    <m/>
    <m/>
    <m/>
    <m/>
    <m/>
    <m/>
    <m/>
    <m/>
    <m/>
    <m/>
    <m/>
    <m/>
    <m/>
    <m/>
    <m/>
    <m/>
    <m/>
    <m/>
    <n v="0.90100000000000002"/>
    <n v="1.0678266666666665"/>
    <n v="0"/>
    <n v="0.98441333333333325"/>
    <n v="0.5"/>
    <n v="0"/>
    <n v="0"/>
    <n v="1"/>
    <n v="1"/>
    <n v="0"/>
    <n v="8"/>
    <b v="0"/>
    <b v="0"/>
  </r>
  <r>
    <d v="2024-06-05T00:00:00"/>
    <s v="14A"/>
    <x v="8"/>
    <n v="27430"/>
    <s v="Orange"/>
    <n v="6331"/>
    <s v="Running"/>
    <n v="21.31"/>
    <n v="8"/>
    <n v="1379"/>
    <n v="8"/>
    <n v="11032"/>
    <m/>
    <n v="15.9"/>
    <n v="8"/>
    <n v="1502"/>
    <n v="8"/>
    <n v="12016"/>
    <m/>
    <n v="15.95"/>
    <n v="8"/>
    <n v="1884"/>
    <n v="8"/>
    <n v="15072"/>
    <m/>
    <n v="38120"/>
    <m/>
    <m/>
    <m/>
    <m/>
    <m/>
    <m/>
    <m/>
    <m/>
    <m/>
    <m/>
    <m/>
    <m/>
    <m/>
    <m/>
    <m/>
    <m/>
    <m/>
    <m/>
    <n v="1.0203642361111109"/>
    <n v="0.82922916666666668"/>
    <n v="1.0433958333333333"/>
    <n v="0.96432974537037042"/>
    <n v="0"/>
    <n v="0"/>
    <n v="0"/>
    <n v="1"/>
    <n v="1"/>
    <n v="1"/>
    <n v="8"/>
    <b v="0"/>
    <b v="0"/>
  </r>
  <r>
    <d v="2024-06-05T00:00:00"/>
    <s v="16B"/>
    <x v="9"/>
    <n v="27715"/>
    <s v="White"/>
    <n v="814"/>
    <s v="Running"/>
    <n v="19.190000000000001"/>
    <n v="3"/>
    <n v="493"/>
    <n v="8"/>
    <n v="3904"/>
    <n v="40"/>
    <n v="0"/>
    <n v="0"/>
    <n v="0"/>
    <n v="0"/>
    <n v="0"/>
    <n v="0"/>
    <n v="0"/>
    <n v="0"/>
    <n v="0"/>
    <n v="0"/>
    <n v="0"/>
    <n v="0"/>
    <n v="3904"/>
    <n v="40"/>
    <n v="1.0245901639344262E-2"/>
    <s v="Shift-1 转模DS"/>
    <n v="5"/>
    <n v="0"/>
    <n v="0"/>
    <n v="35"/>
    <n v="0"/>
    <n v="0"/>
    <n v="0"/>
    <n v="0"/>
    <n v="0"/>
    <n v="0"/>
    <n v="0"/>
    <n v="0"/>
    <n v="0"/>
    <n v="0"/>
    <n v="0"/>
    <n v="0.875987962962963"/>
    <n v="0"/>
    <n v="0"/>
    <n v="0.875987962962963"/>
    <n v="0.5"/>
    <n v="0"/>
    <n v="0"/>
    <n v="1"/>
    <n v="0"/>
    <n v="0"/>
    <n v="8"/>
    <b v="1"/>
    <b v="0"/>
  </r>
  <r>
    <d v="2024-06-05T00:00:00"/>
    <s v="17B"/>
    <x v="10"/>
    <n v="27714"/>
    <s v="White"/>
    <n v="814"/>
    <s v="Running"/>
    <n v="22.19"/>
    <n v="8"/>
    <n v="1057"/>
    <n v="8"/>
    <n v="8336"/>
    <n v="120"/>
    <n v="22.18"/>
    <n v="5.5"/>
    <n v="893"/>
    <n v="8"/>
    <n v="7049"/>
    <n v="95"/>
    <n v="0"/>
    <n v="0"/>
    <n v="0"/>
    <n v="0"/>
    <n v="0"/>
    <n v="0"/>
    <n v="15385"/>
    <n v="215"/>
    <n v="1.3974650633734157E-2"/>
    <s v="Shift-2 转模DS"/>
    <n v="20"/>
    <n v="15"/>
    <n v="0"/>
    <n v="100"/>
    <n v="80"/>
    <n v="0"/>
    <n v="0"/>
    <n v="0"/>
    <n v="0"/>
    <n v="0"/>
    <n v="0"/>
    <n v="0"/>
    <n v="0"/>
    <n v="0"/>
    <n v="0"/>
    <n v="0.81440381944444451"/>
    <n v="1.000340404040404"/>
    <n v="0"/>
    <n v="0.90737211174242427"/>
    <n v="0.5"/>
    <n v="0"/>
    <n v="0"/>
    <n v="1"/>
    <n v="1"/>
    <n v="0"/>
    <n v="8"/>
    <b v="1"/>
    <b v="0"/>
  </r>
  <r>
    <d v="2024-06-05T00:00:00"/>
    <s v="20B"/>
    <x v="11"/>
    <n v="27430"/>
    <s v="Orange"/>
    <n v="6331"/>
    <s v="Running"/>
    <n v="20.79"/>
    <n v="8"/>
    <n v="1414"/>
    <n v="8"/>
    <n v="11162"/>
    <n v="150"/>
    <n v="20.78"/>
    <n v="8"/>
    <n v="1436"/>
    <n v="8"/>
    <n v="11348"/>
    <n v="140"/>
    <n v="20.81"/>
    <n v="8"/>
    <n v="1322"/>
    <n v="8"/>
    <n v="10431"/>
    <n v="145"/>
    <n v="32941"/>
    <n v="435"/>
    <n v="1.3205427886220819E-2"/>
    <m/>
    <n v="25"/>
    <n v="20"/>
    <n v="25"/>
    <n v="125"/>
    <n v="120"/>
    <n v="120"/>
    <n v="0"/>
    <n v="0"/>
    <n v="0"/>
    <n v="0"/>
    <n v="0"/>
    <n v="0"/>
    <n v="0"/>
    <n v="0"/>
    <n v="0"/>
    <n v="1.0207312499999999"/>
    <n v="1.036113888888889"/>
    <n v="0.95523680555555557"/>
    <n v="1.0040273148148149"/>
    <n v="0"/>
    <n v="0"/>
    <n v="0"/>
    <n v="1"/>
    <n v="1"/>
    <n v="1"/>
    <n v="8"/>
    <b v="1"/>
    <b v="0"/>
  </r>
  <r>
    <d v="2024-06-05T00:00:00"/>
    <s v="21B"/>
    <x v="12"/>
    <n v="27430"/>
    <s v="Orange"/>
    <n v="6331"/>
    <s v="Running"/>
    <n v="21.78"/>
    <n v="8"/>
    <n v="1362"/>
    <n v="8"/>
    <n v="10746"/>
    <n v="150"/>
    <n v="21.78"/>
    <n v="8"/>
    <n v="1378"/>
    <n v="8"/>
    <n v="10869"/>
    <n v="155"/>
    <n v="21.83"/>
    <n v="8"/>
    <n v="1236"/>
    <n v="8"/>
    <n v="9738"/>
    <n v="150"/>
    <n v="31353"/>
    <n v="455"/>
    <n v="1.4512167894619335E-2"/>
    <m/>
    <n v="25"/>
    <n v="30"/>
    <n v="20"/>
    <n v="125"/>
    <n v="125"/>
    <n v="130"/>
    <n v="0"/>
    <n v="0"/>
    <n v="0"/>
    <n v="0"/>
    <n v="0"/>
    <n v="0"/>
    <n v="0"/>
    <n v="0"/>
    <n v="0"/>
    <n v="1.0300125"/>
    <n v="1.0421125"/>
    <n v="0.93687083333333321"/>
    <n v="1.0029986111111111"/>
    <n v="0"/>
    <n v="0"/>
    <n v="0"/>
    <n v="1"/>
    <n v="1"/>
    <n v="1"/>
    <n v="8"/>
    <b v="1"/>
    <b v="0"/>
  </r>
  <r>
    <d v="2024-06-05T00:00:00"/>
    <s v="29B"/>
    <x v="13"/>
    <n v="27761"/>
    <s v="White"/>
    <n v="814"/>
    <s v="Running"/>
    <n v="13.06"/>
    <n v="8"/>
    <n v="2004"/>
    <n v="16"/>
    <n v="32064"/>
    <m/>
    <n v="13.08"/>
    <n v="8"/>
    <n v="2296"/>
    <n v="16"/>
    <n v="36736"/>
    <m/>
    <n v="13.09"/>
    <n v="8"/>
    <n v="2141"/>
    <n v="16"/>
    <n v="34256"/>
    <m/>
    <n v="103056"/>
    <m/>
    <m/>
    <m/>
    <m/>
    <m/>
    <m/>
    <m/>
    <m/>
    <m/>
    <m/>
    <m/>
    <m/>
    <m/>
    <m/>
    <m/>
    <m/>
    <m/>
    <m/>
    <n v="0.90875833333333333"/>
    <n v="1.0427666666666666"/>
    <n v="0.97311423611111103"/>
    <n v="0.97487974537037037"/>
    <n v="0"/>
    <n v="0"/>
    <n v="0"/>
    <n v="1"/>
    <n v="1"/>
    <n v="1"/>
    <n v="16"/>
    <b v="0"/>
    <b v="0"/>
  </r>
  <r>
    <d v="2024-06-06T00:00:00"/>
    <s v="01B"/>
    <x v="0"/>
    <n v="27422"/>
    <s v="White"/>
    <n v="6331"/>
    <s v="Running"/>
    <n v="22.68"/>
    <n v="8"/>
    <n v="1191"/>
    <n v="4"/>
    <n v="4757"/>
    <n v="7"/>
    <n v="22.69"/>
    <n v="8"/>
    <n v="1182"/>
    <n v="4"/>
    <n v="4722"/>
    <n v="6"/>
    <n v="22.68"/>
    <n v="8"/>
    <n v="1153"/>
    <n v="4"/>
    <n v="4606"/>
    <n v="6"/>
    <n v="14085"/>
    <n v="19"/>
    <n v="1.3489527866524672E-3"/>
    <m/>
    <n v="7"/>
    <n v="6"/>
    <n v="6"/>
    <n v="0"/>
    <n v="0"/>
    <n v="0"/>
    <n v="0"/>
    <n v="0"/>
    <n v="0"/>
    <n v="0"/>
    <n v="0"/>
    <n v="0"/>
    <n v="0"/>
    <n v="0"/>
    <n v="0"/>
    <n v="0.93791250000000004"/>
    <n v="0.93123541666666676"/>
    <n v="0.90798750000000006"/>
    <n v="0.92571180555555566"/>
    <n v="0"/>
    <n v="0"/>
    <n v="0"/>
    <n v="1"/>
    <n v="1"/>
    <n v="1"/>
    <n v="4"/>
    <b v="0"/>
    <b v="1"/>
  </r>
  <r>
    <d v="2024-06-06T00:00:00"/>
    <s v="02C"/>
    <x v="1"/>
    <n v="27822"/>
    <s v="White"/>
    <n v="6331"/>
    <s v="Running"/>
    <n v="17.8"/>
    <n v="3.5"/>
    <n v="744"/>
    <n v="8"/>
    <n v="5882"/>
    <n v="70"/>
    <n v="16.989999999999998"/>
    <n v="5"/>
    <n v="1105"/>
    <n v="8"/>
    <n v="8760"/>
    <n v="80"/>
    <n v="0"/>
    <n v="0"/>
    <n v="0"/>
    <n v="0"/>
    <n v="0"/>
    <n v="0"/>
    <n v="14642"/>
    <n v="150"/>
    <n v="1.0244502117197104E-2"/>
    <m/>
    <n v="10"/>
    <n v="15"/>
    <n v="0"/>
    <n v="60"/>
    <n v="65"/>
    <n v="0"/>
    <n v="0"/>
    <n v="0"/>
    <n v="0"/>
    <n v="0"/>
    <n v="0"/>
    <n v="0"/>
    <n v="0"/>
    <n v="0"/>
    <n v="0"/>
    <n v="1.051047619047619"/>
    <n v="1.0429972222222221"/>
    <n v="0"/>
    <n v="1.0470224206349206"/>
    <n v="1"/>
    <n v="0"/>
    <n v="0"/>
    <n v="1"/>
    <n v="1"/>
    <n v="0"/>
    <n v="8"/>
    <b v="1"/>
    <b v="0"/>
  </r>
  <r>
    <d v="2024-06-06T00:00:00"/>
    <s v="02C"/>
    <x v="1"/>
    <n v="27824"/>
    <s v="White"/>
    <n v="6331"/>
    <s v="Running"/>
    <n v="17.8"/>
    <n v="2.5"/>
    <n v="510"/>
    <n v="8"/>
    <n v="4035"/>
    <n v="45"/>
    <n v="0"/>
    <n v="0"/>
    <n v="0"/>
    <n v="0"/>
    <n v="0"/>
    <n v="0"/>
    <n v="0"/>
    <n v="0"/>
    <n v="0"/>
    <n v="0"/>
    <n v="0"/>
    <n v="0"/>
    <n v="4035"/>
    <n v="45"/>
    <n v="1.1152416356877323E-2"/>
    <m/>
    <n v="10"/>
    <n v="0"/>
    <n v="0"/>
    <n v="35"/>
    <n v="0"/>
    <n v="0"/>
    <n v="0"/>
    <n v="0"/>
    <n v="0"/>
    <n v="0"/>
    <n v="0"/>
    <n v="0"/>
    <n v="0"/>
    <n v="0"/>
    <n v="0"/>
    <n v="1.0086666666666666"/>
    <n v="0"/>
    <n v="0"/>
    <n v="1.0086666666666666"/>
    <n v="0.5"/>
    <n v="0"/>
    <n v="0"/>
    <n v="1"/>
    <n v="0"/>
    <n v="0"/>
    <n v="8"/>
    <b v="1"/>
    <b v="0"/>
  </r>
  <r>
    <d v="2024-06-06T00:00:00"/>
    <s v="03C"/>
    <x v="2"/>
    <n v="27578"/>
    <s v="White"/>
    <n v="6331"/>
    <s v="Running"/>
    <n v="20.77"/>
    <n v="2.5"/>
    <n v="446"/>
    <n v="8"/>
    <n v="3528"/>
    <n v="40"/>
    <n v="20.51"/>
    <n v="8"/>
    <n v="1461"/>
    <n v="8"/>
    <n v="11568"/>
    <n v="120"/>
    <n v="0"/>
    <n v="0"/>
    <n v="0"/>
    <n v="0"/>
    <n v="0"/>
    <n v="0"/>
    <n v="15096"/>
    <n v="160"/>
    <n v="1.0598834128245893E-2"/>
    <m/>
    <n v="5"/>
    <n v="20"/>
    <n v="0"/>
    <n v="35"/>
    <n v="100"/>
    <n v="0"/>
    <n v="0"/>
    <n v="0"/>
    <n v="0"/>
    <n v="0"/>
    <n v="0"/>
    <n v="0"/>
    <n v="0"/>
    <n v="0"/>
    <n v="0"/>
    <n v="1.0292688888888888"/>
    <n v="1.0404552083333334"/>
    <n v="0"/>
    <n v="1.0348620486111111"/>
    <n v="1"/>
    <n v="0"/>
    <n v="0"/>
    <n v="1"/>
    <n v="1"/>
    <n v="0"/>
    <n v="8"/>
    <b v="1"/>
    <b v="0"/>
  </r>
  <r>
    <d v="2024-06-06T00:00:00"/>
    <s v="03C"/>
    <x v="2"/>
    <n v="27822"/>
    <s v="White"/>
    <n v="6331"/>
    <s v="Running"/>
    <n v="20.77"/>
    <n v="4.5"/>
    <n v="777"/>
    <n v="8"/>
    <n v="6151"/>
    <n v="65"/>
    <n v="0"/>
    <n v="0"/>
    <n v="0"/>
    <n v="0"/>
    <n v="0"/>
    <n v="0"/>
    <n v="0"/>
    <n v="0"/>
    <n v="0"/>
    <n v="0"/>
    <n v="0"/>
    <n v="0"/>
    <n v="6151"/>
    <n v="65"/>
    <n v="1.0567387416680214E-2"/>
    <m/>
    <n v="15"/>
    <n v="0"/>
    <n v="0"/>
    <n v="50"/>
    <n v="0"/>
    <n v="0"/>
    <n v="0"/>
    <n v="0"/>
    <n v="0"/>
    <n v="0"/>
    <n v="0"/>
    <n v="0"/>
    <n v="0"/>
    <n v="0"/>
    <n v="0"/>
    <n v="0.99619074074074065"/>
    <n v="0"/>
    <n v="0"/>
    <n v="0.99619074074074065"/>
    <n v="0.5"/>
    <n v="0"/>
    <n v="0"/>
    <n v="1"/>
    <n v="0"/>
    <n v="0"/>
    <n v="8"/>
    <b v="1"/>
    <b v="0"/>
  </r>
  <r>
    <d v="2024-06-06T00:00:00"/>
    <s v="03C"/>
    <x v="2"/>
    <n v="27937"/>
    <s v="White"/>
    <n v="6331"/>
    <s v="Running"/>
    <n v="0"/>
    <n v="0"/>
    <n v="0"/>
    <n v="0"/>
    <n v="0"/>
    <n v="0"/>
    <n v="0"/>
    <n v="0"/>
    <n v="0"/>
    <n v="0"/>
    <n v="0"/>
    <n v="0"/>
    <n v="20.82"/>
    <n v="4"/>
    <n v="619"/>
    <n v="8"/>
    <n v="4942"/>
    <n v="10"/>
    <n v="4942"/>
    <n v="10"/>
    <n v="2.0234722784297854E-3"/>
    <s v="Shift-3 完單停機"/>
    <n v="0"/>
    <n v="0"/>
    <n v="10"/>
    <n v="0"/>
    <n v="0"/>
    <n v="0"/>
    <n v="0"/>
    <n v="0"/>
    <n v="0"/>
    <n v="0"/>
    <n v="0"/>
    <n v="0"/>
    <n v="0"/>
    <n v="0"/>
    <n v="0"/>
    <n v="0"/>
    <n v="0"/>
    <n v="0.89497083333333338"/>
    <n v="0.89497083333333338"/>
    <n v="0.5"/>
    <n v="0"/>
    <n v="0"/>
    <n v="0"/>
    <n v="0"/>
    <n v="1"/>
    <n v="8"/>
    <b v="1"/>
    <b v="0"/>
  </r>
  <r>
    <d v="2024-06-06T00:00:00"/>
    <s v="06B"/>
    <x v="3"/>
    <n v="27501"/>
    <s v="White"/>
    <n v="6331"/>
    <s v="Running"/>
    <n v="20.43"/>
    <n v="8"/>
    <n v="1230"/>
    <n v="16"/>
    <n v="19680"/>
    <m/>
    <n v="20.43"/>
    <n v="8"/>
    <n v="1504"/>
    <n v="16"/>
    <n v="24064"/>
    <m/>
    <n v="20.420000000000002"/>
    <n v="8"/>
    <n v="1416"/>
    <n v="16"/>
    <n v="22656"/>
    <m/>
    <n v="66400"/>
    <m/>
    <m/>
    <m/>
    <m/>
    <m/>
    <m/>
    <m/>
    <m/>
    <m/>
    <m/>
    <m/>
    <m/>
    <m/>
    <m/>
    <m/>
    <m/>
    <m/>
    <m/>
    <n v="0.87253125000000009"/>
    <n v="1.0669"/>
    <n v="1.0039833333333334"/>
    <n v="0.9811381944444445"/>
    <n v="0"/>
    <n v="0"/>
    <n v="0"/>
    <n v="1"/>
    <n v="1"/>
    <n v="1"/>
    <n v="16"/>
    <b v="0"/>
    <b v="0"/>
  </r>
  <r>
    <d v="2024-06-06T00:00:00"/>
    <s v="08A"/>
    <x v="4"/>
    <n v="27501"/>
    <s v="White"/>
    <n v="6331"/>
    <s v="Running"/>
    <n v="18.71"/>
    <n v="4"/>
    <n v="786"/>
    <n v="15"/>
    <n v="11790"/>
    <m/>
    <n v="0"/>
    <n v="0"/>
    <n v="0"/>
    <n v="0"/>
    <n v="0"/>
    <m/>
    <n v="0"/>
    <n v="0"/>
    <n v="0"/>
    <n v="0"/>
    <n v="0"/>
    <m/>
    <n v="11790"/>
    <m/>
    <m/>
    <m/>
    <m/>
    <m/>
    <m/>
    <m/>
    <m/>
    <m/>
    <m/>
    <m/>
    <m/>
    <m/>
    <m/>
    <m/>
    <m/>
    <m/>
    <m/>
    <n v="1.0212541666666668"/>
    <n v="0"/>
    <n v="0"/>
    <n v="1.0212541666666668"/>
    <n v="0.5"/>
    <n v="0"/>
    <n v="0"/>
    <n v="1"/>
    <n v="0"/>
    <n v="0"/>
    <n v="15"/>
    <b v="0"/>
    <b v="0"/>
  </r>
  <r>
    <d v="2024-06-06T00:00:00"/>
    <s v="08B"/>
    <x v="5"/>
    <n v="27430"/>
    <s v="White"/>
    <n v="6331"/>
    <s v="Running"/>
    <n v="0"/>
    <n v="0"/>
    <n v="0"/>
    <n v="0"/>
    <n v="0"/>
    <m/>
    <n v="0"/>
    <n v="0"/>
    <n v="0"/>
    <n v="0"/>
    <n v="0"/>
    <m/>
    <n v="17.25"/>
    <n v="6"/>
    <n v="1237"/>
    <n v="24"/>
    <n v="29688"/>
    <m/>
    <n v="29688"/>
    <m/>
    <m/>
    <m/>
    <m/>
    <m/>
    <m/>
    <m/>
    <m/>
    <m/>
    <m/>
    <m/>
    <m/>
    <m/>
    <m/>
    <m/>
    <m/>
    <m/>
    <m/>
    <n v="0"/>
    <n v="0"/>
    <n v="0.98788194444444444"/>
    <n v="0.98788194444444444"/>
    <n v="0.5"/>
    <n v="0"/>
    <n v="0"/>
    <n v="0"/>
    <n v="0"/>
    <n v="1"/>
    <n v="24"/>
    <b v="0"/>
    <b v="0"/>
  </r>
  <r>
    <d v="2024-06-06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6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6T00:00:00"/>
    <s v="14A"/>
    <x v="8"/>
    <n v="27578"/>
    <s v="White"/>
    <n v="6331"/>
    <s v="Running"/>
    <n v="15.94"/>
    <n v="6"/>
    <n v="1297"/>
    <n v="8"/>
    <n v="10376"/>
    <m/>
    <n v="0"/>
    <n v="0"/>
    <n v="0"/>
    <n v="0"/>
    <n v="0"/>
    <m/>
    <n v="0"/>
    <n v="0"/>
    <n v="0"/>
    <n v="0"/>
    <n v="0"/>
    <m/>
    <n v="10376"/>
    <m/>
    <m/>
    <m/>
    <m/>
    <m/>
    <m/>
    <m/>
    <m/>
    <m/>
    <m/>
    <m/>
    <m/>
    <m/>
    <m/>
    <m/>
    <m/>
    <m/>
    <m/>
    <n v="0.95713796296296294"/>
    <n v="0"/>
    <n v="0"/>
    <n v="0.95713796296296294"/>
    <n v="0"/>
    <n v="0"/>
    <n v="0"/>
    <n v="1"/>
    <n v="0"/>
    <n v="0"/>
    <n v="8"/>
    <b v="0"/>
    <b v="0"/>
  </r>
  <r>
    <d v="2024-06-06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6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6T00:00:00"/>
    <s v="20B"/>
    <x v="11"/>
    <n v="27430"/>
    <s v="Orange"/>
    <n v="6331"/>
    <s v="Running"/>
    <n v="20.79"/>
    <n v="5.5"/>
    <n v="891"/>
    <n v="8"/>
    <n v="7038"/>
    <n v="90"/>
    <n v="20.98"/>
    <n v="6"/>
    <n v="1014"/>
    <n v="8"/>
    <n v="8032"/>
    <n v="80"/>
    <n v="0"/>
    <n v="0"/>
    <n v="0"/>
    <n v="0"/>
    <n v="0"/>
    <n v="0"/>
    <n v="15070"/>
    <n v="170"/>
    <n v="1.12806901128069E-2"/>
    <s v="Shift-1 維修"/>
    <n v="15"/>
    <n v="15"/>
    <n v="0"/>
    <n v="75"/>
    <n v="65"/>
    <n v="0"/>
    <n v="0"/>
    <n v="0"/>
    <n v="0"/>
    <n v="0"/>
    <n v="0"/>
    <n v="0"/>
    <n v="0"/>
    <n v="0"/>
    <n v="0"/>
    <n v="0.93554999999999999"/>
    <n v="0.98489444444444452"/>
    <n v="0"/>
    <n v="0.96022222222222231"/>
    <n v="0"/>
    <n v="2.5"/>
    <n v="0"/>
    <n v="1"/>
    <n v="1"/>
    <n v="0"/>
    <n v="8"/>
    <b v="1"/>
    <b v="0"/>
  </r>
  <r>
    <d v="2024-06-06T00:00:00"/>
    <s v="20B"/>
    <x v="11"/>
    <n v="27716"/>
    <s v="White"/>
    <n v="814"/>
    <s v="Running"/>
    <n v="0"/>
    <n v="0"/>
    <n v="0"/>
    <n v="0"/>
    <n v="0"/>
    <n v="0"/>
    <n v="0"/>
    <n v="0"/>
    <n v="0"/>
    <n v="0"/>
    <n v="0"/>
    <n v="0"/>
    <n v="20.9"/>
    <n v="8"/>
    <n v="1327"/>
    <n v="8"/>
    <n v="10496"/>
    <n v="120"/>
    <n v="10496"/>
    <n v="120"/>
    <n v="1.1432926829268292E-2"/>
    <m/>
    <n v="0"/>
    <n v="0"/>
    <n v="25"/>
    <n v="0"/>
    <n v="0"/>
    <n v="95"/>
    <n v="0"/>
    <n v="0"/>
    <n v="0"/>
    <n v="0"/>
    <n v="0"/>
    <n v="0"/>
    <n v="0"/>
    <n v="0"/>
    <n v="0"/>
    <n v="0"/>
    <n v="0"/>
    <n v="0.96299652777777778"/>
    <n v="0.96299652777777778"/>
    <n v="0.5"/>
    <n v="0"/>
    <n v="0"/>
    <n v="0"/>
    <n v="0"/>
    <n v="1"/>
    <n v="8"/>
    <b v="1"/>
    <b v="0"/>
  </r>
  <r>
    <d v="2024-06-06T00:00:00"/>
    <s v="21B"/>
    <x v="12"/>
    <n v="27430"/>
    <s v="Orange"/>
    <n v="6331"/>
    <s v="Running"/>
    <n v="21.78"/>
    <n v="8"/>
    <n v="1216"/>
    <n v="8"/>
    <n v="9608"/>
    <n v="120"/>
    <n v="21.79"/>
    <n v="5.5"/>
    <n v="909"/>
    <n v="8"/>
    <n v="7202"/>
    <n v="70"/>
    <n v="0"/>
    <n v="0"/>
    <n v="0"/>
    <n v="0"/>
    <n v="0"/>
    <n v="0"/>
    <n v="16810"/>
    <n v="190"/>
    <n v="1.1302795954788817E-2"/>
    <m/>
    <n v="20"/>
    <n v="15"/>
    <n v="0"/>
    <n v="100"/>
    <n v="55"/>
    <n v="0"/>
    <n v="0"/>
    <n v="0"/>
    <n v="0"/>
    <n v="0"/>
    <n v="0"/>
    <n v="0"/>
    <n v="0"/>
    <n v="0"/>
    <n v="0"/>
    <n v="0.91960000000000008"/>
    <n v="1.0003590909090909"/>
    <n v="0"/>
    <n v="0.95997954545454545"/>
    <n v="0.5"/>
    <n v="0"/>
    <n v="0"/>
    <n v="1"/>
    <n v="1"/>
    <n v="0"/>
    <n v="8"/>
    <b v="1"/>
    <b v="0"/>
  </r>
  <r>
    <d v="2024-06-06T00:00:00"/>
    <s v="21B"/>
    <x v="12"/>
    <n v="27716"/>
    <s v="White"/>
    <n v="814"/>
    <s v="Running"/>
    <n v="0"/>
    <n v="0"/>
    <n v="0"/>
    <n v="0"/>
    <n v="0"/>
    <n v="0"/>
    <n v="0"/>
    <n v="0"/>
    <n v="0"/>
    <n v="0"/>
    <n v="0"/>
    <n v="0"/>
    <n v="21.88"/>
    <n v="8"/>
    <n v="1252"/>
    <n v="8"/>
    <n v="9906"/>
    <n v="110"/>
    <n v="9906"/>
    <n v="110"/>
    <n v="1.1104381183121341E-2"/>
    <m/>
    <n v="0"/>
    <n v="0"/>
    <n v="25"/>
    <n v="0"/>
    <n v="0"/>
    <n v="85"/>
    <n v="0"/>
    <n v="0"/>
    <n v="0"/>
    <n v="0"/>
    <n v="0"/>
    <n v="0"/>
    <n v="0"/>
    <n v="0"/>
    <n v="0"/>
    <n v="0"/>
    <n v="0"/>
    <n v="0.9511722222222222"/>
    <n v="0.9511722222222222"/>
    <n v="0"/>
    <n v="0"/>
    <n v="0"/>
    <n v="0"/>
    <n v="0"/>
    <n v="1"/>
    <n v="8"/>
    <b v="1"/>
    <b v="0"/>
  </r>
  <r>
    <d v="2024-06-06T00:00:00"/>
    <s v="29B"/>
    <x v="13"/>
    <n v="27761"/>
    <s v="White"/>
    <n v="814"/>
    <s v="Running"/>
    <n v="13.46"/>
    <n v="8"/>
    <n v="1992"/>
    <n v="16"/>
    <n v="31872"/>
    <m/>
    <n v="13.47"/>
    <n v="8"/>
    <n v="2266"/>
    <n v="16"/>
    <n v="36256"/>
    <m/>
    <n v="13.44"/>
    <n v="8"/>
    <n v="2138"/>
    <n v="16"/>
    <n v="34208"/>
    <m/>
    <n v="102336"/>
    <m/>
    <m/>
    <m/>
    <m/>
    <m/>
    <m/>
    <m/>
    <m/>
    <m/>
    <m/>
    <m/>
    <m/>
    <m/>
    <m/>
    <m/>
    <m/>
    <m/>
    <m/>
    <n v="0.9309833333333335"/>
    <n v="1.0598270833333334"/>
    <n v="0.99773333333333325"/>
    <n v="0.99618125000000013"/>
    <n v="0"/>
    <n v="0"/>
    <n v="0"/>
    <n v="1"/>
    <n v="1"/>
    <n v="1"/>
    <n v="16"/>
    <b v="0"/>
    <b v="0"/>
  </r>
  <r>
    <d v="2024-06-07T00:00:00"/>
    <s v="01B"/>
    <x v="0"/>
    <n v="27422"/>
    <s v="White"/>
    <n v="6331"/>
    <s v="Running"/>
    <n v="22.7"/>
    <n v="8"/>
    <n v="1225"/>
    <n v="4"/>
    <n v="4894"/>
    <n v="6"/>
    <n v="22.68"/>
    <n v="8"/>
    <n v="1386"/>
    <n v="4"/>
    <n v="5537"/>
    <n v="7"/>
    <n v="22.72"/>
    <n v="8"/>
    <n v="1164"/>
    <n v="4"/>
    <n v="4648"/>
    <n v="8"/>
    <n v="15079"/>
    <n v="21"/>
    <n v="1.3926652961071689E-3"/>
    <m/>
    <n v="6"/>
    <n v="7"/>
    <n v="8"/>
    <n v="0"/>
    <n v="0"/>
    <n v="0"/>
    <n v="0"/>
    <n v="0"/>
    <n v="0"/>
    <n v="0"/>
    <n v="0"/>
    <n v="0"/>
    <n v="0"/>
    <n v="0"/>
    <n v="0"/>
    <n v="0.96553819444444444"/>
    <n v="1.091475"/>
    <n v="0.91826666666666656"/>
    <n v="0.99175995370370362"/>
    <n v="0"/>
    <n v="0"/>
    <n v="0"/>
    <n v="1"/>
    <n v="1"/>
    <n v="1"/>
    <n v="4"/>
    <b v="0"/>
    <b v="1"/>
  </r>
  <r>
    <d v="2024-06-07T00:00:00"/>
    <s v="02C"/>
    <x v="1"/>
    <n v="27937"/>
    <s v="White"/>
    <n v="6331"/>
    <s v="Running"/>
    <n v="0"/>
    <n v="0"/>
    <n v="0"/>
    <n v="0"/>
    <n v="0"/>
    <n v="0"/>
    <n v="22.18"/>
    <n v="5.5"/>
    <n v="847"/>
    <n v="8"/>
    <n v="6701"/>
    <n v="75"/>
    <n v="17.22"/>
    <n v="7"/>
    <n v="1403"/>
    <n v="8"/>
    <n v="11099"/>
    <n v="125"/>
    <n v="17800"/>
    <n v="200"/>
    <n v="1.1235955056179775E-2"/>
    <s v="Shift-2 機械故障"/>
    <n v="0"/>
    <n v="10"/>
    <n v="20"/>
    <n v="0"/>
    <n v="65"/>
    <n v="105"/>
    <n v="0"/>
    <n v="0"/>
    <n v="0"/>
    <n v="0"/>
    <n v="0"/>
    <n v="0"/>
    <n v="0"/>
    <n v="0"/>
    <n v="0"/>
    <n v="0"/>
    <n v="0.94881111111111105"/>
    <n v="0.95871666666666666"/>
    <n v="0.95376388888888886"/>
    <n v="0"/>
    <n v="2.5"/>
    <n v="0"/>
    <n v="0"/>
    <n v="1"/>
    <n v="1"/>
    <n v="8"/>
    <b v="1"/>
    <b v="0"/>
  </r>
  <r>
    <d v="2024-06-07T00:00:00"/>
    <s v="03C"/>
    <x v="2"/>
    <n v="27575"/>
    <s v="White"/>
    <n v="814"/>
    <s v="Running"/>
    <n v="0"/>
    <n v="0"/>
    <n v="0"/>
    <n v="0"/>
    <n v="0"/>
    <n v="0"/>
    <n v="20.79"/>
    <n v="7.5"/>
    <n v="1376"/>
    <n v="8"/>
    <n v="10903"/>
    <n v="105"/>
    <n v="20.9"/>
    <n v="8"/>
    <n v="1113"/>
    <n v="8"/>
    <n v="8789"/>
    <n v="115"/>
    <n v="19692"/>
    <n v="220"/>
    <n v="1.1172049563274427E-2"/>
    <m/>
    <n v="0"/>
    <n v="15"/>
    <n v="20"/>
    <n v="0"/>
    <n v="90"/>
    <n v="95"/>
    <n v="0"/>
    <n v="0"/>
    <n v="0"/>
    <n v="0"/>
    <n v="0"/>
    <n v="0"/>
    <n v="0"/>
    <n v="0"/>
    <n v="0"/>
    <n v="0"/>
    <n v="1.0595199999999998"/>
    <n v="0.80769791666666657"/>
    <n v="0.93360895833333313"/>
    <n v="0.5"/>
    <n v="0"/>
    <n v="0"/>
    <n v="0"/>
    <n v="1"/>
    <n v="1"/>
    <n v="8"/>
    <b v="1"/>
    <b v="0"/>
  </r>
  <r>
    <d v="2024-06-07T00:00:00"/>
    <s v="06B"/>
    <x v="3"/>
    <n v="27430"/>
    <s v="White"/>
    <n v="6331"/>
    <s v="Running"/>
    <n v="20.43"/>
    <n v="8"/>
    <n v="1304"/>
    <n v="8"/>
    <n v="10432"/>
    <m/>
    <n v="20.43"/>
    <n v="8"/>
    <n v="1460"/>
    <n v="8"/>
    <n v="11680"/>
    <m/>
    <n v="20.43"/>
    <n v="8"/>
    <n v="1301"/>
    <n v="16"/>
    <n v="20816"/>
    <m/>
    <n v="42928"/>
    <m/>
    <m/>
    <m/>
    <m/>
    <m/>
    <m/>
    <m/>
    <m/>
    <m/>
    <m/>
    <m/>
    <m/>
    <m/>
    <m/>
    <m/>
    <m/>
    <m/>
    <m/>
    <n v="0.92502499999999999"/>
    <n v="1.0356874999999999"/>
    <n v="0.92289687500000006"/>
    <n v="0.96120312499999994"/>
    <n v="0"/>
    <n v="0"/>
    <n v="0"/>
    <n v="1"/>
    <n v="1"/>
    <n v="1"/>
    <n v="16"/>
    <b v="0"/>
    <b v="0"/>
  </r>
  <r>
    <d v="2024-06-07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7T00:00:00"/>
    <s v="08B"/>
    <x v="5"/>
    <n v="27575"/>
    <s v="White"/>
    <n v="814"/>
    <s v="Running"/>
    <n v="0"/>
    <n v="0"/>
    <n v="0"/>
    <n v="0"/>
    <n v="0"/>
    <m/>
    <n v="17.25"/>
    <n v="8"/>
    <n v="1679"/>
    <n v="24"/>
    <n v="40296"/>
    <m/>
    <n v="17.25"/>
    <n v="8"/>
    <n v="1695"/>
    <n v="24"/>
    <n v="40680"/>
    <m/>
    <n v="80976"/>
    <m/>
    <m/>
    <m/>
    <m/>
    <m/>
    <m/>
    <m/>
    <m/>
    <m/>
    <m/>
    <m/>
    <m/>
    <m/>
    <m/>
    <m/>
    <m/>
    <m/>
    <m/>
    <n v="0"/>
    <n v="1.0056510416666666"/>
    <n v="1.0152343749999999"/>
    <n v="1.0104427083333332"/>
    <n v="0"/>
    <n v="0"/>
    <n v="0"/>
    <n v="0"/>
    <n v="1"/>
    <n v="1"/>
    <n v="24"/>
    <b v="0"/>
    <b v="0"/>
  </r>
  <r>
    <d v="2024-06-07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7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7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7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7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7T00:00:00"/>
    <s v="20B"/>
    <x v="11"/>
    <n v="27716"/>
    <s v="White"/>
    <n v="814"/>
    <s v="Running"/>
    <n v="20.89"/>
    <n v="8"/>
    <n v="1422"/>
    <n v="8"/>
    <n v="11246"/>
    <n v="130"/>
    <n v="20.98"/>
    <n v="8"/>
    <n v="1492"/>
    <n v="8"/>
    <n v="11806"/>
    <n v="130"/>
    <n v="22.99"/>
    <n v="8"/>
    <n v="1241"/>
    <n v="8"/>
    <n v="9813"/>
    <n v="115"/>
    <n v="32865"/>
    <n v="375"/>
    <n v="1.1410314924691922E-2"/>
    <m/>
    <n v="20"/>
    <n v="25"/>
    <n v="20"/>
    <n v="110"/>
    <n v="105"/>
    <n v="95"/>
    <n v="0"/>
    <n v="0"/>
    <n v="0"/>
    <n v="0"/>
    <n v="0"/>
    <n v="0"/>
    <n v="0"/>
    <n v="0"/>
    <n v="0"/>
    <n v="1.03144375"/>
    <n v="1.0868805555555556"/>
    <n v="0.99064548611111103"/>
    <n v="1.0363232638888888"/>
    <n v="0"/>
    <n v="0"/>
    <n v="0"/>
    <n v="1"/>
    <n v="1"/>
    <n v="1"/>
    <n v="8"/>
    <b v="1"/>
    <b v="0"/>
  </r>
  <r>
    <d v="2024-06-07T00:00:00"/>
    <s v="21B"/>
    <x v="12"/>
    <n v="27716"/>
    <s v="White"/>
    <n v="814"/>
    <s v="Running"/>
    <n v="21.79"/>
    <n v="8"/>
    <n v="1354"/>
    <n v="8"/>
    <n v="10712"/>
    <n v="120"/>
    <n v="21.78"/>
    <n v="8"/>
    <n v="1428"/>
    <n v="8"/>
    <n v="11299"/>
    <n v="125"/>
    <n v="21.79"/>
    <n v="8"/>
    <n v="1162"/>
    <n v="8"/>
    <n v="9176"/>
    <n v="120"/>
    <n v="31187"/>
    <n v="365"/>
    <n v="1.170359444640395E-2"/>
    <m/>
    <n v="25"/>
    <n v="20"/>
    <n v="20"/>
    <n v="95"/>
    <n v="105"/>
    <n v="100"/>
    <n v="0"/>
    <n v="0"/>
    <n v="0"/>
    <n v="0"/>
    <n v="0"/>
    <n v="0"/>
    <n v="0"/>
    <n v="0"/>
    <n v="0"/>
    <n v="1.0244326388888889"/>
    <n v="1.079925"/>
    <n v="0.87916597222222226"/>
    <n v="0.99450787037037036"/>
    <n v="0"/>
    <n v="0"/>
    <n v="0"/>
    <n v="1"/>
    <n v="1"/>
    <n v="1"/>
    <n v="8"/>
    <b v="1"/>
    <b v="0"/>
  </r>
  <r>
    <d v="2024-06-07T00:00:00"/>
    <s v="29B"/>
    <x v="13"/>
    <n v="27761"/>
    <s v="White"/>
    <n v="814"/>
    <s v="Running"/>
    <n v="13.45"/>
    <n v="8"/>
    <n v="2103"/>
    <n v="16"/>
    <n v="33648"/>
    <m/>
    <n v="13.41"/>
    <n v="8"/>
    <n v="2179"/>
    <n v="16"/>
    <n v="34864"/>
    <m/>
    <n v="13.42"/>
    <n v="8"/>
    <n v="2144"/>
    <n v="16"/>
    <n v="34304"/>
    <m/>
    <n v="102816"/>
    <m/>
    <m/>
    <m/>
    <m/>
    <m/>
    <m/>
    <m/>
    <m/>
    <m/>
    <m/>
    <m/>
    <m/>
    <m/>
    <m/>
    <m/>
    <m/>
    <m/>
    <m/>
    <n v="0.98213020833333331"/>
    <n v="1.0145968750000001"/>
    <n v="0.9990444444444444"/>
    <n v="0.9985905092592593"/>
    <n v="0"/>
    <n v="0"/>
    <n v="0"/>
    <n v="1"/>
    <n v="1"/>
    <n v="1"/>
    <n v="16"/>
    <b v="0"/>
    <b v="0"/>
  </r>
  <r>
    <d v="2024-06-08T00:00:00"/>
    <s v="01B"/>
    <x v="0"/>
    <n v="27647"/>
    <s v="White"/>
    <n v="6331"/>
    <s v="Running"/>
    <n v="22.69"/>
    <n v="8"/>
    <n v="1257"/>
    <n v="4"/>
    <n v="5020"/>
    <n v="8"/>
    <n v="22.68"/>
    <n v="8"/>
    <n v="1323"/>
    <n v="4"/>
    <n v="5286"/>
    <n v="6"/>
    <n v="22.67"/>
    <n v="8"/>
    <n v="1221"/>
    <n v="4"/>
    <n v="4877"/>
    <n v="7"/>
    <n v="15183"/>
    <n v="21"/>
    <n v="1.3831258644536654E-3"/>
    <m/>
    <n v="8"/>
    <n v="6"/>
    <n v="7"/>
    <n v="0"/>
    <n v="0"/>
    <n v="0"/>
    <n v="0"/>
    <n v="0"/>
    <n v="0"/>
    <n v="0"/>
    <n v="0"/>
    <n v="0"/>
    <n v="0"/>
    <n v="0"/>
    <n v="0"/>
    <n v="0.99032395833333342"/>
    <n v="1.0418624999999999"/>
    <n v="0.96111354166666674"/>
    <n v="0.99776666666666669"/>
    <n v="0"/>
    <n v="0"/>
    <n v="0"/>
    <n v="1"/>
    <n v="1"/>
    <n v="1"/>
    <n v="4"/>
    <b v="0"/>
    <b v="1"/>
  </r>
  <r>
    <d v="2024-06-08T00:00:00"/>
    <s v="02C"/>
    <x v="1"/>
    <n v="27575"/>
    <s v="White"/>
    <n v="814"/>
    <s v="Running"/>
    <n v="20.79"/>
    <n v="4.916666666666667"/>
    <n v="743"/>
    <n v="8"/>
    <n v="5889"/>
    <n v="55"/>
    <n v="20.8"/>
    <n v="8"/>
    <n v="1499"/>
    <n v="8"/>
    <n v="11867"/>
    <n v="125"/>
    <n v="20.8"/>
    <n v="8"/>
    <n v="1178"/>
    <n v="8"/>
    <n v="9299"/>
    <n v="125"/>
    <n v="27055"/>
    <n v="305"/>
    <n v="1.127333210127518E-2"/>
    <s v="Shift-1 模房維修、機械手維修"/>
    <n v="10"/>
    <n v="20"/>
    <n v="25"/>
    <n v="45"/>
    <n v="105"/>
    <n v="100"/>
    <n v="0"/>
    <n v="0"/>
    <n v="0"/>
    <n v="0"/>
    <n v="0"/>
    <n v="0"/>
    <n v="0"/>
    <n v="0"/>
    <n v="0"/>
    <n v="0.87271016949152536"/>
    <n v="1.0826111111111112"/>
    <n v="0.85077777777777785"/>
    <n v="0.93536635279347147"/>
    <n v="0"/>
    <n v="3.0833333333333335"/>
    <n v="0"/>
    <n v="1"/>
    <n v="1"/>
    <n v="1"/>
    <n v="8"/>
    <b v="1"/>
    <b v="0"/>
  </r>
  <r>
    <d v="2024-06-08T00:00:00"/>
    <s v="03C"/>
    <x v="2"/>
    <n v="27575"/>
    <s v="White"/>
    <n v="814"/>
    <s v="Running"/>
    <n v="20.76"/>
    <n v="7.333333333333333"/>
    <n v="1290"/>
    <n v="8"/>
    <n v="10210"/>
    <n v="110"/>
    <n v="20.85"/>
    <n v="8"/>
    <n v="1380"/>
    <n v="8"/>
    <n v="10920"/>
    <n v="120"/>
    <n v="20.86"/>
    <n v="8"/>
    <n v="1290"/>
    <n v="8"/>
    <n v="10205"/>
    <n v="115"/>
    <n v="31335"/>
    <n v="345"/>
    <n v="1.1010052656773576E-2"/>
    <s v="Shift-1 模房維修"/>
    <n v="15"/>
    <n v="20"/>
    <n v="20"/>
    <n v="95"/>
    <n v="100"/>
    <n v="95"/>
    <n v="0"/>
    <n v="0"/>
    <n v="0"/>
    <n v="0"/>
    <n v="0"/>
    <n v="0"/>
    <n v="0"/>
    <n v="0"/>
    <n v="0"/>
    <n v="1.014409090909091"/>
    <n v="0.99906250000000008"/>
    <n v="0.9343541666666666"/>
    <n v="0.9826085858585859"/>
    <n v="0"/>
    <n v="0.66666666666666663"/>
    <n v="0"/>
    <n v="1"/>
    <n v="1"/>
    <n v="1"/>
    <n v="8"/>
    <b v="1"/>
    <b v="0"/>
  </r>
  <r>
    <d v="2024-06-08T00:00:00"/>
    <s v="06B"/>
    <x v="3"/>
    <n v="27430"/>
    <s v="White"/>
    <n v="6331"/>
    <s v="Running"/>
    <n v="20.399999999999999"/>
    <n v="8"/>
    <n v="1476"/>
    <n v="16"/>
    <n v="23616"/>
    <m/>
    <n v="20.43"/>
    <n v="8"/>
    <n v="1468"/>
    <n v="16"/>
    <n v="23488"/>
    <m/>
    <n v="20.43"/>
    <n v="8"/>
    <n v="1296"/>
    <n v="16"/>
    <n v="20736"/>
    <m/>
    <n v="67840"/>
    <m/>
    <m/>
    <m/>
    <m/>
    <m/>
    <m/>
    <m/>
    <m/>
    <m/>
    <m/>
    <m/>
    <m/>
    <m/>
    <m/>
    <m/>
    <m/>
    <m/>
    <m/>
    <n v="1.0454999999999999"/>
    <n v="1.0413625"/>
    <n v="0.91935"/>
    <n v="1.0020708333333332"/>
    <n v="0"/>
    <n v="0"/>
    <n v="0"/>
    <n v="1"/>
    <n v="1"/>
    <n v="1"/>
    <n v="16"/>
    <b v="0"/>
    <b v="0"/>
  </r>
  <r>
    <d v="2024-06-08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8T00:00:00"/>
    <s v="08B"/>
    <x v="5"/>
    <n v="27575"/>
    <s v="White"/>
    <n v="814"/>
    <s v="Running"/>
    <n v="17.25"/>
    <n v="8"/>
    <n v="1662"/>
    <n v="24"/>
    <n v="39888"/>
    <m/>
    <n v="17.25"/>
    <n v="8"/>
    <n v="1731"/>
    <n v="24"/>
    <n v="41544"/>
    <m/>
    <n v="17.25"/>
    <n v="8"/>
    <n v="1636"/>
    <n v="24"/>
    <n v="39264"/>
    <m/>
    <n v="120696"/>
    <m/>
    <m/>
    <m/>
    <m/>
    <m/>
    <m/>
    <m/>
    <m/>
    <m/>
    <m/>
    <m/>
    <m/>
    <m/>
    <m/>
    <m/>
    <m/>
    <m/>
    <m/>
    <n v="0.99546875000000001"/>
    <n v="1.0367968750000001"/>
    <n v="0.9798958333333333"/>
    <n v="1.0040538194444444"/>
    <n v="0"/>
    <n v="0"/>
    <n v="0"/>
    <n v="1"/>
    <n v="1"/>
    <n v="1"/>
    <n v="24"/>
    <b v="0"/>
    <b v="0"/>
  </r>
  <r>
    <d v="2024-06-08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8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8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8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8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8T00:00:00"/>
    <s v="20B"/>
    <x v="11"/>
    <n v="27716"/>
    <s v="White"/>
    <n v="814"/>
    <s v="Running"/>
    <n v="20.98"/>
    <n v="8"/>
    <n v="1392"/>
    <n v="8"/>
    <n v="11016"/>
    <n v="120"/>
    <n v="20.88"/>
    <n v="8"/>
    <n v="1505"/>
    <n v="8"/>
    <n v="11910"/>
    <n v="130"/>
    <n v="20.88"/>
    <n v="8"/>
    <n v="1225"/>
    <n v="8"/>
    <n v="9685"/>
    <n v="115"/>
    <n v="32611"/>
    <n v="365"/>
    <n v="1.1192542393670847E-2"/>
    <m/>
    <n v="20"/>
    <n v="20"/>
    <n v="15"/>
    <n v="100"/>
    <n v="110"/>
    <n v="100"/>
    <n v="0"/>
    <n v="0"/>
    <n v="0"/>
    <n v="0"/>
    <n v="0"/>
    <n v="0"/>
    <n v="0"/>
    <n v="0"/>
    <n v="0"/>
    <n v="1.0140333333333333"/>
    <n v="1.0911249999999999"/>
    <n v="0.88812500000000005"/>
    <n v="0.9977611111111111"/>
    <n v="0"/>
    <n v="0"/>
    <n v="0"/>
    <n v="1"/>
    <n v="1"/>
    <n v="1"/>
    <n v="8"/>
    <b v="1"/>
    <b v="0"/>
  </r>
  <r>
    <d v="2024-06-08T00:00:00"/>
    <s v="21B"/>
    <x v="12"/>
    <n v="27716"/>
    <s v="White"/>
    <n v="814"/>
    <s v="Running"/>
    <n v="21.88"/>
    <n v="8"/>
    <n v="1324"/>
    <n v="8"/>
    <n v="10477"/>
    <n v="115"/>
    <n v="21.78"/>
    <n v="8"/>
    <n v="1452"/>
    <n v="8"/>
    <n v="11491"/>
    <n v="125"/>
    <n v="21.88"/>
    <n v="8"/>
    <n v="1168"/>
    <n v="8"/>
    <n v="9229"/>
    <n v="115"/>
    <n v="31197"/>
    <n v="355"/>
    <n v="1.1379299291598552E-2"/>
    <m/>
    <n v="20"/>
    <n v="25"/>
    <n v="20"/>
    <n v="95"/>
    <n v="100"/>
    <n v="95"/>
    <n v="0"/>
    <n v="0"/>
    <n v="0"/>
    <n v="0"/>
    <n v="0"/>
    <n v="0"/>
    <n v="0"/>
    <n v="0"/>
    <n v="0"/>
    <n v="1.0058722222222223"/>
    <n v="1.0980750000000001"/>
    <n v="0.88735555555555556"/>
    <n v="0.99710092592592614"/>
    <n v="0"/>
    <n v="0"/>
    <n v="0"/>
    <n v="1"/>
    <n v="1"/>
    <n v="1"/>
    <n v="8"/>
    <b v="1"/>
    <b v="0"/>
  </r>
  <r>
    <d v="2024-06-08T00:00:00"/>
    <s v="29B"/>
    <x v="13"/>
    <n v="27761"/>
    <s v="White"/>
    <n v="814"/>
    <s v="Running"/>
    <n v="13.44"/>
    <n v="8"/>
    <n v="2107"/>
    <n v="16"/>
    <n v="33712"/>
    <m/>
    <n v="13.41"/>
    <n v="8"/>
    <n v="2176"/>
    <n v="16"/>
    <n v="34816"/>
    <m/>
    <n v="13.44"/>
    <n v="8"/>
    <n v="2140"/>
    <n v="16"/>
    <n v="34240"/>
    <m/>
    <n v="102768"/>
    <m/>
    <m/>
    <m/>
    <m/>
    <m/>
    <m/>
    <m/>
    <m/>
    <m/>
    <m/>
    <m/>
    <m/>
    <m/>
    <m/>
    <m/>
    <m/>
    <m/>
    <m/>
    <n v="0.98326666666666662"/>
    <n v="1.0132000000000001"/>
    <n v="0.99866666666666659"/>
    <n v="0.99837777777777781"/>
    <n v="0"/>
    <n v="0"/>
    <n v="0"/>
    <n v="1"/>
    <n v="1"/>
    <n v="1"/>
    <n v="16"/>
    <b v="0"/>
    <b v="0"/>
  </r>
  <r>
    <d v="2024-06-09T00:00:00"/>
    <s v="01B"/>
    <x v="0"/>
    <n v="27422"/>
    <s v="White"/>
    <n v="6331"/>
    <s v="Running"/>
    <n v="22.68"/>
    <n v="8"/>
    <n v="1359"/>
    <n v="4"/>
    <n v="5430"/>
    <n v="6"/>
    <n v="22.59"/>
    <n v="8"/>
    <n v="1340"/>
    <n v="4"/>
    <n v="5355"/>
    <n v="5"/>
    <n v="22.68"/>
    <n v="8"/>
    <n v="1249"/>
    <n v="4"/>
    <n v="4989"/>
    <n v="7"/>
    <n v="15774"/>
    <n v="18"/>
    <n v="1.1411182959300114E-3"/>
    <m/>
    <n v="6"/>
    <n v="5"/>
    <n v="7"/>
    <n v="0"/>
    <n v="0"/>
    <n v="0"/>
    <n v="0"/>
    <n v="0"/>
    <n v="0"/>
    <n v="0"/>
    <n v="0"/>
    <n v="0"/>
    <n v="0"/>
    <n v="0"/>
    <n v="0"/>
    <n v="1.0702125"/>
    <n v="1.0510625"/>
    <n v="0.98358749999999995"/>
    <n v="1.0349541666666666"/>
    <n v="0"/>
    <n v="0"/>
    <n v="0"/>
    <n v="1"/>
    <n v="1"/>
    <n v="1"/>
    <n v="4"/>
    <b v="0"/>
    <b v="1"/>
  </r>
  <r>
    <d v="2024-06-09T00:00:00"/>
    <s v="02C"/>
    <x v="1"/>
    <n v="27575"/>
    <s v="White"/>
    <n v="814"/>
    <s v="Running"/>
    <n v="20.8"/>
    <n v="8"/>
    <n v="1455"/>
    <n v="8"/>
    <n v="11515"/>
    <n v="125"/>
    <n v="20.79"/>
    <n v="8"/>
    <n v="1476"/>
    <n v="8"/>
    <n v="11688"/>
    <n v="120"/>
    <n v="20.8"/>
    <n v="8"/>
    <n v="1254"/>
    <n v="8"/>
    <n v="9907"/>
    <n v="125"/>
    <n v="33110"/>
    <n v="370"/>
    <n v="1.117487163998792E-2"/>
    <m/>
    <n v="15"/>
    <n v="20"/>
    <n v="15"/>
    <n v="110"/>
    <n v="100"/>
    <n v="110"/>
    <n v="0"/>
    <n v="0"/>
    <n v="0"/>
    <n v="0"/>
    <n v="0"/>
    <n v="0"/>
    <n v="0"/>
    <n v="0"/>
    <n v="0"/>
    <n v="1.0508333333333333"/>
    <n v="1.0654874999999999"/>
    <n v="0.90566666666666673"/>
    <n v="1.0073291666666666"/>
    <n v="0"/>
    <n v="0"/>
    <n v="0"/>
    <n v="1"/>
    <n v="1"/>
    <n v="1"/>
    <n v="8"/>
    <b v="1"/>
    <b v="0"/>
  </r>
  <r>
    <d v="2024-06-09T00:00:00"/>
    <s v="03C"/>
    <x v="2"/>
    <n v="27575"/>
    <s v="White"/>
    <n v="814"/>
    <s v="Running"/>
    <n v="20.75"/>
    <n v="8"/>
    <n v="1450"/>
    <n v="8"/>
    <n v="11450"/>
    <n v="150"/>
    <n v="20.8"/>
    <n v="8"/>
    <n v="1468"/>
    <n v="8"/>
    <n v="11604"/>
    <n v="140"/>
    <n v="20.81"/>
    <n v="5"/>
    <n v="888"/>
    <n v="8"/>
    <n v="6999"/>
    <n v="105"/>
    <n v="30053"/>
    <n v="395"/>
    <n v="1.3143446577712707E-2"/>
    <m/>
    <n v="25"/>
    <n v="20"/>
    <n v="20"/>
    <n v="125"/>
    <n v="120"/>
    <n v="85"/>
    <n v="0"/>
    <n v="0"/>
    <n v="0"/>
    <n v="0"/>
    <n v="0"/>
    <n v="0"/>
    <n v="0"/>
    <n v="0"/>
    <n v="0"/>
    <n v="1.0447048611111112"/>
    <n v="1.0602222222222222"/>
    <n v="1.0266266666666666"/>
    <n v="1.0438512499999999"/>
    <n v="0"/>
    <n v="0"/>
    <n v="0"/>
    <n v="1"/>
    <n v="1"/>
    <n v="1"/>
    <n v="8"/>
    <b v="1"/>
    <b v="0"/>
  </r>
  <r>
    <d v="2024-06-09T00:00:00"/>
    <s v="03C"/>
    <x v="2"/>
    <n v="27760"/>
    <s v="White"/>
    <n v="814"/>
    <s v="Running"/>
    <n v="0"/>
    <n v="0"/>
    <n v="0"/>
    <n v="0"/>
    <n v="0"/>
    <n v="0"/>
    <n v="0"/>
    <n v="0"/>
    <n v="0"/>
    <n v="0"/>
    <n v="0"/>
    <n v="0"/>
    <n v="20.8"/>
    <n v="3"/>
    <n v="263"/>
    <n v="8"/>
    <n v="2069"/>
    <n v="35"/>
    <n v="2069"/>
    <n v="35"/>
    <n v="1.6916384726921217E-2"/>
    <s v="Shift-3 转单27760"/>
    <n v="0"/>
    <n v="0"/>
    <n v="5"/>
    <n v="0"/>
    <n v="0"/>
    <n v="30"/>
    <n v="0"/>
    <n v="0"/>
    <n v="0"/>
    <n v="0"/>
    <n v="0"/>
    <n v="0"/>
    <n v="0"/>
    <n v="0"/>
    <n v="0"/>
    <n v="0"/>
    <n v="0"/>
    <n v="0.50651851851851859"/>
    <n v="0.50651851851851859"/>
    <n v="0"/>
    <n v="0"/>
    <n v="0"/>
    <n v="0"/>
    <n v="0"/>
    <n v="1"/>
    <n v="8"/>
    <b v="1"/>
    <b v="0"/>
  </r>
  <r>
    <d v="2024-06-09T00:00:00"/>
    <s v="06B"/>
    <x v="3"/>
    <n v="27430"/>
    <s v="White"/>
    <n v="6331"/>
    <s v="Running"/>
    <n v="20.43"/>
    <n v="8"/>
    <n v="1466"/>
    <n v="16"/>
    <n v="23456"/>
    <m/>
    <n v="20.420000000000002"/>
    <n v="8"/>
    <n v="1493"/>
    <n v="16"/>
    <n v="23888"/>
    <m/>
    <n v="20.420000000000002"/>
    <n v="8"/>
    <n v="1349"/>
    <n v="16"/>
    <n v="21584"/>
    <m/>
    <n v="68928"/>
    <m/>
    <m/>
    <m/>
    <m/>
    <m/>
    <m/>
    <m/>
    <m/>
    <m/>
    <m/>
    <m/>
    <m/>
    <m/>
    <m/>
    <m/>
    <m/>
    <m/>
    <m/>
    <n v="1.0399437499999999"/>
    <n v="1.0585784722222222"/>
    <n v="0.95647847222222226"/>
    <n v="1.0183335648148149"/>
    <n v="0"/>
    <n v="0"/>
    <n v="0"/>
    <n v="1"/>
    <n v="1"/>
    <n v="1"/>
    <n v="16"/>
    <b v="0"/>
    <b v="0"/>
  </r>
  <r>
    <d v="2024-06-09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9T00:00:00"/>
    <s v="08B"/>
    <x v="5"/>
    <n v="27575"/>
    <s v="White"/>
    <n v="814"/>
    <s v="Running"/>
    <n v="17.25"/>
    <n v="8"/>
    <n v="1651"/>
    <n v="24"/>
    <n v="39624"/>
    <m/>
    <n v="17.25"/>
    <n v="8"/>
    <n v="1768"/>
    <n v="24"/>
    <n v="42432"/>
    <m/>
    <n v="17.25"/>
    <n v="8"/>
    <n v="1544"/>
    <n v="24"/>
    <n v="37056"/>
    <m/>
    <n v="119112"/>
    <m/>
    <m/>
    <m/>
    <m/>
    <m/>
    <m/>
    <m/>
    <m/>
    <m/>
    <m/>
    <m/>
    <m/>
    <m/>
    <m/>
    <m/>
    <m/>
    <m/>
    <m/>
    <n v="0.98888020833333334"/>
    <n v="1.0589583333333332"/>
    <n v="0.92479166666666668"/>
    <n v="0.99087673611111116"/>
    <n v="0"/>
    <n v="0"/>
    <n v="0"/>
    <n v="1"/>
    <n v="1"/>
    <n v="1"/>
    <n v="24"/>
    <b v="0"/>
    <b v="0"/>
  </r>
  <r>
    <d v="2024-06-09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9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9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09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9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09T00:00:00"/>
    <s v="20B"/>
    <x v="11"/>
    <n v="27716"/>
    <s v="White"/>
    <n v="814"/>
    <s v="Running"/>
    <n v="20.99"/>
    <n v="8"/>
    <n v="1332"/>
    <n v="8"/>
    <n v="10516"/>
    <n v="140"/>
    <n v="20.98"/>
    <n v="8"/>
    <n v="1536"/>
    <n v="8"/>
    <n v="12158"/>
    <n v="130"/>
    <n v="20.9"/>
    <n v="8"/>
    <n v="1268"/>
    <n v="8"/>
    <n v="10024"/>
    <n v="120"/>
    <n v="32698"/>
    <n v="390"/>
    <n v="1.1927335005199095E-2"/>
    <m/>
    <n v="25"/>
    <n v="20"/>
    <n v="20"/>
    <n v="115"/>
    <n v="110"/>
    <n v="100"/>
    <n v="0"/>
    <n v="0"/>
    <n v="0"/>
    <n v="0"/>
    <n v="0"/>
    <n v="0"/>
    <n v="0"/>
    <n v="0"/>
    <n v="0"/>
    <n v="0.97078749999999991"/>
    <n v="1.1189333333333333"/>
    <n v="0.92018055555555545"/>
    <n v="1.0033004629629629"/>
    <n v="0"/>
    <n v="0"/>
    <n v="0"/>
    <n v="1"/>
    <n v="1"/>
    <n v="1"/>
    <n v="8"/>
    <b v="1"/>
    <b v="0"/>
  </r>
  <r>
    <d v="2024-06-09T00:00:00"/>
    <s v="21B"/>
    <x v="12"/>
    <n v="27716"/>
    <s v="White"/>
    <n v="814"/>
    <s v="Running"/>
    <n v="21.79"/>
    <n v="8"/>
    <n v="1276"/>
    <n v="8"/>
    <n v="10063"/>
    <n v="145"/>
    <n v="21.79"/>
    <n v="8"/>
    <n v="1460"/>
    <n v="8"/>
    <n v="11525"/>
    <n v="155"/>
    <n v="21.83"/>
    <n v="8"/>
    <n v="1225"/>
    <n v="8"/>
    <n v="9670"/>
    <n v="130"/>
    <n v="31258"/>
    <n v="430"/>
    <n v="1.3756478341544564E-2"/>
    <m/>
    <n v="20"/>
    <n v="25"/>
    <n v="20"/>
    <n v="125"/>
    <n v="130"/>
    <n v="110"/>
    <n v="0"/>
    <n v="0"/>
    <n v="0"/>
    <n v="0"/>
    <n v="0"/>
    <n v="0"/>
    <n v="0"/>
    <n v="0"/>
    <n v="0"/>
    <n v="0.96541805555555549"/>
    <n v="1.1046319444444443"/>
    <n v="0.92853298611111101"/>
    <n v="0.99952766203703691"/>
    <n v="0"/>
    <n v="0"/>
    <n v="0"/>
    <n v="1"/>
    <n v="1"/>
    <n v="1"/>
    <n v="8"/>
    <b v="1"/>
    <b v="0"/>
  </r>
  <r>
    <d v="2024-06-09T00:00:00"/>
    <s v="29B"/>
    <x v="13"/>
    <n v="27761"/>
    <s v="White"/>
    <n v="814"/>
    <s v="Running"/>
    <n v="13.43"/>
    <n v="8"/>
    <n v="2095"/>
    <n v="16"/>
    <n v="33520"/>
    <m/>
    <n v="13.44"/>
    <n v="8"/>
    <n v="2285"/>
    <n v="16"/>
    <n v="36560"/>
    <m/>
    <n v="13.45"/>
    <n v="8"/>
    <n v="2038"/>
    <n v="16"/>
    <n v="32608"/>
    <m/>
    <n v="102688"/>
    <m/>
    <m/>
    <m/>
    <m/>
    <m/>
    <m/>
    <m/>
    <m/>
    <m/>
    <m/>
    <m/>
    <m/>
    <m/>
    <m/>
    <m/>
    <m/>
    <m/>
    <m/>
    <n v="0.97693923611111111"/>
    <n v="1.0663333333333334"/>
    <n v="0.95177430555555553"/>
    <n v="0.99834895833333326"/>
    <n v="0"/>
    <n v="0"/>
    <n v="0"/>
    <n v="1"/>
    <n v="1"/>
    <n v="1"/>
    <n v="16"/>
    <b v="0"/>
    <b v="0"/>
  </r>
  <r>
    <d v="2024-06-10T00:00:00"/>
    <s v="01B"/>
    <x v="0"/>
    <n v="27422"/>
    <s v="White"/>
    <n v="6331"/>
    <s v="Running"/>
    <n v="22.69"/>
    <n v="8"/>
    <n v="1216"/>
    <n v="4"/>
    <n v="4859"/>
    <n v="5"/>
    <n v="22.69"/>
    <n v="8"/>
    <n v="1307"/>
    <n v="4"/>
    <n v="5222"/>
    <n v="6"/>
    <n v="22.69"/>
    <n v="8"/>
    <n v="1226"/>
    <n v="4"/>
    <n v="4896"/>
    <n v="8"/>
    <n v="14977"/>
    <n v="19"/>
    <n v="1.2686118715363557E-3"/>
    <m/>
    <n v="5"/>
    <n v="6"/>
    <n v="8"/>
    <n v="0"/>
    <n v="0"/>
    <n v="0"/>
    <n v="0"/>
    <n v="0"/>
    <n v="0"/>
    <n v="0"/>
    <n v="0"/>
    <n v="0"/>
    <n v="0"/>
    <n v="0"/>
    <n v="0"/>
    <n v="0.95802222222222222"/>
    <n v="1.0297163194444445"/>
    <n v="0.96590069444444449"/>
    <n v="0.98454641203703719"/>
    <n v="0"/>
    <n v="0"/>
    <n v="0"/>
    <n v="1"/>
    <n v="1"/>
    <n v="1"/>
    <n v="4"/>
    <b v="0"/>
    <b v="1"/>
  </r>
  <r>
    <d v="2024-06-10T00:00:00"/>
    <s v="02C"/>
    <x v="1"/>
    <n v="27575"/>
    <s v="White"/>
    <n v="814"/>
    <s v="Running"/>
    <n v="20.79"/>
    <n v="8"/>
    <n v="1422"/>
    <n v="8"/>
    <n v="11241"/>
    <n v="135"/>
    <n v="20.79"/>
    <n v="7"/>
    <n v="1147"/>
    <n v="8"/>
    <n v="9056"/>
    <n v="120"/>
    <n v="0"/>
    <n v="0"/>
    <n v="0"/>
    <n v="0"/>
    <n v="0"/>
    <n v="0"/>
    <n v="20297"/>
    <n v="255"/>
    <n v="1.2563433019658078E-2"/>
    <m/>
    <n v="25"/>
    <n v="20"/>
    <n v="0"/>
    <n v="110"/>
    <n v="100"/>
    <n v="0"/>
    <n v="0"/>
    <n v="0"/>
    <n v="0"/>
    <n v="0"/>
    <n v="0"/>
    <n v="0"/>
    <n v="0"/>
    <n v="0"/>
    <n v="0"/>
    <n v="1.02650625"/>
    <n v="0.94627499999999987"/>
    <n v="0"/>
    <n v="0.98639062499999985"/>
    <n v="0"/>
    <n v="0"/>
    <n v="0"/>
    <n v="1"/>
    <n v="1"/>
    <n v="0"/>
    <n v="8"/>
    <b v="1"/>
    <b v="0"/>
  </r>
  <r>
    <d v="2024-06-10T00:00:00"/>
    <s v="02C"/>
    <x v="1"/>
    <n v="27760"/>
    <s v="Black "/>
    <n v="814"/>
    <s v="Running"/>
    <n v="0"/>
    <n v="0"/>
    <n v="0"/>
    <n v="0"/>
    <n v="0"/>
    <n v="0"/>
    <n v="20.79"/>
    <n v="1"/>
    <n v="150"/>
    <n v="8"/>
    <n v="1100"/>
    <n v="100"/>
    <n v="21.91"/>
    <n v="8"/>
    <n v="1201"/>
    <n v="8"/>
    <n v="9568"/>
    <n v="40"/>
    <n v="10668"/>
    <n v="140"/>
    <n v="1.3123359580052493E-2"/>
    <s v="Shift-2 转单27760"/>
    <n v="0"/>
    <n v="100"/>
    <n v="10"/>
    <n v="0"/>
    <n v="0"/>
    <n v="30"/>
    <n v="0"/>
    <n v="0"/>
    <n v="0"/>
    <n v="0"/>
    <n v="0"/>
    <n v="0"/>
    <n v="0"/>
    <n v="0"/>
    <n v="0"/>
    <n v="0"/>
    <n v="0.86624999999999996"/>
    <n v="0.9136774305555555"/>
    <n v="0.88996371527777773"/>
    <n v="0"/>
    <n v="0"/>
    <n v="0"/>
    <n v="0"/>
    <n v="1"/>
    <n v="1"/>
    <n v="8"/>
    <b v="1"/>
    <b v="0"/>
  </r>
  <r>
    <d v="2024-06-10T00:00:00"/>
    <s v="03C"/>
    <x v="2"/>
    <n v="27760"/>
    <s v="White"/>
    <n v="814"/>
    <s v="Running"/>
    <n v="20.81"/>
    <n v="8"/>
    <n v="1432"/>
    <n v="8"/>
    <n v="11316"/>
    <n v="140"/>
    <n v="20.81"/>
    <n v="8"/>
    <n v="1377"/>
    <n v="8"/>
    <n v="10886"/>
    <n v="130"/>
    <n v="20.85"/>
    <n v="8"/>
    <n v="1298"/>
    <n v="8"/>
    <n v="10244"/>
    <n v="140"/>
    <n v="32446"/>
    <n v="410"/>
    <n v="1.263638044751279E-2"/>
    <m/>
    <n v="25"/>
    <n v="20"/>
    <n v="20"/>
    <n v="115"/>
    <n v="110"/>
    <n v="120"/>
    <n v="0"/>
    <n v="0"/>
    <n v="0"/>
    <n v="0"/>
    <n v="0"/>
    <n v="0"/>
    <n v="0"/>
    <n v="0"/>
    <n v="0"/>
    <n v="1.0347194444444443"/>
    <n v="0.99497812499999994"/>
    <n v="0.9396979166666668"/>
    <n v="0.98979849537037035"/>
    <n v="0"/>
    <n v="0"/>
    <n v="0"/>
    <n v="1"/>
    <n v="1"/>
    <n v="1"/>
    <n v="8"/>
    <b v="1"/>
    <b v="0"/>
  </r>
  <r>
    <d v="2024-06-10T00:00:00"/>
    <s v="06B"/>
    <x v="3"/>
    <n v="27430"/>
    <s v="White"/>
    <n v="6331"/>
    <s v="Running"/>
    <n v="20.43"/>
    <n v="8"/>
    <n v="1389"/>
    <n v="16"/>
    <n v="22224"/>
    <m/>
    <n v="20.43"/>
    <n v="8"/>
    <n v="1439"/>
    <n v="16"/>
    <n v="23024"/>
    <m/>
    <n v="20.43"/>
    <n v="8"/>
    <n v="1331"/>
    <n v="16"/>
    <n v="21296"/>
    <m/>
    <n v="66544"/>
    <m/>
    <m/>
    <m/>
    <m/>
    <m/>
    <m/>
    <m/>
    <m/>
    <m/>
    <m/>
    <m/>
    <m/>
    <m/>
    <m/>
    <m/>
    <m/>
    <m/>
    <m/>
    <n v="0.98532187500000001"/>
    <n v="1.0207906250000001"/>
    <n v="0.94417812499999998"/>
    <n v="0.98343020833333339"/>
    <n v="0"/>
    <n v="0"/>
    <n v="0"/>
    <n v="1"/>
    <n v="1"/>
    <n v="1"/>
    <n v="16"/>
    <b v="0"/>
    <b v="0"/>
  </r>
  <r>
    <d v="2024-06-10T00:00:00"/>
    <s v="08A"/>
    <x v="4"/>
    <n v="27438"/>
    <s v="White"/>
    <n v="814"/>
    <s v="Running"/>
    <n v="18.55"/>
    <n v="6"/>
    <n v="912"/>
    <n v="15"/>
    <n v="13680"/>
    <m/>
    <n v="18.55"/>
    <n v="8"/>
    <n v="1470"/>
    <n v="16"/>
    <n v="23520"/>
    <m/>
    <n v="19.5"/>
    <n v="8"/>
    <n v="1469"/>
    <n v="16"/>
    <n v="23504"/>
    <m/>
    <n v="60704"/>
    <m/>
    <m/>
    <m/>
    <m/>
    <m/>
    <m/>
    <m/>
    <m/>
    <m/>
    <m/>
    <m/>
    <m/>
    <m/>
    <m/>
    <m/>
    <m/>
    <m/>
    <m/>
    <n v="0.78322222222222238"/>
    <n v="0.94682291666666663"/>
    <n v="0.99463541666666666"/>
    <n v="0.90822685185185181"/>
    <n v="0"/>
    <n v="0"/>
    <n v="0"/>
    <n v="1"/>
    <n v="1"/>
    <n v="1"/>
    <n v="16"/>
    <b v="0"/>
    <b v="0"/>
  </r>
  <r>
    <d v="2024-06-10T00:00:00"/>
    <s v="08B"/>
    <x v="5"/>
    <n v="27716"/>
    <s v="White"/>
    <n v="814"/>
    <s v="Running"/>
    <n v="17.25"/>
    <n v="8"/>
    <n v="1703"/>
    <n v="24"/>
    <n v="40872"/>
    <m/>
    <n v="17.25"/>
    <n v="8"/>
    <n v="1666"/>
    <n v="24"/>
    <n v="39984"/>
    <m/>
    <n v="17.25"/>
    <n v="8"/>
    <n v="1681"/>
    <n v="24"/>
    <n v="40344"/>
    <m/>
    <n v="121200"/>
    <m/>
    <m/>
    <m/>
    <m/>
    <m/>
    <m/>
    <m/>
    <m/>
    <m/>
    <m/>
    <m/>
    <m/>
    <m/>
    <m/>
    <m/>
    <m/>
    <m/>
    <m/>
    <n v="1.0200260416666667"/>
    <n v="0.99786458333333339"/>
    <n v="1.0068489583333333"/>
    <n v="1.0082465277777779"/>
    <n v="0"/>
    <n v="0"/>
    <n v="0"/>
    <n v="1"/>
    <n v="1"/>
    <n v="1"/>
    <n v="24"/>
    <b v="0"/>
    <b v="0"/>
  </r>
  <r>
    <d v="2024-06-10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0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0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0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0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0T00:00:00"/>
    <s v="20B"/>
    <x v="11"/>
    <n v="27716"/>
    <s v="White"/>
    <n v="814"/>
    <s v="Running"/>
    <n v="20.89"/>
    <n v="8"/>
    <n v="1393"/>
    <n v="8"/>
    <n v="10994"/>
    <n v="150"/>
    <n v="20.98"/>
    <n v="8"/>
    <n v="1505"/>
    <n v="8"/>
    <n v="11900"/>
    <n v="140"/>
    <n v="20.88"/>
    <n v="8"/>
    <n v="1073"/>
    <n v="8"/>
    <n v="8449"/>
    <n v="135"/>
    <n v="31343"/>
    <n v="425"/>
    <n v="1.355964649203969E-2"/>
    <m/>
    <n v="25"/>
    <n v="20"/>
    <n v="20"/>
    <n v="125"/>
    <n v="120"/>
    <n v="115"/>
    <n v="0"/>
    <n v="0"/>
    <n v="0"/>
    <n v="0"/>
    <n v="0"/>
    <n v="0"/>
    <n v="0"/>
    <n v="0"/>
    <n v="0"/>
    <n v="1.0104086805555557"/>
    <n v="1.0963506944444446"/>
    <n v="0.77792499999999998"/>
    <n v="0.96156145833333329"/>
    <n v="0"/>
    <n v="0"/>
    <n v="0"/>
    <n v="1"/>
    <n v="1"/>
    <n v="1"/>
    <n v="8"/>
    <b v="1"/>
    <b v="0"/>
  </r>
  <r>
    <d v="2024-06-10T00:00:00"/>
    <s v="21B"/>
    <x v="12"/>
    <n v="27716"/>
    <s v="White"/>
    <n v="814"/>
    <s v="Running"/>
    <n v="21.78"/>
    <n v="8"/>
    <n v="1335"/>
    <n v="8"/>
    <n v="10535"/>
    <n v="145"/>
    <n v="21.79"/>
    <n v="8"/>
    <n v="1372"/>
    <n v="8"/>
    <n v="10831"/>
    <n v="145"/>
    <n v="21.83"/>
    <n v="4"/>
    <n v="513"/>
    <n v="8"/>
    <n v="4029"/>
    <n v="75"/>
    <n v="25395"/>
    <n v="365"/>
    <n v="1.4372908052766293E-2"/>
    <m/>
    <n v="20"/>
    <n v="25"/>
    <n v="15"/>
    <n v="125"/>
    <n v="120"/>
    <n v="60"/>
    <n v="0"/>
    <n v="0"/>
    <n v="0"/>
    <n v="0"/>
    <n v="0"/>
    <n v="0"/>
    <n v="0"/>
    <n v="0"/>
    <n v="0"/>
    <n v="1.0095937500000001"/>
    <n v="1.0380513888888887"/>
    <n v="0.77769374999999996"/>
    <n v="0.94177962962962969"/>
    <n v="0"/>
    <n v="0"/>
    <n v="0"/>
    <n v="1"/>
    <n v="1"/>
    <n v="1"/>
    <n v="8"/>
    <b v="1"/>
    <b v="0"/>
  </r>
  <r>
    <d v="2024-06-10T00:00:00"/>
    <s v="21B"/>
    <x v="12"/>
    <n v="27715"/>
    <s v="White"/>
    <n v="814"/>
    <s v="Running"/>
    <n v="0"/>
    <n v="0"/>
    <n v="0"/>
    <n v="0"/>
    <n v="0"/>
    <n v="0"/>
    <n v="0"/>
    <n v="0"/>
    <n v="0"/>
    <n v="0"/>
    <n v="0"/>
    <n v="0"/>
    <n v="21.79"/>
    <n v="4"/>
    <n v="595"/>
    <n v="8"/>
    <n v="4685"/>
    <n v="75"/>
    <n v="4685"/>
    <n v="75"/>
    <n v="1.6008537886872998E-2"/>
    <s v="Shift-3 转单27715"/>
    <n v="0"/>
    <n v="0"/>
    <n v="10"/>
    <n v="0"/>
    <n v="0"/>
    <n v="65"/>
    <n v="0"/>
    <n v="0"/>
    <n v="0"/>
    <n v="0"/>
    <n v="0"/>
    <n v="0"/>
    <n v="0"/>
    <n v="0"/>
    <n v="0"/>
    <n v="0"/>
    <n v="0"/>
    <n v="0.90035069444444438"/>
    <n v="0.90035069444444438"/>
    <n v="0"/>
    <n v="0"/>
    <n v="0"/>
    <n v="0"/>
    <n v="0"/>
    <n v="1"/>
    <n v="8"/>
    <b v="1"/>
    <b v="0"/>
  </r>
  <r>
    <d v="2024-06-10T00:00:00"/>
    <s v="29B"/>
    <x v="13"/>
    <n v="27761"/>
    <s v="White"/>
    <n v="814"/>
    <s v="Running"/>
    <n v="13.45"/>
    <n v="8"/>
    <n v="2119"/>
    <n v="16"/>
    <n v="33904"/>
    <m/>
    <n v="13.45"/>
    <n v="8"/>
    <n v="2176"/>
    <n v="16"/>
    <n v="34816"/>
    <m/>
    <n v="13.46"/>
    <n v="8"/>
    <n v="2135"/>
    <n v="16"/>
    <n v="34160"/>
    <m/>
    <n v="102880"/>
    <m/>
    <m/>
    <m/>
    <m/>
    <m/>
    <m/>
    <m/>
    <m/>
    <m/>
    <m/>
    <m/>
    <m/>
    <m/>
    <m/>
    <m/>
    <m/>
    <m/>
    <m/>
    <n v="0.98960243055555552"/>
    <n v="1.0162222222222221"/>
    <n v="0.99781597222222229"/>
    <n v="1.0012135416666668"/>
    <n v="0"/>
    <n v="0"/>
    <n v="0"/>
    <n v="1"/>
    <n v="1"/>
    <n v="1"/>
    <n v="16"/>
    <b v="0"/>
    <b v="0"/>
  </r>
  <r>
    <d v="2024-06-11T00:00:00"/>
    <s v="01B"/>
    <x v="0"/>
    <n v="27647"/>
    <s v="White"/>
    <n v="6331"/>
    <s v="Running"/>
    <n v="22.69"/>
    <n v="8"/>
    <n v="1268"/>
    <n v="4"/>
    <n v="5065"/>
    <n v="7"/>
    <n v="22.79"/>
    <n v="8"/>
    <n v="1306"/>
    <n v="4"/>
    <n v="5216"/>
    <n v="8"/>
    <n v="22.45"/>
    <n v="8"/>
    <n v="1282"/>
    <n v="4"/>
    <n v="5122"/>
    <n v="6"/>
    <n v="15403"/>
    <n v="21"/>
    <n v="1.3633707719275467E-3"/>
    <m/>
    <n v="7"/>
    <n v="8"/>
    <n v="6"/>
    <n v="0"/>
    <n v="0"/>
    <n v="0"/>
    <n v="0"/>
    <n v="0"/>
    <n v="0"/>
    <n v="0"/>
    <n v="0"/>
    <n v="0"/>
    <n v="0"/>
    <n v="0"/>
    <n v="0"/>
    <n v="0.99899027777777782"/>
    <n v="1.0334631944444443"/>
    <n v="0.99933680555555549"/>
    <n v="1.0105967592592593"/>
    <n v="0"/>
    <n v="0"/>
    <n v="0"/>
    <n v="1"/>
    <n v="1"/>
    <n v="1"/>
    <n v="4"/>
    <b v="0"/>
    <b v="1"/>
  </r>
  <r>
    <d v="2024-06-11T00:00:00"/>
    <s v="02C"/>
    <x v="1"/>
    <n v="27760"/>
    <s v="Black "/>
    <n v="814"/>
    <s v="Running"/>
    <n v="21.91"/>
    <n v="8"/>
    <n v="1308"/>
    <n v="8"/>
    <n v="10429"/>
    <n v="35"/>
    <n v="21.9"/>
    <n v="8"/>
    <n v="1428"/>
    <n v="8"/>
    <n v="11389"/>
    <n v="35"/>
    <n v="21.89"/>
    <n v="8"/>
    <n v="1062"/>
    <n v="8"/>
    <n v="8466"/>
    <n v="30"/>
    <n v="30284"/>
    <n v="100"/>
    <n v="3.3020737022850348E-3"/>
    <m/>
    <n v="10"/>
    <n v="12"/>
    <n v="10"/>
    <n v="25"/>
    <n v="23"/>
    <n v="20"/>
    <n v="0"/>
    <n v="0"/>
    <n v="0"/>
    <n v="0"/>
    <n v="0"/>
    <n v="0"/>
    <n v="0"/>
    <n v="0"/>
    <n v="0"/>
    <n v="0.99507916666666663"/>
    <n v="1.0858749999999999"/>
    <n v="0.80719375000000004"/>
    <n v="0.96271597222222216"/>
    <n v="0"/>
    <n v="0"/>
    <n v="0"/>
    <n v="1"/>
    <n v="1"/>
    <n v="1"/>
    <n v="8"/>
    <b v="1"/>
    <b v="0"/>
  </r>
  <r>
    <d v="2024-06-11T00:00:00"/>
    <s v="03C"/>
    <x v="2"/>
    <n v="27760"/>
    <s v="White"/>
    <n v="814"/>
    <s v="Running"/>
    <n v="20.79"/>
    <n v="8"/>
    <n v="1314"/>
    <n v="8"/>
    <n v="10362"/>
    <n v="150"/>
    <n v="20.78"/>
    <n v="7"/>
    <n v="1232"/>
    <n v="8"/>
    <n v="9711"/>
    <n v="145"/>
    <n v="0"/>
    <n v="0"/>
    <n v="0"/>
    <n v="0"/>
    <n v="0"/>
    <n v="0"/>
    <n v="20073"/>
    <n v="295"/>
    <n v="1.4696358292233348E-2"/>
    <m/>
    <n v="25"/>
    <n v="25"/>
    <n v="0"/>
    <n v="125"/>
    <n v="120"/>
    <n v="0"/>
    <n v="0"/>
    <n v="0"/>
    <n v="0"/>
    <n v="0"/>
    <n v="0"/>
    <n v="0"/>
    <n v="0"/>
    <n v="0"/>
    <n v="0"/>
    <n v="0.94854374999999991"/>
    <n v="1.0159111111111112"/>
    <n v="0"/>
    <n v="0.98222743055555561"/>
    <n v="0"/>
    <n v="0"/>
    <n v="0"/>
    <n v="1"/>
    <n v="1"/>
    <n v="0"/>
    <n v="8"/>
    <b v="1"/>
    <b v="0"/>
  </r>
  <r>
    <d v="2024-06-11T00:00:00"/>
    <s v="03C"/>
    <x v="2"/>
    <n v="27692"/>
    <s v="Pink Red"/>
    <n v="6331"/>
    <s v="Running"/>
    <n v="0"/>
    <n v="0"/>
    <n v="0"/>
    <n v="0"/>
    <n v="0"/>
    <n v="0"/>
    <n v="0"/>
    <n v="0"/>
    <n v="0"/>
    <n v="0"/>
    <n v="0"/>
    <n v="0"/>
    <n v="20.79"/>
    <n v="5.5"/>
    <n v="906"/>
    <n v="8"/>
    <n v="7118"/>
    <n v="130"/>
    <n v="7118"/>
    <n v="130"/>
    <n v="1.8263557178982859E-2"/>
    <s v="Shift-3 转单27692，转料走色"/>
    <n v="0"/>
    <n v="0"/>
    <n v="20"/>
    <n v="0"/>
    <n v="0"/>
    <n v="110"/>
    <n v="0"/>
    <n v="0"/>
    <n v="0"/>
    <n v="0"/>
    <n v="0"/>
    <n v="0"/>
    <n v="0"/>
    <n v="0"/>
    <n v="0"/>
    <n v="0"/>
    <n v="0"/>
    <n v="0.95129999999999992"/>
    <n v="0.95129999999999992"/>
    <n v="0"/>
    <n v="0"/>
    <n v="0"/>
    <n v="0"/>
    <n v="0"/>
    <n v="1"/>
    <n v="8"/>
    <b v="1"/>
    <b v="0"/>
  </r>
  <r>
    <d v="2024-06-11T00:00:00"/>
    <s v="06B"/>
    <x v="3"/>
    <n v="27430"/>
    <s v="White"/>
    <n v="6331"/>
    <s v="Running"/>
    <n v="20.43"/>
    <n v="8"/>
    <n v="1469"/>
    <n v="16"/>
    <n v="23504"/>
    <m/>
    <n v="20.43"/>
    <n v="8"/>
    <n v="1544"/>
    <n v="16"/>
    <n v="24704"/>
    <m/>
    <n v="20.43"/>
    <n v="8"/>
    <n v="1265"/>
    <n v="16"/>
    <n v="20240"/>
    <m/>
    <n v="68448"/>
    <m/>
    <m/>
    <m/>
    <m/>
    <m/>
    <m/>
    <m/>
    <m/>
    <m/>
    <m/>
    <m/>
    <m/>
    <m/>
    <m/>
    <m/>
    <m/>
    <m/>
    <m/>
    <n v="1.042071875"/>
    <n v="1.095275"/>
    <n v="0.89735937500000007"/>
    <n v="1.0115687500000001"/>
    <n v="0"/>
    <n v="0"/>
    <n v="0"/>
    <n v="1"/>
    <n v="1"/>
    <n v="1"/>
    <n v="16"/>
    <b v="0"/>
    <b v="0"/>
  </r>
  <r>
    <d v="2024-06-11T00:00:00"/>
    <s v="08A"/>
    <x v="4"/>
    <n v="24738"/>
    <s v="White"/>
    <n v="814"/>
    <s v="Running"/>
    <n v="19.54"/>
    <n v="6"/>
    <n v="1145"/>
    <n v="16"/>
    <n v="18320"/>
    <m/>
    <n v="20.010000000000002"/>
    <n v="8"/>
    <n v="1198"/>
    <n v="16"/>
    <n v="19168"/>
    <m/>
    <n v="20.7"/>
    <n v="8"/>
    <n v="1327"/>
    <n v="16"/>
    <n v="21232"/>
    <m/>
    <n v="58720"/>
    <m/>
    <m/>
    <m/>
    <m/>
    <m/>
    <m/>
    <m/>
    <m/>
    <m/>
    <m/>
    <m/>
    <m/>
    <m/>
    <m/>
    <m/>
    <m/>
    <m/>
    <m/>
    <n v="1.035800925925926"/>
    <n v="0.83236041666666682"/>
    <n v="0.95378124999999991"/>
    <n v="0.94064753086419761"/>
    <n v="0"/>
    <n v="0"/>
    <n v="0"/>
    <n v="1"/>
    <n v="1"/>
    <n v="1"/>
    <n v="16"/>
    <b v="0"/>
    <b v="0"/>
  </r>
  <r>
    <d v="2024-06-11T00:00:00"/>
    <s v="08B"/>
    <x v="5"/>
    <n v="27716"/>
    <s v="White"/>
    <n v="814"/>
    <s v="Running"/>
    <n v="17.25"/>
    <n v="8"/>
    <n v="1650"/>
    <n v="24"/>
    <n v="39600"/>
    <m/>
    <n v="17.25"/>
    <n v="8"/>
    <n v="1749"/>
    <n v="24"/>
    <n v="41976"/>
    <m/>
    <n v="17.25"/>
    <n v="8"/>
    <n v="1604"/>
    <n v="24"/>
    <n v="38496"/>
    <m/>
    <n v="120072"/>
    <m/>
    <m/>
    <m/>
    <m/>
    <m/>
    <m/>
    <m/>
    <m/>
    <m/>
    <m/>
    <m/>
    <m/>
    <m/>
    <m/>
    <m/>
    <m/>
    <m/>
    <m/>
    <n v="0.98828125"/>
    <n v="1.047578125"/>
    <n v="0.96072916666666663"/>
    <n v="0.99886284722222241"/>
    <n v="0"/>
    <n v="0"/>
    <n v="0"/>
    <n v="1"/>
    <n v="1"/>
    <n v="1"/>
    <n v="24"/>
    <b v="0"/>
    <b v="0"/>
  </r>
  <r>
    <d v="2024-06-11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1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1T00:00:00"/>
    <s v="14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1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1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1T00:00:00"/>
    <s v="20B"/>
    <x v="11"/>
    <n v="27715"/>
    <s v="White"/>
    <n v="814"/>
    <s v="Running"/>
    <n v="20.88"/>
    <n v="6"/>
    <n v="1093"/>
    <n v="8"/>
    <n v="8622"/>
    <n v="122"/>
    <n v="21.88"/>
    <n v="8"/>
    <n v="1358"/>
    <n v="8"/>
    <n v="10734"/>
    <n v="130"/>
    <n v="21.98"/>
    <n v="8"/>
    <n v="1195"/>
    <n v="8"/>
    <n v="9432"/>
    <n v="128"/>
    <n v="28788"/>
    <n v="380"/>
    <n v="1.3199944421286648E-2"/>
    <s v="Shift-1 做sample 2小时"/>
    <n v="20"/>
    <n v="20"/>
    <n v="18"/>
    <n v="102"/>
    <n v="110"/>
    <n v="110"/>
    <n v="0"/>
    <n v="0"/>
    <n v="0"/>
    <n v="0"/>
    <n v="0"/>
    <n v="0"/>
    <n v="0"/>
    <n v="0"/>
    <n v="0"/>
    <n v="1.0565666666666667"/>
    <n v="1.0317027777777776"/>
    <n v="0.9120173611111112"/>
    <n v="1.0000956018518519"/>
    <n v="0"/>
    <n v="0"/>
    <n v="2"/>
    <n v="1"/>
    <n v="1"/>
    <n v="1"/>
    <n v="8"/>
    <b v="1"/>
    <b v="0"/>
  </r>
  <r>
    <d v="2024-06-11T00:00:00"/>
    <s v="21B"/>
    <x v="12"/>
    <n v="27715"/>
    <s v="White"/>
    <n v="814"/>
    <s v="Running"/>
    <n v="21.79"/>
    <n v="6"/>
    <n v="979"/>
    <n v="8"/>
    <n v="7682"/>
    <n v="150"/>
    <n v="21.89"/>
    <n v="8"/>
    <n v="1373"/>
    <n v="8"/>
    <n v="10839"/>
    <n v="145"/>
    <n v="21.89"/>
    <n v="8"/>
    <n v="1246"/>
    <n v="8"/>
    <n v="9828"/>
    <n v="140"/>
    <n v="28349"/>
    <n v="435"/>
    <n v="1.5344456594588874E-2"/>
    <s v="Shift-1 做sample 2小时"/>
    <n v="25"/>
    <n v="25"/>
    <n v="20"/>
    <n v="125"/>
    <n v="120"/>
    <n v="120"/>
    <n v="0"/>
    <n v="0"/>
    <n v="0"/>
    <n v="0"/>
    <n v="0"/>
    <n v="0"/>
    <n v="0"/>
    <n v="0"/>
    <n v="0"/>
    <n v="0.98761157407407407"/>
    <n v="1.0435753472222222"/>
    <n v="0.94704652777777787"/>
    <n v="0.99274448302469132"/>
    <n v="0"/>
    <n v="0"/>
    <n v="2"/>
    <n v="1"/>
    <n v="1"/>
    <n v="1"/>
    <n v="8"/>
    <b v="1"/>
    <b v="0"/>
  </r>
  <r>
    <d v="2024-06-11T00:00:00"/>
    <s v="29B"/>
    <x v="13"/>
    <n v="27761"/>
    <s v="White"/>
    <n v="814"/>
    <s v="Running"/>
    <n v="13.44"/>
    <n v="8"/>
    <n v="2146"/>
    <n v="16"/>
    <n v="34336"/>
    <m/>
    <n v="13.44"/>
    <n v="8"/>
    <n v="2252"/>
    <n v="16"/>
    <n v="36032"/>
    <m/>
    <n v="13.43"/>
    <n v="8"/>
    <n v="2013"/>
    <n v="16"/>
    <n v="32208"/>
    <m/>
    <n v="102576"/>
    <m/>
    <m/>
    <m/>
    <m/>
    <m/>
    <m/>
    <m/>
    <m/>
    <m/>
    <m/>
    <m/>
    <m/>
    <m/>
    <m/>
    <m/>
    <m/>
    <m/>
    <m/>
    <n v="1.0014666666666665"/>
    <n v="1.0509333333333333"/>
    <n v="0.93870104166666668"/>
    <n v="0.99703368055555541"/>
    <n v="0"/>
    <n v="0"/>
    <n v="0"/>
    <n v="1"/>
    <n v="1"/>
    <n v="1"/>
    <n v="16"/>
    <b v="0"/>
    <b v="0"/>
  </r>
  <r>
    <d v="2024-06-12T00:00:00"/>
    <s v="01B"/>
    <x v="0"/>
    <n v="27647"/>
    <s v="White"/>
    <n v="6331"/>
    <s v="Running"/>
    <n v="22.69"/>
    <n v="8"/>
    <n v="1226"/>
    <n v="4"/>
    <n v="4897"/>
    <n v="7"/>
    <n v="22.69"/>
    <n v="8"/>
    <n v="1296"/>
    <n v="4"/>
    <n v="5178"/>
    <n v="6"/>
    <n v="22.69"/>
    <n v="8"/>
    <n v="1270"/>
    <n v="4"/>
    <n v="5075"/>
    <n v="5"/>
    <n v="15150"/>
    <n v="18"/>
    <n v="1.1881188118811881E-3"/>
    <m/>
    <n v="7"/>
    <n v="6"/>
    <n v="5"/>
    <n v="0"/>
    <n v="0"/>
    <n v="0"/>
    <n v="0"/>
    <n v="0"/>
    <n v="0"/>
    <n v="0"/>
    <n v="0"/>
    <n v="0"/>
    <n v="0"/>
    <n v="0"/>
    <n v="0"/>
    <n v="0.96590069444444449"/>
    <n v="1.02105"/>
    <n v="1.0005659722222224"/>
    <n v="0.99583888888888905"/>
    <n v="0"/>
    <n v="0"/>
    <n v="0"/>
    <n v="1"/>
    <n v="1"/>
    <n v="1"/>
    <n v="4"/>
    <b v="0"/>
    <b v="1"/>
  </r>
  <r>
    <d v="2024-06-12T00:00:00"/>
    <s v="02C"/>
    <x v="1"/>
    <n v="27760"/>
    <s v="Black "/>
    <n v="814"/>
    <s v="Running"/>
    <n v="21.8"/>
    <n v="6"/>
    <n v="1062"/>
    <n v="8"/>
    <n v="8476"/>
    <n v="20"/>
    <n v="21.9"/>
    <n v="3.5"/>
    <n v="921"/>
    <n v="8"/>
    <n v="7353"/>
    <n v="15"/>
    <n v="0"/>
    <n v="0"/>
    <n v="0"/>
    <n v="0"/>
    <n v="0"/>
    <n v="0"/>
    <n v="15829"/>
    <n v="35"/>
    <n v="2.2111314675595426E-3"/>
    <m/>
    <n v="10"/>
    <n v="5"/>
    <n v="0"/>
    <n v="10"/>
    <n v="10"/>
    <n v="0"/>
    <n v="0"/>
    <n v="0"/>
    <n v="0"/>
    <n v="0"/>
    <n v="0"/>
    <n v="0"/>
    <n v="0"/>
    <n v="0"/>
    <n v="0"/>
    <n v="1.0718333333333334"/>
    <n v="1.600785714285714"/>
    <n v="0"/>
    <n v="1.3363095238095237"/>
    <n v="0"/>
    <n v="0"/>
    <n v="0"/>
    <n v="1"/>
    <n v="1"/>
    <n v="0"/>
    <n v="8"/>
    <b v="1"/>
    <b v="0"/>
  </r>
  <r>
    <d v="2024-06-12T00:00:00"/>
    <s v="03C"/>
    <x v="2"/>
    <n v="27692"/>
    <s v="Pink Red"/>
    <n v="6331"/>
    <s v="Running"/>
    <n v="20.8"/>
    <n v="8"/>
    <n v="1401"/>
    <n v="8"/>
    <n v="11068"/>
    <n v="140"/>
    <n v="20.8"/>
    <n v="8"/>
    <n v="1538"/>
    <n v="8"/>
    <n v="12169"/>
    <n v="135"/>
    <n v="20.84"/>
    <n v="5.5"/>
    <n v="772"/>
    <n v="8"/>
    <n v="6101"/>
    <n v="75"/>
    <n v="29338"/>
    <n v="350"/>
    <n v="1.1929920239961825E-2"/>
    <m/>
    <n v="20"/>
    <n v="25"/>
    <n v="15"/>
    <n v="120"/>
    <n v="110"/>
    <n v="60"/>
    <n v="0"/>
    <n v="0"/>
    <n v="0"/>
    <n v="0"/>
    <n v="0"/>
    <n v="0"/>
    <n v="0"/>
    <n v="0"/>
    <n v="0"/>
    <n v="1.0118333333333334"/>
    <n v="1.1107777777777779"/>
    <n v="0.81254949494949491"/>
    <n v="0.97838686868686875"/>
    <n v="0"/>
    <n v="0"/>
    <n v="0"/>
    <n v="1"/>
    <n v="1"/>
    <n v="1"/>
    <n v="8"/>
    <b v="1"/>
    <b v="0"/>
  </r>
  <r>
    <d v="2024-06-12T00:00:00"/>
    <s v="03C"/>
    <x v="2"/>
    <n v="27651"/>
    <s v="Pink Red"/>
    <n v="6331"/>
    <s v="Running"/>
    <n v="0"/>
    <n v="0"/>
    <n v="0"/>
    <n v="0"/>
    <n v="0"/>
    <n v="0"/>
    <n v="0"/>
    <n v="0"/>
    <n v="0"/>
    <n v="0"/>
    <n v="0"/>
    <n v="0"/>
    <n v="20.84"/>
    <n v="2.5"/>
    <n v="306"/>
    <n v="8"/>
    <n v="2403"/>
    <n v="45"/>
    <n v="2403"/>
    <n v="45"/>
    <n v="1.8726591760299626E-2"/>
    <s v="Shift-3 转单27651"/>
    <n v="0"/>
    <n v="0"/>
    <n v="5"/>
    <n v="0"/>
    <n v="0"/>
    <n v="40"/>
    <n v="0"/>
    <n v="0"/>
    <n v="0"/>
    <n v="0"/>
    <n v="0"/>
    <n v="0"/>
    <n v="0"/>
    <n v="0"/>
    <n v="0"/>
    <n v="0"/>
    <n v="0"/>
    <n v="0.70855999999999997"/>
    <n v="0.70855999999999997"/>
    <n v="0"/>
    <n v="0"/>
    <n v="0"/>
    <n v="0"/>
    <n v="0"/>
    <n v="1"/>
    <n v="8"/>
    <b v="1"/>
    <b v="0"/>
  </r>
  <r>
    <d v="2024-06-12T00:00:00"/>
    <s v="06B"/>
    <x v="3"/>
    <n v="27430"/>
    <s v="White"/>
    <n v="6331"/>
    <s v="Running"/>
    <n v="20.43"/>
    <n v="4"/>
    <n v="657"/>
    <n v="16"/>
    <n v="10512"/>
    <m/>
    <n v="0"/>
    <n v="0"/>
    <n v="0"/>
    <n v="0"/>
    <n v="0"/>
    <m/>
    <n v="0"/>
    <n v="0"/>
    <n v="0"/>
    <n v="0"/>
    <n v="0"/>
    <m/>
    <n v="10512"/>
    <m/>
    <m/>
    <s v="Shift-1 轉單 #27692"/>
    <m/>
    <m/>
    <m/>
    <m/>
    <m/>
    <m/>
    <m/>
    <m/>
    <m/>
    <m/>
    <m/>
    <m/>
    <m/>
    <m/>
    <m/>
    <n v="0.93211875"/>
    <n v="0"/>
    <n v="0"/>
    <n v="0.93211875"/>
    <n v="0"/>
    <n v="0"/>
    <n v="0"/>
    <n v="1"/>
    <n v="0"/>
    <n v="0"/>
    <n v="16"/>
    <b v="0"/>
    <b v="0"/>
  </r>
  <r>
    <d v="2024-06-12T00:00:00"/>
    <s v="06B"/>
    <x v="3"/>
    <n v="27692"/>
    <s v="Pink Red"/>
    <n v="6331"/>
    <s v="Running"/>
    <n v="20.43"/>
    <n v="4"/>
    <n v="688"/>
    <n v="16"/>
    <n v="11008"/>
    <m/>
    <n v="20.43"/>
    <n v="8"/>
    <n v="1459"/>
    <n v="16"/>
    <n v="23344"/>
    <m/>
    <n v="20.420000000000002"/>
    <n v="8"/>
    <n v="1326"/>
    <n v="16"/>
    <n v="21216"/>
    <m/>
    <n v="55568"/>
    <m/>
    <m/>
    <m/>
    <m/>
    <m/>
    <m/>
    <m/>
    <m/>
    <m/>
    <m/>
    <m/>
    <m/>
    <m/>
    <m/>
    <m/>
    <m/>
    <m/>
    <m/>
    <n v="0.97609999999999997"/>
    <n v="1.0349781249999999"/>
    <n v="0.9401708333333334"/>
    <n v="0.98374965277777771"/>
    <n v="0"/>
    <n v="0"/>
    <n v="0"/>
    <n v="1"/>
    <n v="1"/>
    <n v="1"/>
    <n v="16"/>
    <b v="0"/>
    <b v="0"/>
  </r>
  <r>
    <d v="2024-06-12T00:00:00"/>
    <s v="08A"/>
    <x v="4"/>
    <n v="27438"/>
    <s v="White"/>
    <n v="814"/>
    <s v="Running"/>
    <n v="20.69"/>
    <n v="8"/>
    <n v="1331"/>
    <n v="16"/>
    <n v="21296"/>
    <m/>
    <n v="20.61"/>
    <n v="1.75"/>
    <n v="314"/>
    <n v="16"/>
    <n v="5024"/>
    <m/>
    <n v="0"/>
    <n v="0"/>
    <n v="0"/>
    <n v="0"/>
    <n v="0"/>
    <m/>
    <n v="26320"/>
    <m/>
    <m/>
    <m/>
    <m/>
    <m/>
    <m/>
    <m/>
    <m/>
    <m/>
    <m/>
    <m/>
    <m/>
    <m/>
    <m/>
    <m/>
    <m/>
    <m/>
    <m/>
    <n v="0.95619409722222237"/>
    <n v="1.0272285714285714"/>
    <n v="0"/>
    <n v="0.99171133432539693"/>
    <n v="0.5"/>
    <n v="0"/>
    <n v="0"/>
    <n v="1"/>
    <n v="1"/>
    <n v="0"/>
    <n v="16"/>
    <b v="0"/>
    <b v="0"/>
  </r>
  <r>
    <d v="2024-06-12T00:00:00"/>
    <s v="08B"/>
    <x v="5"/>
    <n v="27716"/>
    <s v="White"/>
    <n v="814"/>
    <s v="Running"/>
    <n v="17.25"/>
    <n v="4"/>
    <n v="696"/>
    <n v="24"/>
    <n v="16704"/>
    <m/>
    <n v="0"/>
    <n v="0"/>
    <n v="0"/>
    <n v="0"/>
    <n v="0"/>
    <m/>
    <n v="0"/>
    <n v="0"/>
    <n v="0"/>
    <n v="0"/>
    <n v="0"/>
    <m/>
    <n v="16704"/>
    <m/>
    <m/>
    <s v="Shift-1 轉單 #27692"/>
    <m/>
    <m/>
    <m/>
    <m/>
    <m/>
    <m/>
    <m/>
    <m/>
    <m/>
    <m/>
    <m/>
    <m/>
    <m/>
    <m/>
    <m/>
    <n v="0.83374999999999999"/>
    <n v="0"/>
    <n v="0"/>
    <n v="0.83374999999999999"/>
    <n v="0"/>
    <n v="0"/>
    <n v="0"/>
    <n v="1"/>
    <n v="0"/>
    <n v="0"/>
    <n v="24"/>
    <b v="0"/>
    <b v="0"/>
  </r>
  <r>
    <d v="2024-06-12T00:00:00"/>
    <s v="08B"/>
    <x v="5"/>
    <n v="27692"/>
    <s v="Pink Red"/>
    <n v="6331"/>
    <s v="Running"/>
    <n v="17.5"/>
    <n v="4"/>
    <n v="743"/>
    <n v="24"/>
    <n v="17832"/>
    <m/>
    <n v="17.260000000000002"/>
    <n v="8"/>
    <n v="1748"/>
    <n v="24"/>
    <n v="41952"/>
    <m/>
    <n v="17.25"/>
    <n v="8"/>
    <n v="1516"/>
    <n v="24"/>
    <n v="36384"/>
    <m/>
    <n v="96168"/>
    <m/>
    <m/>
    <m/>
    <m/>
    <m/>
    <m/>
    <m/>
    <m/>
    <m/>
    <m/>
    <m/>
    <m/>
    <m/>
    <m/>
    <m/>
    <m/>
    <m/>
    <m/>
    <n v="0.90295138888888893"/>
    <n v="1.0475861111111113"/>
    <n v="0.90802083333333339"/>
    <n v="0.95285277777777788"/>
    <n v="0"/>
    <n v="0"/>
    <n v="0"/>
    <n v="1"/>
    <n v="1"/>
    <n v="1"/>
    <n v="24"/>
    <b v="0"/>
    <b v="0"/>
  </r>
  <r>
    <d v="2024-06-12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2T00:00:00"/>
    <s v="12A"/>
    <x v="7"/>
    <n v="27501"/>
    <s v="White"/>
    <n v="6331"/>
    <s v="Running"/>
    <n v="14.28"/>
    <n v="8"/>
    <n v="2016"/>
    <n v="8"/>
    <n v="16128"/>
    <m/>
    <n v="14.27"/>
    <n v="8"/>
    <n v="2175"/>
    <n v="8"/>
    <n v="17400"/>
    <m/>
    <n v="14.27"/>
    <n v="8"/>
    <n v="1834"/>
    <n v="8"/>
    <n v="14672"/>
    <m/>
    <n v="48200"/>
    <m/>
    <m/>
    <m/>
    <m/>
    <m/>
    <m/>
    <m/>
    <m/>
    <m/>
    <m/>
    <m/>
    <m/>
    <m/>
    <m/>
    <m/>
    <m/>
    <m/>
    <m/>
    <n v="0.99959999999999993"/>
    <n v="1.0776822916666666"/>
    <n v="0.90872152777777782"/>
    <n v="0.99533460648148153"/>
    <n v="0"/>
    <n v="0"/>
    <n v="0"/>
    <n v="1"/>
    <n v="1"/>
    <n v="1"/>
    <n v="8"/>
    <b v="0"/>
    <b v="0"/>
  </r>
  <r>
    <d v="2024-06-12T00:00:00"/>
    <s v="14A"/>
    <x v="8"/>
    <n v="27692"/>
    <s v="Pink Red"/>
    <n v="6331"/>
    <s v="Running"/>
    <n v="17.46"/>
    <n v="1"/>
    <n v="142"/>
    <n v="8"/>
    <n v="1136"/>
    <m/>
    <n v="17.579999999999998"/>
    <n v="8"/>
    <n v="1324"/>
    <n v="8"/>
    <n v="10592"/>
    <m/>
    <n v="17.57"/>
    <n v="8"/>
    <n v="1368"/>
    <n v="8"/>
    <n v="10944"/>
    <m/>
    <n v="22672"/>
    <m/>
    <m/>
    <m/>
    <m/>
    <m/>
    <m/>
    <m/>
    <m/>
    <m/>
    <m/>
    <m/>
    <m/>
    <m/>
    <m/>
    <m/>
    <m/>
    <m/>
    <m/>
    <n v="0.68870000000000009"/>
    <n v="0.80819166666666664"/>
    <n v="0.83457500000000007"/>
    <n v="0.77715555555555549"/>
    <n v="0.5"/>
    <n v="0"/>
    <n v="0"/>
    <n v="1"/>
    <n v="1"/>
    <n v="1"/>
    <n v="8"/>
    <b v="0"/>
    <b v="0"/>
  </r>
  <r>
    <d v="2024-06-12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2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2T00:00:00"/>
    <s v="20B"/>
    <x v="11"/>
    <n v="27715"/>
    <s v="White"/>
    <n v="814"/>
    <s v="Running"/>
    <n v="21.99"/>
    <n v="8"/>
    <n v="1366"/>
    <n v="8"/>
    <n v="10788"/>
    <n v="140"/>
    <n v="21.99"/>
    <n v="4.5"/>
    <n v="788"/>
    <n v="8"/>
    <n v="6234"/>
    <n v="70"/>
    <n v="0"/>
    <n v="0"/>
    <n v="0"/>
    <n v="0"/>
    <n v="0"/>
    <n v="0"/>
    <n v="17022"/>
    <n v="210"/>
    <n v="1.2336975678533662E-2"/>
    <m/>
    <n v="20"/>
    <n v="10"/>
    <n v="0"/>
    <n v="120"/>
    <n v="60"/>
    <n v="0"/>
    <n v="0"/>
    <n v="0"/>
    <n v="0"/>
    <n v="0"/>
    <n v="0"/>
    <n v="0"/>
    <n v="0"/>
    <n v="0"/>
    <n v="0"/>
    <n v="1.0429979166666665"/>
    <n v="1.0696370370370369"/>
    <n v="0"/>
    <n v="1.0563174768518517"/>
    <n v="0"/>
    <n v="0"/>
    <n v="0"/>
    <n v="1"/>
    <n v="1"/>
    <n v="0"/>
    <n v="8"/>
    <b v="1"/>
    <b v="0"/>
  </r>
  <r>
    <d v="2024-06-12T00:00:00"/>
    <s v="20B"/>
    <x v="11"/>
    <n v="27576"/>
    <s v="White"/>
    <n v="814"/>
    <s v="Running"/>
    <n v="0"/>
    <n v="0"/>
    <n v="0"/>
    <n v="0"/>
    <n v="0"/>
    <n v="0"/>
    <n v="21.99"/>
    <n v="3.5"/>
    <n v="618"/>
    <n v="8"/>
    <n v="4874"/>
    <n v="70"/>
    <n v="21.99"/>
    <n v="8"/>
    <n v="1185"/>
    <n v="8"/>
    <n v="9340"/>
    <n v="140"/>
    <n v="14214"/>
    <n v="210"/>
    <n v="1.4774166314900802E-2"/>
    <s v="Shift-3 转单27576"/>
    <n v="0"/>
    <n v="10"/>
    <n v="25"/>
    <n v="0"/>
    <n v="60"/>
    <n v="115"/>
    <n v="0"/>
    <n v="0"/>
    <n v="0"/>
    <n v="0"/>
    <n v="0"/>
    <n v="0"/>
    <n v="0"/>
    <n v="0"/>
    <n v="0"/>
    <n v="0"/>
    <n v="1.0785571428571428"/>
    <n v="0.90479687499999994"/>
    <n v="0.99167700892857136"/>
    <n v="0"/>
    <n v="0"/>
    <n v="0"/>
    <n v="0"/>
    <n v="1"/>
    <n v="1"/>
    <n v="8"/>
    <b v="1"/>
    <b v="0"/>
  </r>
  <r>
    <d v="2024-06-12T00:00:00"/>
    <s v="21B"/>
    <x v="12"/>
    <n v="27715"/>
    <s v="White"/>
    <n v="814"/>
    <s v="Running"/>
    <n v="21.89"/>
    <n v="8"/>
    <n v="1282"/>
    <n v="8"/>
    <n v="10111"/>
    <n v="145"/>
    <n v="21.88"/>
    <n v="2"/>
    <n v="311"/>
    <n v="8"/>
    <n v="2463"/>
    <n v="25"/>
    <n v="0"/>
    <n v="0"/>
    <n v="0"/>
    <n v="0"/>
    <n v="0"/>
    <n v="0"/>
    <n v="12574"/>
    <n v="170"/>
    <n v="1.3519961825990138E-2"/>
    <m/>
    <n v="20"/>
    <n v="5"/>
    <n v="0"/>
    <n v="125"/>
    <n v="20"/>
    <n v="0"/>
    <n v="0"/>
    <n v="0"/>
    <n v="0"/>
    <n v="0"/>
    <n v="0"/>
    <n v="0"/>
    <n v="0"/>
    <n v="0"/>
    <n v="0"/>
    <n v="0.97440902777777771"/>
    <n v="0.94509444444444435"/>
    <n v="0"/>
    <n v="0.95975173611111098"/>
    <n v="0"/>
    <n v="0"/>
    <n v="0"/>
    <n v="1"/>
    <n v="1"/>
    <n v="0"/>
    <n v="8"/>
    <b v="1"/>
    <b v="0"/>
  </r>
  <r>
    <d v="2024-06-12T00:00:00"/>
    <s v="21B"/>
    <x v="12"/>
    <n v="27576"/>
    <s v="White"/>
    <n v="814"/>
    <s v="Running"/>
    <n v="0"/>
    <n v="0"/>
    <n v="0"/>
    <n v="0"/>
    <n v="0"/>
    <n v="0"/>
    <n v="21.88"/>
    <n v="6"/>
    <n v="998"/>
    <n v="8"/>
    <n v="7864"/>
    <n v="120"/>
    <n v="21.89"/>
    <n v="8"/>
    <n v="1146"/>
    <n v="8"/>
    <n v="9038"/>
    <n v="130"/>
    <n v="16902"/>
    <n v="250"/>
    <n v="1.4791148976452491E-2"/>
    <s v="Shift-2 转单27576"/>
    <n v="0"/>
    <n v="20"/>
    <n v="20"/>
    <n v="0"/>
    <n v="100"/>
    <n v="110"/>
    <n v="0"/>
    <n v="0"/>
    <n v="0"/>
    <n v="0"/>
    <n v="0"/>
    <n v="0"/>
    <n v="0"/>
    <n v="0"/>
    <n v="0"/>
    <n v="0"/>
    <n v="1.010937037037037"/>
    <n v="0.87103958333333342"/>
    <n v="0.94098831018518525"/>
    <n v="0"/>
    <n v="0"/>
    <n v="0"/>
    <n v="0"/>
    <n v="1"/>
    <n v="1"/>
    <n v="8"/>
    <b v="1"/>
    <b v="0"/>
  </r>
  <r>
    <d v="2024-06-12T00:00:00"/>
    <s v="29B"/>
    <x v="13"/>
    <n v="27761"/>
    <s v="White"/>
    <n v="814"/>
    <s v="Running"/>
    <n v="13.43"/>
    <n v="8"/>
    <n v="2143"/>
    <n v="16"/>
    <n v="34288"/>
    <m/>
    <n v="13.43"/>
    <n v="8"/>
    <n v="2261"/>
    <n v="16"/>
    <n v="36176"/>
    <m/>
    <n v="13.42"/>
    <n v="8"/>
    <n v="2037"/>
    <n v="16"/>
    <n v="32592"/>
    <m/>
    <n v="103056"/>
    <m/>
    <m/>
    <m/>
    <m/>
    <m/>
    <m/>
    <m/>
    <m/>
    <m/>
    <m/>
    <m/>
    <m/>
    <m/>
    <m/>
    <m/>
    <m/>
    <m/>
    <m/>
    <n v="0.99932256944444442"/>
    <n v="1.0543482638888888"/>
    <n v="0.94918541666666667"/>
    <n v="1.0009520833333332"/>
    <n v="0"/>
    <n v="0"/>
    <n v="0"/>
    <n v="1"/>
    <n v="1"/>
    <n v="1"/>
    <n v="16"/>
    <b v="0"/>
    <b v="0"/>
  </r>
  <r>
    <d v="2024-06-13T00:00:00"/>
    <s v="01B"/>
    <x v="0"/>
    <n v="27422"/>
    <s v="White"/>
    <n v="6331"/>
    <s v="Running"/>
    <n v="22.69"/>
    <n v="8"/>
    <n v="1255"/>
    <n v="4"/>
    <n v="5014"/>
    <n v="6"/>
    <n v="22.68"/>
    <n v="8"/>
    <n v="1250"/>
    <n v="4"/>
    <n v="4994"/>
    <n v="6"/>
    <n v="22.68"/>
    <n v="8"/>
    <n v="1245"/>
    <n v="4"/>
    <n v="4972"/>
    <n v="8"/>
    <n v="14980"/>
    <n v="20"/>
    <n v="1.3351134846461949E-3"/>
    <m/>
    <n v="6"/>
    <n v="6"/>
    <n v="8"/>
    <n v="0"/>
    <n v="0"/>
    <n v="0"/>
    <n v="0"/>
    <n v="0"/>
    <n v="0"/>
    <n v="0"/>
    <n v="0"/>
    <n v="0"/>
    <n v="0"/>
    <n v="0"/>
    <n v="0"/>
    <n v="0.98874826388888892"/>
    <n v="0.984375"/>
    <n v="0.98043749999999996"/>
    <n v="0.98452025462962967"/>
    <n v="0"/>
    <n v="0"/>
    <n v="0"/>
    <n v="1"/>
    <n v="1"/>
    <n v="1"/>
    <n v="4"/>
    <b v="0"/>
    <b v="1"/>
  </r>
  <r>
    <d v="2024-06-13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3T00:00:00"/>
    <s v="03C"/>
    <x v="2"/>
    <n v="27651"/>
    <s v="Pink Red"/>
    <n v="6331"/>
    <s v="Running"/>
    <n v="20.8"/>
    <n v="8"/>
    <n v="1360"/>
    <n v="8"/>
    <n v="10755"/>
    <n v="125"/>
    <n v="20.85"/>
    <n v="8"/>
    <n v="1448"/>
    <n v="8"/>
    <n v="11459"/>
    <n v="125"/>
    <n v="20.84"/>
    <n v="8"/>
    <n v="1237"/>
    <n v="8"/>
    <n v="9781"/>
    <n v="115"/>
    <n v="31995"/>
    <n v="365"/>
    <n v="1.1408032505078918E-2"/>
    <s v="Shift-3 完單走水口"/>
    <n v="20"/>
    <n v="20"/>
    <n v="15"/>
    <n v="105"/>
    <n v="105"/>
    <n v="100"/>
    <n v="0"/>
    <n v="0"/>
    <n v="0"/>
    <n v="0"/>
    <n v="0"/>
    <n v="0"/>
    <n v="0"/>
    <n v="0"/>
    <n v="0"/>
    <n v="0.98222222222222222"/>
    <n v="1.0482916666666668"/>
    <n v="0.89510694444444439"/>
    <n v="0.97520694444444445"/>
    <n v="0.5"/>
    <n v="0"/>
    <n v="0"/>
    <n v="1"/>
    <n v="1"/>
    <n v="1"/>
    <n v="8"/>
    <b v="1"/>
    <b v="0"/>
  </r>
  <r>
    <d v="2024-06-13T00:00:00"/>
    <s v="06B"/>
    <x v="3"/>
    <n v="27692"/>
    <s v="Pink Red"/>
    <n v="6331"/>
    <s v="Running"/>
    <n v="20.43"/>
    <n v="8"/>
    <n v="1403"/>
    <n v="16"/>
    <n v="22448"/>
    <m/>
    <n v="20.43"/>
    <n v="8"/>
    <n v="1494"/>
    <n v="16"/>
    <n v="23904"/>
    <m/>
    <n v="20.43"/>
    <n v="3"/>
    <n v="570"/>
    <n v="16"/>
    <n v="9120"/>
    <m/>
    <n v="55472"/>
    <m/>
    <m/>
    <m/>
    <m/>
    <m/>
    <m/>
    <m/>
    <m/>
    <m/>
    <m/>
    <m/>
    <m/>
    <m/>
    <m/>
    <m/>
    <m/>
    <m/>
    <m/>
    <n v="0.99525312500000007"/>
    <n v="1.0598062499999998"/>
    <n v="1.0782499999999999"/>
    <n v="1.0444364583333332"/>
    <n v="0"/>
    <n v="0"/>
    <n v="0"/>
    <n v="1"/>
    <n v="1"/>
    <n v="1"/>
    <n v="16"/>
    <b v="0"/>
    <b v="0"/>
  </r>
  <r>
    <d v="2024-06-13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3T00:00:00"/>
    <s v="08A"/>
    <x v="4"/>
    <n v="27438"/>
    <s v="White"/>
    <n v="814"/>
    <s v="Running"/>
    <n v="20.7"/>
    <n v="5.5"/>
    <n v="881"/>
    <n v="16"/>
    <n v="14096"/>
    <m/>
    <n v="20.67"/>
    <n v="8"/>
    <n v="1465"/>
    <n v="16"/>
    <n v="23440"/>
    <m/>
    <n v="20.69"/>
    <n v="8"/>
    <n v="1409"/>
    <n v="16"/>
    <n v="22544"/>
    <m/>
    <n v="60080"/>
    <m/>
    <m/>
    <m/>
    <m/>
    <m/>
    <m/>
    <m/>
    <m/>
    <m/>
    <m/>
    <m/>
    <m/>
    <m/>
    <m/>
    <m/>
    <m/>
    <m/>
    <m/>
    <n v="0.92104545454545461"/>
    <n v="1.0514427083333335"/>
    <n v="1.012229513888889"/>
    <n v="0.99490589225589243"/>
    <n v="0"/>
    <n v="2.5"/>
    <n v="0"/>
    <n v="1"/>
    <n v="1"/>
    <n v="1"/>
    <n v="16"/>
    <b v="0"/>
    <b v="0"/>
  </r>
  <r>
    <d v="2024-06-13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3T00:00:00"/>
    <s v="09B"/>
    <x v="6"/>
    <s v="26684-1"/>
    <s v="White"/>
    <n v="814"/>
    <s v="Running"/>
    <n v="15.49"/>
    <n v="8"/>
    <n v="1816"/>
    <n v="15"/>
    <n v="27240"/>
    <m/>
    <n v="15.45"/>
    <n v="8"/>
    <n v="2022"/>
    <n v="15"/>
    <n v="30330"/>
    <m/>
    <n v="15.45"/>
    <n v="8"/>
    <n v="1781"/>
    <n v="15"/>
    <n v="26715"/>
    <m/>
    <n v="84285"/>
    <m/>
    <m/>
    <s v="Shift-3 清理機底"/>
    <m/>
    <m/>
    <m/>
    <m/>
    <m/>
    <m/>
    <m/>
    <m/>
    <m/>
    <m/>
    <m/>
    <m/>
    <m/>
    <m/>
    <m/>
    <n v="0.97673055555555555"/>
    <n v="1.08471875"/>
    <n v="0.95543229166666654"/>
    <n v="1.0056271990740739"/>
    <n v="0"/>
    <n v="0"/>
    <n v="0"/>
    <n v="1"/>
    <n v="1"/>
    <n v="1"/>
    <n v="15"/>
    <b v="0"/>
    <b v="0"/>
  </r>
  <r>
    <d v="2024-06-13T00:00:00"/>
    <s v="12A"/>
    <x v="7"/>
    <n v="27501"/>
    <s v="White"/>
    <n v="6331"/>
    <s v="Running"/>
    <n v="14.27"/>
    <n v="8"/>
    <n v="2006"/>
    <n v="8"/>
    <n v="16048"/>
    <m/>
    <n v="11.99"/>
    <n v="8"/>
    <n v="2459"/>
    <n v="8"/>
    <n v="19672"/>
    <m/>
    <n v="11.99"/>
    <n v="8"/>
    <n v="2195"/>
    <n v="8"/>
    <n v="17560"/>
    <m/>
    <n v="53280"/>
    <m/>
    <m/>
    <m/>
    <m/>
    <m/>
    <m/>
    <m/>
    <m/>
    <m/>
    <m/>
    <m/>
    <m/>
    <m/>
    <m/>
    <m/>
    <m/>
    <m/>
    <m/>
    <n v="0.9939451388888888"/>
    <n v="1.0237295138888889"/>
    <n v="0.9138211805555555"/>
    <n v="0.97716527777777762"/>
    <n v="0"/>
    <n v="0"/>
    <n v="0"/>
    <n v="1"/>
    <n v="1"/>
    <n v="1"/>
    <n v="8"/>
    <b v="0"/>
    <b v="0"/>
  </r>
  <r>
    <d v="2024-06-13T00:00:00"/>
    <s v="27A"/>
    <x v="8"/>
    <n v="27692"/>
    <s v="Pink Red"/>
    <n v="6331"/>
    <s v="Running"/>
    <n v="15.7"/>
    <n v="8"/>
    <n v="1733"/>
    <n v="8"/>
    <n v="13864"/>
    <m/>
    <n v="15.13"/>
    <n v="8"/>
    <n v="1933"/>
    <n v="8"/>
    <n v="15464"/>
    <m/>
    <n v="15.15"/>
    <n v="8"/>
    <n v="1698"/>
    <n v="8"/>
    <n v="13584"/>
    <m/>
    <n v="42912"/>
    <m/>
    <m/>
    <m/>
    <m/>
    <m/>
    <m/>
    <m/>
    <m/>
    <m/>
    <m/>
    <m/>
    <m/>
    <m/>
    <m/>
    <m/>
    <m/>
    <m/>
    <m/>
    <n v="0.94472569444444443"/>
    <n v="1.0154961805555556"/>
    <n v="0.89321875000000006"/>
    <n v="0.95114687500000006"/>
    <n v="0"/>
    <n v="0"/>
    <n v="0"/>
    <n v="1"/>
    <n v="1"/>
    <n v="1"/>
    <n v="8"/>
    <b v="0"/>
    <b v="0"/>
  </r>
  <r>
    <d v="2024-06-13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3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3T00:00:00"/>
    <s v="19B"/>
    <x v="14"/>
    <n v="27651"/>
    <s v="Pink Red"/>
    <n v="6331"/>
    <s v="Running"/>
    <n v="0"/>
    <n v="0"/>
    <n v="0"/>
    <n v="0"/>
    <n v="0"/>
    <n v="0"/>
    <n v="18.98"/>
    <n v="8"/>
    <n v="1697"/>
    <n v="8"/>
    <n v="13436"/>
    <n v="140"/>
    <n v="18.89"/>
    <n v="8"/>
    <n v="1698"/>
    <n v="8"/>
    <n v="13444"/>
    <n v="140"/>
    <n v="26880"/>
    <n v="280"/>
    <n v="1.0416666666666666E-2"/>
    <m/>
    <n v="0"/>
    <n v="20"/>
    <n v="25"/>
    <n v="0"/>
    <n v="120"/>
    <n v="115"/>
    <n v="0"/>
    <n v="0"/>
    <n v="0"/>
    <n v="0"/>
    <n v="0"/>
    <n v="0"/>
    <n v="0"/>
    <n v="0"/>
    <n v="0"/>
    <n v="0"/>
    <n v="1.1183701388888889"/>
    <n v="1.1137229166666667"/>
    <n v="1.1160465277777778"/>
    <n v="0"/>
    <n v="0"/>
    <n v="0"/>
    <n v="0"/>
    <n v="1"/>
    <n v="1"/>
    <n v="8"/>
    <b v="1"/>
    <b v="0"/>
  </r>
  <r>
    <d v="2024-06-13T00:00:00"/>
    <s v="20B"/>
    <x v="11"/>
    <n v="27576"/>
    <s v="White"/>
    <n v="814"/>
    <s v="Running"/>
    <n v="21.58"/>
    <n v="3.25"/>
    <n v="551"/>
    <n v="8"/>
    <n v="4358"/>
    <n v="50"/>
    <n v="21.89"/>
    <n v="8"/>
    <n v="1360"/>
    <n v="8"/>
    <n v="10765"/>
    <n v="115"/>
    <n v="21.98"/>
    <n v="8"/>
    <n v="1210"/>
    <n v="8"/>
    <n v="9560"/>
    <n v="120"/>
    <n v="24683"/>
    <n v="285"/>
    <n v="1.154640845926346E-2"/>
    <m/>
    <n v="5"/>
    <n v="20"/>
    <n v="20"/>
    <n v="45"/>
    <n v="95"/>
    <n v="100"/>
    <n v="0"/>
    <n v="0"/>
    <n v="0"/>
    <n v="0"/>
    <n v="0"/>
    <n v="0"/>
    <n v="0"/>
    <n v="0"/>
    <n v="0"/>
    <n v="1.0162888888888888"/>
    <n v="1.0336944444444445"/>
    <n v="0.92346527777777776"/>
    <n v="0.99114953703703712"/>
    <n v="0"/>
    <n v="0"/>
    <n v="0"/>
    <n v="1"/>
    <n v="1"/>
    <n v="1"/>
    <n v="8"/>
    <b v="1"/>
    <b v="0"/>
  </r>
  <r>
    <d v="2024-06-13T00:00:00"/>
    <s v="20B"/>
    <x v="11"/>
    <n v="27715"/>
    <s v="White"/>
    <n v="814"/>
    <s v="Running"/>
    <n v="21.58"/>
    <n v="4.75"/>
    <n v="713"/>
    <n v="8"/>
    <n v="5644"/>
    <n v="60"/>
    <n v="0"/>
    <n v="0"/>
    <n v="0"/>
    <n v="0"/>
    <n v="0"/>
    <n v="0"/>
    <n v="0"/>
    <n v="0"/>
    <n v="0"/>
    <n v="0"/>
    <n v="0"/>
    <n v="0"/>
    <n v="5644"/>
    <n v="60"/>
    <n v="1.0630758327427357E-2"/>
    <s v="Shift-1 補貨"/>
    <n v="10"/>
    <n v="0"/>
    <n v="0"/>
    <n v="50"/>
    <n v="0"/>
    <n v="0"/>
    <n v="0"/>
    <n v="0"/>
    <n v="0"/>
    <n v="0"/>
    <n v="0"/>
    <n v="0"/>
    <n v="0"/>
    <n v="0"/>
    <n v="0"/>
    <n v="0.89979766081871337"/>
    <n v="0"/>
    <n v="0"/>
    <n v="0.89979766081871337"/>
    <n v="0"/>
    <n v="0"/>
    <n v="0"/>
    <n v="1"/>
    <n v="0"/>
    <n v="0"/>
    <n v="8"/>
    <b v="1"/>
    <b v="0"/>
  </r>
  <r>
    <d v="2024-06-13T00:00:00"/>
    <s v="21B"/>
    <x v="12"/>
    <n v="27576"/>
    <s v="White"/>
    <n v="814"/>
    <s v="Running"/>
    <n v="21.89"/>
    <n v="3"/>
    <n v="510"/>
    <n v="8"/>
    <n v="4030"/>
    <n v="50"/>
    <n v="0"/>
    <n v="0"/>
    <n v="0"/>
    <n v="0"/>
    <n v="0"/>
    <n v="0"/>
    <n v="21.83"/>
    <n v="8"/>
    <n v="1323"/>
    <n v="8"/>
    <n v="10464"/>
    <n v="120"/>
    <n v="14494"/>
    <n v="170"/>
    <n v="1.172899130674762E-2"/>
    <m/>
    <n v="5"/>
    <n v="0"/>
    <n v="20"/>
    <n v="45"/>
    <n v="0"/>
    <n v="100"/>
    <n v="0"/>
    <n v="0"/>
    <n v="0"/>
    <n v="0"/>
    <n v="0"/>
    <n v="0"/>
    <n v="0"/>
    <n v="0"/>
    <n v="0"/>
    <n v="1.0336944444444445"/>
    <n v="0"/>
    <n v="1.002815625"/>
    <n v="1.0182550347222223"/>
    <n v="0"/>
    <n v="0"/>
    <n v="0"/>
    <n v="1"/>
    <n v="0"/>
    <n v="1"/>
    <n v="8"/>
    <b v="1"/>
    <b v="0"/>
  </r>
  <r>
    <d v="2024-06-13T00:00:00"/>
    <s v="21B"/>
    <x v="12"/>
    <n v="27715"/>
    <s v="White"/>
    <n v="814"/>
    <s v="Running"/>
    <n v="21.89"/>
    <n v="3.75"/>
    <n v="647"/>
    <n v="8"/>
    <n v="5116"/>
    <n v="60"/>
    <n v="21.89"/>
    <n v="8"/>
    <n v="1446"/>
    <n v="8"/>
    <n v="11443"/>
    <n v="125"/>
    <n v="0"/>
    <n v="0"/>
    <n v="0"/>
    <n v="0"/>
    <n v="0"/>
    <n v="0"/>
    <n v="16559"/>
    <n v="185"/>
    <n v="1.1172172232622743E-2"/>
    <s v="Shift-1 補貨"/>
    <n v="10"/>
    <n v="20"/>
    <n v="0"/>
    <n v="50"/>
    <n v="105"/>
    <n v="0"/>
    <n v="0"/>
    <n v="0"/>
    <n v="0"/>
    <n v="0"/>
    <n v="0"/>
    <n v="0"/>
    <n v="0"/>
    <n v="0"/>
    <n v="0"/>
    <n v="1.0490985185185184"/>
    <n v="1.0990604166666667"/>
    <n v="0"/>
    <n v="1.0740794675925924"/>
    <n v="0"/>
    <n v="0"/>
    <n v="0"/>
    <n v="1"/>
    <n v="1"/>
    <n v="0"/>
    <n v="8"/>
    <b v="1"/>
    <b v="0"/>
  </r>
  <r>
    <d v="2024-06-13T00:00:00"/>
    <s v="29B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4T00:00:00"/>
    <s v="01B"/>
    <x v="0"/>
    <n v="27422"/>
    <s v="White"/>
    <n v="6331"/>
    <s v="Running"/>
    <n v="22.58"/>
    <n v="8"/>
    <n v="1224"/>
    <n v="4"/>
    <n v="4889"/>
    <n v="7"/>
    <n v="22.58"/>
    <n v="8"/>
    <n v="1395"/>
    <n v="4"/>
    <n v="5573"/>
    <n v="7"/>
    <n v="22.67"/>
    <n v="8"/>
    <n v="1168"/>
    <n v="4"/>
    <n v="4666"/>
    <n v="6"/>
    <n v="15128"/>
    <n v="20"/>
    <n v="1.3220518244315177E-3"/>
    <m/>
    <n v="7"/>
    <n v="7"/>
    <n v="6"/>
    <n v="0"/>
    <n v="0"/>
    <n v="0"/>
    <n v="0"/>
    <n v="0"/>
    <n v="0"/>
    <n v="0"/>
    <n v="0"/>
    <n v="0"/>
    <n v="0"/>
    <n v="0"/>
    <n v="0"/>
    <n v="0.95964999999999989"/>
    <n v="1.0937187499999999"/>
    <n v="0.91939444444444451"/>
    <n v="0.99092106481481468"/>
    <n v="0"/>
    <n v="0"/>
    <n v="0"/>
    <n v="1"/>
    <n v="1"/>
    <n v="1"/>
    <n v="4"/>
    <b v="0"/>
    <b v="1"/>
  </r>
  <r>
    <d v="2024-06-14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4T00:00:00"/>
    <s v="03C"/>
    <x v="2"/>
    <n v="27651"/>
    <s v="Pink Red"/>
    <n v="6331"/>
    <s v="Running"/>
    <n v="20.8"/>
    <n v="3"/>
    <n v="518"/>
    <n v="8"/>
    <n v="4144"/>
    <n v="0"/>
    <n v="0"/>
    <n v="0"/>
    <n v="0"/>
    <n v="0"/>
    <n v="0"/>
    <n v="0"/>
    <n v="0"/>
    <n v="0"/>
    <n v="0"/>
    <n v="0"/>
    <n v="0"/>
    <n v="0"/>
    <n v="4144"/>
    <n v="0"/>
    <n v="0"/>
    <m/>
    <n v="0"/>
    <n v="0"/>
    <n v="0"/>
    <n v="0"/>
    <n v="0"/>
    <n v="0"/>
    <n v="0"/>
    <n v="0"/>
    <n v="0"/>
    <n v="0"/>
    <n v="0"/>
    <n v="0"/>
    <n v="0"/>
    <n v="0"/>
    <n v="0"/>
    <n v="0.99762962962962964"/>
    <n v="0"/>
    <n v="0"/>
    <n v="0.99762962962962964"/>
    <n v="0"/>
    <n v="0"/>
    <n v="0"/>
    <n v="1"/>
    <n v="0"/>
    <n v="0"/>
    <n v="8"/>
    <b v="1"/>
    <b v="0"/>
  </r>
  <r>
    <d v="2024-06-14T00:00:00"/>
    <s v="03C"/>
    <x v="2"/>
    <n v="27826"/>
    <s v="Pink Red"/>
    <n v="6331"/>
    <s v="Running"/>
    <n v="20.8"/>
    <n v="5"/>
    <n v="846"/>
    <n v="8"/>
    <n v="6768"/>
    <n v="0"/>
    <n v="20.74"/>
    <n v="8"/>
    <n v="1469"/>
    <n v="8"/>
    <n v="11752"/>
    <n v="0"/>
    <n v="20.89"/>
    <n v="8"/>
    <n v="1314"/>
    <n v="8"/>
    <n v="10512"/>
    <n v="0"/>
    <n v="29032"/>
    <n v="0"/>
    <n v="0"/>
    <m/>
    <n v="0"/>
    <n v="0"/>
    <n v="0"/>
    <n v="0"/>
    <n v="0"/>
    <n v="0"/>
    <n v="0"/>
    <n v="0"/>
    <n v="0"/>
    <n v="0"/>
    <n v="0"/>
    <n v="0"/>
    <n v="0"/>
    <n v="0"/>
    <n v="0"/>
    <n v="0.97759999999999991"/>
    <n v="1.0578840277777777"/>
    <n v="0.95310624999999993"/>
    <n v="0.99619675925925921"/>
    <n v="0"/>
    <n v="0"/>
    <n v="0"/>
    <n v="1"/>
    <n v="1"/>
    <n v="1"/>
    <n v="8"/>
    <b v="1"/>
    <b v="0"/>
  </r>
  <r>
    <d v="2024-06-14T00:00:00"/>
    <s v="06B"/>
    <x v="3"/>
    <n v="26666"/>
    <s v="White"/>
    <n v="6331"/>
    <s v="Running"/>
    <n v="20.436"/>
    <n v="7"/>
    <n v="1218"/>
    <n v="16"/>
    <n v="19488"/>
    <m/>
    <n v="0"/>
    <n v="0"/>
    <n v="0"/>
    <n v="0"/>
    <n v="0"/>
    <m/>
    <n v="0"/>
    <n v="0"/>
    <n v="0"/>
    <n v="0"/>
    <n v="0"/>
    <m/>
    <n v="19488"/>
    <m/>
    <m/>
    <m/>
    <m/>
    <m/>
    <m/>
    <m/>
    <m/>
    <m/>
    <m/>
    <m/>
    <m/>
    <m/>
    <m/>
    <m/>
    <m/>
    <m/>
    <m/>
    <n v="0.98773999999999995"/>
    <n v="0"/>
    <n v="0"/>
    <n v="0.98773999999999995"/>
    <n v="0"/>
    <n v="0"/>
    <n v="0"/>
    <n v="1"/>
    <n v="0"/>
    <n v="0"/>
    <n v="16"/>
    <b v="0"/>
    <b v="0"/>
  </r>
  <r>
    <d v="2024-06-14T00:00:00"/>
    <s v="08A"/>
    <x v="4"/>
    <n v="27438"/>
    <s v="White"/>
    <n v="814"/>
    <s v="Running"/>
    <n v="20.68"/>
    <n v="8"/>
    <n v="1279"/>
    <n v="16"/>
    <n v="20464"/>
    <m/>
    <n v="20.67"/>
    <n v="8"/>
    <n v="1439"/>
    <n v="16"/>
    <n v="23024"/>
    <m/>
    <n v="20.66"/>
    <n v="8"/>
    <n v="1337"/>
    <n v="16"/>
    <n v="21392"/>
    <m/>
    <n v="64880"/>
    <m/>
    <m/>
    <m/>
    <m/>
    <m/>
    <m/>
    <m/>
    <m/>
    <m/>
    <m/>
    <m/>
    <m/>
    <m/>
    <m/>
    <m/>
    <m/>
    <m/>
    <m/>
    <n v="0.91839305555555562"/>
    <n v="1.0327822916666667"/>
    <n v="0.95911180555555564"/>
    <n v="0.97009571759259261"/>
    <n v="0"/>
    <n v="0"/>
    <n v="0"/>
    <n v="1"/>
    <n v="1"/>
    <n v="1"/>
    <n v="16"/>
    <b v="0"/>
    <b v="0"/>
  </r>
  <r>
    <d v="2024-06-14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4T00:00:00"/>
    <s v="09B"/>
    <x v="6"/>
    <n v="26684"/>
    <s v="White"/>
    <n v="814"/>
    <s v="Running"/>
    <n v="15.4"/>
    <n v="8"/>
    <n v="1624"/>
    <n v="15"/>
    <n v="24360"/>
    <m/>
    <n v="15.5"/>
    <n v="8"/>
    <n v="1608"/>
    <n v="15"/>
    <n v="24120"/>
    <m/>
    <n v="15.5"/>
    <n v="8"/>
    <n v="1769"/>
    <n v="15"/>
    <n v="26535"/>
    <m/>
    <n v="75015"/>
    <m/>
    <m/>
    <m/>
    <m/>
    <m/>
    <m/>
    <m/>
    <m/>
    <m/>
    <m/>
    <m/>
    <m/>
    <m/>
    <m/>
    <m/>
    <m/>
    <m/>
    <m/>
    <n v="0.86838888888888899"/>
    <n v="0.86541666666666661"/>
    <n v="0.95206597222222222"/>
    <n v="0.89529050925925924"/>
    <n v="0"/>
    <n v="0"/>
    <n v="0"/>
    <n v="1"/>
    <n v="1"/>
    <n v="1"/>
    <n v="15"/>
    <b v="0"/>
    <b v="0"/>
  </r>
  <r>
    <d v="2024-06-14T00:00:00"/>
    <s v="12A"/>
    <x v="7"/>
    <n v="27501"/>
    <s v="White"/>
    <n v="6331"/>
    <s v="Running"/>
    <n v="12"/>
    <n v="8"/>
    <n v="2048"/>
    <n v="8"/>
    <n v="16384"/>
    <m/>
    <n v="12"/>
    <n v="8"/>
    <n v="2498"/>
    <n v="8"/>
    <n v="19984"/>
    <m/>
    <n v="11.99"/>
    <n v="8"/>
    <n v="2102"/>
    <n v="8"/>
    <n v="16816"/>
    <m/>
    <n v="53184"/>
    <m/>
    <m/>
    <m/>
    <m/>
    <m/>
    <m/>
    <m/>
    <m/>
    <m/>
    <m/>
    <m/>
    <m/>
    <m/>
    <m/>
    <m/>
    <m/>
    <m/>
    <m/>
    <n v="0.85333333333333339"/>
    <n v="1.0408333333333333"/>
    <n v="0.87510347222222218"/>
    <n v="0.92309004629629621"/>
    <n v="0"/>
    <n v="0"/>
    <n v="0"/>
    <n v="1"/>
    <n v="1"/>
    <n v="1"/>
    <n v="8"/>
    <b v="0"/>
    <b v="0"/>
  </r>
  <r>
    <d v="2024-06-14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4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4T00:00:00"/>
    <s v="19B"/>
    <x v="14"/>
    <n v="27692"/>
    <s v="Pink Red"/>
    <n v="6331"/>
    <s v="Running"/>
    <n v="18.89"/>
    <n v="8"/>
    <n v="1524"/>
    <n v="8"/>
    <n v="12057"/>
    <n v="135"/>
    <n v="18.989999999999998"/>
    <n v="8"/>
    <n v="1589"/>
    <n v="8"/>
    <n v="12582"/>
    <n v="130"/>
    <n v="18.89"/>
    <n v="8"/>
    <n v="1471"/>
    <n v="8"/>
    <n v="11628"/>
    <n v="140"/>
    <n v="36267"/>
    <n v="405"/>
    <n v="1.1167176772272313E-2"/>
    <m/>
    <n v="20"/>
    <n v="20"/>
    <n v="25"/>
    <n v="115"/>
    <n v="110"/>
    <n v="115"/>
    <n v="0"/>
    <n v="0"/>
    <n v="0"/>
    <n v="0"/>
    <n v="0"/>
    <n v="0"/>
    <n v="0"/>
    <n v="0"/>
    <n v="0"/>
    <n v="0.99959583333333335"/>
    <n v="1.0477468749999999"/>
    <n v="0.96483298611111123"/>
    <n v="1.0040585648148148"/>
    <n v="0"/>
    <n v="0"/>
    <n v="0"/>
    <n v="1"/>
    <n v="1"/>
    <n v="1"/>
    <n v="8"/>
    <b v="1"/>
    <b v="0"/>
  </r>
  <r>
    <d v="2024-06-14T00:00:00"/>
    <s v="20B"/>
    <x v="11"/>
    <n v="27576"/>
    <s v="White"/>
    <n v="814"/>
    <s v="Running"/>
    <n v="21.89"/>
    <n v="8"/>
    <n v="1329"/>
    <n v="8"/>
    <n v="10507"/>
    <n v="125"/>
    <n v="21.88"/>
    <n v="8"/>
    <n v="1291"/>
    <n v="8"/>
    <n v="10213"/>
    <n v="115"/>
    <n v="21.89"/>
    <n v="8"/>
    <n v="1305"/>
    <n v="8"/>
    <n v="10320"/>
    <n v="120"/>
    <n v="31040"/>
    <n v="360"/>
    <n v="1.1597938144329897E-2"/>
    <m/>
    <n v="25"/>
    <n v="20"/>
    <n v="25"/>
    <n v="100"/>
    <n v="95"/>
    <n v="95"/>
    <n v="0"/>
    <n v="0"/>
    <n v="0"/>
    <n v="0"/>
    <n v="0"/>
    <n v="0"/>
    <n v="0"/>
    <n v="0"/>
    <n v="0"/>
    <n v="1.0101322916666666"/>
    <n v="0.98080138888888879"/>
    <n v="0.99189062500000003"/>
    <n v="0.99427476851851848"/>
    <n v="0"/>
    <n v="0"/>
    <n v="0"/>
    <n v="1"/>
    <n v="1"/>
    <n v="1"/>
    <n v="8"/>
    <b v="1"/>
    <b v="0"/>
  </r>
  <r>
    <d v="2024-06-14T00:00:00"/>
    <s v="21B"/>
    <x v="12"/>
    <n v="27576"/>
    <s v="White"/>
    <n v="814"/>
    <s v="Running"/>
    <n v="21.79"/>
    <n v="8"/>
    <n v="1286"/>
    <n v="8"/>
    <n v="10168"/>
    <n v="120"/>
    <n v="21.79"/>
    <n v="8"/>
    <n v="1339"/>
    <n v="8"/>
    <n v="10587"/>
    <n v="125"/>
    <n v="21.79"/>
    <n v="8"/>
    <n v="1283"/>
    <n v="8"/>
    <n v="10144"/>
    <n v="120"/>
    <n v="30899"/>
    <n v="365"/>
    <n v="1.1812680022007185E-2"/>
    <m/>
    <n v="20"/>
    <n v="20"/>
    <n v="25"/>
    <n v="100"/>
    <n v="105"/>
    <n v="95"/>
    <n v="0"/>
    <n v="0"/>
    <n v="0"/>
    <n v="0"/>
    <n v="0"/>
    <n v="0"/>
    <n v="0"/>
    <n v="0"/>
    <n v="0"/>
    <n v="0.9729840277777777"/>
    <n v="1.0130836805555554"/>
    <n v="0.97071423611111107"/>
    <n v="0.98559398148148147"/>
    <n v="0"/>
    <n v="0"/>
    <n v="0"/>
    <n v="1"/>
    <n v="1"/>
    <n v="1"/>
    <n v="8"/>
    <b v="1"/>
    <b v="0"/>
  </r>
  <r>
    <d v="2024-06-14T00:00:00"/>
    <s v="27A"/>
    <x v="8"/>
    <n v="27692"/>
    <s v="Pink Red"/>
    <n v="6331"/>
    <s v="Running"/>
    <n v="15.17"/>
    <n v="8"/>
    <n v="1814"/>
    <n v="8"/>
    <n v="14512"/>
    <m/>
    <n v="15.17"/>
    <n v="8"/>
    <n v="1818"/>
    <n v="8"/>
    <n v="14544"/>
    <m/>
    <n v="15.77"/>
    <n v="8"/>
    <n v="1714"/>
    <n v="8"/>
    <n v="13712"/>
    <m/>
    <n v="42768"/>
    <m/>
    <m/>
    <m/>
    <m/>
    <m/>
    <m/>
    <m/>
    <m/>
    <m/>
    <m/>
    <m/>
    <m/>
    <m/>
    <m/>
    <m/>
    <m/>
    <m/>
    <m/>
    <n v="0.95549930555555562"/>
    <n v="0.95760624999999999"/>
    <n v="0.93853402777777772"/>
    <n v="0.95054652777777771"/>
    <n v="0"/>
    <n v="0"/>
    <n v="0"/>
    <n v="1"/>
    <n v="1"/>
    <n v="1"/>
    <n v="8"/>
    <b v="0"/>
    <b v="0"/>
  </r>
  <r>
    <d v="2024-06-14T00:00:00"/>
    <s v="36A"/>
    <x v="13"/>
    <n v="27761"/>
    <s v="White"/>
    <n v="814"/>
    <s v="Running"/>
    <n v="0"/>
    <n v="0"/>
    <n v="0"/>
    <n v="0"/>
    <n v="0"/>
    <m/>
    <n v="0"/>
    <n v="0"/>
    <n v="0"/>
    <n v="0"/>
    <n v="0"/>
    <m/>
    <n v="15.36"/>
    <n v="8"/>
    <n v="1875"/>
    <n v="16"/>
    <n v="30000"/>
    <m/>
    <n v="30000"/>
    <m/>
    <m/>
    <m/>
    <m/>
    <m/>
    <m/>
    <m/>
    <m/>
    <m/>
    <m/>
    <m/>
    <m/>
    <m/>
    <m/>
    <m/>
    <m/>
    <m/>
    <m/>
    <n v="0"/>
    <n v="0"/>
    <n v="1"/>
    <n v="1"/>
    <n v="0"/>
    <n v="0"/>
    <n v="0"/>
    <n v="0"/>
    <n v="0"/>
    <n v="1"/>
    <n v="16"/>
    <b v="0"/>
    <b v="0"/>
  </r>
  <r>
    <d v="2024-06-15T00:00:00"/>
    <s v="01B"/>
    <x v="0"/>
    <n v="27422"/>
    <s v="White"/>
    <n v="6331"/>
    <s v="Running"/>
    <n v="22.7"/>
    <n v="8"/>
    <n v="1247"/>
    <n v="4"/>
    <n v="4980"/>
    <n v="8"/>
    <n v="22.69"/>
    <n v="8"/>
    <n v="1337"/>
    <n v="4"/>
    <n v="5341"/>
    <n v="7"/>
    <n v="22.67"/>
    <n v="8"/>
    <n v="1232"/>
    <n v="4"/>
    <n v="4921"/>
    <n v="7"/>
    <n v="15242"/>
    <n v="22"/>
    <n v="1.4433801338407032E-3"/>
    <m/>
    <n v="8"/>
    <n v="7"/>
    <n v="7"/>
    <n v="0"/>
    <n v="0"/>
    <n v="0"/>
    <n v="0"/>
    <n v="0"/>
    <n v="0"/>
    <n v="0"/>
    <n v="0"/>
    <n v="0"/>
    <n v="0"/>
    <n v="0"/>
    <n v="0"/>
    <n v="0.98287847222222213"/>
    <n v="1.0533517361111111"/>
    <n v="0.96977222222222226"/>
    <n v="1.0020008101851852"/>
    <n v="0"/>
    <n v="0"/>
    <n v="0"/>
    <n v="1"/>
    <n v="1"/>
    <n v="1"/>
    <n v="4"/>
    <b v="0"/>
    <b v="1"/>
  </r>
  <r>
    <d v="2024-06-15T00:00:00"/>
    <s v="02C"/>
    <x v="1"/>
    <n v="27581"/>
    <s v="White"/>
    <n v="814"/>
    <s v="Running"/>
    <n v="0"/>
    <n v="0"/>
    <n v="0"/>
    <n v="0"/>
    <n v="0"/>
    <n v="0"/>
    <n v="21.87"/>
    <n v="8"/>
    <n v="1431"/>
    <n v="8"/>
    <n v="11328"/>
    <n v="120"/>
    <n v="21.89"/>
    <n v="8"/>
    <n v="1245"/>
    <n v="8"/>
    <n v="9835"/>
    <n v="125"/>
    <n v="21163"/>
    <n v="245"/>
    <n v="1.1576808581014035E-2"/>
    <m/>
    <n v="0"/>
    <n v="20"/>
    <n v="20"/>
    <n v="0"/>
    <n v="100"/>
    <n v="105"/>
    <n v="0"/>
    <n v="0"/>
    <n v="0"/>
    <n v="0"/>
    <n v="0"/>
    <n v="0"/>
    <n v="0"/>
    <n v="0"/>
    <n v="0"/>
    <n v="0"/>
    <n v="1.086665625"/>
    <n v="0.94628645833333336"/>
    <n v="1.0164760416666667"/>
    <n v="0"/>
    <n v="0"/>
    <n v="0"/>
    <n v="0"/>
    <n v="1"/>
    <n v="1"/>
    <n v="8"/>
    <b v="1"/>
    <b v="0"/>
  </r>
  <r>
    <d v="2024-06-15T00:00:00"/>
    <s v="03C"/>
    <x v="2"/>
    <n v="27826"/>
    <s v="Pink Red"/>
    <n v="6331"/>
    <s v="Running"/>
    <n v="20.79"/>
    <n v="7"/>
    <n v="1245"/>
    <n v="8"/>
    <n v="9845"/>
    <n v="115"/>
    <n v="0"/>
    <n v="0"/>
    <n v="0"/>
    <n v="0"/>
    <n v="0"/>
    <n v="0"/>
    <n v="0"/>
    <n v="0"/>
    <n v="0"/>
    <n v="0"/>
    <n v="0"/>
    <n v="0"/>
    <n v="9845"/>
    <n v="115"/>
    <n v="1.1681056373793804E-2"/>
    <s v="Shift-1 Change Order"/>
    <n v="20"/>
    <n v="0"/>
    <n v="0"/>
    <n v="95"/>
    <n v="0"/>
    <n v="0"/>
    <n v="0"/>
    <n v="0"/>
    <n v="0"/>
    <n v="0"/>
    <n v="0"/>
    <n v="0"/>
    <n v="0"/>
    <n v="0"/>
    <n v="0"/>
    <n v="1.0271250000000001"/>
    <n v="0"/>
    <n v="0"/>
    <n v="1.0271250000000001"/>
    <n v="0"/>
    <n v="0"/>
    <n v="0"/>
    <n v="1"/>
    <n v="0"/>
    <n v="0"/>
    <n v="8"/>
    <b v="1"/>
    <b v="0"/>
  </r>
  <r>
    <d v="2024-06-15T00:00:00"/>
    <s v="03C"/>
    <x v="2"/>
    <n v="27581"/>
    <s v="White"/>
    <n v="814"/>
    <s v="Running"/>
    <n v="0"/>
    <n v="0"/>
    <n v="0"/>
    <n v="0"/>
    <n v="0"/>
    <n v="0"/>
    <n v="20.8"/>
    <n v="8"/>
    <n v="1374"/>
    <n v="8"/>
    <n v="10872"/>
    <n v="120"/>
    <n v="20.8"/>
    <n v="8"/>
    <n v="1319"/>
    <n v="8"/>
    <n v="10432"/>
    <n v="120"/>
    <n v="21304"/>
    <n v="240"/>
    <n v="1.1265490048817123E-2"/>
    <m/>
    <n v="0"/>
    <n v="25"/>
    <n v="20"/>
    <n v="0"/>
    <n v="95"/>
    <n v="100"/>
    <n v="0"/>
    <n v="0"/>
    <n v="0"/>
    <n v="0"/>
    <n v="0"/>
    <n v="0"/>
    <n v="0"/>
    <n v="0"/>
    <n v="0"/>
    <n v="0"/>
    <n v="0.9923333333333334"/>
    <n v="0.95261111111111119"/>
    <n v="0.97247222222222229"/>
    <n v="0"/>
    <n v="0"/>
    <n v="0"/>
    <n v="0"/>
    <n v="1"/>
    <n v="1"/>
    <n v="8"/>
    <b v="1"/>
    <b v="0"/>
  </r>
  <r>
    <d v="2024-06-15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5T00:00:00"/>
    <s v="08A"/>
    <x v="4"/>
    <n v="27438"/>
    <s v="White"/>
    <n v="814"/>
    <s v="Running"/>
    <n v="20.67"/>
    <n v="8"/>
    <n v="1347"/>
    <n v="16"/>
    <n v="21552"/>
    <m/>
    <n v="20.69"/>
    <n v="8"/>
    <n v="1449"/>
    <n v="16"/>
    <n v="23184"/>
    <m/>
    <n v="20.69"/>
    <n v="8"/>
    <n v="1401"/>
    <n v="16"/>
    <n v="22416"/>
    <m/>
    <n v="67152"/>
    <m/>
    <m/>
    <m/>
    <m/>
    <m/>
    <m/>
    <m/>
    <m/>
    <m/>
    <m/>
    <m/>
    <m/>
    <m/>
    <m/>
    <m/>
    <m/>
    <m/>
    <m/>
    <n v="0.9667531250000001"/>
    <n v="1.0409656250000001"/>
    <n v="1.0064822916666667"/>
    <n v="1.0047336805555558"/>
    <n v="0"/>
    <n v="0"/>
    <n v="0"/>
    <n v="1"/>
    <n v="1"/>
    <n v="1"/>
    <n v="16"/>
    <b v="0"/>
    <b v="0"/>
  </r>
  <r>
    <d v="2024-06-15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5T00:00:00"/>
    <s v="09B"/>
    <x v="6"/>
    <n v="26687"/>
    <s v="White"/>
    <n v="814"/>
    <s v="Running"/>
    <n v="15.51"/>
    <n v="8"/>
    <n v="1846"/>
    <n v="15"/>
    <n v="27690"/>
    <m/>
    <n v="15.51"/>
    <n v="8"/>
    <n v="1819"/>
    <n v="15"/>
    <n v="27285"/>
    <m/>
    <n v="15.45"/>
    <n v="8"/>
    <n v="1732"/>
    <n v="15"/>
    <n v="25980"/>
    <m/>
    <n v="80955"/>
    <m/>
    <m/>
    <m/>
    <m/>
    <m/>
    <m/>
    <m/>
    <m/>
    <m/>
    <m/>
    <m/>
    <m/>
    <m/>
    <m/>
    <m/>
    <m/>
    <m/>
    <m/>
    <n v="0.99414791666666669"/>
    <n v="0.9796072916666666"/>
    <n v="0.92914583333333323"/>
    <n v="0.96763368055555554"/>
    <n v="0"/>
    <n v="0"/>
    <n v="0"/>
    <n v="1"/>
    <n v="1"/>
    <n v="1"/>
    <n v="15"/>
    <b v="0"/>
    <b v="0"/>
  </r>
  <r>
    <d v="2024-06-15T00:00:00"/>
    <s v="12A"/>
    <x v="7"/>
    <n v="27501"/>
    <s v="White"/>
    <n v="6331"/>
    <s v="Running"/>
    <n v="11.99"/>
    <n v="8"/>
    <n v="2440"/>
    <n v="8"/>
    <n v="19520"/>
    <m/>
    <n v="11.99"/>
    <n v="8"/>
    <n v="2610"/>
    <n v="8"/>
    <n v="20880"/>
    <m/>
    <n v="11.98"/>
    <n v="8"/>
    <n v="2629"/>
    <n v="8"/>
    <n v="21032"/>
    <m/>
    <n v="61432"/>
    <m/>
    <m/>
    <m/>
    <m/>
    <m/>
    <m/>
    <m/>
    <m/>
    <m/>
    <m/>
    <m/>
    <m/>
    <m/>
    <m/>
    <m/>
    <m/>
    <m/>
    <m/>
    <n v="1.0158194444444446"/>
    <n v="1.08659375"/>
    <n v="1.0935909722222223"/>
    <n v="1.0653347222222225"/>
    <n v="0"/>
    <n v="0"/>
    <n v="0"/>
    <n v="1"/>
    <n v="1"/>
    <n v="1"/>
    <n v="8"/>
    <b v="0"/>
    <b v="0"/>
  </r>
  <r>
    <d v="2024-06-15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5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5T00:00:00"/>
    <s v="19B"/>
    <x v="14"/>
    <n v="27651"/>
    <s v="Pink Red"/>
    <n v="6331"/>
    <s v="Running"/>
    <n v="18.89"/>
    <n v="8"/>
    <n v="1517"/>
    <n v="8"/>
    <n v="12006"/>
    <n v="130"/>
    <n v="18.89"/>
    <n v="8"/>
    <n v="1585"/>
    <n v="8"/>
    <n v="12540"/>
    <n v="140"/>
    <n v="18.89"/>
    <n v="8"/>
    <n v="1494"/>
    <n v="8"/>
    <n v="11817"/>
    <n v="135"/>
    <n v="36363"/>
    <n v="405"/>
    <n v="1.113769490966092E-2"/>
    <m/>
    <n v="20"/>
    <n v="25"/>
    <n v="25"/>
    <n v="110"/>
    <n v="115"/>
    <n v="110"/>
    <n v="0"/>
    <n v="0"/>
    <n v="0"/>
    <n v="0"/>
    <n v="0"/>
    <n v="0"/>
    <n v="0"/>
    <n v="0"/>
    <n v="0"/>
    <n v="0.99500451388888889"/>
    <n v="1.0396059027777778"/>
    <n v="0.97991874999999995"/>
    <n v="1.0048430555555556"/>
    <n v="0"/>
    <n v="0"/>
    <n v="0"/>
    <n v="1"/>
    <n v="1"/>
    <n v="1"/>
    <n v="8"/>
    <b v="1"/>
    <b v="0"/>
  </r>
  <r>
    <d v="2024-06-15T00:00:00"/>
    <s v="20B"/>
    <x v="11"/>
    <n v="27576"/>
    <s v="White"/>
    <n v="814"/>
    <s v="Running"/>
    <n v="21.88"/>
    <n v="8"/>
    <n v="971"/>
    <n v="8"/>
    <n v="7673"/>
    <n v="95"/>
    <n v="21.99"/>
    <n v="8"/>
    <n v="1315"/>
    <n v="8"/>
    <n v="10420"/>
    <n v="100"/>
    <n v="21.99"/>
    <n v="7"/>
    <n v="948"/>
    <n v="8"/>
    <n v="7489"/>
    <n v="95"/>
    <n v="25582"/>
    <n v="290"/>
    <n v="1.1336095692283638E-2"/>
    <m/>
    <n v="20"/>
    <n v="25"/>
    <n v="20"/>
    <n v="75"/>
    <n v="75"/>
    <n v="75"/>
    <n v="0"/>
    <n v="0"/>
    <n v="0"/>
    <n v="0"/>
    <n v="0"/>
    <n v="0"/>
    <n v="0"/>
    <n v="0"/>
    <n v="0"/>
    <n v="0.73769027777777774"/>
    <n v="1.0040572916666666"/>
    <n v="0.82724285714285706"/>
    <n v="0.85633014219576709"/>
    <n v="0"/>
    <n v="0"/>
    <n v="0"/>
    <n v="1"/>
    <n v="1"/>
    <n v="1"/>
    <n v="8"/>
    <b v="1"/>
    <b v="0"/>
  </r>
  <r>
    <d v="2024-06-15T00:00:00"/>
    <s v="20B"/>
    <x v="11"/>
    <n v="27579"/>
    <s v="White"/>
    <n v="814"/>
    <s v="Running"/>
    <n v="0"/>
    <n v="0"/>
    <n v="0"/>
    <n v="0"/>
    <n v="0"/>
    <n v="0"/>
    <n v="0"/>
    <n v="0"/>
    <n v="0"/>
    <n v="0"/>
    <n v="0"/>
    <n v="0"/>
    <n v="21.99"/>
    <n v="1"/>
    <n v="98"/>
    <n v="8"/>
    <n v="774"/>
    <n v="10"/>
    <n v="774"/>
    <n v="10"/>
    <n v="1.2919896640826873E-2"/>
    <m/>
    <n v="0"/>
    <n v="0"/>
    <n v="5"/>
    <n v="0"/>
    <n v="0"/>
    <n v="5"/>
    <n v="0"/>
    <n v="0"/>
    <n v="0"/>
    <n v="0"/>
    <n v="0"/>
    <n v="0"/>
    <n v="0"/>
    <n v="0"/>
    <n v="0"/>
    <n v="0"/>
    <n v="0"/>
    <n v="0.59861666666666669"/>
    <n v="0.59861666666666669"/>
    <n v="0"/>
    <n v="0"/>
    <n v="0"/>
    <n v="0"/>
    <n v="0"/>
    <n v="1"/>
    <n v="8"/>
    <b v="1"/>
    <b v="0"/>
  </r>
  <r>
    <d v="2024-06-15T00:00:00"/>
    <s v="21B"/>
    <x v="12"/>
    <n v="27576"/>
    <s v="White"/>
    <n v="814"/>
    <s v="Running"/>
    <n v="21.89"/>
    <n v="8"/>
    <n v="1325"/>
    <n v="8"/>
    <n v="10480"/>
    <n v="120"/>
    <n v="21.89"/>
    <n v="4.5"/>
    <n v="802"/>
    <n v="8"/>
    <n v="6346"/>
    <n v="70"/>
    <n v="0"/>
    <n v="0"/>
    <n v="0"/>
    <n v="0"/>
    <n v="0"/>
    <n v="0"/>
    <n v="16826"/>
    <n v="190"/>
    <n v="1.1292048020920004E-2"/>
    <m/>
    <n v="20"/>
    <n v="15"/>
    <n v="0"/>
    <n v="100"/>
    <n v="55"/>
    <n v="0"/>
    <n v="0"/>
    <n v="0"/>
    <n v="0"/>
    <n v="0"/>
    <n v="0"/>
    <n v="0"/>
    <n v="0"/>
    <n v="0"/>
    <n v="0"/>
    <n v="1.0070920138888888"/>
    <n v="1.0836901234567899"/>
    <n v="0"/>
    <n v="1.0453910686728394"/>
    <n v="0"/>
    <n v="0"/>
    <n v="0"/>
    <n v="1"/>
    <n v="1"/>
    <n v="0"/>
    <n v="8"/>
    <b v="1"/>
    <b v="0"/>
  </r>
  <r>
    <d v="2024-06-15T00:00:00"/>
    <s v="21B"/>
    <x v="12"/>
    <n v="27579"/>
    <s v="White"/>
    <n v="814"/>
    <s v="Running"/>
    <n v="0"/>
    <n v="0"/>
    <n v="0"/>
    <n v="0"/>
    <n v="0"/>
    <n v="0"/>
    <n v="21.89"/>
    <n v="3.5"/>
    <n v="504"/>
    <n v="8"/>
    <n v="3982"/>
    <n v="50"/>
    <n v="21.79"/>
    <n v="8"/>
    <n v="1306"/>
    <n v="8"/>
    <n v="10333"/>
    <n v="115"/>
    <n v="14315"/>
    <n v="165"/>
    <n v="1.1526370939573873E-2"/>
    <m/>
    <n v="0"/>
    <n v="10"/>
    <n v="20"/>
    <n v="0"/>
    <n v="40"/>
    <n v="95"/>
    <n v="0"/>
    <n v="0"/>
    <n v="0"/>
    <n v="0"/>
    <n v="0"/>
    <n v="0"/>
    <n v="0"/>
    <n v="0"/>
    <n v="0"/>
    <n v="0"/>
    <n v="0.87559999999999993"/>
    <n v="0.98811597222222214"/>
    <n v="0.93185798611111104"/>
    <n v="0"/>
    <n v="0"/>
    <n v="0"/>
    <n v="0"/>
    <n v="1"/>
    <n v="1"/>
    <n v="8"/>
    <b v="1"/>
    <b v="0"/>
  </r>
  <r>
    <d v="2024-06-15T00:00:00"/>
    <s v="27A"/>
    <x v="8"/>
    <n v="27692"/>
    <s v="Red"/>
    <n v="6331"/>
    <s v="Running"/>
    <n v="19.62"/>
    <n v="3"/>
    <n v="549"/>
    <n v="8"/>
    <n v="4392"/>
    <m/>
    <n v="0"/>
    <n v="0"/>
    <n v="0"/>
    <n v="0"/>
    <n v="0"/>
    <m/>
    <n v="0"/>
    <n v="0"/>
    <n v="0"/>
    <n v="0"/>
    <n v="0"/>
    <m/>
    <n v="4392"/>
    <m/>
    <m/>
    <m/>
    <m/>
    <m/>
    <m/>
    <m/>
    <m/>
    <m/>
    <m/>
    <m/>
    <m/>
    <m/>
    <m/>
    <m/>
    <m/>
    <m/>
    <m/>
    <n v="0.99735000000000007"/>
    <n v="0"/>
    <n v="0"/>
    <n v="0.99735000000000007"/>
    <n v="0"/>
    <n v="0"/>
    <n v="0"/>
    <n v="1"/>
    <n v="0"/>
    <n v="0"/>
    <n v="8"/>
    <b v="0"/>
    <b v="0"/>
  </r>
  <r>
    <d v="2024-06-15T00:00:00"/>
    <s v="27A"/>
    <x v="8"/>
    <n v="27581"/>
    <s v="White"/>
    <n v="814"/>
    <s v="Running"/>
    <n v="15.21"/>
    <n v="3.5"/>
    <n v="814"/>
    <n v="8"/>
    <n v="6512"/>
    <m/>
    <n v="15.71"/>
    <n v="8"/>
    <n v="2005"/>
    <n v="8"/>
    <n v="16040"/>
    <m/>
    <n v="15.18"/>
    <n v="8"/>
    <n v="1913"/>
    <n v="8"/>
    <n v="15304"/>
    <m/>
    <n v="37856"/>
    <m/>
    <m/>
    <m/>
    <m/>
    <m/>
    <m/>
    <m/>
    <m/>
    <m/>
    <m/>
    <m/>
    <m/>
    <m/>
    <m/>
    <m/>
    <m/>
    <m/>
    <m/>
    <n v="0.98261428571428577"/>
    <n v="1.0936996527777778"/>
    <n v="1.0083104166666668"/>
    <n v="1.0282081183862435"/>
    <n v="0"/>
    <n v="0"/>
    <n v="0"/>
    <n v="1"/>
    <n v="1"/>
    <n v="1"/>
    <n v="8"/>
    <b v="0"/>
    <b v="0"/>
  </r>
  <r>
    <d v="2024-06-15T00:00:00"/>
    <s v="36A"/>
    <x v="13"/>
    <n v="28021"/>
    <s v="White"/>
    <n v="814"/>
    <s v="Running"/>
    <n v="0"/>
    <n v="0"/>
    <n v="0"/>
    <n v="0"/>
    <n v="0"/>
    <m/>
    <n v="15.36"/>
    <n v="8"/>
    <n v="1752"/>
    <n v="16"/>
    <n v="28032"/>
    <m/>
    <n v="15.36"/>
    <n v="8"/>
    <n v="1903"/>
    <n v="16"/>
    <n v="30448"/>
    <m/>
    <n v="58480"/>
    <m/>
    <m/>
    <m/>
    <m/>
    <m/>
    <m/>
    <m/>
    <m/>
    <m/>
    <m/>
    <m/>
    <m/>
    <m/>
    <m/>
    <m/>
    <m/>
    <m/>
    <m/>
    <n v="0"/>
    <n v="0.9343999999999999"/>
    <n v="1.0149333333333332"/>
    <n v="0.97466666666666657"/>
    <n v="0"/>
    <n v="0"/>
    <n v="0"/>
    <n v="0"/>
    <n v="1"/>
    <n v="1"/>
    <n v="16"/>
    <b v="0"/>
    <b v="0"/>
  </r>
  <r>
    <d v="2024-06-16T00:00:00"/>
    <s v="01B"/>
    <x v="0"/>
    <n v="27422"/>
    <s v="White"/>
    <n v="6331"/>
    <s v="Running"/>
    <n v="22.7"/>
    <n v="8"/>
    <n v="1238"/>
    <n v="4"/>
    <n v="4945"/>
    <n v="7"/>
    <n v="22.7"/>
    <n v="8"/>
    <n v="1307"/>
    <n v="4"/>
    <n v="5221"/>
    <n v="7"/>
    <n v="22.69"/>
    <n v="8"/>
    <n v="1252"/>
    <n v="4"/>
    <n v="5002"/>
    <n v="6"/>
    <n v="15168"/>
    <n v="20"/>
    <n v="1.3185654008438818E-3"/>
    <m/>
    <n v="7"/>
    <n v="7"/>
    <n v="6"/>
    <n v="0"/>
    <n v="0"/>
    <n v="0"/>
    <n v="0"/>
    <n v="0"/>
    <n v="0"/>
    <n v="0"/>
    <n v="0"/>
    <n v="0"/>
    <n v="0"/>
    <n v="0"/>
    <n v="0"/>
    <n v="0.97578472222222212"/>
    <n v="1.0301701388888889"/>
    <n v="0.98638472222222229"/>
    <n v="0.99744652777777765"/>
    <n v="0"/>
    <n v="0"/>
    <n v="0"/>
    <n v="1"/>
    <n v="1"/>
    <n v="1"/>
    <n v="4"/>
    <b v="0"/>
    <b v="1"/>
  </r>
  <r>
    <d v="2024-06-16T00:00:00"/>
    <s v="02C"/>
    <x v="1"/>
    <n v="27581"/>
    <s v="White"/>
    <n v="814"/>
    <s v="Running"/>
    <n v="21.86"/>
    <n v="8"/>
    <n v="1357"/>
    <n v="8"/>
    <n v="10721"/>
    <n v="135"/>
    <n v="21.91"/>
    <n v="8"/>
    <n v="1433"/>
    <n v="8"/>
    <n v="11324"/>
    <n v="140"/>
    <n v="21.92"/>
    <n v="8"/>
    <n v="1131"/>
    <n v="8"/>
    <n v="8933"/>
    <n v="115"/>
    <n v="30978"/>
    <n v="390"/>
    <n v="1.2589579701723804E-2"/>
    <m/>
    <n v="20"/>
    <n v="20"/>
    <n v="15"/>
    <n v="115"/>
    <n v="120"/>
    <n v="100"/>
    <n v="0"/>
    <n v="0"/>
    <n v="0"/>
    <n v="0"/>
    <n v="0"/>
    <n v="0"/>
    <n v="0"/>
    <n v="0"/>
    <n v="0"/>
    <n v="1.0300006944444444"/>
    <n v="1.0901746527777778"/>
    <n v="0.86081666666666667"/>
    <n v="0.99366400462962956"/>
    <n v="0"/>
    <n v="0"/>
    <n v="0"/>
    <n v="1"/>
    <n v="1"/>
    <n v="1"/>
    <n v="8"/>
    <b v="1"/>
    <b v="0"/>
  </r>
  <r>
    <d v="2024-06-16T00:00:00"/>
    <s v="03C"/>
    <x v="2"/>
    <n v="27581"/>
    <s v="White"/>
    <n v="814"/>
    <s v="Running"/>
    <n v="20.8"/>
    <n v="8"/>
    <n v="1363"/>
    <n v="8"/>
    <n v="10789"/>
    <n v="115"/>
    <n v="20.8"/>
    <n v="8"/>
    <n v="1497"/>
    <n v="8"/>
    <n v="11841"/>
    <n v="135"/>
    <n v="20.8"/>
    <n v="8"/>
    <n v="1199"/>
    <n v="8"/>
    <n v="9472"/>
    <n v="120"/>
    <n v="32102"/>
    <n v="370"/>
    <n v="1.1525761634789109E-2"/>
    <m/>
    <n v="15"/>
    <n v="20"/>
    <n v="20"/>
    <n v="100"/>
    <n v="115"/>
    <n v="100"/>
    <n v="0"/>
    <n v="0"/>
    <n v="0"/>
    <n v="0"/>
    <n v="0"/>
    <n v="0"/>
    <n v="0"/>
    <n v="0"/>
    <n v="0"/>
    <n v="0.98438888888888898"/>
    <n v="1.0811666666666668"/>
    <n v="0.86594444444444452"/>
    <n v="0.97716666666666685"/>
    <n v="0"/>
    <n v="0"/>
    <n v="0"/>
    <n v="1"/>
    <n v="1"/>
    <n v="1"/>
    <n v="8"/>
    <b v="1"/>
    <b v="0"/>
  </r>
  <r>
    <d v="2024-06-16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6T00:00:00"/>
    <s v="08A"/>
    <x v="4"/>
    <n v="27438"/>
    <s v="White"/>
    <n v="814"/>
    <s v="Running"/>
    <n v="20.7"/>
    <n v="8"/>
    <n v="1413"/>
    <n v="16"/>
    <n v="22608"/>
    <m/>
    <n v="20.64"/>
    <n v="8"/>
    <n v="1424"/>
    <n v="16"/>
    <n v="22784"/>
    <m/>
    <n v="20.68"/>
    <n v="8"/>
    <n v="1400"/>
    <n v="16"/>
    <n v="22400"/>
    <m/>
    <n v="67792"/>
    <m/>
    <m/>
    <m/>
    <m/>
    <m/>
    <m/>
    <m/>
    <m/>
    <m/>
    <m/>
    <m/>
    <m/>
    <m/>
    <m/>
    <m/>
    <m/>
    <m/>
    <m/>
    <n v="1.0155937499999999"/>
    <n v="1.0205333333333333"/>
    <n v="1.0052777777777777"/>
    <n v="1.0138016203703704"/>
    <n v="0"/>
    <n v="0"/>
    <n v="0"/>
    <n v="1"/>
    <n v="1"/>
    <n v="1"/>
    <n v="16"/>
    <b v="0"/>
    <b v="0"/>
  </r>
  <r>
    <d v="2024-06-16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6T00:00:00"/>
    <s v="09B"/>
    <x v="6"/>
    <n v="26687"/>
    <s v="White"/>
    <n v="814"/>
    <s v="Running"/>
    <n v="15.4"/>
    <n v="8"/>
    <n v="1864"/>
    <n v="15"/>
    <n v="27960"/>
    <m/>
    <n v="15.5"/>
    <n v="8"/>
    <n v="1889"/>
    <n v="15"/>
    <n v="28335"/>
    <m/>
    <n v="15.46"/>
    <n v="8"/>
    <n v="1847"/>
    <n v="15"/>
    <n v="27705"/>
    <m/>
    <n v="84000"/>
    <m/>
    <m/>
    <m/>
    <m/>
    <m/>
    <m/>
    <m/>
    <m/>
    <m/>
    <m/>
    <m/>
    <m/>
    <m/>
    <m/>
    <m/>
    <m/>
    <m/>
    <m/>
    <n v="0.99672222222222229"/>
    <n v="1.0166493055555557"/>
    <n v="0.99147986111111119"/>
    <n v="1.0016171296296299"/>
    <n v="0"/>
    <n v="0"/>
    <n v="0"/>
    <n v="1"/>
    <n v="1"/>
    <n v="1"/>
    <n v="15"/>
    <b v="0"/>
    <b v="0"/>
  </r>
  <r>
    <d v="2024-06-16T00:00:00"/>
    <s v="12A"/>
    <x v="7"/>
    <n v="27501"/>
    <s v="White"/>
    <n v="6331"/>
    <s v="Running"/>
    <n v="11.99"/>
    <n v="8"/>
    <n v="2304"/>
    <n v="8"/>
    <n v="18432"/>
    <m/>
    <n v="11.99"/>
    <n v="8"/>
    <n v="2319"/>
    <n v="8"/>
    <n v="18552"/>
    <m/>
    <n v="11.99"/>
    <n v="8"/>
    <n v="2391"/>
    <n v="8"/>
    <n v="19128"/>
    <m/>
    <n v="56112"/>
    <m/>
    <m/>
    <m/>
    <m/>
    <m/>
    <m/>
    <m/>
    <m/>
    <m/>
    <m/>
    <m/>
    <m/>
    <m/>
    <m/>
    <m/>
    <m/>
    <m/>
    <m/>
    <n v="0.95919999999999994"/>
    <n v="0.96544479166666675"/>
    <n v="0.99541979166666672"/>
    <n v="0.97335486111111125"/>
    <n v="0"/>
    <n v="0"/>
    <n v="0"/>
    <n v="1"/>
    <n v="1"/>
    <n v="1"/>
    <n v="8"/>
    <b v="0"/>
    <b v="0"/>
  </r>
  <r>
    <d v="2024-06-16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6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6T00:00:00"/>
    <s v="19B"/>
    <x v="14"/>
    <n v="27826"/>
    <s v="Pink Red"/>
    <n v="6331"/>
    <s v="Running"/>
    <n v="18.88"/>
    <n v="7.5"/>
    <n v="1360"/>
    <n v="8"/>
    <n v="10872"/>
    <n v="8"/>
    <n v="0"/>
    <n v="0"/>
    <n v="0"/>
    <n v="0"/>
    <n v="0"/>
    <n v="0"/>
    <n v="0"/>
    <n v="0"/>
    <n v="0"/>
    <n v="0"/>
    <n v="0"/>
    <n v="0"/>
    <n v="10872"/>
    <n v="8"/>
    <n v="7.3583517292126564E-4"/>
    <s v="Shift-1 Finish order"/>
    <n v="8"/>
    <n v="0"/>
    <n v="0"/>
    <n v="0"/>
    <n v="0"/>
    <n v="0"/>
    <n v="0"/>
    <n v="0"/>
    <n v="0"/>
    <n v="0"/>
    <n v="0"/>
    <n v="0"/>
    <n v="0"/>
    <n v="0"/>
    <n v="0"/>
    <n v="0.95099259259259261"/>
    <n v="0"/>
    <n v="0"/>
    <n v="0.95099259259259261"/>
    <n v="0.5"/>
    <n v="0"/>
    <n v="0"/>
    <n v="1"/>
    <n v="0"/>
    <n v="0"/>
    <n v="8"/>
    <b v="1"/>
    <b v="0"/>
  </r>
  <r>
    <d v="2024-06-16T00:00:00"/>
    <s v="20B"/>
    <x v="11"/>
    <n v="27579"/>
    <s v="White"/>
    <n v="814"/>
    <s v="Running"/>
    <n v="17.010000000000002"/>
    <n v="0.8"/>
    <n v="127"/>
    <n v="8"/>
    <n v="1016"/>
    <n v="0"/>
    <n v="0"/>
    <n v="0"/>
    <n v="0"/>
    <n v="0"/>
    <n v="0"/>
    <n v="0"/>
    <n v="0"/>
    <n v="0"/>
    <n v="0"/>
    <n v="0"/>
    <n v="0"/>
    <n v="0"/>
    <n v="1016"/>
    <n v="0"/>
    <n v="0"/>
    <s v="真空泵维修"/>
    <n v="0"/>
    <n v="0"/>
    <n v="0"/>
    <n v="0"/>
    <n v="0"/>
    <n v="0"/>
    <n v="0"/>
    <n v="0"/>
    <n v="0"/>
    <n v="0"/>
    <n v="0"/>
    <n v="0"/>
    <n v="0"/>
    <n v="0"/>
    <n v="0"/>
    <n v="0.75009375"/>
    <n v="0"/>
    <n v="0"/>
    <n v="0.75009375"/>
    <n v="0"/>
    <n v="8"/>
    <n v="0"/>
    <n v="1"/>
    <n v="0"/>
    <n v="0"/>
    <n v="8"/>
    <b v="1"/>
    <b v="0"/>
  </r>
  <r>
    <d v="2024-06-16T00:00:00"/>
    <s v="21B"/>
    <x v="12"/>
    <n v="27579"/>
    <s v="White"/>
    <n v="814"/>
    <s v="Running"/>
    <n v="21.89"/>
    <n v="8"/>
    <n v="1273"/>
    <n v="8"/>
    <n v="10049"/>
    <n v="135"/>
    <n v="21.89"/>
    <n v="8"/>
    <n v="1350"/>
    <n v="8"/>
    <n v="10660"/>
    <n v="140"/>
    <n v="21.79"/>
    <n v="8"/>
    <n v="1305"/>
    <n v="8"/>
    <n v="10295"/>
    <n v="145"/>
    <n v="31004"/>
    <n v="420"/>
    <n v="1.3546639143336344E-2"/>
    <m/>
    <n v="20"/>
    <n v="20"/>
    <n v="25"/>
    <n v="115"/>
    <n v="120"/>
    <n v="120"/>
    <n v="0"/>
    <n v="0"/>
    <n v="0"/>
    <n v="0"/>
    <n v="0"/>
    <n v="0"/>
    <n v="0"/>
    <n v="0"/>
    <n v="0"/>
    <n v="0.96756840277777778"/>
    <n v="1.02609375"/>
    <n v="0.98735937499999993"/>
    <n v="0.9936738425925925"/>
    <n v="0"/>
    <n v="0"/>
    <n v="0"/>
    <n v="1"/>
    <n v="1"/>
    <n v="1"/>
    <n v="8"/>
    <b v="1"/>
    <b v="0"/>
  </r>
  <r>
    <d v="2024-06-16T00:00:00"/>
    <s v="27A"/>
    <x v="8"/>
    <n v="27581"/>
    <s v="White"/>
    <n v="814"/>
    <s v="Running"/>
    <n v="15.18"/>
    <n v="8"/>
    <n v="1792"/>
    <n v="8"/>
    <n v="14336"/>
    <m/>
    <n v="15.2"/>
    <n v="8"/>
    <n v="1963"/>
    <n v="8"/>
    <n v="15704"/>
    <m/>
    <n v="15.18"/>
    <n v="8"/>
    <n v="1911"/>
    <n v="8"/>
    <n v="15288"/>
    <m/>
    <n v="45328"/>
    <m/>
    <m/>
    <m/>
    <m/>
    <m/>
    <m/>
    <m/>
    <m/>
    <m/>
    <m/>
    <m/>
    <m/>
    <m/>
    <m/>
    <m/>
    <m/>
    <m/>
    <m/>
    <n v="0.94453333333333322"/>
    <n v="1.0360277777777778"/>
    <n v="1.00725625"/>
    <n v="0.99593912037037036"/>
    <n v="0"/>
    <n v="0"/>
    <n v="0"/>
    <n v="1"/>
    <n v="1"/>
    <n v="1"/>
    <n v="8"/>
    <b v="0"/>
    <b v="0"/>
  </r>
  <r>
    <d v="2024-06-16T00:00:00"/>
    <s v="36A"/>
    <x v="13"/>
    <n v="28021"/>
    <s v="White"/>
    <n v="814"/>
    <s v="Running"/>
    <n v="15.36"/>
    <n v="8"/>
    <n v="1768"/>
    <n v="8"/>
    <n v="14144"/>
    <m/>
    <n v="15.37"/>
    <n v="8"/>
    <n v="2012"/>
    <n v="8"/>
    <n v="16096"/>
    <m/>
    <n v="15.36"/>
    <n v="8"/>
    <n v="1865"/>
    <n v="8"/>
    <n v="14920"/>
    <m/>
    <n v="45160"/>
    <m/>
    <m/>
    <m/>
    <m/>
    <m/>
    <m/>
    <m/>
    <m/>
    <m/>
    <m/>
    <m/>
    <m/>
    <m/>
    <m/>
    <m/>
    <m/>
    <m/>
    <m/>
    <n v="0.94293333333333329"/>
    <n v="1.0737652777777777"/>
    <n v="0.99466666666666659"/>
    <n v="1.0037884259259258"/>
    <n v="0"/>
    <n v="0"/>
    <n v="0"/>
    <n v="1"/>
    <n v="1"/>
    <n v="1"/>
    <n v="8"/>
    <b v="0"/>
    <b v="0"/>
  </r>
  <r>
    <d v="2024-06-17T00:00:00"/>
    <s v="01B"/>
    <x v="0"/>
    <n v="27422"/>
    <s v="White"/>
    <n v="6331"/>
    <s v="Running"/>
    <n v="22.68"/>
    <n v="8"/>
    <n v="1253"/>
    <n v="4"/>
    <n v="5005"/>
    <n v="7"/>
    <n v="22.69"/>
    <n v="8"/>
    <n v="1296"/>
    <n v="4"/>
    <n v="5177"/>
    <n v="7"/>
    <n v="22.68"/>
    <n v="8"/>
    <n v="1232"/>
    <n v="4"/>
    <n v="4923"/>
    <n v="5"/>
    <n v="15105"/>
    <n v="19"/>
    <n v="1.2578616352201257E-3"/>
    <m/>
    <n v="7"/>
    <n v="7"/>
    <n v="5"/>
    <n v="0"/>
    <n v="0"/>
    <n v="0"/>
    <n v="0"/>
    <n v="0"/>
    <n v="0"/>
    <n v="0"/>
    <n v="0"/>
    <n v="0"/>
    <n v="0"/>
    <n v="0"/>
    <n v="0"/>
    <n v="0.98673750000000005"/>
    <n v="1.02105"/>
    <n v="0.97019999999999995"/>
    <n v="0.99266250000000011"/>
    <n v="0"/>
    <n v="0"/>
    <n v="0"/>
    <n v="1"/>
    <n v="1"/>
    <n v="1"/>
    <n v="4"/>
    <b v="0"/>
    <b v="1"/>
  </r>
  <r>
    <d v="2024-06-17T00:00:00"/>
    <s v="02C"/>
    <x v="1"/>
    <n v="27581"/>
    <s v="White"/>
    <n v="814"/>
    <s v="Running"/>
    <n v="21.89"/>
    <n v="8"/>
    <n v="1255"/>
    <n v="8"/>
    <n v="9905"/>
    <n v="135"/>
    <n v="21.89"/>
    <n v="8"/>
    <n v="1197"/>
    <n v="8"/>
    <n v="9436"/>
    <n v="140"/>
    <n v="0"/>
    <n v="0"/>
    <n v="0"/>
    <n v="0"/>
    <n v="0"/>
    <n v="0"/>
    <n v="19341"/>
    <n v="275"/>
    <n v="1.4218499560519104E-2"/>
    <m/>
    <n v="20"/>
    <n v="20"/>
    <n v="0"/>
    <n v="115"/>
    <n v="120"/>
    <n v="0"/>
    <n v="0"/>
    <n v="0"/>
    <n v="0"/>
    <n v="0"/>
    <n v="0"/>
    <n v="0"/>
    <n v="0"/>
    <n v="0"/>
    <n v="0"/>
    <n v="0.9538871527777778"/>
    <n v="0.90980312500000005"/>
    <n v="0"/>
    <n v="0.93184513888888887"/>
    <n v="0"/>
    <n v="0"/>
    <n v="0"/>
    <n v="1"/>
    <n v="1"/>
    <n v="0"/>
    <n v="8"/>
    <b v="1"/>
    <b v="0"/>
  </r>
  <r>
    <d v="2024-06-17T00:00:00"/>
    <s v="02C"/>
    <x v="1"/>
    <n v="28185"/>
    <s v="Black "/>
    <n v="814"/>
    <s v="Running"/>
    <n v="0"/>
    <n v="0"/>
    <n v="0"/>
    <n v="0"/>
    <n v="0"/>
    <n v="0"/>
    <n v="0"/>
    <n v="0"/>
    <n v="0"/>
    <n v="0"/>
    <n v="0"/>
    <n v="0"/>
    <n v="21.8"/>
    <n v="8"/>
    <n v="1158"/>
    <n v="8"/>
    <n v="9239"/>
    <n v="25"/>
    <n v="9239"/>
    <n v="25"/>
    <n v="2.7059205541725296E-3"/>
    <s v="Shift-3 转单28185"/>
    <n v="0"/>
    <n v="0"/>
    <n v="25"/>
    <n v="0"/>
    <n v="0"/>
    <n v="0"/>
    <n v="0"/>
    <n v="0"/>
    <n v="0"/>
    <n v="0"/>
    <n v="0"/>
    <n v="0"/>
    <n v="0"/>
    <n v="0"/>
    <n v="0"/>
    <n v="0"/>
    <n v="0"/>
    <n v="0.87654166666666666"/>
    <n v="0.87654166666666666"/>
    <n v="0"/>
    <n v="0"/>
    <n v="0"/>
    <n v="0"/>
    <n v="0"/>
    <n v="1"/>
    <n v="8"/>
    <b v="1"/>
    <b v="0"/>
  </r>
  <r>
    <d v="2024-06-17T00:00:00"/>
    <s v="03C"/>
    <x v="2"/>
    <n v="27581"/>
    <s v="White"/>
    <n v="814"/>
    <s v="Running"/>
    <n v="20.8"/>
    <n v="8"/>
    <n v="1380"/>
    <n v="8"/>
    <n v="10905"/>
    <n v="135"/>
    <n v="20.8"/>
    <n v="3.5"/>
    <n v="613"/>
    <n v="8"/>
    <n v="4869"/>
    <n v="35"/>
    <n v="0"/>
    <n v="0"/>
    <n v="0"/>
    <n v="0"/>
    <n v="0"/>
    <n v="0"/>
    <n v="15774"/>
    <n v="170"/>
    <n v="1.0777228350450108E-2"/>
    <s v="Shift-2 机械手故障停机"/>
    <n v="20"/>
    <n v="5"/>
    <n v="0"/>
    <n v="115"/>
    <n v="30"/>
    <n v="0"/>
    <n v="0"/>
    <n v="0"/>
    <n v="0"/>
    <n v="0"/>
    <n v="0"/>
    <n v="0"/>
    <n v="0"/>
    <n v="0"/>
    <n v="0"/>
    <n v="0.9966666666666667"/>
    <n v="1.0119365079365079"/>
    <n v="0"/>
    <n v="1.0043015873015873"/>
    <n v="0.5"/>
    <n v="0"/>
    <n v="0"/>
    <n v="1"/>
    <n v="1"/>
    <n v="0"/>
    <n v="8"/>
    <b v="1"/>
    <b v="0"/>
  </r>
  <r>
    <d v="2024-06-17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7T00:00:00"/>
    <s v="08A"/>
    <x v="4"/>
    <n v="27438"/>
    <s v="White"/>
    <n v="814"/>
    <s v="Running"/>
    <n v="20.68"/>
    <n v="8"/>
    <n v="1253"/>
    <n v="16"/>
    <n v="20048"/>
    <m/>
    <n v="20.68"/>
    <n v="8"/>
    <n v="1397"/>
    <n v="16"/>
    <n v="22352"/>
    <m/>
    <n v="20.67"/>
    <n v="8"/>
    <n v="1357"/>
    <n v="16"/>
    <n v="21712"/>
    <m/>
    <n v="64112"/>
    <m/>
    <m/>
    <m/>
    <m/>
    <m/>
    <m/>
    <m/>
    <m/>
    <m/>
    <m/>
    <m/>
    <m/>
    <m/>
    <m/>
    <m/>
    <m/>
    <m/>
    <m/>
    <n v="0.8997236111111111"/>
    <n v="1.003123611111111"/>
    <n v="0.97393020833333344"/>
    <n v="0.95892581018518508"/>
    <n v="0"/>
    <n v="0"/>
    <n v="0"/>
    <n v="1"/>
    <n v="1"/>
    <n v="1"/>
    <n v="16"/>
    <b v="0"/>
    <b v="0"/>
  </r>
  <r>
    <d v="2024-06-17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7T00:00:00"/>
    <s v="09B"/>
    <x v="6"/>
    <n v="26687"/>
    <s v="White"/>
    <n v="814"/>
    <s v="Running"/>
    <n v="15.46"/>
    <n v="8"/>
    <n v="1901"/>
    <n v="15"/>
    <n v="28515"/>
    <m/>
    <n v="15.46"/>
    <n v="8"/>
    <n v="1826"/>
    <n v="15"/>
    <n v="27390"/>
    <m/>
    <n v="15.4"/>
    <n v="8"/>
    <n v="1874"/>
    <n v="15"/>
    <n v="28110"/>
    <m/>
    <n v="84015"/>
    <m/>
    <m/>
    <m/>
    <m/>
    <m/>
    <m/>
    <m/>
    <m/>
    <m/>
    <m/>
    <m/>
    <m/>
    <m/>
    <m/>
    <m/>
    <m/>
    <m/>
    <m/>
    <n v="1.0204673611111112"/>
    <n v="0.98020694444444456"/>
    <n v="1.0020694444444445"/>
    <n v="1.0009145833333335"/>
    <n v="0"/>
    <n v="0"/>
    <n v="0"/>
    <n v="1"/>
    <n v="1"/>
    <n v="1"/>
    <n v="15"/>
    <b v="0"/>
    <b v="0"/>
  </r>
  <r>
    <d v="2024-06-17T00:00:00"/>
    <s v="12A"/>
    <x v="7"/>
    <n v="27501"/>
    <s v="White"/>
    <n v="6331"/>
    <s v="Running"/>
    <n v="11.99"/>
    <n v="8"/>
    <n v="2179"/>
    <n v="8"/>
    <n v="17432"/>
    <m/>
    <n v="11.99"/>
    <n v="8"/>
    <n v="2266"/>
    <n v="8"/>
    <n v="18128"/>
    <m/>
    <n v="11.99"/>
    <n v="8"/>
    <n v="2451"/>
    <n v="8"/>
    <n v="19608"/>
    <m/>
    <n v="55168"/>
    <m/>
    <m/>
    <m/>
    <m/>
    <m/>
    <m/>
    <m/>
    <m/>
    <m/>
    <m/>
    <m/>
    <m/>
    <m/>
    <m/>
    <m/>
    <m/>
    <m/>
    <m/>
    <n v="0.90716006944444438"/>
    <n v="0.94337986111111116"/>
    <n v="1.0203989583333335"/>
    <n v="0.95697962962962979"/>
    <n v="0"/>
    <n v="0"/>
    <n v="0"/>
    <n v="1"/>
    <n v="1"/>
    <n v="1"/>
    <n v="8"/>
    <b v="0"/>
    <b v="0"/>
  </r>
  <r>
    <d v="2024-06-17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7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7T00:00:00"/>
    <s v="19B"/>
    <x v="1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7T00:00:00"/>
    <s v="20B"/>
    <x v="11"/>
    <n v="27579"/>
    <s v="White"/>
    <n v="814"/>
    <s v="Running"/>
    <n v="20.39"/>
    <n v="4"/>
    <n v="609"/>
    <n v="8"/>
    <n v="4797"/>
    <n v="75"/>
    <n v="20.39"/>
    <n v="8"/>
    <n v="1511"/>
    <n v="8"/>
    <n v="11948"/>
    <n v="140"/>
    <n v="20.39"/>
    <n v="8"/>
    <n v="1185"/>
    <n v="8"/>
    <n v="9340"/>
    <n v="140"/>
    <n v="26085"/>
    <n v="355"/>
    <n v="1.3609354034885951E-2"/>
    <s v="Shift-1 维修马达, 11:30AM开机"/>
    <n v="10"/>
    <n v="20"/>
    <n v="25"/>
    <n v="65"/>
    <n v="120"/>
    <n v="115"/>
    <n v="0"/>
    <n v="0"/>
    <n v="0"/>
    <n v="0"/>
    <n v="0"/>
    <n v="0"/>
    <n v="0"/>
    <n v="0"/>
    <n v="0"/>
    <n v="0.8623270833333333"/>
    <n v="1.0697670138888888"/>
    <n v="0.83896354166666676"/>
    <n v="0.92368587962962956"/>
    <n v="1"/>
    <n v="3"/>
    <n v="0"/>
    <n v="1"/>
    <n v="1"/>
    <n v="1"/>
    <n v="8"/>
    <b v="1"/>
    <b v="0"/>
  </r>
  <r>
    <d v="2024-06-17T00:00:00"/>
    <s v="21B"/>
    <x v="12"/>
    <n v="27579"/>
    <s v="White"/>
    <n v="814"/>
    <s v="Running"/>
    <n v="21.89"/>
    <n v="8"/>
    <n v="1270"/>
    <n v="8"/>
    <n v="10010"/>
    <n v="150"/>
    <n v="21.89"/>
    <n v="8"/>
    <n v="1352"/>
    <n v="8"/>
    <n v="10676"/>
    <n v="140"/>
    <n v="21.79"/>
    <n v="8"/>
    <n v="1159"/>
    <n v="8"/>
    <n v="9137"/>
    <n v="135"/>
    <n v="29823"/>
    <n v="425"/>
    <n v="1.4250746068470644E-2"/>
    <m/>
    <n v="25"/>
    <n v="20"/>
    <n v="20"/>
    <n v="125"/>
    <n v="120"/>
    <n v="115"/>
    <n v="0"/>
    <n v="0"/>
    <n v="0"/>
    <n v="0"/>
    <n v="0"/>
    <n v="0"/>
    <n v="0"/>
    <n v="0"/>
    <n v="0"/>
    <n v="0.96528819444444447"/>
    <n v="1.027613888888889"/>
    <n v="0.87689618055555563"/>
    <n v="0.95659942129629638"/>
    <n v="0"/>
    <n v="0"/>
    <n v="0"/>
    <n v="1"/>
    <n v="1"/>
    <n v="1"/>
    <n v="8"/>
    <b v="1"/>
    <b v="0"/>
  </r>
  <r>
    <d v="2024-06-17T00:00:00"/>
    <s v="27A"/>
    <x v="8"/>
    <n v="27581"/>
    <s v="White"/>
    <n v="814"/>
    <s v="Running"/>
    <n v="15.17"/>
    <n v="8"/>
    <n v="1897"/>
    <n v="8"/>
    <n v="15176"/>
    <m/>
    <n v="15.19"/>
    <n v="8"/>
    <n v="1997"/>
    <n v="8"/>
    <n v="15976"/>
    <m/>
    <n v="15.17"/>
    <n v="8"/>
    <n v="1797"/>
    <n v="8"/>
    <n v="14376"/>
    <m/>
    <n v="45528"/>
    <m/>
    <m/>
    <m/>
    <m/>
    <m/>
    <m/>
    <m/>
    <m/>
    <m/>
    <m/>
    <m/>
    <m/>
    <m/>
    <m/>
    <m/>
    <m/>
    <m/>
    <m/>
    <n v="0.99921840277777785"/>
    <n v="1.0532788194444445"/>
    <n v="0.94654479166666672"/>
    <n v="0.99968067129629634"/>
    <n v="0"/>
    <n v="0"/>
    <n v="0"/>
    <n v="1"/>
    <n v="1"/>
    <n v="1"/>
    <n v="8"/>
    <b v="0"/>
    <b v="0"/>
  </r>
  <r>
    <d v="2024-06-17T00:00:00"/>
    <s v="36A"/>
    <x v="13"/>
    <n v="28021"/>
    <s v="White"/>
    <n v="814"/>
    <s v="Running"/>
    <n v="15.36"/>
    <n v="8"/>
    <n v="1875"/>
    <n v="16"/>
    <n v="30000"/>
    <m/>
    <n v="15.36"/>
    <n v="8"/>
    <n v="1900"/>
    <n v="16"/>
    <n v="30400"/>
    <m/>
    <n v="15.37"/>
    <n v="8"/>
    <n v="1890"/>
    <n v="16"/>
    <n v="30240"/>
    <m/>
    <n v="90640"/>
    <m/>
    <m/>
    <s v="補貨"/>
    <m/>
    <m/>
    <m/>
    <m/>
    <m/>
    <m/>
    <m/>
    <m/>
    <m/>
    <m/>
    <m/>
    <m/>
    <m/>
    <m/>
    <m/>
    <n v="1"/>
    <n v="1.0133333333333334"/>
    <n v="1.00865625"/>
    <n v="1.0073298611111112"/>
    <n v="0"/>
    <n v="0"/>
    <n v="0"/>
    <n v="1"/>
    <n v="1"/>
    <n v="1"/>
    <n v="16"/>
    <b v="0"/>
    <b v="0"/>
  </r>
  <r>
    <d v="2024-06-18T00:00:00"/>
    <s v="01B"/>
    <x v="0"/>
    <n v="27422"/>
    <s v="White"/>
    <n v="6331"/>
    <s v="Running"/>
    <n v="22.68"/>
    <n v="8"/>
    <n v="1269"/>
    <n v="4"/>
    <n v="5076"/>
    <n v="0"/>
    <n v="22.68"/>
    <n v="6.5"/>
    <n v="897"/>
    <n v="4"/>
    <n v="3588"/>
    <n v="0"/>
    <n v="22.69"/>
    <n v="8"/>
    <n v="1199"/>
    <n v="4"/>
    <n v="4796"/>
    <n v="0"/>
    <n v="1346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.99933749999999999"/>
    <n v="0.86939999999999995"/>
    <n v="0.94462881944444455"/>
    <n v="0.93778877314814812"/>
    <n v="0"/>
    <n v="0"/>
    <n v="0"/>
    <n v="1"/>
    <n v="1"/>
    <n v="1"/>
    <n v="4"/>
    <b v="0"/>
    <b v="1"/>
  </r>
  <r>
    <d v="2024-06-18T00:00:00"/>
    <s v="02C"/>
    <x v="1"/>
    <n v="28185"/>
    <s v="Black "/>
    <n v="814"/>
    <s v="Running"/>
    <n v="21.84"/>
    <n v="3"/>
    <n v="509"/>
    <n v="8"/>
    <n v="4012"/>
    <n v="60"/>
    <n v="0"/>
    <n v="0"/>
    <n v="0"/>
    <n v="0"/>
    <n v="0"/>
    <n v="0"/>
    <n v="0"/>
    <n v="0"/>
    <n v="0"/>
    <n v="0"/>
    <n v="0"/>
    <n v="0"/>
    <n v="4012"/>
    <n v="60"/>
    <n v="1.4955134596211365E-2"/>
    <m/>
    <n v="10"/>
    <n v="0"/>
    <n v="0"/>
    <n v="50"/>
    <n v="0"/>
    <n v="0"/>
    <n v="0"/>
    <n v="0"/>
    <n v="0"/>
    <n v="0"/>
    <n v="0"/>
    <n v="0"/>
    <n v="0"/>
    <n v="0"/>
    <n v="0"/>
    <n v="1.0293111111111111"/>
    <n v="0"/>
    <n v="0"/>
    <n v="1.0293111111111111"/>
    <n v="0"/>
    <n v="0"/>
    <n v="0"/>
    <n v="1"/>
    <n v="0"/>
    <n v="0"/>
    <n v="8"/>
    <b v="1"/>
    <b v="0"/>
  </r>
  <r>
    <d v="2024-06-18T00:00:00"/>
    <s v="02C"/>
    <x v="1"/>
    <n v="26416"/>
    <s v="Megenta"/>
    <n v="6331"/>
    <s v="Running"/>
    <n v="22.12"/>
    <n v="5"/>
    <n v="818"/>
    <n v="8"/>
    <n v="6469"/>
    <n v="75"/>
    <n v="21.84"/>
    <n v="4"/>
    <n v="666"/>
    <n v="8"/>
    <n v="5248"/>
    <n v="80"/>
    <n v="0"/>
    <n v="0"/>
    <n v="0"/>
    <n v="0"/>
    <n v="0"/>
    <n v="0"/>
    <n v="11717"/>
    <n v="155"/>
    <n v="1.3228642143893488E-2"/>
    <s v="Shift-1 转单26416；Shift-2 ESP停电2小时，#26416完单停机"/>
    <n v="15"/>
    <n v="15"/>
    <n v="0"/>
    <n v="60"/>
    <n v="65"/>
    <n v="0"/>
    <n v="0"/>
    <n v="0"/>
    <n v="0"/>
    <n v="0"/>
    <n v="0"/>
    <n v="0"/>
    <n v="0"/>
    <n v="0"/>
    <n v="0"/>
    <n v="1.0052311111111112"/>
    <n v="1.0101"/>
    <n v="0"/>
    <n v="1.0076655555555556"/>
    <n v="1"/>
    <n v="0"/>
    <n v="0"/>
    <n v="1"/>
    <n v="1"/>
    <n v="0"/>
    <n v="8"/>
    <b v="1"/>
    <b v="0"/>
  </r>
  <r>
    <d v="2024-06-18T00:00:00"/>
    <s v="03C"/>
    <x v="2"/>
    <n v="27581"/>
    <s v="White"/>
    <n v="814"/>
    <s v="Running"/>
    <n v="20.75"/>
    <n v="5"/>
    <n v="714"/>
    <n v="8"/>
    <n v="5637"/>
    <n v="75"/>
    <n v="20.75"/>
    <n v="4"/>
    <n v="700"/>
    <n v="8"/>
    <n v="5535"/>
    <n v="65"/>
    <n v="20.83"/>
    <n v="2"/>
    <n v="309"/>
    <n v="8"/>
    <n v="2412"/>
    <n v="60"/>
    <n v="13584"/>
    <n v="200"/>
    <n v="1.4723203769140165E-2"/>
    <s v="Shift-2 ESP停电2小时，模具有水，注不满"/>
    <n v="15"/>
    <n v="15"/>
    <n v="10"/>
    <n v="60"/>
    <n v="50"/>
    <n v="50"/>
    <n v="0"/>
    <n v="0"/>
    <n v="0"/>
    <n v="0"/>
    <n v="0"/>
    <n v="0"/>
    <n v="0"/>
    <n v="0"/>
    <n v="0"/>
    <n v="0.82308333333333328"/>
    <n v="1.0086805555555556"/>
    <n v="0.89395416666666661"/>
    <n v="0.90857268518518508"/>
    <n v="1"/>
    <n v="0"/>
    <n v="0"/>
    <n v="1"/>
    <n v="1"/>
    <n v="1"/>
    <n v="8"/>
    <b v="1"/>
    <b v="0"/>
  </r>
  <r>
    <d v="2024-06-18T00:00:00"/>
    <s v="03C"/>
    <x v="2"/>
    <n v="26416"/>
    <s v="Megenta"/>
    <n v="6331"/>
    <s v="Running"/>
    <n v="0"/>
    <n v="0"/>
    <n v="0"/>
    <n v="0"/>
    <n v="0"/>
    <n v="0"/>
    <n v="0"/>
    <n v="0"/>
    <n v="0"/>
    <n v="0"/>
    <n v="0"/>
    <n v="0"/>
    <n v="20.84"/>
    <n v="6"/>
    <n v="511"/>
    <n v="8"/>
    <n v="4013"/>
    <n v="75"/>
    <n v="4013"/>
    <n v="75"/>
    <n v="1.8689259905307749E-2"/>
    <s v="Shift-3 转单26416，走色"/>
    <n v="0"/>
    <n v="0"/>
    <n v="15"/>
    <n v="0"/>
    <n v="0"/>
    <n v="60"/>
    <n v="0"/>
    <n v="0"/>
    <n v="0"/>
    <n v="0"/>
    <n v="0"/>
    <n v="0"/>
    <n v="0"/>
    <n v="0"/>
    <n v="0"/>
    <n v="0"/>
    <n v="0"/>
    <n v="0.49302037037037039"/>
    <n v="0.49302037037037039"/>
    <n v="0"/>
    <n v="0"/>
    <n v="0"/>
    <n v="0"/>
    <n v="0"/>
    <n v="1"/>
    <n v="8"/>
    <b v="1"/>
    <b v="0"/>
  </r>
  <r>
    <d v="2024-06-18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8T00:00:00"/>
    <s v="08A"/>
    <x v="4"/>
    <n v="27438"/>
    <s v="White"/>
    <n v="814"/>
    <s v="Running"/>
    <n v="18.61"/>
    <n v="8"/>
    <n v="1489"/>
    <n v="16"/>
    <n v="23824"/>
    <m/>
    <n v="18.61"/>
    <n v="6"/>
    <n v="997"/>
    <n v="16"/>
    <n v="15952"/>
    <m/>
    <n v="18.559999999999999"/>
    <n v="8"/>
    <n v="1471"/>
    <n v="16"/>
    <n v="23536"/>
    <m/>
    <n v="63312"/>
    <m/>
    <m/>
    <m/>
    <m/>
    <m/>
    <m/>
    <m/>
    <m/>
    <m/>
    <m/>
    <m/>
    <m/>
    <m/>
    <m/>
    <m/>
    <m/>
    <m/>
    <m/>
    <n v="0.96216284722222223"/>
    <n v="0.85898935185185177"/>
    <n v="0.9479777777777777"/>
    <n v="0.92304332561728397"/>
    <n v="0"/>
    <n v="0"/>
    <n v="0"/>
    <n v="1"/>
    <n v="1"/>
    <n v="1"/>
    <n v="16"/>
    <b v="0"/>
    <b v="0"/>
  </r>
  <r>
    <d v="2024-06-18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8T00:00:00"/>
    <s v="09B"/>
    <x v="6"/>
    <n v="26687"/>
    <s v="White"/>
    <n v="814"/>
    <s v="Running"/>
    <n v="15.49"/>
    <n v="8"/>
    <n v="1834"/>
    <n v="15"/>
    <n v="27510"/>
    <m/>
    <n v="15.47"/>
    <n v="5.5"/>
    <n v="1103"/>
    <n v="15"/>
    <n v="16545"/>
    <m/>
    <n v="15.45"/>
    <n v="8"/>
    <n v="1761"/>
    <n v="15"/>
    <n v="26415"/>
    <m/>
    <n v="70470"/>
    <m/>
    <m/>
    <m/>
    <m/>
    <m/>
    <m/>
    <m/>
    <m/>
    <m/>
    <m/>
    <m/>
    <m/>
    <m/>
    <m/>
    <m/>
    <m/>
    <m/>
    <m/>
    <n v="0.98641180555555552"/>
    <n v="0.86178838383838385"/>
    <n v="0.94470312499999987"/>
    <n v="0.93096777146464638"/>
    <n v="0"/>
    <n v="0"/>
    <n v="0"/>
    <n v="1"/>
    <n v="1"/>
    <n v="1"/>
    <n v="15"/>
    <b v="0"/>
    <b v="0"/>
  </r>
  <r>
    <d v="2024-06-18T00:00:00"/>
    <s v="12A"/>
    <x v="7"/>
    <n v="27501"/>
    <s v="White"/>
    <n v="6331"/>
    <s v="Running"/>
    <n v="11.98"/>
    <n v="8"/>
    <n v="2379"/>
    <n v="8"/>
    <n v="19032"/>
    <m/>
    <n v="11.98"/>
    <n v="6"/>
    <n v="1597"/>
    <n v="8"/>
    <n v="12776"/>
    <m/>
    <n v="11.94"/>
    <n v="8"/>
    <n v="2192"/>
    <n v="8"/>
    <n v="17536"/>
    <m/>
    <n v="49344"/>
    <m/>
    <m/>
    <m/>
    <m/>
    <m/>
    <m/>
    <m/>
    <m/>
    <m/>
    <m/>
    <m/>
    <m/>
    <m/>
    <m/>
    <m/>
    <m/>
    <m/>
    <m/>
    <n v="0.98959791666666674"/>
    <n v="0.88574351851851862"/>
    <n v="0.90876666666666661"/>
    <n v="0.9280360339506174"/>
    <n v="0"/>
    <n v="0"/>
    <n v="0"/>
    <n v="1"/>
    <n v="1"/>
    <n v="1"/>
    <n v="8"/>
    <b v="0"/>
    <b v="0"/>
  </r>
  <r>
    <d v="2024-06-18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8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8T00:00:00"/>
    <s v="20B"/>
    <x v="11"/>
    <n v="27579"/>
    <s v="White"/>
    <n v="814"/>
    <s v="Running"/>
    <n v="20.39"/>
    <n v="8"/>
    <n v="1465"/>
    <n v="8"/>
    <n v="11580"/>
    <n v="140"/>
    <n v="20.49"/>
    <n v="6"/>
    <n v="964"/>
    <n v="8"/>
    <n v="7572"/>
    <n v="140"/>
    <n v="20.39"/>
    <n v="8"/>
    <n v="1311"/>
    <n v="8"/>
    <n v="10358"/>
    <n v="130"/>
    <n v="29510"/>
    <n v="410"/>
    <n v="1.3893595391392748E-2"/>
    <s v="Shift-2 ESP停电2小时"/>
    <n v="25"/>
    <n v="20"/>
    <n v="20"/>
    <n v="115"/>
    <n v="120"/>
    <n v="110"/>
    <n v="0"/>
    <n v="0"/>
    <n v="0"/>
    <n v="0"/>
    <n v="0"/>
    <n v="0"/>
    <n v="0"/>
    <n v="0"/>
    <n v="0"/>
    <n v="1.0371996527777778"/>
    <n v="0.91446111111111095"/>
    <n v="0.92816979166666669"/>
    <n v="0.95994351851851845"/>
    <n v="1"/>
    <n v="0"/>
    <n v="0"/>
    <n v="1"/>
    <n v="1"/>
    <n v="1"/>
    <n v="8"/>
    <b v="1"/>
    <b v="0"/>
  </r>
  <r>
    <d v="2024-06-18T00:00:00"/>
    <s v="21B"/>
    <x v="12"/>
    <n v="27579"/>
    <s v="White"/>
    <n v="814"/>
    <s v="Running"/>
    <n v="21.88"/>
    <n v="5"/>
    <n v="791"/>
    <n v="8"/>
    <n v="6218"/>
    <n v="110"/>
    <n v="0"/>
    <n v="0"/>
    <n v="0"/>
    <n v="0"/>
    <n v="0"/>
    <n v="0"/>
    <n v="0"/>
    <n v="0"/>
    <n v="0"/>
    <n v="0"/>
    <n v="0"/>
    <n v="0"/>
    <n v="6218"/>
    <n v="110"/>
    <n v="1.7690575747828882E-2"/>
    <s v="Shift-1 机械手故障停机"/>
    <n v="10"/>
    <n v="0"/>
    <n v="0"/>
    <n v="100"/>
    <n v="0"/>
    <n v="0"/>
    <n v="0"/>
    <n v="0"/>
    <n v="0"/>
    <n v="0"/>
    <n v="0"/>
    <n v="0"/>
    <n v="0"/>
    <n v="0"/>
    <n v="0"/>
    <n v="0.96150444444444438"/>
    <n v="0"/>
    <n v="0"/>
    <n v="0.96150444444444438"/>
    <n v="0"/>
    <n v="0"/>
    <n v="0"/>
    <n v="1"/>
    <n v="0"/>
    <n v="0"/>
    <n v="8"/>
    <b v="1"/>
    <b v="0"/>
  </r>
  <r>
    <d v="2024-06-18T00:00:00"/>
    <s v="27A"/>
    <x v="8"/>
    <n v="27581"/>
    <s v="White"/>
    <n v="814"/>
    <s v="Running"/>
    <n v="15.21"/>
    <n v="7.5"/>
    <n v="1754"/>
    <n v="8"/>
    <n v="14032"/>
    <m/>
    <n v="15.18"/>
    <n v="6"/>
    <n v="1481"/>
    <n v="8"/>
    <n v="11848"/>
    <m/>
    <n v="15.17"/>
    <n v="8"/>
    <n v="1741"/>
    <n v="8"/>
    <n v="13928"/>
    <m/>
    <n v="39808"/>
    <m/>
    <m/>
    <m/>
    <m/>
    <m/>
    <m/>
    <m/>
    <m/>
    <m/>
    <m/>
    <m/>
    <m/>
    <m/>
    <m/>
    <m/>
    <m/>
    <m/>
    <m/>
    <n v="0.98808666666666667"/>
    <n v="1.0408138888888887"/>
    <n v="0.91704756944444443"/>
    <n v="0.98198270833333334"/>
    <n v="0"/>
    <n v="0"/>
    <n v="0"/>
    <n v="1"/>
    <n v="1"/>
    <n v="1"/>
    <n v="8"/>
    <b v="0"/>
    <b v="0"/>
  </r>
  <r>
    <d v="2024-06-18T00:00:00"/>
    <s v="36A"/>
    <x v="13"/>
    <n v="28021"/>
    <s v="White"/>
    <n v="814"/>
    <s v="Running"/>
    <n v="15.13"/>
    <n v="8"/>
    <n v="816"/>
    <n v="16"/>
    <n v="13056"/>
    <m/>
    <n v="15.13"/>
    <n v="6"/>
    <n v="1433"/>
    <n v="16"/>
    <n v="22928"/>
    <m/>
    <n v="15.14"/>
    <n v="8"/>
    <n v="1814"/>
    <n v="16"/>
    <n v="29024"/>
    <m/>
    <n v="65008"/>
    <m/>
    <m/>
    <m/>
    <m/>
    <m/>
    <m/>
    <m/>
    <m/>
    <m/>
    <m/>
    <m/>
    <m/>
    <m/>
    <m/>
    <m/>
    <m/>
    <m/>
    <m/>
    <n v="0.42868333333333331"/>
    <n v="1.003763425925926"/>
    <n v="0.95360972222222229"/>
    <n v="0.79535216049382729"/>
    <n v="0"/>
    <n v="0"/>
    <n v="0"/>
    <n v="1"/>
    <n v="1"/>
    <n v="1"/>
    <n v="16"/>
    <b v="0"/>
    <b v="0"/>
  </r>
  <r>
    <d v="2024-06-19T00:00:00"/>
    <s v="01B"/>
    <x v="0"/>
    <n v="27422"/>
    <s v="White"/>
    <n v="6331"/>
    <s v="Running"/>
    <n v="22.68"/>
    <n v="8"/>
    <n v="1255"/>
    <n v="4"/>
    <n v="5020"/>
    <n v="0"/>
    <n v="22.59"/>
    <n v="5.5"/>
    <n v="852"/>
    <n v="4"/>
    <n v="3408"/>
    <n v="0"/>
    <n v="22.65"/>
    <n v="8"/>
    <n v="1192"/>
    <n v="4"/>
    <n v="4768"/>
    <n v="0"/>
    <n v="13196"/>
    <n v="0"/>
    <n v="0"/>
    <m/>
    <n v="0"/>
    <n v="0"/>
    <n v="0"/>
    <n v="0"/>
    <n v="0"/>
    <n v="0"/>
    <n v="0"/>
    <n v="0"/>
    <n v="0"/>
    <n v="0"/>
    <n v="0"/>
    <n v="0"/>
    <n v="0"/>
    <n v="0"/>
    <n v="0"/>
    <n v="0.98831250000000004"/>
    <n v="0.9720545454545455"/>
    <n v="0.93745833333333328"/>
    <n v="0.96594179292929294"/>
    <n v="0"/>
    <n v="0"/>
    <n v="0"/>
    <n v="1"/>
    <n v="1"/>
    <n v="1"/>
    <n v="4"/>
    <b v="0"/>
    <b v="1"/>
  </r>
  <r>
    <d v="2024-06-19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9T00:00:00"/>
    <s v="03C"/>
    <x v="2"/>
    <n v="26416"/>
    <s v="Megenta"/>
    <n v="6331"/>
    <s v="Running"/>
    <n v="20.8"/>
    <n v="6"/>
    <n v="1130"/>
    <n v="8"/>
    <n v="8925"/>
    <n v="115"/>
    <n v="0"/>
    <n v="0"/>
    <n v="0"/>
    <n v="0"/>
    <n v="0"/>
    <n v="0"/>
    <n v="0"/>
    <n v="0"/>
    <n v="0"/>
    <n v="0"/>
    <n v="0"/>
    <n v="0"/>
    <n v="8925"/>
    <n v="115"/>
    <n v="1.2885154061624649E-2"/>
    <m/>
    <n v="15"/>
    <n v="0"/>
    <n v="0"/>
    <n v="100"/>
    <n v="0"/>
    <n v="0"/>
    <n v="0"/>
    <n v="0"/>
    <n v="0"/>
    <n v="0"/>
    <n v="0"/>
    <n v="0"/>
    <n v="0"/>
    <n v="0"/>
    <n v="0"/>
    <n v="1.0881481481481481"/>
    <n v="0"/>
    <n v="0"/>
    <n v="1.0881481481481481"/>
    <n v="1"/>
    <n v="0"/>
    <n v="0"/>
    <n v="1"/>
    <n v="0"/>
    <n v="0"/>
    <n v="8"/>
    <b v="1"/>
    <b v="0"/>
  </r>
  <r>
    <d v="2024-06-19T00:00:00"/>
    <s v="03C"/>
    <x v="2"/>
    <n v="27897"/>
    <s v="Light Grey"/>
    <n v="6331"/>
    <s v="Running"/>
    <n v="20.8"/>
    <n v="1"/>
    <n v="105"/>
    <n v="8"/>
    <n v="840"/>
    <n v="0"/>
    <n v="20.75"/>
    <n v="6"/>
    <n v="1086"/>
    <n v="8"/>
    <n v="8628"/>
    <n v="60"/>
    <n v="20.81"/>
    <n v="8"/>
    <n v="1184"/>
    <n v="8"/>
    <n v="9327"/>
    <n v="145"/>
    <n v="18795"/>
    <n v="205"/>
    <n v="1.0907156158552806E-2"/>
    <s v="Shift-1 转单27897；Shift-2 ESP停电2小时"/>
    <n v="0"/>
    <n v="10"/>
    <n v="25"/>
    <n v="0"/>
    <n v="50"/>
    <n v="120"/>
    <n v="0"/>
    <n v="0"/>
    <n v="0"/>
    <n v="0"/>
    <n v="0"/>
    <n v="0"/>
    <n v="0"/>
    <n v="0"/>
    <n v="0"/>
    <n v="0.60666666666666669"/>
    <n v="1.043263888888889"/>
    <n v="0.85552222222222207"/>
    <n v="0.83515092592592588"/>
    <n v="1"/>
    <n v="0"/>
    <n v="0"/>
    <n v="1"/>
    <n v="1"/>
    <n v="1"/>
    <n v="8"/>
    <b v="1"/>
    <b v="0"/>
  </r>
  <r>
    <d v="2024-06-19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9T00:00:00"/>
    <s v="08A"/>
    <x v="4"/>
    <n v="27438"/>
    <s v="White"/>
    <n v="814"/>
    <s v="Running"/>
    <n v="18.54"/>
    <n v="6.5"/>
    <n v="1324"/>
    <n v="16"/>
    <n v="21184"/>
    <m/>
    <n v="23.29"/>
    <n v="5.5"/>
    <n v="934"/>
    <n v="8"/>
    <n v="7472"/>
    <m/>
    <n v="0"/>
    <n v="0"/>
    <n v="0"/>
    <n v="0"/>
    <n v="0"/>
    <m/>
    <n v="28656"/>
    <m/>
    <m/>
    <s v="Shift-2 換料轉單"/>
    <m/>
    <m/>
    <m/>
    <m/>
    <m/>
    <m/>
    <m/>
    <m/>
    <m/>
    <m/>
    <m/>
    <m/>
    <m/>
    <m/>
    <m/>
    <n v="1.0490153846153847"/>
    <n v="1.0986292929292929"/>
    <n v="0"/>
    <n v="1.0738223387723389"/>
    <n v="0"/>
    <n v="0"/>
    <n v="0"/>
    <n v="1"/>
    <n v="1"/>
    <n v="0"/>
    <n v="16"/>
    <b v="0"/>
    <b v="0"/>
  </r>
  <r>
    <d v="2024-06-19T00:00:00"/>
    <s v="08A"/>
    <x v="4"/>
    <n v="27897"/>
    <s v="Dark Gray"/>
    <n v="6331"/>
    <s v="Running"/>
    <n v="0"/>
    <n v="0"/>
    <n v="0"/>
    <n v="0"/>
    <n v="0"/>
    <m/>
    <n v="0"/>
    <n v="0"/>
    <n v="0"/>
    <n v="0"/>
    <n v="0"/>
    <m/>
    <n v="23.27"/>
    <n v="8"/>
    <n v="1119"/>
    <n v="8"/>
    <n v="8952"/>
    <m/>
    <n v="8952"/>
    <m/>
    <m/>
    <m/>
    <m/>
    <m/>
    <m/>
    <m/>
    <m/>
    <m/>
    <m/>
    <m/>
    <m/>
    <m/>
    <m/>
    <m/>
    <m/>
    <m/>
    <m/>
    <n v="0"/>
    <n v="0"/>
    <n v="0.90413645833333334"/>
    <n v="0.90413645833333334"/>
    <n v="0"/>
    <n v="0"/>
    <n v="0"/>
    <n v="0"/>
    <n v="0"/>
    <n v="1"/>
    <n v="8"/>
    <b v="0"/>
    <b v="0"/>
  </r>
  <r>
    <d v="2024-06-19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9T00:00:00"/>
    <s v="09B"/>
    <x v="6"/>
    <n v="26687"/>
    <s v="White"/>
    <n v="814"/>
    <s v="Running"/>
    <n v="15.51"/>
    <n v="8"/>
    <n v="1831"/>
    <n v="16"/>
    <n v="29296"/>
    <m/>
    <n v="15.46"/>
    <n v="5.5"/>
    <n v="989"/>
    <n v="15"/>
    <n v="14835"/>
    <m/>
    <n v="15.45"/>
    <n v="8"/>
    <n v="1760"/>
    <n v="15"/>
    <n v="26400"/>
    <m/>
    <n v="70531"/>
    <m/>
    <m/>
    <m/>
    <m/>
    <m/>
    <m/>
    <m/>
    <m/>
    <m/>
    <m/>
    <m/>
    <m/>
    <m/>
    <m/>
    <m/>
    <m/>
    <m/>
    <m/>
    <n v="0.98606979166666675"/>
    <n v="0.77221919191919197"/>
    <n v="0.94416666666666671"/>
    <n v="0.90081855008417522"/>
    <n v="0"/>
    <n v="0"/>
    <n v="0"/>
    <n v="1"/>
    <n v="1"/>
    <n v="1"/>
    <n v="16"/>
    <b v="0"/>
    <b v="0"/>
  </r>
  <r>
    <d v="2024-06-19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19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9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19T00:00:00"/>
    <s v="20B"/>
    <x v="11"/>
    <n v="27579"/>
    <s v="White"/>
    <n v="814"/>
    <s v="Running"/>
    <n v="20.39"/>
    <n v="8"/>
    <n v="1406"/>
    <n v="8"/>
    <n v="11103"/>
    <n v="145"/>
    <n v="20.49"/>
    <n v="6"/>
    <n v="956"/>
    <n v="8"/>
    <n v="7528"/>
    <n v="120"/>
    <n v="20.399999999999999"/>
    <n v="8"/>
    <n v="1265"/>
    <n v="8"/>
    <n v="9970"/>
    <n v="150"/>
    <n v="28601"/>
    <n v="415"/>
    <n v="1.4509982168455648E-2"/>
    <s v="Shift-2 ESP停电2小时"/>
    <n v="25"/>
    <n v="20"/>
    <n v="25"/>
    <n v="120"/>
    <n v="100"/>
    <n v="125"/>
    <n v="0"/>
    <n v="0"/>
    <n v="0"/>
    <n v="0"/>
    <n v="0"/>
    <n v="0"/>
    <n v="0"/>
    <n v="0"/>
    <n v="0"/>
    <n v="0.99542847222222219"/>
    <n v="0.90687222222222219"/>
    <n v="0.89604166666666663"/>
    <n v="0.93278078703703704"/>
    <n v="1.5"/>
    <n v="0"/>
    <n v="0"/>
    <n v="1"/>
    <n v="1"/>
    <n v="1"/>
    <n v="8"/>
    <b v="1"/>
    <b v="0"/>
  </r>
  <r>
    <d v="2024-06-19T00:00:00"/>
    <s v="21B"/>
    <x v="12"/>
    <n v="27579"/>
    <s v="White"/>
    <n v="814"/>
    <s v="Running"/>
    <n v="21.88"/>
    <n v="2.5"/>
    <n v="364"/>
    <n v="8"/>
    <n v="2857"/>
    <n v="55"/>
    <n v="21.79"/>
    <n v="6"/>
    <n v="958"/>
    <n v="8"/>
    <n v="7554"/>
    <n v="110"/>
    <n v="21.88"/>
    <n v="8"/>
    <n v="1223"/>
    <n v="8"/>
    <n v="9644"/>
    <n v="140"/>
    <n v="20055"/>
    <n v="305"/>
    <n v="1.5208177511842433E-2"/>
    <s v="Shift-1 1:30PM开机；Shift-2 ESP停电2小时"/>
    <n v="5"/>
    <n v="10"/>
    <n v="20"/>
    <n v="50"/>
    <n v="100"/>
    <n v="120"/>
    <n v="0"/>
    <n v="0"/>
    <n v="0"/>
    <n v="0"/>
    <n v="0"/>
    <n v="0"/>
    <n v="0"/>
    <n v="0"/>
    <n v="0"/>
    <n v="0.8849244444444444"/>
    <n v="0.96642685185185184"/>
    <n v="0.92914027777777775"/>
    <n v="0.92683052469135807"/>
    <n v="1"/>
    <n v="0"/>
    <n v="0"/>
    <n v="1"/>
    <n v="1"/>
    <n v="1"/>
    <n v="8"/>
    <b v="1"/>
    <b v="0"/>
  </r>
  <r>
    <d v="2024-06-19T00:00:00"/>
    <s v="27A"/>
    <x v="8"/>
    <n v="27581"/>
    <s v="White"/>
    <n v="814"/>
    <s v="Running"/>
    <n v="15.17"/>
    <n v="8"/>
    <n v="1900"/>
    <n v="8"/>
    <n v="15200"/>
    <m/>
    <n v="15.07"/>
    <n v="6"/>
    <n v="1392"/>
    <n v="8"/>
    <n v="11136"/>
    <m/>
    <n v="15.07"/>
    <n v="8"/>
    <n v="1778"/>
    <n v="7"/>
    <n v="12446"/>
    <m/>
    <n v="38782"/>
    <m/>
    <m/>
    <m/>
    <m/>
    <m/>
    <m/>
    <m/>
    <m/>
    <m/>
    <m/>
    <m/>
    <m/>
    <m/>
    <m/>
    <m/>
    <m/>
    <m/>
    <m/>
    <n v="1.0007986111111111"/>
    <n v="0.9711777777777777"/>
    <n v="0.93036319444444437"/>
    <n v="0.96744652777777773"/>
    <n v="0"/>
    <n v="0"/>
    <n v="0"/>
    <n v="1"/>
    <n v="1"/>
    <n v="1"/>
    <n v="8"/>
    <b v="0"/>
    <b v="0"/>
  </r>
  <r>
    <d v="2024-06-19T00:00:00"/>
    <s v="36A"/>
    <x v="13"/>
    <n v="28121"/>
    <s v="White"/>
    <n v="814"/>
    <s v="Running"/>
    <n v="15.16"/>
    <n v="8"/>
    <n v="2013"/>
    <n v="16"/>
    <n v="32208"/>
    <m/>
    <n v="15.16"/>
    <n v="6"/>
    <n v="691"/>
    <n v="16"/>
    <n v="11056"/>
    <m/>
    <n v="15.15"/>
    <n v="8"/>
    <n v="1660"/>
    <n v="16"/>
    <n v="26560"/>
    <m/>
    <n v="69824"/>
    <m/>
    <m/>
    <m/>
    <m/>
    <m/>
    <m/>
    <m/>
    <m/>
    <m/>
    <m/>
    <m/>
    <m/>
    <m/>
    <m/>
    <m/>
    <m/>
    <m/>
    <m/>
    <n v="1.0596208333333335"/>
    <n v="0.48497962962962959"/>
    <n v="0.87322916666666661"/>
    <n v="0.80594320987654322"/>
    <n v="0"/>
    <n v="0"/>
    <n v="0"/>
    <n v="1"/>
    <n v="1"/>
    <n v="1"/>
    <n v="16"/>
    <b v="0"/>
    <b v="0"/>
  </r>
  <r>
    <d v="2024-06-20T00:00:00"/>
    <s v="01B"/>
    <x v="0"/>
    <n v="27422"/>
    <s v="White"/>
    <n v="6331"/>
    <s v="Running"/>
    <n v="22.6"/>
    <n v="8"/>
    <n v="1053"/>
    <n v="4"/>
    <n v="4207"/>
    <n v="5"/>
    <n v="22.65"/>
    <n v="5.5"/>
    <n v="939"/>
    <n v="4"/>
    <n v="3750"/>
    <n v="6"/>
    <n v="22.66"/>
    <n v="8"/>
    <n v="1115"/>
    <n v="4"/>
    <n v="4453"/>
    <n v="7"/>
    <n v="12410"/>
    <n v="18"/>
    <n v="1.4504431909750201E-3"/>
    <m/>
    <n v="5"/>
    <n v="6"/>
    <n v="7"/>
    <n v="0"/>
    <n v="0"/>
    <n v="0"/>
    <n v="0"/>
    <n v="0"/>
    <n v="0"/>
    <n v="0"/>
    <n v="0"/>
    <n v="0"/>
    <n v="0"/>
    <n v="0"/>
    <n v="0"/>
    <n v="0.82631250000000012"/>
    <n v="1.0741590909090908"/>
    <n v="0.8772881944444445"/>
    <n v="0.92591992845117854"/>
    <n v="0"/>
    <n v="0"/>
    <n v="0"/>
    <n v="1"/>
    <n v="1"/>
    <n v="1"/>
    <n v="4"/>
    <b v="0"/>
    <b v="1"/>
  </r>
  <r>
    <d v="2024-06-20T00:00:00"/>
    <s v="02C"/>
    <x v="1"/>
    <n v="28210"/>
    <s v="White"/>
    <n v="6331"/>
    <s v="Running"/>
    <n v="0"/>
    <n v="0"/>
    <n v="0"/>
    <n v="0"/>
    <n v="0"/>
    <n v="0"/>
    <n v="22.21"/>
    <n v="1.5"/>
    <n v="243"/>
    <n v="8"/>
    <n v="1924"/>
    <n v="20"/>
    <n v="22.19"/>
    <n v="5"/>
    <n v="666"/>
    <n v="8"/>
    <n v="5263"/>
    <n v="65"/>
    <n v="7187"/>
    <n v="85"/>
    <n v="1.1826909698065952E-2"/>
    <s v="Shift-3 水位有黑點"/>
    <n v="0"/>
    <n v="5"/>
    <n v="15"/>
    <n v="0"/>
    <n v="15"/>
    <n v="50"/>
    <n v="0"/>
    <n v="0"/>
    <n v="0"/>
    <n v="0"/>
    <n v="0"/>
    <n v="0"/>
    <n v="0"/>
    <n v="0"/>
    <n v="0"/>
    <n v="0"/>
    <n v="0.99945000000000017"/>
    <n v="0.82103000000000004"/>
    <n v="0.91024000000000016"/>
    <n v="0"/>
    <n v="0"/>
    <n v="0"/>
    <n v="0"/>
    <n v="1"/>
    <n v="1"/>
    <n v="8"/>
    <b v="1"/>
    <b v="0"/>
  </r>
  <r>
    <d v="2024-06-20T00:00:00"/>
    <s v="03C"/>
    <x v="2"/>
    <n v="27897"/>
    <s v="Light Grey"/>
    <n v="6331"/>
    <s v="Running"/>
    <n v="20.8"/>
    <n v="8"/>
    <n v="1362"/>
    <n v="8"/>
    <n v="10776"/>
    <n v="120"/>
    <n v="20.75"/>
    <n v="1"/>
    <n v="173"/>
    <n v="8"/>
    <n v="1369"/>
    <n v="15"/>
    <n v="0"/>
    <n v="0"/>
    <n v="0"/>
    <n v="0"/>
    <n v="0"/>
    <n v="0"/>
    <n v="12145"/>
    <n v="135"/>
    <n v="1.1115685467270481E-2"/>
    <s v="Shift-2 轉單轉色油"/>
    <n v="20"/>
    <n v="5"/>
    <n v="0"/>
    <n v="100"/>
    <n v="10"/>
    <n v="0"/>
    <n v="0"/>
    <n v="0"/>
    <n v="0"/>
    <n v="0"/>
    <n v="0"/>
    <n v="0"/>
    <n v="0"/>
    <n v="0"/>
    <n v="0"/>
    <n v="0.98366666666666669"/>
    <n v="0.99715277777777778"/>
    <n v="0"/>
    <n v="0.99040972222222223"/>
    <n v="2"/>
    <n v="0"/>
    <n v="0"/>
    <n v="1"/>
    <n v="1"/>
    <n v="0"/>
    <n v="8"/>
    <b v="1"/>
    <b v="0"/>
  </r>
  <r>
    <d v="2024-06-20T00:00:00"/>
    <s v="03C"/>
    <x v="2"/>
    <n v="28210"/>
    <s v="White"/>
    <n v="6331"/>
    <s v="Running"/>
    <n v="0"/>
    <n v="0"/>
    <n v="0"/>
    <n v="0"/>
    <n v="0"/>
    <n v="0"/>
    <n v="0"/>
    <n v="0"/>
    <n v="0"/>
    <n v="0"/>
    <n v="0"/>
    <n v="0"/>
    <n v="20.8"/>
    <n v="8"/>
    <n v="1424"/>
    <n v="8"/>
    <n v="11392"/>
    <n v="0"/>
    <n v="11392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1.0284444444444445"/>
    <n v="1.0284444444444445"/>
    <n v="0"/>
    <n v="0"/>
    <n v="0"/>
    <n v="0"/>
    <n v="0"/>
    <n v="1"/>
    <n v="8"/>
    <b v="1"/>
    <b v="0"/>
  </r>
  <r>
    <d v="2024-06-20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0T00:00:00"/>
    <s v="08A"/>
    <x v="4"/>
    <n v="27897"/>
    <s v="Black "/>
    <n v="6331"/>
    <s v="Running"/>
    <n v="23.26"/>
    <n v="5"/>
    <n v="779"/>
    <n v="8"/>
    <n v="6232"/>
    <m/>
    <n v="0"/>
    <n v="0"/>
    <n v="0"/>
    <n v="0"/>
    <n v="0"/>
    <m/>
    <n v="0"/>
    <n v="0"/>
    <n v="0"/>
    <n v="0"/>
    <n v="0"/>
    <m/>
    <n v="6232"/>
    <m/>
    <m/>
    <m/>
    <m/>
    <m/>
    <m/>
    <m/>
    <m/>
    <m/>
    <m/>
    <m/>
    <m/>
    <m/>
    <m/>
    <m/>
    <m/>
    <m/>
    <m/>
    <n v="1.0066411111111111"/>
    <n v="0"/>
    <n v="0"/>
    <n v="1.0066411111111111"/>
    <n v="0"/>
    <n v="0"/>
    <n v="0"/>
    <n v="1"/>
    <n v="0"/>
    <n v="0"/>
    <n v="8"/>
    <b v="0"/>
    <b v="0"/>
  </r>
  <r>
    <d v="2024-06-20T00:00:00"/>
    <s v="08B"/>
    <x v="5"/>
    <n v="27754"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0T00:00:00"/>
    <s v="09B"/>
    <x v="6"/>
    <n v="26687"/>
    <s v="White"/>
    <n v="814"/>
    <s v="Running"/>
    <n v="15.5"/>
    <n v="3"/>
    <n v="735"/>
    <n v="15"/>
    <n v="11025"/>
    <m/>
    <n v="15.51"/>
    <n v="5.5"/>
    <n v="1226"/>
    <n v="15"/>
    <n v="18390"/>
    <m/>
    <n v="15.5"/>
    <n v="8"/>
    <n v="1787"/>
    <n v="15"/>
    <n v="26805"/>
    <m/>
    <n v="56220"/>
    <m/>
    <m/>
    <m/>
    <m/>
    <m/>
    <m/>
    <m/>
    <m/>
    <m/>
    <m/>
    <m/>
    <m/>
    <m/>
    <m/>
    <m/>
    <m/>
    <m/>
    <m/>
    <n v="1.054861111111111"/>
    <n v="0.96036666666666659"/>
    <n v="0.96175347222222218"/>
    <n v="0.99232708333333319"/>
    <n v="0"/>
    <n v="0"/>
    <n v="0"/>
    <n v="1"/>
    <n v="1"/>
    <n v="1"/>
    <n v="15"/>
    <b v="0"/>
    <b v="0"/>
  </r>
  <r>
    <d v="2024-06-20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0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0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0T00:00:00"/>
    <s v="19B"/>
    <x v="14"/>
    <n v="27897"/>
    <s v="Light Grey"/>
    <n v="6331"/>
    <s v="Running"/>
    <n v="0"/>
    <n v="0"/>
    <n v="0"/>
    <n v="0"/>
    <n v="0"/>
    <n v="0"/>
    <n v="0"/>
    <n v="0"/>
    <n v="0"/>
    <n v="0"/>
    <n v="0"/>
    <n v="0"/>
    <n v="18.89"/>
    <n v="8"/>
    <n v="1341"/>
    <n v="8"/>
    <n v="10708"/>
    <n v="20"/>
    <n v="10708"/>
    <n v="20"/>
    <n v="1.8677624206200972E-3"/>
    <m/>
    <n v="0"/>
    <n v="0"/>
    <n v="20"/>
    <n v="0"/>
    <n v="0"/>
    <n v="0"/>
    <n v="0"/>
    <n v="0"/>
    <n v="0"/>
    <n v="0"/>
    <n v="0"/>
    <n v="0"/>
    <n v="0"/>
    <n v="0"/>
    <n v="0"/>
    <n v="0"/>
    <n v="0"/>
    <n v="0.87956562500000002"/>
    <n v="0.87956562500000002"/>
    <n v="0"/>
    <n v="0"/>
    <n v="0"/>
    <n v="0"/>
    <n v="0"/>
    <n v="1"/>
    <n v="8"/>
    <b v="1"/>
    <b v="0"/>
  </r>
  <r>
    <d v="2024-06-20T00:00:00"/>
    <s v="20B"/>
    <x v="11"/>
    <n v="27579"/>
    <s v="White"/>
    <n v="814"/>
    <s v="Running"/>
    <n v="20.38"/>
    <n v="8"/>
    <n v="1464"/>
    <n v="8"/>
    <n v="11587"/>
    <n v="125"/>
    <n v="20.38"/>
    <n v="6"/>
    <n v="1057"/>
    <n v="8"/>
    <n v="8356"/>
    <n v="100"/>
    <n v="20.38"/>
    <n v="8"/>
    <n v="1242"/>
    <n v="8"/>
    <n v="9816"/>
    <n v="120"/>
    <n v="29759"/>
    <n v="345"/>
    <n v="1.1593131489633389E-2"/>
    <m/>
    <n v="20"/>
    <n v="15"/>
    <n v="20"/>
    <n v="105"/>
    <n v="85"/>
    <n v="100"/>
    <n v="0"/>
    <n v="0"/>
    <n v="0"/>
    <n v="0"/>
    <n v="0"/>
    <n v="0"/>
    <n v="0"/>
    <n v="0"/>
    <n v="0"/>
    <n v="1.0359833333333333"/>
    <n v="0.99729907407407403"/>
    <n v="0.87888749999999993"/>
    <n v="0.97072330246913563"/>
    <n v="0"/>
    <n v="0"/>
    <n v="0"/>
    <n v="1"/>
    <n v="1"/>
    <n v="1"/>
    <n v="8"/>
    <b v="1"/>
    <b v="0"/>
  </r>
  <r>
    <d v="2024-06-20T00:00:00"/>
    <s v="21B"/>
    <x v="12"/>
    <n v="27579"/>
    <s v="White"/>
    <n v="814"/>
    <s v="Running"/>
    <n v="21.89"/>
    <n v="8"/>
    <n v="1290"/>
    <n v="8"/>
    <n v="10210"/>
    <n v="110"/>
    <n v="21.78"/>
    <n v="6"/>
    <n v="1010"/>
    <n v="8"/>
    <n v="7965"/>
    <n v="115"/>
    <n v="21.83"/>
    <n v="6"/>
    <n v="868"/>
    <n v="8"/>
    <n v="6874"/>
    <n v="70"/>
    <n v="25049"/>
    <n v="295"/>
    <n v="1.1776917242205278E-2"/>
    <m/>
    <n v="20"/>
    <n v="20"/>
    <n v="15"/>
    <n v="90"/>
    <n v="95"/>
    <n v="55"/>
    <n v="0"/>
    <n v="0"/>
    <n v="0"/>
    <n v="0"/>
    <n v="0"/>
    <n v="0"/>
    <n v="0"/>
    <n v="0"/>
    <n v="0"/>
    <n v="0.98048958333333336"/>
    <n v="1.0184166666666667"/>
    <n v="0.87724259259259252"/>
    <n v="0.95871628086419758"/>
    <n v="0"/>
    <n v="0"/>
    <n v="0"/>
    <n v="1"/>
    <n v="1"/>
    <n v="1"/>
    <n v="8"/>
    <b v="1"/>
    <b v="0"/>
  </r>
  <r>
    <d v="2024-06-20T00:00:00"/>
    <s v="21B"/>
    <x v="12"/>
    <n v="27577"/>
    <s v="White"/>
    <n v="814"/>
    <s v="Running"/>
    <n v="0"/>
    <n v="0"/>
    <n v="0"/>
    <n v="0"/>
    <n v="0"/>
    <n v="0"/>
    <n v="0"/>
    <n v="0"/>
    <n v="0"/>
    <n v="0"/>
    <n v="0"/>
    <n v="0"/>
    <n v="21.79"/>
    <n v="2"/>
    <n v="316"/>
    <n v="8"/>
    <n v="2503"/>
    <n v="25"/>
    <n v="2503"/>
    <n v="25"/>
    <n v="9.9880143827407106E-3"/>
    <m/>
    <n v="0"/>
    <n v="0"/>
    <n v="5"/>
    <n v="0"/>
    <n v="0"/>
    <n v="20"/>
    <n v="0"/>
    <n v="0"/>
    <n v="0"/>
    <n v="0"/>
    <n v="0"/>
    <n v="0"/>
    <n v="0"/>
    <n v="0"/>
    <n v="0"/>
    <n v="0"/>
    <n v="0"/>
    <n v="0.95633888888888885"/>
    <n v="0.95633888888888885"/>
    <n v="0"/>
    <n v="0"/>
    <n v="0"/>
    <n v="0"/>
    <n v="0"/>
    <n v="1"/>
    <n v="8"/>
    <b v="1"/>
    <b v="0"/>
  </r>
  <r>
    <d v="2024-06-20T00:00:00"/>
    <s v="27A"/>
    <x v="8"/>
    <n v="27581"/>
    <s v="White"/>
    <n v="814"/>
    <s v="Running"/>
    <n v="15.08"/>
    <n v="8"/>
    <n v="1776"/>
    <n v="7"/>
    <n v="12432"/>
    <m/>
    <n v="15.13"/>
    <n v="6"/>
    <n v="1359"/>
    <n v="7"/>
    <n v="9513"/>
    <m/>
    <n v="15.12"/>
    <n v="8"/>
    <n v="1778"/>
    <n v="7"/>
    <n v="12446"/>
    <m/>
    <n v="34391"/>
    <m/>
    <m/>
    <m/>
    <m/>
    <m/>
    <m/>
    <m/>
    <m/>
    <m/>
    <m/>
    <m/>
    <m/>
    <m/>
    <m/>
    <m/>
    <m/>
    <m/>
    <m/>
    <n v="0.92993333333333339"/>
    <n v="0.95192916666666672"/>
    <n v="0.93344999999999989"/>
    <n v="0.93843750000000004"/>
    <n v="0"/>
    <n v="0"/>
    <n v="0"/>
    <n v="1"/>
    <n v="1"/>
    <n v="1"/>
    <n v="7"/>
    <b v="0"/>
    <b v="0"/>
  </r>
  <r>
    <d v="2024-06-20T00:00:00"/>
    <s v="36A"/>
    <x v="13"/>
    <n v="28021"/>
    <s v="White"/>
    <n v="814"/>
    <s v="Running"/>
    <n v="15.16"/>
    <n v="8"/>
    <n v="1894"/>
    <n v="16"/>
    <n v="30304"/>
    <m/>
    <n v="15.6"/>
    <n v="6"/>
    <n v="1228"/>
    <n v="16"/>
    <n v="19648"/>
    <m/>
    <n v="15.14"/>
    <n v="8"/>
    <n v="1823"/>
    <n v="16"/>
    <n v="29168"/>
    <m/>
    <n v="79120"/>
    <m/>
    <m/>
    <m/>
    <m/>
    <m/>
    <m/>
    <m/>
    <m/>
    <m/>
    <m/>
    <m/>
    <m/>
    <m/>
    <m/>
    <m/>
    <m/>
    <m/>
    <m/>
    <n v="0.99698055555555554"/>
    <n v="0.88688888888888884"/>
    <n v="0.95834097222222225"/>
    <n v="0.94740347222222221"/>
    <n v="0"/>
    <n v="0"/>
    <n v="0"/>
    <n v="1"/>
    <n v="1"/>
    <n v="1"/>
    <n v="16"/>
    <b v="0"/>
    <b v="0"/>
  </r>
  <r>
    <d v="2024-06-21T00:00:00"/>
    <s v="01B"/>
    <x v="0"/>
    <n v="27422"/>
    <s v="White"/>
    <n v="6331"/>
    <s v="Running"/>
    <n v="22.68"/>
    <n v="8"/>
    <n v="1332"/>
    <n v="4"/>
    <n v="5321"/>
    <n v="7"/>
    <n v="22.69"/>
    <n v="8"/>
    <n v="1207"/>
    <n v="4"/>
    <n v="4821"/>
    <n v="7"/>
    <n v="22.66"/>
    <n v="8"/>
    <n v="1209"/>
    <n v="4"/>
    <n v="4828"/>
    <n v="8"/>
    <n v="14970"/>
    <n v="22"/>
    <n v="1.4696058784235137E-3"/>
    <m/>
    <n v="7"/>
    <n v="7"/>
    <n v="8"/>
    <m/>
    <m/>
    <m/>
    <n v="0"/>
    <n v="0"/>
    <n v="0"/>
    <n v="0"/>
    <n v="0"/>
    <n v="0"/>
    <n v="0"/>
    <n v="0"/>
    <n v="0"/>
    <n v="1.04895"/>
    <n v="0.95093159722222231"/>
    <n v="0.95124791666666664"/>
    <n v="0.98370983796296307"/>
    <m/>
    <m/>
    <m/>
    <n v="1"/>
    <n v="1"/>
    <n v="1"/>
    <n v="4"/>
    <b v="0"/>
    <b v="1"/>
  </r>
  <r>
    <d v="2024-06-21T00:00:00"/>
    <s v="02C"/>
    <x v="1"/>
    <n v="28210"/>
    <s v="White"/>
    <n v="6331"/>
    <s v="Running"/>
    <n v="22.2"/>
    <n v="4"/>
    <n v="487"/>
    <n v="8"/>
    <n v="3836"/>
    <n v="60"/>
    <n v="21.82"/>
    <n v="8"/>
    <n v="1360"/>
    <n v="8"/>
    <n v="10760"/>
    <n v="120"/>
    <m/>
    <m/>
    <m/>
    <m/>
    <n v="0"/>
    <n v="0"/>
    <n v="14596"/>
    <n v="180"/>
    <n v="1.2332145793368046E-2"/>
    <m/>
    <n v="10"/>
    <n v="25"/>
    <m/>
    <n v="50"/>
    <n v="95"/>
    <m/>
    <n v="0"/>
    <n v="0"/>
    <n v="0"/>
    <n v="0"/>
    <n v="0"/>
    <n v="0"/>
    <n v="0"/>
    <n v="0"/>
    <n v="0"/>
    <n v="0.75079166666666663"/>
    <n v="1.030388888888889"/>
    <n v="0"/>
    <n v="0.89059027777777788"/>
    <m/>
    <m/>
    <m/>
    <n v="1"/>
    <n v="1"/>
    <n v="0"/>
    <n v="8"/>
    <b v="1"/>
    <b v="0"/>
  </r>
  <r>
    <d v="2024-06-21T00:00:00"/>
    <s v="02C"/>
    <x v="1"/>
    <n v="27706"/>
    <s v="White"/>
    <n v="6331"/>
    <s v="Running"/>
    <n v="22.2"/>
    <n v="4"/>
    <n v="633"/>
    <n v="8"/>
    <n v="4999"/>
    <n v="65"/>
    <m/>
    <m/>
    <m/>
    <m/>
    <n v="0"/>
    <n v="0"/>
    <n v="21.89"/>
    <n v="8"/>
    <n v="1229"/>
    <n v="8"/>
    <n v="9712"/>
    <n v="120"/>
    <n v="14711"/>
    <n v="185"/>
    <n v="1.257562368295833E-2"/>
    <m/>
    <n v="10"/>
    <m/>
    <n v="20"/>
    <n v="55"/>
    <m/>
    <n v="100"/>
    <n v="0"/>
    <n v="0"/>
    <n v="0"/>
    <n v="0"/>
    <n v="0"/>
    <n v="0"/>
    <n v="0"/>
    <n v="0"/>
    <n v="0"/>
    <n v="0.97587500000000005"/>
    <n v="0"/>
    <n v="0.93412534722222229"/>
    <n v="0.95500017361111111"/>
    <m/>
    <m/>
    <m/>
    <n v="1"/>
    <n v="0"/>
    <n v="1"/>
    <n v="8"/>
    <b v="1"/>
    <b v="0"/>
  </r>
  <r>
    <d v="2024-06-21T00:00:00"/>
    <s v="03C"/>
    <x v="2"/>
    <n v="27706"/>
    <s v="White"/>
    <n v="6331"/>
    <s v="Running"/>
    <n v="20.8"/>
    <n v="8"/>
    <n v="1285"/>
    <n v="8"/>
    <n v="10150"/>
    <n v="130"/>
    <n v="20.9"/>
    <n v="8"/>
    <n v="1422"/>
    <n v="8"/>
    <n v="11251"/>
    <n v="125"/>
    <n v="20.82"/>
    <n v="8"/>
    <n v="1267"/>
    <n v="8"/>
    <n v="10011"/>
    <n v="125"/>
    <n v="31412"/>
    <n v="380"/>
    <n v="1.2097287660766586E-2"/>
    <m/>
    <n v="25"/>
    <n v="25"/>
    <n v="20"/>
    <n v="105"/>
    <n v="100"/>
    <n v="105"/>
    <n v="0"/>
    <n v="0"/>
    <n v="0"/>
    <n v="0"/>
    <n v="0"/>
    <n v="0"/>
    <n v="0"/>
    <n v="0"/>
    <n v="0"/>
    <n v="0.92805555555555552"/>
    <n v="1.0319375"/>
    <n v="0.91593541666666667"/>
    <n v="0.95864282407407408"/>
    <m/>
    <m/>
    <m/>
    <n v="1"/>
    <n v="1"/>
    <n v="1"/>
    <n v="8"/>
    <b v="1"/>
    <b v="0"/>
  </r>
  <r>
    <d v="2024-06-21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1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1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1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1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1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1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1T00:00:00"/>
    <s v="19B"/>
    <x v="14"/>
    <n v="27897"/>
    <s v="Light Gray"/>
    <n v="6331"/>
    <s v="Running"/>
    <n v="18.89"/>
    <n v="8"/>
    <n v="1507"/>
    <n v="8"/>
    <n v="12047"/>
    <n v="9"/>
    <n v="18.89"/>
    <n v="8"/>
    <n v="1505"/>
    <n v="8"/>
    <n v="12032"/>
    <n v="8"/>
    <n v="18.88"/>
    <n v="8"/>
    <n v="1431"/>
    <n v="8"/>
    <n v="11440"/>
    <n v="8"/>
    <n v="35519"/>
    <n v="25"/>
    <n v="7.0384864438751088E-4"/>
    <m/>
    <n v="9"/>
    <n v="8"/>
    <n v="8"/>
    <m/>
    <m/>
    <m/>
    <n v="0"/>
    <n v="0"/>
    <n v="0"/>
    <n v="0"/>
    <n v="0"/>
    <n v="0"/>
    <n v="0"/>
    <n v="0"/>
    <n v="0"/>
    <n v="0.98844548611111105"/>
    <n v="0.98713368055555561"/>
    <n v="0.93809999999999993"/>
    <n v="0.97122638888888879"/>
    <m/>
    <m/>
    <m/>
    <n v="1"/>
    <n v="1"/>
    <n v="1"/>
    <n v="8"/>
    <b v="1"/>
    <b v="0"/>
  </r>
  <r>
    <d v="2024-06-21T00:00:00"/>
    <s v="20B"/>
    <x v="11"/>
    <n v="27579"/>
    <s v="White"/>
    <n v="814"/>
    <s v="Running"/>
    <n v="20.38"/>
    <n v="8"/>
    <n v="1424"/>
    <n v="8"/>
    <n v="11257"/>
    <n v="135"/>
    <n v="20.38"/>
    <n v="8"/>
    <n v="1505"/>
    <n v="8"/>
    <n v="11915"/>
    <n v="125"/>
    <n v="20.49"/>
    <n v="8"/>
    <n v="1306"/>
    <n v="8"/>
    <n v="10323"/>
    <n v="125"/>
    <n v="33495"/>
    <n v="385"/>
    <n v="1.1494252873563218E-2"/>
    <m/>
    <n v="25"/>
    <n v="20"/>
    <n v="20"/>
    <n v="110"/>
    <n v="105"/>
    <n v="105"/>
    <n v="0"/>
    <n v="0"/>
    <n v="0"/>
    <n v="0"/>
    <n v="0"/>
    <n v="0"/>
    <n v="0"/>
    <n v="0"/>
    <n v="0"/>
    <n v="1.0076777777777777"/>
    <n v="1.0649965277777778"/>
    <n v="0.92916458333333329"/>
    <n v="1.0006129629629628"/>
    <m/>
    <m/>
    <m/>
    <n v="1"/>
    <n v="1"/>
    <n v="1"/>
    <n v="8"/>
    <b v="1"/>
    <b v="0"/>
  </r>
  <r>
    <d v="2024-06-21T00:00:00"/>
    <s v="21B"/>
    <x v="12"/>
    <n v="27577"/>
    <s v="White"/>
    <n v="814"/>
    <s v="Running"/>
    <n v="21.79"/>
    <n v="8"/>
    <n v="1285"/>
    <n v="8"/>
    <n v="10160"/>
    <n v="120"/>
    <n v="21.88"/>
    <n v="8"/>
    <n v="1391"/>
    <n v="8"/>
    <n v="11013"/>
    <n v="115"/>
    <n v="21.83"/>
    <n v="8"/>
    <n v="1208"/>
    <n v="8"/>
    <n v="9544"/>
    <n v="120"/>
    <n v="30717"/>
    <n v="355"/>
    <n v="1.1557118208158348E-2"/>
    <m/>
    <n v="20"/>
    <n v="20"/>
    <n v="25"/>
    <n v="100"/>
    <n v="95"/>
    <n v="95"/>
    <n v="0"/>
    <n v="0"/>
    <n v="0"/>
    <n v="0"/>
    <n v="0"/>
    <n v="0"/>
    <n v="0"/>
    <n v="0"/>
    <n v="0"/>
    <n v="0.97222743055555549"/>
    <n v="1.056773611111111"/>
    <n v="0.91564722222222217"/>
    <n v="0.9815494212962963"/>
    <m/>
    <m/>
    <m/>
    <n v="1"/>
    <n v="1"/>
    <n v="1"/>
    <n v="8"/>
    <b v="1"/>
    <b v="0"/>
  </r>
  <r>
    <d v="2024-06-21T00:00:00"/>
    <s v="27A"/>
    <x v="8"/>
    <n v="27581"/>
    <s v="White"/>
    <n v="814"/>
    <s v="Running"/>
    <n v="15.12"/>
    <n v="8"/>
    <n v="1899"/>
    <n v="7"/>
    <n v="13293"/>
    <m/>
    <n v="15.13"/>
    <n v="8"/>
    <n v="1912"/>
    <n v="7"/>
    <n v="13384"/>
    <m/>
    <n v="15.1"/>
    <n v="6"/>
    <n v="1218"/>
    <n v="7"/>
    <n v="8526"/>
    <m/>
    <n v="35203"/>
    <m/>
    <m/>
    <s v="Shift-3 多次扣後模"/>
    <m/>
    <m/>
    <m/>
    <m/>
    <m/>
    <m/>
    <m/>
    <m/>
    <m/>
    <m/>
    <m/>
    <m/>
    <m/>
    <m/>
    <m/>
    <n v="0.99697499999999994"/>
    <n v="1.004463888888889"/>
    <n v="0.85147222222222219"/>
    <n v="0.95097037037037035"/>
    <m/>
    <m/>
    <m/>
    <n v="1"/>
    <n v="1"/>
    <n v="1"/>
    <n v="7"/>
    <b v="0"/>
    <b v="0"/>
  </r>
  <r>
    <d v="2024-06-21T00:00:00"/>
    <s v="36A"/>
    <x v="13"/>
    <n v="28021"/>
    <s v="White"/>
    <n v="814"/>
    <s v="Running"/>
    <n v="15.15"/>
    <n v="8"/>
    <n v="1770"/>
    <n v="16"/>
    <n v="28320"/>
    <m/>
    <n v="15.15"/>
    <n v="8"/>
    <n v="2073"/>
    <n v="16"/>
    <n v="33168"/>
    <m/>
    <n v="15.14"/>
    <n v="8"/>
    <n v="1877"/>
    <n v="16"/>
    <n v="30032"/>
    <m/>
    <n v="91520"/>
    <m/>
    <m/>
    <m/>
    <m/>
    <m/>
    <m/>
    <m/>
    <m/>
    <m/>
    <m/>
    <m/>
    <m/>
    <m/>
    <m/>
    <m/>
    <m/>
    <m/>
    <m/>
    <n v="0.93109375000000005"/>
    <n v="1.090484375"/>
    <n v="0.98672847222222226"/>
    <n v="1.0027688657407408"/>
    <m/>
    <m/>
    <m/>
    <n v="1"/>
    <n v="1"/>
    <n v="1"/>
    <n v="16"/>
    <b v="0"/>
    <b v="0"/>
  </r>
  <r>
    <d v="2024-06-22T00:00:00"/>
    <s v="01B"/>
    <x v="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0"/>
    <b v="1"/>
  </r>
  <r>
    <d v="2024-06-22T00:00:00"/>
    <s v="02C"/>
    <x v="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03C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b v="1"/>
    <b v="0"/>
  </r>
  <r>
    <d v="2024-06-22T00:00:00"/>
    <s v="06B"/>
    <x v="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08A"/>
    <x v="4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08B"/>
    <x v="5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09B"/>
    <x v="6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12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16B"/>
    <x v="9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17B"/>
    <x v="10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19B"/>
    <x v="1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20B"/>
    <x v="1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21B"/>
    <x v="1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  <b v="0"/>
  </r>
  <r>
    <d v="2024-06-22T00:00:00"/>
    <s v="27A"/>
    <x v="8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  <r>
    <d v="2024-06-22T00:00:00"/>
    <s v="36A"/>
    <x v="1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1">
  <r>
    <x v="0"/>
    <s v="Final ASS"/>
    <n v="27248"/>
    <s v="Lume"/>
    <s v="Running"/>
    <n v="59"/>
    <n v="44"/>
    <n v="0"/>
    <n v="23682"/>
    <n v="8"/>
    <s v="Shift-2 維修1.5小時"/>
    <n v="230"/>
  </r>
  <r>
    <x v="0"/>
    <s v="Final ASS"/>
    <n v="27336"/>
    <s v="Lume"/>
    <s v="Running"/>
    <n v="56"/>
    <n v="41"/>
    <n v="0"/>
    <n v="22302"/>
    <n v="8"/>
    <m/>
    <n v="230"/>
  </r>
  <r>
    <x v="0"/>
    <s v="Final ASS"/>
    <n v="27134"/>
    <s v="Lume"/>
    <s v="Running"/>
    <n v="0"/>
    <n v="6"/>
    <n v="50"/>
    <n v="12875"/>
    <n v="5"/>
    <m/>
    <n v="230"/>
  </r>
  <r>
    <x v="0"/>
    <s v="Final ASS"/>
    <n v="27136"/>
    <s v="Lume"/>
    <s v="Running"/>
    <n v="0"/>
    <n v="18"/>
    <n v="48"/>
    <n v="15175"/>
    <n v="5"/>
    <m/>
    <n v="230"/>
  </r>
  <r>
    <x v="1"/>
    <s v="Final ASS"/>
    <n v="27134"/>
    <s v="Lume"/>
    <s v="Running"/>
    <n v="52"/>
    <n v="0"/>
    <n v="0"/>
    <n v="11952"/>
    <n v="8"/>
    <m/>
    <n v="230"/>
  </r>
  <r>
    <x v="1"/>
    <s v="Final ASS"/>
    <n v="27711"/>
    <s v="Lume"/>
    <s v="Running"/>
    <n v="9"/>
    <n v="63"/>
    <n v="53"/>
    <n v="28738"/>
    <n v="12"/>
    <m/>
    <n v="230"/>
  </r>
  <r>
    <x v="1"/>
    <s v="Final ASS"/>
    <n v="27136"/>
    <s v="Lume"/>
    <s v="Running"/>
    <n v="20"/>
    <n v="0"/>
    <n v="0"/>
    <n v="4599"/>
    <n v="1"/>
    <m/>
    <n v="230"/>
  </r>
  <r>
    <x v="1"/>
    <s v="Final ASS"/>
    <n v="27712"/>
    <s v="Lume"/>
    <s v="Running"/>
    <n v="36"/>
    <n v="65"/>
    <n v="54"/>
    <n v="35635"/>
    <n v="15"/>
    <m/>
    <n v="230"/>
  </r>
  <r>
    <x v="2"/>
    <s v="Final ASS"/>
    <n v="27711"/>
    <s v="Lume"/>
    <s v="Running"/>
    <n v="61"/>
    <n v="62"/>
    <n v="0"/>
    <n v="28278"/>
    <n v="12"/>
    <m/>
    <n v="230"/>
  </r>
  <r>
    <x v="2"/>
    <s v="Final ASS"/>
    <n v="27712"/>
    <s v="Lume"/>
    <s v="Running"/>
    <n v="61"/>
    <n v="1"/>
    <n v="18"/>
    <n v="18390"/>
    <n v="10"/>
    <m/>
    <n v="230"/>
  </r>
  <r>
    <x v="2"/>
    <s v="Final ASS"/>
    <n v="27713"/>
    <s v="Lume"/>
    <s v="Running"/>
    <n v="0"/>
    <n v="58"/>
    <n v="96"/>
    <n v="35402"/>
    <n v="18"/>
    <m/>
    <n v="230"/>
  </r>
  <r>
    <x v="3"/>
    <s v="Final ASS"/>
    <n v="27713"/>
    <s v="Lume"/>
    <s v="Running"/>
    <n v="82"/>
    <n v="66"/>
    <n v="60"/>
    <n v="47822"/>
    <n v="18"/>
    <m/>
    <n v="230"/>
  </r>
  <r>
    <x v="3"/>
    <s v="Final ASS"/>
    <n v="27501"/>
    <s v="Dove"/>
    <s v="Running"/>
    <n v="38"/>
    <n v="59"/>
    <n v="48"/>
    <n v="33339"/>
    <n v="11"/>
    <m/>
    <n v="230"/>
  </r>
  <r>
    <x v="4"/>
    <s v="Final ASS"/>
    <n v="27501"/>
    <s v="Dove"/>
    <s v="Running"/>
    <n v="50"/>
    <n v="21"/>
    <n v="0"/>
    <n v="16325"/>
    <n v="5"/>
    <m/>
    <n v="230"/>
  </r>
  <r>
    <x v="4"/>
    <s v="Final ASS"/>
    <n v="27578"/>
    <s v="Dove"/>
    <s v="Running"/>
    <n v="0"/>
    <n v="40"/>
    <n v="51"/>
    <n v="20922"/>
    <n v="8"/>
    <m/>
    <n v="230"/>
  </r>
  <r>
    <x v="4"/>
    <s v="Final ASS"/>
    <n v="27713"/>
    <s v="Lume"/>
    <s v="Running"/>
    <n v="16"/>
    <n v="0"/>
    <n v="0"/>
    <n v="3678"/>
    <n v="2"/>
    <m/>
    <n v="230"/>
  </r>
  <r>
    <x v="4"/>
    <s v="Final ASS"/>
    <n v="27430"/>
    <s v="Mando"/>
    <s v="Running"/>
    <n v="49"/>
    <n v="66"/>
    <n v="53"/>
    <n v="38620"/>
    <n v="20"/>
    <m/>
    <n v="230"/>
  </r>
  <r>
    <x v="5"/>
    <s v="Final ASS"/>
    <n v="27578"/>
    <s v="Dove"/>
    <s v="Running"/>
    <n v="41"/>
    <n v="12"/>
    <n v="0"/>
    <n v="12180"/>
    <n v="10"/>
    <s v="Shift-1 維修電腦"/>
    <n v="230"/>
  </r>
  <r>
    <x v="5"/>
    <s v="Final ASS"/>
    <n v="27430"/>
    <s v="Mando"/>
    <s v="Running"/>
    <n v="22"/>
    <n v="0"/>
    <n v="0"/>
    <n v="5056"/>
    <n v="4"/>
    <m/>
    <n v="230"/>
  </r>
  <r>
    <x v="5"/>
    <s v="Final ASS"/>
    <n v="27714"/>
    <s v="Lume"/>
    <s v="Running"/>
    <n v="38"/>
    <n v="82"/>
    <n v="60"/>
    <n v="41379"/>
    <n v="21"/>
    <m/>
    <n v="230"/>
  </r>
  <r>
    <x v="6"/>
    <s v="Final ASS"/>
    <n v="27822"/>
    <s v="Soapbox"/>
    <s v="Running"/>
    <n v="4"/>
    <n v="12"/>
    <n v="0"/>
    <n v="5118"/>
    <n v="2"/>
    <s v="Shift-1 做sample"/>
    <n v="320"/>
  </r>
  <r>
    <x v="6"/>
    <s v="Final ASS"/>
    <n v="27714"/>
    <s v="Lume"/>
    <s v="Running"/>
    <n v="50"/>
    <n v="0"/>
    <n v="0"/>
    <n v="11492"/>
    <n v="8"/>
    <m/>
    <n v="230"/>
  </r>
  <r>
    <x v="6"/>
    <s v="Final ASS"/>
    <n v="27824"/>
    <s v="Soapbox"/>
    <s v="Running"/>
    <n v="0"/>
    <n v="16"/>
    <n v="0"/>
    <n v="5118"/>
    <n v="2"/>
    <m/>
    <n v="320"/>
  </r>
  <r>
    <x v="6"/>
    <s v="Final ASS"/>
    <n v="27937"/>
    <s v="Lab"/>
    <s v="Running"/>
    <n v="0"/>
    <n v="8"/>
    <n v="31"/>
    <n v="12474"/>
    <n v="6"/>
    <m/>
    <n v="320"/>
  </r>
  <r>
    <x v="6"/>
    <s v="Final ASS"/>
    <n v="27430"/>
    <s v="Lume"/>
    <s v="Running"/>
    <n v="0"/>
    <n v="61"/>
    <n v="55"/>
    <n v="26663"/>
    <n v="17"/>
    <m/>
    <n v="230"/>
  </r>
  <r>
    <x v="7"/>
    <s v="Final ASS"/>
    <n v="27716"/>
    <s v="Lume"/>
    <s v="Running"/>
    <n v="61"/>
    <n v="100"/>
    <n v="50"/>
    <n v="48518"/>
    <n v="12"/>
    <m/>
    <n v="230"/>
  </r>
  <r>
    <x v="7"/>
    <s v="Final ASS"/>
    <n v="27430"/>
    <s v="Mando"/>
    <s v="Running"/>
    <n v="36"/>
    <n v="0"/>
    <n v="0"/>
    <n v="8278"/>
    <n v="2"/>
    <m/>
    <n v="230"/>
  </r>
  <r>
    <x v="7"/>
    <s v="Final ASS"/>
    <n v="27575"/>
    <s v="Lume"/>
    <s v="Running"/>
    <n v="19"/>
    <n v="27"/>
    <n v="56"/>
    <n v="23454"/>
    <n v="6"/>
    <m/>
    <n v="230"/>
  </r>
  <r>
    <x v="8"/>
    <s v="Final ASS"/>
    <n v="27716"/>
    <s v="Lume"/>
    <s v="Running"/>
    <n v="58"/>
    <n v="79"/>
    <n v="86"/>
    <n v="51272"/>
    <n v="18"/>
    <m/>
    <n v="230"/>
  </r>
  <r>
    <x v="8"/>
    <s v="Final ASS"/>
    <n v="27575"/>
    <s v="Lume"/>
    <s v="Running"/>
    <n v="36"/>
    <n v="42"/>
    <n v="23"/>
    <n v="23224"/>
    <n v="6"/>
    <m/>
    <n v="230"/>
  </r>
  <r>
    <x v="9"/>
    <s v="Final ASS"/>
    <n v="27716"/>
    <s v="Lume"/>
    <s v="Running"/>
    <n v="29"/>
    <n v="58"/>
    <n v="20"/>
    <n v="24595"/>
    <n v="15"/>
    <s v="Shift-2 待货管子"/>
    <n v="230"/>
  </r>
  <r>
    <x v="9"/>
    <s v="Final ASS"/>
    <n v="27575"/>
    <s v="Lume"/>
    <s v="Running"/>
    <n v="81"/>
    <n v="41"/>
    <n v="0"/>
    <n v="28042"/>
    <n v="18"/>
    <s v="Shift-2 待货管子"/>
    <n v="230"/>
  </r>
  <r>
    <x v="9"/>
    <s v="Final ASS"/>
    <n v="27715"/>
    <s v="Lume"/>
    <s v="Running"/>
    <n v="0"/>
    <n v="0"/>
    <n v="18"/>
    <n v="4140"/>
    <n v="0"/>
    <m/>
    <n v="230"/>
  </r>
  <r>
    <x v="10"/>
    <s v="Final ASS"/>
    <n v="27715"/>
    <s v="Lume"/>
    <s v="Running"/>
    <n v="12"/>
    <n v="20"/>
    <n v="59"/>
    <n v="20910"/>
    <n v="20"/>
    <m/>
    <n v="230"/>
  </r>
  <r>
    <x v="10"/>
    <s v="Final ASS"/>
    <n v="27760"/>
    <s v="Evangelists"/>
    <s v="Running"/>
    <n v="16"/>
    <n v="0"/>
    <n v="0"/>
    <n v="5117"/>
    <n v="3"/>
    <s v="Shift-2，Shift-3 调机"/>
    <n v="320"/>
  </r>
  <r>
    <x v="11"/>
    <s v="Final ASS"/>
    <n v="27715"/>
    <s v="Lume"/>
    <s v="Running"/>
    <n v="41"/>
    <n v="31"/>
    <n v="0"/>
    <n v="16550"/>
    <n v="10"/>
    <m/>
    <n v="230"/>
  </r>
  <r>
    <x v="11"/>
    <s v="Final ASS"/>
    <n v="27760"/>
    <s v="Evangelists"/>
    <s v="Running"/>
    <n v="33"/>
    <n v="44"/>
    <n v="45"/>
    <n v="39025"/>
    <n v="15"/>
    <m/>
    <n v="320"/>
  </r>
  <r>
    <x v="11"/>
    <s v="Final ASS"/>
    <n v="27576"/>
    <s v="Lume"/>
    <s v="Running"/>
    <n v="0"/>
    <n v="0"/>
    <n v="59"/>
    <n v="13560"/>
    <n v="10"/>
    <m/>
    <n v="230"/>
  </r>
  <r>
    <x v="12"/>
    <s v="Final ASS"/>
    <n v="27760"/>
    <s v="Evangelists"/>
    <s v="Running"/>
    <n v="35"/>
    <n v="0"/>
    <n v="0"/>
    <n v="11193"/>
    <n v="7"/>
    <m/>
    <n v="320"/>
  </r>
  <r>
    <x v="12"/>
    <s v="Final ASS"/>
    <n v="27576"/>
    <s v="Lume"/>
    <s v="Running"/>
    <n v="18"/>
    <n v="0"/>
    <n v="51"/>
    <n v="15857"/>
    <n v="13"/>
    <m/>
    <n v="230"/>
  </r>
  <r>
    <x v="12"/>
    <s v="Final ASS"/>
    <n v="27715"/>
    <s v="Lume"/>
    <s v="Running"/>
    <n v="15"/>
    <n v="33"/>
    <n v="2"/>
    <n v="11491"/>
    <n v="9"/>
    <m/>
    <n v="230"/>
  </r>
  <r>
    <x v="12"/>
    <s v="Final ASS"/>
    <n v="27692"/>
    <s v="Duradry"/>
    <s v="Running"/>
    <n v="0"/>
    <n v="8"/>
    <n v="0"/>
    <n v="1838"/>
    <n v="2"/>
    <m/>
    <n v="230"/>
  </r>
  <r>
    <x v="13"/>
    <s v="Final ASS"/>
    <n v="27692"/>
    <s v="Duradry"/>
    <s v="Running"/>
    <n v="51"/>
    <n v="38"/>
    <n v="5"/>
    <n v="21608"/>
    <n v="12"/>
    <m/>
    <n v="230"/>
  </r>
  <r>
    <x v="13"/>
    <s v="Final ASS"/>
    <n v="27576"/>
    <s v="Lume"/>
    <s v="Running"/>
    <n v="6"/>
    <n v="66"/>
    <n v="50"/>
    <n v="28044"/>
    <n v="16"/>
    <m/>
    <n v="230"/>
  </r>
  <r>
    <x v="13"/>
    <s v="Final ASS"/>
    <n v="27651"/>
    <s v="Duradry"/>
    <s v="Running"/>
    <n v="0"/>
    <n v="0"/>
    <n v="27"/>
    <n v="6207"/>
    <n v="3"/>
    <m/>
    <n v="230"/>
  </r>
  <r>
    <x v="14"/>
    <s v="Final ASS"/>
    <n v="27651"/>
    <s v="Duradry"/>
    <s v="Running"/>
    <n v="38"/>
    <n v="29"/>
    <n v="18"/>
    <n v="19540"/>
    <n v="10"/>
    <m/>
    <n v="230"/>
  </r>
  <r>
    <x v="14"/>
    <s v="Final ASS"/>
    <n v="27576"/>
    <s v="Lume"/>
    <s v="Running"/>
    <n v="32"/>
    <n v="35"/>
    <n v="0"/>
    <n v="15402"/>
    <n v="8"/>
    <m/>
    <n v="230"/>
  </r>
  <r>
    <x v="14"/>
    <s v="Final ASS"/>
    <n v="27577"/>
    <s v="Lume"/>
    <s v="Running"/>
    <n v="0"/>
    <n v="13"/>
    <n v="0"/>
    <n v="2988"/>
    <n v="2"/>
    <m/>
    <n v="230"/>
  </r>
  <r>
    <x v="14"/>
    <s v="Final ASS"/>
    <n v="27581"/>
    <s v="Lume"/>
    <s v="Running"/>
    <n v="0"/>
    <n v="3"/>
    <n v="0"/>
    <n v="689"/>
    <n v="1"/>
    <m/>
    <n v="230"/>
  </r>
  <r>
    <x v="14"/>
    <s v="Final ASS"/>
    <n v="27826"/>
    <s v="Duradry"/>
    <s v="Running"/>
    <n v="0"/>
    <n v="0"/>
    <n v="80"/>
    <n v="18390"/>
    <n v="10"/>
    <m/>
    <n v="230"/>
  </r>
  <r>
    <x v="15"/>
    <s v="Final ASS"/>
    <n v="27826"/>
    <s v="Duradry"/>
    <s v="Running"/>
    <n v="37"/>
    <n v="42"/>
    <n v="18"/>
    <n v="22293"/>
    <n v="17"/>
    <m/>
    <n v="230"/>
  </r>
  <r>
    <x v="15"/>
    <s v="Final ASS"/>
    <n v="27581"/>
    <s v="Lume"/>
    <s v="Running"/>
    <n v="43"/>
    <n v="66"/>
    <n v="42"/>
    <n v="34710"/>
    <n v="20"/>
    <m/>
    <n v="230"/>
  </r>
  <r>
    <x v="16"/>
    <s v="Final ASS"/>
    <n v="27581"/>
    <s v="Lume"/>
    <s v="Running"/>
    <n v="40"/>
    <n v="8"/>
    <n v="0"/>
    <n v="11026"/>
    <n v="14"/>
    <m/>
    <n v="230"/>
  </r>
  <r>
    <x v="16"/>
    <s v="Final ASS"/>
    <n v="27579"/>
    <s v="Lume"/>
    <s v="Running"/>
    <n v="0"/>
    <n v="55"/>
    <n v="43"/>
    <n v="22520"/>
    <n v="20"/>
    <m/>
    <n v="230"/>
  </r>
  <r>
    <x v="17"/>
    <s v="Final ASS"/>
    <n v="28185"/>
    <s v="   Beach House"/>
    <s v="Running"/>
    <n v="2"/>
    <n v="30"/>
    <n v="0"/>
    <n v="10230"/>
    <n v="10"/>
    <s v="Shift-2 ESP停电2小时；Shift-3 完成18tray 未吸尘"/>
    <n v="320"/>
  </r>
  <r>
    <x v="17"/>
    <s v="Final ASS"/>
    <n v="27579"/>
    <s v="Lume"/>
    <s v="Running"/>
    <n v="51"/>
    <n v="23"/>
    <n v="51"/>
    <n v="28736"/>
    <n v="14"/>
    <s v="待大盖"/>
    <n v="230"/>
  </r>
  <r>
    <x v="18"/>
    <s v="Final ASS"/>
    <n v="28185"/>
    <s v="   Beach House"/>
    <s v="Running"/>
    <n v="16"/>
    <n v="0"/>
    <n v="0"/>
    <n v="5118"/>
    <n v="2"/>
    <m/>
    <n v="320"/>
  </r>
  <r>
    <x v="18"/>
    <s v="Final ASS"/>
    <n v="27579"/>
    <s v="Lume"/>
    <s v="Running"/>
    <n v="19"/>
    <n v="47"/>
    <n v="51"/>
    <n v="26894"/>
    <n v="16"/>
    <s v="Shift-2 ESP停电2小时"/>
    <n v="230"/>
  </r>
  <r>
    <x v="18"/>
    <s v="Final ASS"/>
    <n v="26416"/>
    <s v="Lume"/>
    <s v="Running"/>
    <n v="33"/>
    <n v="0"/>
    <n v="0"/>
    <n v="7585"/>
    <n v="5"/>
    <m/>
    <n v="230"/>
  </r>
  <r>
    <x v="19"/>
    <s v="Final ASS"/>
    <n v="27579"/>
    <s v="Lume"/>
    <s v="Running"/>
    <n v="54"/>
    <n v="23"/>
    <n v="47"/>
    <n v="28495"/>
    <n v="25"/>
    <m/>
    <n v="230"/>
  </r>
  <r>
    <x v="20"/>
    <s v="Final ASS"/>
    <n v="27579"/>
    <s v="Lume"/>
    <s v="Running"/>
    <n v="15"/>
    <n v="0"/>
    <n v="0"/>
    <n v="3447"/>
    <n v="3"/>
    <m/>
    <n v="230"/>
  </r>
  <r>
    <x v="20"/>
    <s v="Final ASS"/>
    <n v="27897"/>
    <s v="Sweatblock"/>
    <s v="Running"/>
    <n v="31"/>
    <n v="36"/>
    <n v="30"/>
    <n v="22291"/>
    <n v="19"/>
    <m/>
    <n v="230"/>
  </r>
  <r>
    <x v="21"/>
    <s v="Final ASS"/>
    <m/>
    <m/>
    <s v="Down"/>
    <n v="0"/>
    <n v="0"/>
    <n v="0"/>
    <n v="0"/>
    <n v="0"/>
    <m/>
    <n v="230"/>
  </r>
  <r>
    <x v="22"/>
    <s v="Final ASS"/>
    <m/>
    <m/>
    <s v="Down"/>
    <n v="0"/>
    <n v="0"/>
    <n v="0"/>
    <n v="0"/>
    <n v="0"/>
    <m/>
    <n v="230"/>
  </r>
  <r>
    <x v="23"/>
    <s v="Final ASS"/>
    <m/>
    <m/>
    <s v="Down"/>
    <n v="0"/>
    <n v="0"/>
    <n v="0"/>
    <n v="0"/>
    <n v="0"/>
    <m/>
    <n v="230"/>
  </r>
  <r>
    <x v="24"/>
    <s v="Final ASS"/>
    <m/>
    <m/>
    <s v="Down"/>
    <n v="0"/>
    <n v="0"/>
    <n v="0"/>
    <n v="0"/>
    <n v="0"/>
    <m/>
    <n v="230"/>
  </r>
  <r>
    <x v="25"/>
    <s v="Final ASS"/>
    <m/>
    <m/>
    <s v="Down"/>
    <n v="0"/>
    <n v="0"/>
    <n v="0"/>
    <n v="0"/>
    <n v="0"/>
    <m/>
    <n v="230"/>
  </r>
  <r>
    <x v="26"/>
    <s v="Final ASS"/>
    <m/>
    <m/>
    <s v="Down"/>
    <n v="0"/>
    <n v="0"/>
    <n v="0"/>
    <n v="0"/>
    <n v="0"/>
    <m/>
    <n v="230"/>
  </r>
  <r>
    <x v="27"/>
    <s v="Final ASS"/>
    <m/>
    <m/>
    <s v="Down"/>
    <n v="0"/>
    <n v="0"/>
    <n v="0"/>
    <n v="0"/>
    <n v="0"/>
    <m/>
    <n v="230"/>
  </r>
  <r>
    <x v="28"/>
    <s v="Final ASS"/>
    <m/>
    <m/>
    <s v="Down"/>
    <n v="0"/>
    <n v="0"/>
    <n v="0"/>
    <n v="0"/>
    <n v="0"/>
    <m/>
    <n v="230"/>
  </r>
  <r>
    <x v="29"/>
    <s v="Final ASS"/>
    <m/>
    <m/>
    <s v="Down"/>
    <n v="0"/>
    <n v="0"/>
    <n v="0"/>
    <n v="0"/>
    <n v="0"/>
    <m/>
    <n v="2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7" firstHeaderRow="0" firstDataRow="1" firstDataCol="1"/>
  <pivotFields count="60">
    <pivotField numFmtId="167" showAll="0"/>
    <pivotField showAll="0"/>
    <pivotField axis="axisRow" showAll="0">
      <items count="24">
        <item x="10"/>
        <item x="12"/>
        <item h="1" x="1"/>
        <item h="1" x="9"/>
        <item h="1" m="1" x="21"/>
        <item h="1" x="7"/>
        <item h="1" m="1" x="19"/>
        <item h="1" x="6"/>
        <item h="1" x="3"/>
        <item h="1" x="8"/>
        <item h="1" x="4"/>
        <item h="1" x="13"/>
        <item h="1" x="0"/>
        <item x="2"/>
        <item h="1" x="11"/>
        <item h="1" m="1" x="16"/>
        <item h="1" m="1" x="15"/>
        <item h="1" m="1" x="22"/>
        <item h="1" m="1" x="20"/>
        <item m="1" x="18"/>
        <item h="1" m="1" x="17"/>
        <item h="1" x="5"/>
        <item h="1" x="14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/>
    </i>
    <i>
      <x v="1"/>
    </i>
    <i>
      <x v="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7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8" baseField="2" baseItem="0" numFmtId="4"/>
    <dataField name="Sum of CycleNotZero" fld="59" baseField="2" baseItem="0" numFmtId="3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3" firstHeaderRow="1" firstDataRow="1" firstDataCol="1"/>
  <pivotFields count="12">
    <pivotField axis="axisRow" numFmtId="167" showAll="0">
      <items count="306">
        <item m="1" x="200"/>
        <item m="1" x="41"/>
        <item m="1" x="157"/>
        <item m="1" x="274"/>
        <item m="1" x="114"/>
        <item m="1" x="231"/>
        <item m="1" x="72"/>
        <item m="1" x="188"/>
        <item m="1" x="30"/>
        <item m="1" x="144"/>
        <item m="1" x="261"/>
        <item m="1" x="101"/>
        <item m="1" x="219"/>
        <item m="1" x="60"/>
        <item m="1" x="176"/>
        <item m="1" x="294"/>
        <item m="1" x="133"/>
        <item m="1" x="250"/>
        <item m="1" x="89"/>
        <item m="1" x="207"/>
        <item m="1" x="48"/>
        <item m="1" x="164"/>
        <item m="1" x="281"/>
        <item m="1" x="120"/>
        <item m="1" x="237"/>
        <item m="1" x="78"/>
        <item m="1" x="194"/>
        <item m="1" x="36"/>
        <item m="1" x="152"/>
        <item m="1" x="269"/>
        <item m="1" x="109"/>
        <item m="1" x="173"/>
        <item m="1" x="291"/>
        <item m="1" x="130"/>
        <item m="1" x="247"/>
        <item m="1" x="87"/>
        <item m="1" x="204"/>
        <item m="1" x="45"/>
        <item m="1" x="161"/>
        <item m="1" x="278"/>
        <item m="1" x="118"/>
        <item m="1" x="235"/>
        <item m="1" x="76"/>
        <item m="1" x="192"/>
        <item m="1" x="34"/>
        <item m="1" x="149"/>
        <item m="1" x="266"/>
        <item m="1" x="106"/>
        <item m="1" x="224"/>
        <item m="1" x="65"/>
        <item m="1" x="181"/>
        <item m="1" x="299"/>
        <item m="1" x="138"/>
        <item m="1" x="255"/>
        <item m="1" x="95"/>
        <item m="1" x="213"/>
        <item m="1" x="54"/>
        <item m="1" x="170"/>
        <item m="1" x="287"/>
        <item m="1" x="126"/>
        <item m="1" x="243"/>
        <item m="1" x="145"/>
        <item m="1" x="262"/>
        <item m="1" x="102"/>
        <item m="1" x="220"/>
        <item m="1" x="61"/>
        <item m="1" x="177"/>
        <item m="1" x="295"/>
        <item m="1" x="134"/>
        <item m="1" x="251"/>
        <item m="1" x="90"/>
        <item m="1" x="208"/>
        <item m="1" x="49"/>
        <item m="1" x="165"/>
        <item m="1" x="282"/>
        <item m="1" x="121"/>
        <item m="1" x="238"/>
        <item m="1" x="79"/>
        <item m="1" x="195"/>
        <item m="1" x="37"/>
        <item m="1" x="153"/>
        <item m="1" x="270"/>
        <item m="1" x="110"/>
        <item m="1" x="227"/>
        <item m="1" x="68"/>
        <item m="1" x="184"/>
        <item m="1" x="302"/>
        <item m="1" x="141"/>
        <item m="1" x="258"/>
        <item m="1" x="98"/>
        <item m="1" x="216"/>
        <item m="1" x="57"/>
        <item m="1" x="91"/>
        <item m="1" x="209"/>
        <item m="1" x="50"/>
        <item m="1" x="166"/>
        <item m="1" x="283"/>
        <item m="1" x="122"/>
        <item m="1" x="239"/>
        <item m="1" x="80"/>
        <item m="1" x="196"/>
        <item m="1" x="38"/>
        <item m="1" x="154"/>
        <item m="1" x="271"/>
        <item m="1" x="111"/>
        <item m="1" x="228"/>
        <item m="1" x="69"/>
        <item m="1" x="185"/>
        <item m="1" x="303"/>
        <item m="1" x="142"/>
        <item m="1" x="259"/>
        <item m="1" x="99"/>
        <item m="1" x="217"/>
        <item m="1" x="58"/>
        <item m="1" x="174"/>
        <item m="1" x="292"/>
        <item m="1" x="131"/>
        <item m="1" x="248"/>
        <item m="1" x="88"/>
        <item m="1" x="205"/>
        <item m="1" x="46"/>
        <item m="1" x="162"/>
        <item m="1" x="279"/>
        <item m="1" x="288"/>
        <item m="1" x="127"/>
        <item m="1" x="244"/>
        <item m="1" x="84"/>
        <item m="1" x="201"/>
        <item m="1" x="42"/>
        <item m="1" x="158"/>
        <item m="1" x="275"/>
        <item m="1" x="115"/>
        <item m="1" x="232"/>
        <item m="1" x="73"/>
        <item m="1" x="189"/>
        <item m="1" x="31"/>
        <item m="1" x="146"/>
        <item m="1" x="263"/>
        <item m="1" x="103"/>
        <item m="1" x="221"/>
        <item m="1" x="62"/>
        <item m="1" x="178"/>
        <item m="1" x="296"/>
        <item m="1" x="135"/>
        <item m="1" x="252"/>
        <item m="1" x="92"/>
        <item m="1" x="210"/>
        <item m="1" x="51"/>
        <item m="1" x="167"/>
        <item m="1" x="284"/>
        <item m="1" x="123"/>
        <item m="1" x="240"/>
        <item m="1" x="81"/>
        <item m="1" x="197"/>
        <item m="1" x="233"/>
        <item m="1" x="74"/>
        <item m="1" x="190"/>
        <item m="1" x="32"/>
        <item m="1" x="147"/>
        <item m="1" x="264"/>
        <item m="1" x="104"/>
        <item m="1" x="222"/>
        <item m="1" x="63"/>
        <item m="1" x="179"/>
        <item m="1" x="297"/>
        <item m="1" x="136"/>
        <item m="1" x="253"/>
        <item m="1" x="93"/>
        <item m="1" x="211"/>
        <item m="1" x="52"/>
        <item m="1" x="168"/>
        <item m="1" x="285"/>
        <item m="1" x="124"/>
        <item m="1" x="241"/>
        <item m="1" x="82"/>
        <item m="1" x="198"/>
        <item m="1" x="39"/>
        <item m="1" x="155"/>
        <item m="1" x="272"/>
        <item m="1" x="112"/>
        <item m="1" x="229"/>
        <item m="1" x="70"/>
        <item m="1" x="186"/>
        <item m="1" x="206"/>
        <item m="1" x="47"/>
        <item m="1" x="163"/>
        <item m="1" x="280"/>
        <item m="1" x="119"/>
        <item m="1" x="236"/>
        <item m="1" x="77"/>
        <item m="1" x="193"/>
        <item m="1" x="35"/>
        <item m="1" x="150"/>
        <item m="1" x="267"/>
        <item m="1" x="107"/>
        <item m="1" x="225"/>
        <item m="1" x="66"/>
        <item m="1" x="182"/>
        <item m="1" x="300"/>
        <item m="1" x="139"/>
        <item m="1" x="256"/>
        <item m="1" x="96"/>
        <item m="1" x="214"/>
        <item m="1" x="55"/>
        <item m="1" x="171"/>
        <item m="1" x="289"/>
        <item m="1" x="128"/>
        <item m="1" x="245"/>
        <item m="1" x="85"/>
        <item m="1" x="202"/>
        <item m="1" x="43"/>
        <item m="1" x="159"/>
        <item m="1" x="276"/>
        <item m="1" x="116"/>
        <item m="1" x="180"/>
        <item m="1" x="298"/>
        <item m="1" x="137"/>
        <item m="1" x="254"/>
        <item m="1" x="94"/>
        <item m="1" x="212"/>
        <item m="1" x="53"/>
        <item m="1" x="169"/>
        <item m="1" x="286"/>
        <item m="1" x="125"/>
        <item m="1" x="242"/>
        <item m="1" x="83"/>
        <item m="1" x="199"/>
        <item m="1" x="40"/>
        <item m="1" x="156"/>
        <item m="1" x="273"/>
        <item m="1" x="113"/>
        <item m="1" x="230"/>
        <item m="1" x="71"/>
        <item m="1" x="187"/>
        <item m="1" x="304"/>
        <item m="1" x="143"/>
        <item m="1" x="260"/>
        <item m="1" x="100"/>
        <item m="1" x="218"/>
        <item m="1" x="59"/>
        <item m="1" x="175"/>
        <item m="1" x="293"/>
        <item m="1" x="132"/>
        <item m="1" x="249"/>
        <item m="1" x="151"/>
        <item m="1" x="268"/>
        <item m="1" x="108"/>
        <item m="1" x="226"/>
        <item m="1" x="67"/>
        <item m="1" x="183"/>
        <item m="1" x="301"/>
        <item m="1" x="140"/>
        <item m="1" x="257"/>
        <item m="1" x="97"/>
        <item m="1" x="215"/>
        <item m="1" x="56"/>
        <item m="1" x="172"/>
        <item m="1" x="290"/>
        <item m="1" x="129"/>
        <item m="1" x="246"/>
        <item m="1" x="86"/>
        <item m="1" x="203"/>
        <item m="1" x="44"/>
        <item m="1" x="160"/>
        <item m="1" x="277"/>
        <item m="1" x="117"/>
        <item m="1" x="234"/>
        <item m="1" x="75"/>
        <item m="1" x="191"/>
        <item m="1" x="33"/>
        <item m="1" x="148"/>
        <item m="1" x="265"/>
        <item m="1" x="105"/>
        <item m="1" x="223"/>
        <item m="1" x="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22"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 t="grand">
      <x/>
    </i>
  </rowItems>
  <colItems count="1">
    <i/>
  </colItems>
  <dataFields count="1">
    <dataField name="Daily Output (2 machines)" fld="8" baseField="0" baseItem="0" numFmtId="3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87">
      <autoFilter ref="A1">
        <filterColumn colId="0">
          <customFilters>
            <customFilter operator="lessThanOrEqual" val="4546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60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o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E361" totalsRowShown="0" headerRowDxfId="104">
  <autoFilter ref="A5:BE361"/>
  <tableColumns count="57">
    <tableColumn id="1" name="Date" dataDxfId="103"/>
    <tableColumn id="2" name="LineNo" dataDxfId="102"/>
    <tableColumn id="3" name="MoldNo" dataDxfId="101"/>
    <tableColumn id="4" name="Index" dataDxfId="100"/>
    <tableColumn id="5" name="Color" dataDxfId="99"/>
    <tableColumn id="6" name="Resin" dataDxfId="98"/>
    <tableColumn id="7" name="Status" dataDxfId="97" dataCellStyle="Comma">
      <calculatedColumnFormula>IF(OR(Prod[[#This Row],[S1Hrs]]&gt;0,Prod[[#This Row],[S2Hrs]]&gt;0,Prod[[#This Row],[S3Hrs]]&gt;0),"Running","Down")</calculatedColumnFormula>
    </tableColumn>
    <tableColumn id="8" name="S1Cycle" dataDxfId="96" dataCellStyle="Comma"/>
    <tableColumn id="9" name="S1Hrs" dataDxfId="95" dataCellStyle="Comma"/>
    <tableColumn id="10" name="S1Shot" dataDxfId="94" dataCellStyle="Comma"/>
    <tableColumn id="11" name="S1Cavity" dataDxfId="93" dataCellStyle="Comma"/>
    <tableColumn id="12" name="S1Qty" dataDxfId="92" dataCellStyle="Comma">
      <calculatedColumnFormula>Prod[[#This Row],[S1Shot]]*Prod[[#This Row],[S1Cavity]]-Prod[[#This Row],[S1Dft]]</calculatedColumnFormula>
    </tableColumn>
    <tableColumn id="13" name="S1Dft" dataDxfId="91" dataCellStyle="Comma"/>
    <tableColumn id="14" name="S2Cycle" dataDxfId="90" dataCellStyle="Comma"/>
    <tableColumn id="15" name="S2Hrs" dataDxfId="89" dataCellStyle="Comma"/>
    <tableColumn id="16" name="S2Shot" dataDxfId="88" dataCellStyle="Comma"/>
    <tableColumn id="17" name="S2Cavity" dataDxfId="87" dataCellStyle="Comma"/>
    <tableColumn id="18" name="S2Qty" dataDxfId="86" dataCellStyle="Comma">
      <calculatedColumnFormula>Prod[[#This Row],[S2Shot]]*Prod[[#This Row],[S2Cavity]]-Prod[[#This Row],[S2Dft]]</calculatedColumnFormula>
    </tableColumn>
    <tableColumn id="19" name="S2Dft" dataDxfId="85" dataCellStyle="Comma"/>
    <tableColumn id="20" name="S3Cycle" dataDxfId="84" dataCellStyle="Comma"/>
    <tableColumn id="21" name="S3Hrs" dataDxfId="83" dataCellStyle="Comma"/>
    <tableColumn id="22" name="S3Shot" dataDxfId="82" dataCellStyle="Comma"/>
    <tableColumn id="23" name="S3Cavity" dataDxfId="81" dataCellStyle="Comma"/>
    <tableColumn id="24" name="S3Qty" dataDxfId="80" dataCellStyle="Comma">
      <calculatedColumnFormula>Prod[[#This Row],[S3Shot]]*Prod[[#This Row],[S3Cavity]]-Prod[[#This Row],[S3Dft]]</calculatedColumnFormula>
    </tableColumn>
    <tableColumn id="25" name="S3Dft" dataDxfId="79" dataCellStyle="Comma"/>
    <tableColumn id="26" name="Total" dataDxfId="78" dataCellStyle="Comma">
      <calculatedColumnFormula>SUM(Prod[[#This Row],[S1Qty]],Prod[[#This Row],[S2Qty]],Prod[[#This Row],[S3Qty]])</calculatedColumnFormula>
    </tableColumn>
    <tableColumn id="27" name="TotalDft" dataDxfId="77" dataCellStyle="Comma"/>
    <tableColumn id="28" name="DftRte" dataDxfId="76" dataCellStyle="Percent"/>
    <tableColumn id="29" name="Remarks" dataDxfId="75" dataCellStyle="Percent"/>
    <tableColumn id="30" name="S1Mold" dataDxfId="74" dataCellStyle="Comma"/>
    <tableColumn id="31" name="S2Mold" dataDxfId="73" dataCellStyle="Comma"/>
    <tableColumn id="32" name="S3Mold" dataDxfId="72" dataCellStyle="Comma"/>
    <tableColumn id="36" name="S1Print" dataDxfId="71" dataCellStyle="Comma"/>
    <tableColumn id="37" name="S2Print" dataDxfId="70" dataCellStyle="Comma"/>
    <tableColumn id="38" name="S3Print" dataDxfId="69" dataCellStyle="Comma"/>
    <tableColumn id="39" name="S1Ovlp" dataDxfId="68" dataCellStyle="Comma"/>
    <tableColumn id="40" name="S2Ovlp" dataDxfId="67" dataCellStyle="Comma"/>
    <tableColumn id="41" name="S3Ovlp" dataDxfId="66" dataCellStyle="Comma"/>
    <tableColumn id="42" name="S1Seam" dataDxfId="65" dataCellStyle="Comma"/>
    <tableColumn id="43" name="S2Seam" dataDxfId="64" dataCellStyle="Comma"/>
    <tableColumn id="44" name="S3Seam" dataDxfId="63" dataCellStyle="Comma"/>
    <tableColumn id="45" name="S1Dmg" dataDxfId="62" dataCellStyle="Comma"/>
    <tableColumn id="46" name="S2Dmg" dataDxfId="61" dataCellStyle="Comma"/>
    <tableColumn id="47" name="S3Dmg" dataDxfId="60" dataCellStyle="Comma"/>
    <tableColumn id="33" name="S1%" dataDxfId="59" dataCellStyle="Comma">
      <calculatedColumnFormula>IF(Prod[[#This Row],[S1Hrs]]=0,0,Prod[[#This Row],[S1Shot]]*Prod[[#This Row],[S1Cycle]]/(Prod[[#This Row],[S1Hrs]]*60*60))</calculatedColumnFormula>
    </tableColumn>
    <tableColumn id="34" name="S2%" dataDxfId="58" dataCellStyle="Comma">
      <calculatedColumnFormula>IF(Prod[[#This Row],[S2Hrs]]=0,0,Prod[[#This Row],[S2Shot]]*Prod[[#This Row],[S2Cycle]]/(Prod[[#This Row],[S2Hrs]]*60*60))</calculatedColumnFormula>
    </tableColumn>
    <tableColumn id="35" name="S3%" dataDxfId="57" dataCellStyle="Comma">
      <calculatedColumnFormula>IF(Prod[[#This Row],[S3Hrs]]=0,0,Prod[[#This Row],[S3Shot]]*Prod[[#This Row],[S3Cycle]]/(Prod[[#This Row],[S3Hrs]]*60*60))</calculatedColumnFormula>
    </tableColumn>
    <tableColumn id="48" name="Daily%" dataDxfId="56" dataCellStyle="Comma">
      <calculatedColumnFormula>IFERROR(AVERAGEIF(Prod[[#This Row],[S1%]:[S3%]], "&lt;&gt;0"),0)</calculatedColumnFormula>
    </tableColumn>
    <tableColumn id="49" name="HrStrtCls" dataDxfId="55" dataCellStyle="Comma"/>
    <tableColumn id="50" name="HrMaint" dataDxfId="54" dataCellStyle="Comma"/>
    <tableColumn id="51" name="HrSample" dataDxfId="53" dataCellStyle="Comma"/>
    <tableColumn id="52" name="S1CycleNotZero" dataDxfId="52" dataCellStyle="Comma">
      <calculatedColumnFormula>IF(Prod[[#This Row],[S1Cycle]]&lt;&gt;0,1,0)</calculatedColumnFormula>
    </tableColumn>
    <tableColumn id="53" name="S2CycleNotZero" dataDxfId="51" dataCellStyle="Comma">
      <calculatedColumnFormula>IF(Prod[[#This Row],[S2Cycle]]&lt;&gt;0,1,0)</calculatedColumnFormula>
    </tableColumn>
    <tableColumn id="54" name="S3CycleNotZero" dataDxfId="50" dataCellStyle="Comma">
      <calculatedColumnFormula>IF(Prod[[#This Row],[S3Cycle]]&lt;&gt;0,1,0)</calculatedColumnFormula>
    </tableColumn>
    <tableColumn id="55" name="Cavity" dataDxfId="49" dataCellStyle="Comma">
      <calculatedColumnFormula>MAX(Prod[[#This Row],[S1Cavity]],Prod[[#This Row],[S2Cavity]],Prod[[#This Row],[S3Cavity]])</calculatedColumnFormula>
    </tableColumn>
    <tableColumn id="56" name="B/C" dataDxfId="48" dataCellStyle="Comma">
      <calculatedColumnFormula>RegExpMatch(Prod[[#This Row],[MoldNo]], "^DEO-(B|C)")</calculatedColumnFormula>
    </tableColumn>
    <tableColumn id="57" name="JAC" dataDxfId="47" dataCellStyle="Comma">
      <calculatedColumnFormula>RegExpMatch(Prod[[#This Row],[MoldNo]], "^JAC")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225" totalsRowShown="0" headerRowDxfId="30" dataDxfId="29" headerRowCellStyle="Normal_Sheet2" dataCellStyle="Normal_Sheet2">
  <autoFilter ref="A5:J225"/>
  <tableColumns count="10">
    <tableColumn id="1" name="Date" dataDxfId="28"/>
    <tableColumn id="2" name="LineNo" dataDxfId="27" dataCellStyle="Normal_Sheet2"/>
    <tableColumn id="3" name="Index" dataDxfId="26"/>
    <tableColumn id="4" name="Customer" dataDxfId="25"/>
    <tableColumn id="5" name="Status" dataDxfId="24" dataCellStyle="Normal_Sheet2">
      <calculatedColumnFormula>IF(Assem[[#This Row],[Total]]&gt;0,"Running","Down")</calculatedColumnFormula>
    </tableColumn>
    <tableColumn id="6" name="S1Qty" dataDxfId="23" dataCellStyle="Comma"/>
    <tableColumn id="8" name="S2Qty" dataDxfId="22" dataCellStyle="Comma"/>
    <tableColumn id="7" name="S3Qty" dataDxfId="21" dataCellStyle="Comma"/>
    <tableColumn id="12" name="Total" dataDxfId="20" dataCellStyle="Comma">
      <calculatedColumnFormula>SUM(Assem[[#This Row],[S1Qty]],Assem[[#This Row],[S2Qty]],Assem[[#This Row],[S3Qty]])</calculatedColumnFormula>
    </tableColumn>
    <tableColumn id="15" name="Remarks" dataDxfId="19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nlAssem" displayName="FnlAssem" ref="A5:L76" totalsRowShown="0" headerRowDxfId="16" dataDxfId="15">
  <autoFilter ref="A5:L76"/>
  <tableColumns count="12">
    <tableColumn id="1" name="Date" dataDxfId="14"/>
    <tableColumn id="2" name="Line" dataDxfId="13"/>
    <tableColumn id="3" name="Index" dataDxfId="12"/>
    <tableColumn id="4" name="Customer" dataDxfId="11"/>
    <tableColumn id="5" name="Status" dataDxfId="10">
      <calculatedColumnFormula>IF(FnlAssem[[#This Row],[Total]]&gt;0,"Running","Down")</calculatedColumnFormula>
    </tableColumn>
    <tableColumn id="6" name="S1Qty" dataDxfId="9" dataCellStyle="Comma"/>
    <tableColumn id="7" name="S2Qty" dataDxfId="8" dataCellStyle="Comma"/>
    <tableColumn id="12" name="S3Qty" dataDxfId="7" dataCellStyle="Comma"/>
    <tableColumn id="8" name="Total" dataDxfId="6" dataCellStyle="Comma">
      <calculatedColumnFormula>SUM(FnlAssem[[#This Row],[S1Qty]],FnlAssem[[#This Row],[S2Qty]],FnlAssem[[#This Row],[S3Qty]])*FnlAssem[[#This Row],[Pcs/Carton]]-FnlAssem[[#This Row],[Defects]]</calculatedColumnFormula>
    </tableColumn>
    <tableColumn id="13" name="Defects" dataDxfId="5" dataCellStyle="Comma"/>
    <tableColumn id="10" name="Remarks" dataDxfId="4" dataCellStyle="Comma"/>
    <tableColumn id="9" name="Pcs/Carton" dataDxfId="3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workbookViewId="0"/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305" t="s">
        <v>86</v>
      </c>
      <c r="N2" s="305"/>
      <c r="O2" s="305"/>
      <c r="P2" s="305"/>
      <c r="Q2" s="305"/>
      <c r="R2" s="305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87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87"/>
      <c r="B8" s="288" t="s">
        <v>10</v>
      </c>
      <c r="C8" s="289" t="s">
        <v>0</v>
      </c>
      <c r="D8" s="289" t="s">
        <v>25</v>
      </c>
      <c r="E8" s="289" t="s">
        <v>11</v>
      </c>
      <c r="F8" s="289" t="s">
        <v>16</v>
      </c>
      <c r="G8" s="270" t="s">
        <v>12</v>
      </c>
      <c r="H8" s="271" t="s">
        <v>13</v>
      </c>
      <c r="I8" s="272"/>
      <c r="J8" s="272"/>
      <c r="K8" s="272"/>
      <c r="L8" s="272"/>
      <c r="M8" s="273"/>
      <c r="N8" s="271" t="s">
        <v>14</v>
      </c>
      <c r="O8" s="272"/>
      <c r="P8" s="272"/>
      <c r="Q8" s="272"/>
      <c r="R8" s="272"/>
      <c r="S8" s="273"/>
      <c r="T8" s="271" t="s">
        <v>15</v>
      </c>
      <c r="U8" s="272"/>
      <c r="V8" s="272"/>
      <c r="W8" s="272"/>
      <c r="X8" s="272"/>
      <c r="Y8" s="273"/>
      <c r="Z8" s="274" t="s">
        <v>37</v>
      </c>
      <c r="AA8" s="274" t="s">
        <v>39</v>
      </c>
      <c r="AB8" s="274" t="s">
        <v>62</v>
      </c>
      <c r="AC8" s="299" t="s">
        <v>26</v>
      </c>
    </row>
    <row r="9" spans="1:29" ht="45" customHeight="1" x14ac:dyDescent="0.2">
      <c r="A9" s="287"/>
      <c r="B9" s="288"/>
      <c r="C9" s="289"/>
      <c r="D9" s="289"/>
      <c r="E9" s="289"/>
      <c r="F9" s="289"/>
      <c r="G9" s="270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75"/>
      <c r="AA9" s="276"/>
      <c r="AB9" s="276"/>
      <c r="AC9" s="299"/>
    </row>
    <row r="10" spans="1:29" ht="12.75" customHeight="1" x14ac:dyDescent="0.2">
      <c r="A10" s="287"/>
      <c r="B10" s="300" t="s">
        <v>2</v>
      </c>
      <c r="C10" s="302" t="s">
        <v>84</v>
      </c>
      <c r="D10" s="12"/>
      <c r="E10" s="10"/>
      <c r="F10" s="12"/>
      <c r="G10" s="302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66">
        <f>SUM(L10, R10, X10)+SUM(L11, R11, X11)</f>
        <v>0</v>
      </c>
      <c r="AA10" s="266">
        <f>SUM(M10, S10, Y10)+SUM(M11, S11, Y11)</f>
        <v>0</v>
      </c>
      <c r="AB10" s="268">
        <f>IF($Z10=0, ,AA10/$Z10)</f>
        <v>0</v>
      </c>
      <c r="AC10" s="292" t="s">
        <v>87</v>
      </c>
    </row>
    <row r="11" spans="1:29" ht="12.75" customHeight="1" x14ac:dyDescent="0.2">
      <c r="A11" s="287"/>
      <c r="B11" s="301"/>
      <c r="C11" s="303"/>
      <c r="D11" s="12"/>
      <c r="E11" s="12"/>
      <c r="F11" s="12"/>
      <c r="G11" s="304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67"/>
      <c r="AA11" s="267"/>
      <c r="AB11" s="269"/>
      <c r="AC11" s="293"/>
    </row>
    <row r="12" spans="1:29" ht="12.75" customHeight="1" x14ac:dyDescent="0.2">
      <c r="A12" s="287"/>
      <c r="B12" s="290" t="s">
        <v>6</v>
      </c>
      <c r="C12" s="279" t="s">
        <v>8</v>
      </c>
      <c r="D12" s="10"/>
      <c r="E12" s="10"/>
      <c r="F12" s="10"/>
      <c r="G12" s="279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81">
        <f>SUM(L12, R12, X12)+SUM(L13, R13, X13)</f>
        <v>0</v>
      </c>
      <c r="AA12" s="283">
        <f>SUM(M12, S12, Y12)+SUM(M13, S13, Y13)</f>
        <v>0</v>
      </c>
      <c r="AB12" s="258">
        <f>IF($Z12=0, ,AA12/$Z12)</f>
        <v>0</v>
      </c>
      <c r="AC12" s="277" t="s">
        <v>87</v>
      </c>
    </row>
    <row r="13" spans="1:29" ht="12.75" customHeight="1" x14ac:dyDescent="0.2">
      <c r="A13" s="287"/>
      <c r="B13" s="291"/>
      <c r="C13" s="280"/>
      <c r="D13" s="10"/>
      <c r="E13" s="10"/>
      <c r="F13" s="10"/>
      <c r="G13" s="280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82"/>
      <c r="AA13" s="284"/>
      <c r="AB13" s="259"/>
      <c r="AC13" s="278"/>
    </row>
    <row r="14" spans="1:29" ht="12.75" customHeight="1" x14ac:dyDescent="0.2">
      <c r="A14" s="287"/>
      <c r="B14" s="285" t="s">
        <v>7</v>
      </c>
      <c r="C14" s="264" t="s">
        <v>81</v>
      </c>
      <c r="D14" s="9"/>
      <c r="E14" s="9"/>
      <c r="F14" s="9"/>
      <c r="G14" s="264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66">
        <f>SUM(L14, R14, X14)+SUM(L15, R15, X15)</f>
        <v>0</v>
      </c>
      <c r="AA14" s="266">
        <f>SUM(M14, S14, Y14)+SUM(M15, S15, Y15)</f>
        <v>0</v>
      </c>
      <c r="AB14" s="268">
        <f>IF($Z14=0, ,AA14/$Z14)</f>
        <v>0</v>
      </c>
      <c r="AC14" s="292" t="s">
        <v>87</v>
      </c>
    </row>
    <row r="15" spans="1:29" ht="12.75" customHeight="1" x14ac:dyDescent="0.2">
      <c r="A15" s="287"/>
      <c r="B15" s="286"/>
      <c r="C15" s="265"/>
      <c r="D15" s="9"/>
      <c r="E15" s="9"/>
      <c r="F15" s="9"/>
      <c r="G15" s="265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67"/>
      <c r="AA15" s="267"/>
      <c r="AB15" s="269"/>
      <c r="AC15" s="293"/>
    </row>
    <row r="16" spans="1:29" ht="12.75" customHeight="1" x14ac:dyDescent="0.2">
      <c r="A16" s="287"/>
      <c r="B16" s="290" t="s">
        <v>3</v>
      </c>
      <c r="C16" s="279" t="s">
        <v>82</v>
      </c>
      <c r="D16" s="10"/>
      <c r="E16" s="10"/>
      <c r="F16" s="10"/>
      <c r="G16" s="279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83">
        <f>SUM(L16, R16, X16)+SUM(L17, R17, X17)</f>
        <v>0</v>
      </c>
      <c r="AA16" s="283">
        <f>SUM(M16, S16, Y16)+SUM(M17, S17, Y17)</f>
        <v>0</v>
      </c>
      <c r="AB16" s="258">
        <f>IF($Z16=0, ,AA16/$Z16)</f>
        <v>0</v>
      </c>
      <c r="AC16" s="277" t="s">
        <v>87</v>
      </c>
    </row>
    <row r="17" spans="1:29" ht="12.75" customHeight="1" x14ac:dyDescent="0.2">
      <c r="A17" s="287"/>
      <c r="B17" s="291"/>
      <c r="C17" s="280"/>
      <c r="D17" s="10"/>
      <c r="E17" s="10"/>
      <c r="F17" s="10"/>
      <c r="G17" s="280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84"/>
      <c r="AA17" s="284"/>
      <c r="AB17" s="259"/>
      <c r="AC17" s="278"/>
    </row>
    <row r="18" spans="1:29" ht="12.75" customHeight="1" x14ac:dyDescent="0.2">
      <c r="A18" s="287"/>
      <c r="B18" s="285" t="s">
        <v>4</v>
      </c>
      <c r="C18" s="264" t="s">
        <v>9</v>
      </c>
      <c r="D18" s="9"/>
      <c r="E18" s="10"/>
      <c r="F18" s="9"/>
      <c r="G18" s="264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66">
        <f>SUM(L18, R18, X18)+SUM(L19, R19, X19)</f>
        <v>0</v>
      </c>
      <c r="AA18" s="266">
        <f>SUM(M18, S18, Y18)+SUM(M19, S19, Y19)</f>
        <v>0</v>
      </c>
      <c r="AB18" s="268">
        <f>IF($Z18=0, ,AA18/$Z18)</f>
        <v>0</v>
      </c>
      <c r="AC18" s="292" t="s">
        <v>87</v>
      </c>
    </row>
    <row r="19" spans="1:29" ht="12.75" customHeight="1" x14ac:dyDescent="0.2">
      <c r="A19" s="287"/>
      <c r="B19" s="286"/>
      <c r="C19" s="265"/>
      <c r="D19" s="9"/>
      <c r="E19" s="9"/>
      <c r="F19" s="9"/>
      <c r="G19" s="265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67"/>
      <c r="AA19" s="267"/>
      <c r="AB19" s="269"/>
      <c r="AC19" s="293"/>
    </row>
    <row r="20" spans="1:29" ht="12.75" customHeight="1" x14ac:dyDescent="0.2">
      <c r="A20" s="287"/>
      <c r="B20" s="294" t="s">
        <v>85</v>
      </c>
      <c r="C20" s="296" t="s">
        <v>83</v>
      </c>
      <c r="D20" s="11"/>
      <c r="E20" s="10"/>
      <c r="F20" s="11"/>
      <c r="G20" s="296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98">
        <f>SUM(L20, R20, X20)+SUM(L21, R21, X21)</f>
        <v>0</v>
      </c>
      <c r="AA20" s="298">
        <f>SUM(M20, S20, Y20)+SUM(M21, S21, Y21)</f>
        <v>0</v>
      </c>
      <c r="AB20" s="258">
        <f>IF($Z20=0, ,AA20/$Z20)</f>
        <v>0</v>
      </c>
      <c r="AC20" s="260" t="s">
        <v>87</v>
      </c>
    </row>
    <row r="21" spans="1:29" ht="12.75" customHeight="1" x14ac:dyDescent="0.2">
      <c r="A21" s="287"/>
      <c r="B21" s="295"/>
      <c r="C21" s="297"/>
      <c r="D21" s="11"/>
      <c r="E21" s="11"/>
      <c r="F21" s="11"/>
      <c r="G21" s="297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98"/>
      <c r="AA21" s="298"/>
      <c r="AB21" s="259"/>
      <c r="AC21" s="260"/>
    </row>
    <row r="22" spans="1:29" ht="12.75" customHeight="1" x14ac:dyDescent="0.2">
      <c r="A22" s="287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87"/>
      <c r="B23" s="261" t="s">
        <v>67</v>
      </c>
      <c r="C23" s="262"/>
      <c r="D23" s="262"/>
      <c r="E23" s="262"/>
      <c r="F23" s="262"/>
      <c r="G23" s="9" t="s">
        <v>68</v>
      </c>
      <c r="H23" s="263" t="s">
        <v>64</v>
      </c>
      <c r="I23" s="263"/>
      <c r="J23" s="263"/>
      <c r="K23" s="263" t="s">
        <v>76</v>
      </c>
      <c r="L23" s="263"/>
      <c r="M23" s="263"/>
      <c r="N23" s="263" t="s">
        <v>65</v>
      </c>
      <c r="O23" s="263"/>
      <c r="P23" s="263"/>
      <c r="Q23" s="263" t="s">
        <v>66</v>
      </c>
      <c r="R23" s="263"/>
      <c r="S23" s="263"/>
      <c r="T23" s="263" t="s">
        <v>73</v>
      </c>
      <c r="U23" s="263"/>
      <c r="V23" s="263"/>
      <c r="W23" s="263" t="s">
        <v>74</v>
      </c>
      <c r="X23" s="263"/>
      <c r="Y23" s="263"/>
      <c r="Z23" s="263" t="s">
        <v>75</v>
      </c>
      <c r="AA23" s="263"/>
      <c r="AB23" s="263"/>
      <c r="AC23" s="254"/>
    </row>
    <row r="24" spans="1:29" ht="12.75" customHeight="1" x14ac:dyDescent="0.2">
      <c r="A24" s="287"/>
      <c r="B24" s="261"/>
      <c r="C24" s="262"/>
      <c r="D24" s="262"/>
      <c r="E24" s="262"/>
      <c r="F24" s="262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54"/>
    </row>
    <row r="25" spans="1:29" ht="12.75" customHeight="1" x14ac:dyDescent="0.2">
      <c r="A25" s="287"/>
      <c r="B25" s="255" t="str">
        <f>B12</f>
        <v>02C</v>
      </c>
      <c r="C25" s="256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57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54"/>
    </row>
    <row r="26" spans="1:29" ht="12.75" customHeight="1" x14ac:dyDescent="0.2">
      <c r="A26" s="287"/>
      <c r="B26" s="255"/>
      <c r="C26" s="256"/>
      <c r="D26" s="9"/>
      <c r="E26" s="9" t="str">
        <f t="shared" ref="E26:F28" si="3">IF(ISBLANK(E13), "", E13)</f>
        <v/>
      </c>
      <c r="F26" s="9" t="str">
        <f t="shared" si="3"/>
        <v/>
      </c>
      <c r="G26" s="257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54"/>
    </row>
    <row r="27" spans="1:29" ht="12.75" customHeight="1" x14ac:dyDescent="0.2">
      <c r="A27" s="287"/>
      <c r="B27" s="255" t="str">
        <f>B14</f>
        <v>03C</v>
      </c>
      <c r="C27" s="256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57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54"/>
    </row>
    <row r="28" spans="1:29" ht="12.75" customHeight="1" x14ac:dyDescent="0.2">
      <c r="A28" s="287"/>
      <c r="B28" s="255"/>
      <c r="C28" s="256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57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54"/>
    </row>
    <row r="30" spans="1:29" x14ac:dyDescent="0.2">
      <c r="A30" s="287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87"/>
      <c r="B31" s="288" t="s">
        <v>10</v>
      </c>
      <c r="C31" s="289" t="s">
        <v>0</v>
      </c>
      <c r="D31" s="289" t="s">
        <v>25</v>
      </c>
      <c r="E31" s="289" t="s">
        <v>11</v>
      </c>
      <c r="F31" s="289" t="s">
        <v>16</v>
      </c>
      <c r="G31" s="270" t="s">
        <v>12</v>
      </c>
      <c r="H31" s="271" t="s">
        <v>13</v>
      </c>
      <c r="I31" s="272"/>
      <c r="J31" s="272"/>
      <c r="K31" s="272"/>
      <c r="L31" s="272"/>
      <c r="M31" s="273"/>
      <c r="N31" s="271" t="s">
        <v>14</v>
      </c>
      <c r="O31" s="272"/>
      <c r="P31" s="272"/>
      <c r="Q31" s="272"/>
      <c r="R31" s="272"/>
      <c r="S31" s="273"/>
      <c r="T31" s="271" t="s">
        <v>15</v>
      </c>
      <c r="U31" s="272"/>
      <c r="V31" s="272"/>
      <c r="W31" s="272"/>
      <c r="X31" s="272"/>
      <c r="Y31" s="273"/>
      <c r="Z31" s="274" t="s">
        <v>37</v>
      </c>
      <c r="AA31" s="274" t="s">
        <v>39</v>
      </c>
      <c r="AB31" s="274" t="s">
        <v>62</v>
      </c>
      <c r="AC31" s="299" t="s">
        <v>26</v>
      </c>
    </row>
    <row r="32" spans="1:29" ht="25.5" x14ac:dyDescent="0.2">
      <c r="A32" s="287"/>
      <c r="B32" s="288"/>
      <c r="C32" s="289"/>
      <c r="D32" s="289"/>
      <c r="E32" s="289"/>
      <c r="F32" s="289"/>
      <c r="G32" s="270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75"/>
      <c r="AA32" s="276"/>
      <c r="AB32" s="276"/>
      <c r="AC32" s="299"/>
    </row>
    <row r="33" spans="1:29" x14ac:dyDescent="0.2">
      <c r="A33" s="287"/>
      <c r="B33" s="300" t="s">
        <v>2</v>
      </c>
      <c r="C33" s="302" t="s">
        <v>84</v>
      </c>
      <c r="D33" s="12"/>
      <c r="E33" s="10"/>
      <c r="F33" s="12"/>
      <c r="G33" s="302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66">
        <f>SUM(L33, R33, X33)+SUM(L34, R34, X34)</f>
        <v>0</v>
      </c>
      <c r="AA33" s="266">
        <f>SUM(M33, S33, Y33)+SUM(M34, S34, Y34)</f>
        <v>0</v>
      </c>
      <c r="AB33" s="268">
        <f>IF($Z33=0, ,AA33/$Z33)</f>
        <v>0</v>
      </c>
      <c r="AC33" s="292" t="s">
        <v>87</v>
      </c>
    </row>
    <row r="34" spans="1:29" x14ac:dyDescent="0.2">
      <c r="A34" s="287"/>
      <c r="B34" s="301"/>
      <c r="C34" s="303"/>
      <c r="D34" s="12"/>
      <c r="E34" s="12"/>
      <c r="F34" s="12"/>
      <c r="G34" s="304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67"/>
      <c r="AA34" s="267"/>
      <c r="AB34" s="269"/>
      <c r="AC34" s="293"/>
    </row>
    <row r="35" spans="1:29" x14ac:dyDescent="0.2">
      <c r="A35" s="287"/>
      <c r="B35" s="290" t="s">
        <v>6</v>
      </c>
      <c r="C35" s="279" t="s">
        <v>8</v>
      </c>
      <c r="D35" s="10"/>
      <c r="E35" s="10"/>
      <c r="F35" s="10"/>
      <c r="G35" s="279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81">
        <f>SUM(L35, R35, X35)+SUM(L36, R36, X36)</f>
        <v>0</v>
      </c>
      <c r="AA35" s="283">
        <f>SUM(M35, S35, Y35)+SUM(M36, S36, Y36)</f>
        <v>0</v>
      </c>
      <c r="AB35" s="258">
        <f>IF($Z35=0, ,AA35/$Z35)</f>
        <v>0</v>
      </c>
      <c r="AC35" s="277" t="s">
        <v>87</v>
      </c>
    </row>
    <row r="36" spans="1:29" x14ac:dyDescent="0.2">
      <c r="A36" s="287"/>
      <c r="B36" s="291"/>
      <c r="C36" s="280"/>
      <c r="D36" s="10"/>
      <c r="E36" s="10"/>
      <c r="F36" s="10"/>
      <c r="G36" s="280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82"/>
      <c r="AA36" s="284"/>
      <c r="AB36" s="259"/>
      <c r="AC36" s="278"/>
    </row>
    <row r="37" spans="1:29" x14ac:dyDescent="0.2">
      <c r="A37" s="287"/>
      <c r="B37" s="285" t="s">
        <v>7</v>
      </c>
      <c r="C37" s="264" t="s">
        <v>81</v>
      </c>
      <c r="D37" s="9"/>
      <c r="E37" s="9"/>
      <c r="F37" s="9"/>
      <c r="G37" s="264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66">
        <f>SUM(L37, R37, X37)+SUM(L38, R38, X38)</f>
        <v>0</v>
      </c>
      <c r="AA37" s="266">
        <f>SUM(M37, S37, Y37)+SUM(M38, S38, Y38)</f>
        <v>0</v>
      </c>
      <c r="AB37" s="268">
        <f>IF($Z37=0, ,AA37/$Z37)</f>
        <v>0</v>
      </c>
      <c r="AC37" s="292" t="s">
        <v>87</v>
      </c>
    </row>
    <row r="38" spans="1:29" x14ac:dyDescent="0.2">
      <c r="A38" s="287"/>
      <c r="B38" s="286"/>
      <c r="C38" s="265"/>
      <c r="D38" s="9"/>
      <c r="E38" s="9"/>
      <c r="F38" s="9"/>
      <c r="G38" s="265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67"/>
      <c r="AA38" s="267"/>
      <c r="AB38" s="269"/>
      <c r="AC38" s="293"/>
    </row>
    <row r="39" spans="1:29" x14ac:dyDescent="0.2">
      <c r="A39" s="287"/>
      <c r="B39" s="290" t="s">
        <v>3</v>
      </c>
      <c r="C39" s="279" t="s">
        <v>82</v>
      </c>
      <c r="D39" s="10"/>
      <c r="E39" s="10"/>
      <c r="F39" s="10"/>
      <c r="G39" s="279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83">
        <f>SUM(L39, R39, X39)+SUM(L40, R40, X40)</f>
        <v>0</v>
      </c>
      <c r="AA39" s="283">
        <f>SUM(M39, S39, Y39)+SUM(M40, S40, Y40)</f>
        <v>0</v>
      </c>
      <c r="AB39" s="258">
        <f>IF($Z39=0, ,AA39/$Z39)</f>
        <v>0</v>
      </c>
      <c r="AC39" s="277" t="s">
        <v>87</v>
      </c>
    </row>
    <row r="40" spans="1:29" x14ac:dyDescent="0.2">
      <c r="A40" s="287"/>
      <c r="B40" s="291"/>
      <c r="C40" s="280"/>
      <c r="D40" s="10"/>
      <c r="E40" s="10"/>
      <c r="F40" s="10"/>
      <c r="G40" s="280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84"/>
      <c r="AA40" s="284"/>
      <c r="AB40" s="259"/>
      <c r="AC40" s="278"/>
    </row>
    <row r="41" spans="1:29" x14ac:dyDescent="0.2">
      <c r="A41" s="287"/>
      <c r="B41" s="285" t="s">
        <v>4</v>
      </c>
      <c r="C41" s="264" t="s">
        <v>9</v>
      </c>
      <c r="D41" s="9"/>
      <c r="E41" s="10"/>
      <c r="F41" s="9"/>
      <c r="G41" s="264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66">
        <f>SUM(L41, R41, X41)+SUM(L42, R42, X42)</f>
        <v>0</v>
      </c>
      <c r="AA41" s="266">
        <f>SUM(M41, S41, Y41)+SUM(M42, S42, Y42)</f>
        <v>0</v>
      </c>
      <c r="AB41" s="268">
        <f>IF($Z41=0, ,AA41/$Z41)</f>
        <v>0</v>
      </c>
      <c r="AC41" s="292" t="s">
        <v>87</v>
      </c>
    </row>
    <row r="42" spans="1:29" x14ac:dyDescent="0.2">
      <c r="A42" s="287"/>
      <c r="B42" s="286"/>
      <c r="C42" s="265"/>
      <c r="D42" s="9"/>
      <c r="E42" s="9"/>
      <c r="F42" s="9"/>
      <c r="G42" s="265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67"/>
      <c r="AA42" s="267"/>
      <c r="AB42" s="269"/>
      <c r="AC42" s="293"/>
    </row>
    <row r="43" spans="1:29" x14ac:dyDescent="0.2">
      <c r="A43" s="287"/>
      <c r="B43" s="294" t="s">
        <v>85</v>
      </c>
      <c r="C43" s="296" t="s">
        <v>83</v>
      </c>
      <c r="D43" s="11"/>
      <c r="E43" s="10"/>
      <c r="F43" s="11"/>
      <c r="G43" s="296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98">
        <f>SUM(L43, R43, X43)+SUM(L44, R44, X44)</f>
        <v>0</v>
      </c>
      <c r="AA43" s="298">
        <f>SUM(M43, S43, Y43)+SUM(M44, S44, Y44)</f>
        <v>0</v>
      </c>
      <c r="AB43" s="258">
        <f>IF($Z43=0, ,AA43/$Z43)</f>
        <v>0</v>
      </c>
      <c r="AC43" s="260" t="s">
        <v>87</v>
      </c>
    </row>
    <row r="44" spans="1:29" x14ac:dyDescent="0.2">
      <c r="A44" s="287"/>
      <c r="B44" s="295"/>
      <c r="C44" s="297"/>
      <c r="D44" s="11"/>
      <c r="E44" s="11"/>
      <c r="F44" s="11"/>
      <c r="G44" s="297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98"/>
      <c r="AA44" s="298"/>
      <c r="AB44" s="259"/>
      <c r="AC44" s="260"/>
    </row>
    <row r="45" spans="1:29" x14ac:dyDescent="0.2">
      <c r="A45" s="287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87"/>
      <c r="B46" s="261" t="s">
        <v>67</v>
      </c>
      <c r="C46" s="262"/>
      <c r="D46" s="262"/>
      <c r="E46" s="262"/>
      <c r="F46" s="262"/>
      <c r="G46" s="9" t="s">
        <v>68</v>
      </c>
      <c r="H46" s="263" t="s">
        <v>64</v>
      </c>
      <c r="I46" s="263"/>
      <c r="J46" s="263"/>
      <c r="K46" s="263" t="s">
        <v>76</v>
      </c>
      <c r="L46" s="263"/>
      <c r="M46" s="263"/>
      <c r="N46" s="263" t="s">
        <v>65</v>
      </c>
      <c r="O46" s="263"/>
      <c r="P46" s="263"/>
      <c r="Q46" s="263" t="s">
        <v>66</v>
      </c>
      <c r="R46" s="263"/>
      <c r="S46" s="263"/>
      <c r="T46" s="263" t="s">
        <v>73</v>
      </c>
      <c r="U46" s="263"/>
      <c r="V46" s="263"/>
      <c r="W46" s="263" t="s">
        <v>74</v>
      </c>
      <c r="X46" s="263"/>
      <c r="Y46" s="263"/>
      <c r="Z46" s="263" t="s">
        <v>75</v>
      </c>
      <c r="AA46" s="263"/>
      <c r="AB46" s="263"/>
      <c r="AC46" s="254"/>
    </row>
    <row r="47" spans="1:29" x14ac:dyDescent="0.2">
      <c r="A47" s="287"/>
      <c r="B47" s="261"/>
      <c r="C47" s="262"/>
      <c r="D47" s="262"/>
      <c r="E47" s="262"/>
      <c r="F47" s="262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54"/>
    </row>
    <row r="48" spans="1:29" x14ac:dyDescent="0.2">
      <c r="A48" s="287"/>
      <c r="B48" s="255" t="str">
        <f>B35</f>
        <v>02C</v>
      </c>
      <c r="C48" s="256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57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54"/>
    </row>
    <row r="49" spans="1:29" x14ac:dyDescent="0.2">
      <c r="A49" s="287"/>
      <c r="B49" s="255"/>
      <c r="C49" s="256"/>
      <c r="D49" s="9"/>
      <c r="E49" s="9" t="str">
        <f t="shared" ref="E49:F51" si="7">IF(ISBLANK(E36), "", E36)</f>
        <v/>
      </c>
      <c r="F49" s="9" t="str">
        <f t="shared" si="7"/>
        <v/>
      </c>
      <c r="G49" s="257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54"/>
    </row>
    <row r="50" spans="1:29" x14ac:dyDescent="0.2">
      <c r="A50" s="287"/>
      <c r="B50" s="255" t="str">
        <f>B37</f>
        <v>03C</v>
      </c>
      <c r="C50" s="256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57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54"/>
    </row>
    <row r="51" spans="1:29" x14ac:dyDescent="0.2">
      <c r="A51" s="287"/>
      <c r="B51" s="255"/>
      <c r="C51" s="256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57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54"/>
    </row>
    <row r="53" spans="1:29" x14ac:dyDescent="0.2">
      <c r="A53" s="287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87"/>
      <c r="B54" s="288" t="s">
        <v>10</v>
      </c>
      <c r="C54" s="289" t="s">
        <v>0</v>
      </c>
      <c r="D54" s="289" t="s">
        <v>25</v>
      </c>
      <c r="E54" s="289" t="s">
        <v>11</v>
      </c>
      <c r="F54" s="289" t="s">
        <v>16</v>
      </c>
      <c r="G54" s="270" t="s">
        <v>12</v>
      </c>
      <c r="H54" s="271" t="s">
        <v>13</v>
      </c>
      <c r="I54" s="272"/>
      <c r="J54" s="272"/>
      <c r="K54" s="272"/>
      <c r="L54" s="272"/>
      <c r="M54" s="273"/>
      <c r="N54" s="271" t="s">
        <v>14</v>
      </c>
      <c r="O54" s="272"/>
      <c r="P54" s="272"/>
      <c r="Q54" s="272"/>
      <c r="R54" s="272"/>
      <c r="S54" s="273"/>
      <c r="T54" s="271" t="s">
        <v>15</v>
      </c>
      <c r="U54" s="272"/>
      <c r="V54" s="272"/>
      <c r="W54" s="272"/>
      <c r="X54" s="272"/>
      <c r="Y54" s="273"/>
      <c r="Z54" s="274" t="s">
        <v>37</v>
      </c>
      <c r="AA54" s="274" t="s">
        <v>39</v>
      </c>
      <c r="AB54" s="274" t="s">
        <v>62</v>
      </c>
      <c r="AC54" s="299" t="s">
        <v>26</v>
      </c>
    </row>
    <row r="55" spans="1:29" ht="25.5" x14ac:dyDescent="0.2">
      <c r="A55" s="287"/>
      <c r="B55" s="288"/>
      <c r="C55" s="289"/>
      <c r="D55" s="289"/>
      <c r="E55" s="289"/>
      <c r="F55" s="289"/>
      <c r="G55" s="270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75"/>
      <c r="AA55" s="276"/>
      <c r="AB55" s="276"/>
      <c r="AC55" s="299"/>
    </row>
    <row r="56" spans="1:29" x14ac:dyDescent="0.2">
      <c r="A56" s="287"/>
      <c r="B56" s="300" t="s">
        <v>2</v>
      </c>
      <c r="C56" s="302" t="s">
        <v>84</v>
      </c>
      <c r="D56" s="12"/>
      <c r="E56" s="10"/>
      <c r="F56" s="12"/>
      <c r="G56" s="302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66">
        <f>SUM(L56, R56, X56)+SUM(L57, R57, X57)</f>
        <v>0</v>
      </c>
      <c r="AA56" s="266">
        <f>SUM(M56, S56, Y56)+SUM(M57, S57, Y57)</f>
        <v>0</v>
      </c>
      <c r="AB56" s="268">
        <f>IF($Z56=0, ,AA56/$Z56)</f>
        <v>0</v>
      </c>
      <c r="AC56" s="292" t="s">
        <v>87</v>
      </c>
    </row>
    <row r="57" spans="1:29" x14ac:dyDescent="0.2">
      <c r="A57" s="287"/>
      <c r="B57" s="301"/>
      <c r="C57" s="303"/>
      <c r="D57" s="12"/>
      <c r="E57" s="12"/>
      <c r="F57" s="12"/>
      <c r="G57" s="304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67"/>
      <c r="AA57" s="267"/>
      <c r="AB57" s="269"/>
      <c r="AC57" s="293"/>
    </row>
    <row r="58" spans="1:29" x14ac:dyDescent="0.2">
      <c r="A58" s="287"/>
      <c r="B58" s="290" t="s">
        <v>6</v>
      </c>
      <c r="C58" s="279" t="s">
        <v>8</v>
      </c>
      <c r="D58" s="10"/>
      <c r="E58" s="10"/>
      <c r="F58" s="10"/>
      <c r="G58" s="279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81">
        <f>SUM(L58, R58, X58)+SUM(L59, R59, X59)</f>
        <v>0</v>
      </c>
      <c r="AA58" s="283">
        <f>SUM(M58, S58, Y58)+SUM(M59, S59, Y59)</f>
        <v>0</v>
      </c>
      <c r="AB58" s="258">
        <f>IF($Z58=0, ,AA58/$Z58)</f>
        <v>0</v>
      </c>
      <c r="AC58" s="277" t="s">
        <v>87</v>
      </c>
    </row>
    <row r="59" spans="1:29" x14ac:dyDescent="0.2">
      <c r="A59" s="287"/>
      <c r="B59" s="291"/>
      <c r="C59" s="280"/>
      <c r="D59" s="10"/>
      <c r="E59" s="10"/>
      <c r="F59" s="10"/>
      <c r="G59" s="280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82"/>
      <c r="AA59" s="284"/>
      <c r="AB59" s="259"/>
      <c r="AC59" s="278"/>
    </row>
    <row r="60" spans="1:29" x14ac:dyDescent="0.2">
      <c r="A60" s="287"/>
      <c r="B60" s="285" t="s">
        <v>7</v>
      </c>
      <c r="C60" s="264" t="s">
        <v>81</v>
      </c>
      <c r="D60" s="9"/>
      <c r="E60" s="9"/>
      <c r="F60" s="9"/>
      <c r="G60" s="264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66">
        <f>SUM(L60, R60, X60)+SUM(L61, R61, X61)</f>
        <v>0</v>
      </c>
      <c r="AA60" s="266">
        <f>SUM(M60, S60, Y60)+SUM(M61, S61, Y61)</f>
        <v>0</v>
      </c>
      <c r="AB60" s="268">
        <f>IF($Z60=0, ,AA60/$Z60)</f>
        <v>0</v>
      </c>
      <c r="AC60" s="292" t="s">
        <v>87</v>
      </c>
    </row>
    <row r="61" spans="1:29" x14ac:dyDescent="0.2">
      <c r="A61" s="287"/>
      <c r="B61" s="286"/>
      <c r="C61" s="265"/>
      <c r="D61" s="9"/>
      <c r="E61" s="9"/>
      <c r="F61" s="9"/>
      <c r="G61" s="265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67"/>
      <c r="AA61" s="267"/>
      <c r="AB61" s="269"/>
      <c r="AC61" s="293"/>
    </row>
    <row r="62" spans="1:29" x14ac:dyDescent="0.2">
      <c r="A62" s="287"/>
      <c r="B62" s="290" t="s">
        <v>3</v>
      </c>
      <c r="C62" s="279" t="s">
        <v>82</v>
      </c>
      <c r="D62" s="10"/>
      <c r="E62" s="10"/>
      <c r="F62" s="10"/>
      <c r="G62" s="279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83">
        <f>SUM(L62, R62, X62)+SUM(L63, R63, X63)</f>
        <v>0</v>
      </c>
      <c r="AA62" s="283">
        <f>SUM(M62, S62, Y62)+SUM(M63, S63, Y63)</f>
        <v>0</v>
      </c>
      <c r="AB62" s="258">
        <f>IF($Z62=0, ,AA62/$Z62)</f>
        <v>0</v>
      </c>
      <c r="AC62" s="277" t="s">
        <v>87</v>
      </c>
    </row>
    <row r="63" spans="1:29" x14ac:dyDescent="0.2">
      <c r="A63" s="287"/>
      <c r="B63" s="291"/>
      <c r="C63" s="280"/>
      <c r="D63" s="10"/>
      <c r="E63" s="10"/>
      <c r="F63" s="10"/>
      <c r="G63" s="280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84"/>
      <c r="AA63" s="284"/>
      <c r="AB63" s="259"/>
      <c r="AC63" s="278"/>
    </row>
    <row r="64" spans="1:29" x14ac:dyDescent="0.2">
      <c r="A64" s="287"/>
      <c r="B64" s="285" t="s">
        <v>4</v>
      </c>
      <c r="C64" s="264" t="s">
        <v>9</v>
      </c>
      <c r="D64" s="9"/>
      <c r="E64" s="10"/>
      <c r="F64" s="9"/>
      <c r="G64" s="264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66">
        <f>SUM(L64, R64, X64)+SUM(L65, R65, X65)</f>
        <v>0</v>
      </c>
      <c r="AA64" s="266">
        <f>SUM(M64, S64, Y64)+SUM(M65, S65, Y65)</f>
        <v>0</v>
      </c>
      <c r="AB64" s="268">
        <f>IF($Z64=0, ,AA64/$Z64)</f>
        <v>0</v>
      </c>
      <c r="AC64" s="292" t="s">
        <v>87</v>
      </c>
    </row>
    <row r="65" spans="1:29" x14ac:dyDescent="0.2">
      <c r="A65" s="287"/>
      <c r="B65" s="286"/>
      <c r="C65" s="265"/>
      <c r="D65" s="9"/>
      <c r="E65" s="9"/>
      <c r="F65" s="9"/>
      <c r="G65" s="265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67"/>
      <c r="AA65" s="267"/>
      <c r="AB65" s="269"/>
      <c r="AC65" s="293"/>
    </row>
    <row r="66" spans="1:29" x14ac:dyDescent="0.2">
      <c r="A66" s="287"/>
      <c r="B66" s="294" t="s">
        <v>85</v>
      </c>
      <c r="C66" s="296" t="s">
        <v>83</v>
      </c>
      <c r="D66" s="11"/>
      <c r="E66" s="10"/>
      <c r="F66" s="11"/>
      <c r="G66" s="296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98">
        <f>SUM(L66, R66, X66)+SUM(L67, R67, X67)</f>
        <v>0</v>
      </c>
      <c r="AA66" s="298">
        <f>SUM(M66, S66, Y66)+SUM(M67, S67, Y67)</f>
        <v>0</v>
      </c>
      <c r="AB66" s="258">
        <f>IF($Z66=0, ,AA66/$Z66)</f>
        <v>0</v>
      </c>
      <c r="AC66" s="260" t="s">
        <v>87</v>
      </c>
    </row>
    <row r="67" spans="1:29" x14ac:dyDescent="0.2">
      <c r="A67" s="287"/>
      <c r="B67" s="295"/>
      <c r="C67" s="297"/>
      <c r="D67" s="11"/>
      <c r="E67" s="11"/>
      <c r="F67" s="11"/>
      <c r="G67" s="297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98"/>
      <c r="AA67" s="298"/>
      <c r="AB67" s="259"/>
      <c r="AC67" s="260"/>
    </row>
    <row r="68" spans="1:29" x14ac:dyDescent="0.2">
      <c r="A68" s="287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87"/>
      <c r="B69" s="261" t="s">
        <v>67</v>
      </c>
      <c r="C69" s="262"/>
      <c r="D69" s="262"/>
      <c r="E69" s="262"/>
      <c r="F69" s="262"/>
      <c r="G69" s="9" t="s">
        <v>68</v>
      </c>
      <c r="H69" s="263" t="s">
        <v>64</v>
      </c>
      <c r="I69" s="263"/>
      <c r="J69" s="263"/>
      <c r="K69" s="263" t="s">
        <v>76</v>
      </c>
      <c r="L69" s="263"/>
      <c r="M69" s="263"/>
      <c r="N69" s="263" t="s">
        <v>65</v>
      </c>
      <c r="O69" s="263"/>
      <c r="P69" s="263"/>
      <c r="Q69" s="263" t="s">
        <v>66</v>
      </c>
      <c r="R69" s="263"/>
      <c r="S69" s="263"/>
      <c r="T69" s="263" t="s">
        <v>73</v>
      </c>
      <c r="U69" s="263"/>
      <c r="V69" s="263"/>
      <c r="W69" s="263" t="s">
        <v>74</v>
      </c>
      <c r="X69" s="263"/>
      <c r="Y69" s="263"/>
      <c r="Z69" s="263" t="s">
        <v>75</v>
      </c>
      <c r="AA69" s="263"/>
      <c r="AB69" s="263"/>
      <c r="AC69" s="254"/>
    </row>
    <row r="70" spans="1:29" x14ac:dyDescent="0.2">
      <c r="A70" s="287"/>
      <c r="B70" s="261"/>
      <c r="C70" s="262"/>
      <c r="D70" s="262"/>
      <c r="E70" s="262"/>
      <c r="F70" s="262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54"/>
    </row>
    <row r="71" spans="1:29" x14ac:dyDescent="0.2">
      <c r="A71" s="287"/>
      <c r="B71" s="255" t="str">
        <f>B58</f>
        <v>02C</v>
      </c>
      <c r="C71" s="256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57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54"/>
    </row>
    <row r="72" spans="1:29" x14ac:dyDescent="0.2">
      <c r="A72" s="287"/>
      <c r="B72" s="255"/>
      <c r="C72" s="256"/>
      <c r="D72" s="9"/>
      <c r="E72" s="9" t="str">
        <f t="shared" ref="E72:F74" si="11">IF(ISBLANK(E59), "", E59)</f>
        <v/>
      </c>
      <c r="F72" s="9" t="str">
        <f t="shared" si="11"/>
        <v/>
      </c>
      <c r="G72" s="257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54"/>
    </row>
    <row r="73" spans="1:29" x14ac:dyDescent="0.2">
      <c r="A73" s="287"/>
      <c r="B73" s="255" t="str">
        <f>B60</f>
        <v>03C</v>
      </c>
      <c r="C73" s="256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57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54"/>
    </row>
    <row r="74" spans="1:29" x14ac:dyDescent="0.2">
      <c r="A74" s="287"/>
      <c r="B74" s="255"/>
      <c r="C74" s="256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57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54"/>
    </row>
    <row r="76" spans="1:29" x14ac:dyDescent="0.2">
      <c r="A76" s="287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87"/>
      <c r="B77" s="288" t="s">
        <v>10</v>
      </c>
      <c r="C77" s="289" t="s">
        <v>0</v>
      </c>
      <c r="D77" s="289" t="s">
        <v>25</v>
      </c>
      <c r="E77" s="289" t="s">
        <v>11</v>
      </c>
      <c r="F77" s="289" t="s">
        <v>16</v>
      </c>
      <c r="G77" s="270" t="s">
        <v>12</v>
      </c>
      <c r="H77" s="271" t="s">
        <v>13</v>
      </c>
      <c r="I77" s="272"/>
      <c r="J77" s="272"/>
      <c r="K77" s="272"/>
      <c r="L77" s="272"/>
      <c r="M77" s="273"/>
      <c r="N77" s="271" t="s">
        <v>14</v>
      </c>
      <c r="O77" s="272"/>
      <c r="P77" s="272"/>
      <c r="Q77" s="272"/>
      <c r="R77" s="272"/>
      <c r="S77" s="273"/>
      <c r="T77" s="271" t="s">
        <v>15</v>
      </c>
      <c r="U77" s="272"/>
      <c r="V77" s="272"/>
      <c r="W77" s="272"/>
      <c r="X77" s="272"/>
      <c r="Y77" s="273"/>
      <c r="Z77" s="274" t="s">
        <v>37</v>
      </c>
      <c r="AA77" s="274" t="s">
        <v>39</v>
      </c>
      <c r="AB77" s="274" t="s">
        <v>62</v>
      </c>
      <c r="AC77" s="299" t="s">
        <v>26</v>
      </c>
    </row>
    <row r="78" spans="1:29" ht="25.5" x14ac:dyDescent="0.2">
      <c r="A78" s="287"/>
      <c r="B78" s="288"/>
      <c r="C78" s="289"/>
      <c r="D78" s="289"/>
      <c r="E78" s="289"/>
      <c r="F78" s="289"/>
      <c r="G78" s="270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75"/>
      <c r="AA78" s="276"/>
      <c r="AB78" s="276"/>
      <c r="AC78" s="299"/>
    </row>
    <row r="79" spans="1:29" x14ac:dyDescent="0.2">
      <c r="A79" s="287"/>
      <c r="B79" s="300" t="s">
        <v>2</v>
      </c>
      <c r="C79" s="302" t="s">
        <v>84</v>
      </c>
      <c r="D79" s="12"/>
      <c r="E79" s="10"/>
      <c r="F79" s="12"/>
      <c r="G79" s="302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66">
        <f>SUM(L79, R79, X79)+SUM(L80, R80, X80)</f>
        <v>0</v>
      </c>
      <c r="AA79" s="266">
        <f>SUM(M79, S79, Y79)+SUM(M80, S80, Y80)</f>
        <v>0</v>
      </c>
      <c r="AB79" s="268">
        <f>IF($Z79=0, ,AA79/$Z79)</f>
        <v>0</v>
      </c>
      <c r="AC79" s="292" t="s">
        <v>87</v>
      </c>
    </row>
    <row r="80" spans="1:29" x14ac:dyDescent="0.2">
      <c r="A80" s="287"/>
      <c r="B80" s="301"/>
      <c r="C80" s="303"/>
      <c r="D80" s="12"/>
      <c r="E80" s="12"/>
      <c r="F80" s="12"/>
      <c r="G80" s="304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67"/>
      <c r="AA80" s="267"/>
      <c r="AB80" s="269"/>
      <c r="AC80" s="293"/>
    </row>
    <row r="81" spans="1:29" x14ac:dyDescent="0.2">
      <c r="A81" s="287"/>
      <c r="B81" s="290" t="s">
        <v>6</v>
      </c>
      <c r="C81" s="279" t="s">
        <v>8</v>
      </c>
      <c r="D81" s="10"/>
      <c r="E81" s="10"/>
      <c r="F81" s="10"/>
      <c r="G81" s="279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81">
        <f>SUM(L81, R81, X81)+SUM(L82, R82, X82)</f>
        <v>0</v>
      </c>
      <c r="AA81" s="283">
        <f>SUM(M81, S81, Y81)+SUM(M82, S82, Y82)</f>
        <v>0</v>
      </c>
      <c r="AB81" s="258">
        <f>IF($Z81=0, ,AA81/$Z81)</f>
        <v>0</v>
      </c>
      <c r="AC81" s="277" t="s">
        <v>87</v>
      </c>
    </row>
    <row r="82" spans="1:29" x14ac:dyDescent="0.2">
      <c r="A82" s="287"/>
      <c r="B82" s="291"/>
      <c r="C82" s="280"/>
      <c r="D82" s="10"/>
      <c r="E82" s="10"/>
      <c r="F82" s="10"/>
      <c r="G82" s="280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82"/>
      <c r="AA82" s="284"/>
      <c r="AB82" s="259"/>
      <c r="AC82" s="278"/>
    </row>
    <row r="83" spans="1:29" x14ac:dyDescent="0.2">
      <c r="A83" s="287"/>
      <c r="B83" s="285" t="s">
        <v>7</v>
      </c>
      <c r="C83" s="264" t="s">
        <v>81</v>
      </c>
      <c r="D83" s="9"/>
      <c r="E83" s="9"/>
      <c r="F83" s="9"/>
      <c r="G83" s="264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66">
        <f>SUM(L83, R83, X83)+SUM(L84, R84, X84)</f>
        <v>0</v>
      </c>
      <c r="AA83" s="266">
        <f>SUM(M83, S83, Y83)+SUM(M84, S84, Y84)</f>
        <v>0</v>
      </c>
      <c r="AB83" s="268">
        <f>IF($Z83=0, ,AA83/$Z83)</f>
        <v>0</v>
      </c>
      <c r="AC83" s="292" t="s">
        <v>87</v>
      </c>
    </row>
    <row r="84" spans="1:29" x14ac:dyDescent="0.2">
      <c r="A84" s="287"/>
      <c r="B84" s="286"/>
      <c r="C84" s="265"/>
      <c r="D84" s="9"/>
      <c r="E84" s="9"/>
      <c r="F84" s="9"/>
      <c r="G84" s="265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67"/>
      <c r="AA84" s="267"/>
      <c r="AB84" s="269"/>
      <c r="AC84" s="293"/>
    </row>
    <row r="85" spans="1:29" x14ac:dyDescent="0.2">
      <c r="A85" s="287"/>
      <c r="B85" s="290" t="s">
        <v>3</v>
      </c>
      <c r="C85" s="279" t="s">
        <v>82</v>
      </c>
      <c r="D85" s="10"/>
      <c r="E85" s="10"/>
      <c r="F85" s="10"/>
      <c r="G85" s="279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83">
        <f>SUM(L85, R85, X85)+SUM(L86, R86, X86)</f>
        <v>0</v>
      </c>
      <c r="AA85" s="283">
        <f>SUM(M85, S85, Y85)+SUM(M86, S86, Y86)</f>
        <v>0</v>
      </c>
      <c r="AB85" s="258">
        <f>IF($Z85=0, ,AA85/$Z85)</f>
        <v>0</v>
      </c>
      <c r="AC85" s="277" t="s">
        <v>87</v>
      </c>
    </row>
    <row r="86" spans="1:29" x14ac:dyDescent="0.2">
      <c r="A86" s="287"/>
      <c r="B86" s="291"/>
      <c r="C86" s="280"/>
      <c r="D86" s="10"/>
      <c r="E86" s="10"/>
      <c r="F86" s="10"/>
      <c r="G86" s="280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84"/>
      <c r="AA86" s="284"/>
      <c r="AB86" s="259"/>
      <c r="AC86" s="278"/>
    </row>
    <row r="87" spans="1:29" x14ac:dyDescent="0.2">
      <c r="A87" s="287"/>
      <c r="B87" s="285" t="s">
        <v>4</v>
      </c>
      <c r="C87" s="264" t="s">
        <v>9</v>
      </c>
      <c r="D87" s="9"/>
      <c r="E87" s="10"/>
      <c r="F87" s="9"/>
      <c r="G87" s="264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66">
        <f>SUM(L87, R87, X87)+SUM(L88, R88, X88)</f>
        <v>0</v>
      </c>
      <c r="AA87" s="266">
        <f>SUM(M87, S87, Y87)+SUM(M88, S88, Y88)</f>
        <v>0</v>
      </c>
      <c r="AB87" s="268">
        <f>IF($Z87=0, ,AA87/$Z87)</f>
        <v>0</v>
      </c>
      <c r="AC87" s="292" t="s">
        <v>87</v>
      </c>
    </row>
    <row r="88" spans="1:29" x14ac:dyDescent="0.2">
      <c r="A88" s="287"/>
      <c r="B88" s="286"/>
      <c r="C88" s="265"/>
      <c r="D88" s="9"/>
      <c r="E88" s="9"/>
      <c r="F88" s="9"/>
      <c r="G88" s="265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67"/>
      <c r="AA88" s="267"/>
      <c r="AB88" s="269"/>
      <c r="AC88" s="293"/>
    </row>
    <row r="89" spans="1:29" x14ac:dyDescent="0.2">
      <c r="A89" s="287"/>
      <c r="B89" s="294" t="s">
        <v>85</v>
      </c>
      <c r="C89" s="296" t="s">
        <v>83</v>
      </c>
      <c r="D89" s="11"/>
      <c r="E89" s="10"/>
      <c r="F89" s="11"/>
      <c r="G89" s="296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98">
        <f>SUM(L89, R89, X89)+SUM(L90, R90, X90)</f>
        <v>0</v>
      </c>
      <c r="AA89" s="298">
        <f>SUM(M89, S89, Y89)+SUM(M90, S90, Y90)</f>
        <v>0</v>
      </c>
      <c r="AB89" s="258">
        <f>IF($Z89=0, ,AA89/$Z89)</f>
        <v>0</v>
      </c>
      <c r="AC89" s="260" t="s">
        <v>87</v>
      </c>
    </row>
    <row r="90" spans="1:29" x14ac:dyDescent="0.2">
      <c r="A90" s="287"/>
      <c r="B90" s="295"/>
      <c r="C90" s="297"/>
      <c r="D90" s="11"/>
      <c r="E90" s="11"/>
      <c r="F90" s="11"/>
      <c r="G90" s="297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98"/>
      <c r="AA90" s="298"/>
      <c r="AB90" s="259"/>
      <c r="AC90" s="260"/>
    </row>
    <row r="91" spans="1:29" x14ac:dyDescent="0.2">
      <c r="A91" s="287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87"/>
      <c r="B92" s="261" t="s">
        <v>67</v>
      </c>
      <c r="C92" s="262"/>
      <c r="D92" s="262"/>
      <c r="E92" s="262"/>
      <c r="F92" s="262"/>
      <c r="G92" s="9" t="s">
        <v>68</v>
      </c>
      <c r="H92" s="263" t="s">
        <v>64</v>
      </c>
      <c r="I92" s="263"/>
      <c r="J92" s="263"/>
      <c r="K92" s="263" t="s">
        <v>76</v>
      </c>
      <c r="L92" s="263"/>
      <c r="M92" s="263"/>
      <c r="N92" s="263" t="s">
        <v>65</v>
      </c>
      <c r="O92" s="263"/>
      <c r="P92" s="263"/>
      <c r="Q92" s="263" t="s">
        <v>66</v>
      </c>
      <c r="R92" s="263"/>
      <c r="S92" s="263"/>
      <c r="T92" s="263" t="s">
        <v>73</v>
      </c>
      <c r="U92" s="263"/>
      <c r="V92" s="263"/>
      <c r="W92" s="263" t="s">
        <v>74</v>
      </c>
      <c r="X92" s="263"/>
      <c r="Y92" s="263"/>
      <c r="Z92" s="263" t="s">
        <v>75</v>
      </c>
      <c r="AA92" s="263"/>
      <c r="AB92" s="263"/>
      <c r="AC92" s="254"/>
    </row>
    <row r="93" spans="1:29" x14ac:dyDescent="0.2">
      <c r="A93" s="287"/>
      <c r="B93" s="261"/>
      <c r="C93" s="262"/>
      <c r="D93" s="262"/>
      <c r="E93" s="262"/>
      <c r="F93" s="262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54"/>
    </row>
    <row r="94" spans="1:29" x14ac:dyDescent="0.2">
      <c r="A94" s="287"/>
      <c r="B94" s="255" t="str">
        <f>B81</f>
        <v>02C</v>
      </c>
      <c r="C94" s="256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57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54"/>
    </row>
    <row r="95" spans="1:29" x14ac:dyDescent="0.2">
      <c r="A95" s="287"/>
      <c r="B95" s="255"/>
      <c r="C95" s="256"/>
      <c r="D95" s="9"/>
      <c r="E95" s="9" t="str">
        <f t="shared" ref="E95:F97" si="15">IF(ISBLANK(E82), "", E82)</f>
        <v/>
      </c>
      <c r="F95" s="9" t="str">
        <f t="shared" si="15"/>
        <v/>
      </c>
      <c r="G95" s="257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54"/>
    </row>
    <row r="96" spans="1:29" x14ac:dyDescent="0.2">
      <c r="A96" s="287"/>
      <c r="B96" s="255" t="str">
        <f>B83</f>
        <v>03C</v>
      </c>
      <c r="C96" s="256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57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54"/>
    </row>
    <row r="97" spans="1:29" x14ac:dyDescent="0.2">
      <c r="A97" s="287"/>
      <c r="B97" s="255"/>
      <c r="C97" s="256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57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54"/>
    </row>
    <row r="99" spans="1:29" x14ac:dyDescent="0.2">
      <c r="A99" s="287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87"/>
      <c r="B100" s="288" t="s">
        <v>10</v>
      </c>
      <c r="C100" s="289" t="s">
        <v>0</v>
      </c>
      <c r="D100" s="289" t="s">
        <v>25</v>
      </c>
      <c r="E100" s="289" t="s">
        <v>11</v>
      </c>
      <c r="F100" s="289" t="s">
        <v>16</v>
      </c>
      <c r="G100" s="270" t="s">
        <v>12</v>
      </c>
      <c r="H100" s="271" t="s">
        <v>13</v>
      </c>
      <c r="I100" s="272"/>
      <c r="J100" s="272"/>
      <c r="K100" s="272"/>
      <c r="L100" s="272"/>
      <c r="M100" s="273"/>
      <c r="N100" s="271" t="s">
        <v>14</v>
      </c>
      <c r="O100" s="272"/>
      <c r="P100" s="272"/>
      <c r="Q100" s="272"/>
      <c r="R100" s="272"/>
      <c r="S100" s="273"/>
      <c r="T100" s="271" t="s">
        <v>15</v>
      </c>
      <c r="U100" s="272"/>
      <c r="V100" s="272"/>
      <c r="W100" s="272"/>
      <c r="X100" s="272"/>
      <c r="Y100" s="273"/>
      <c r="Z100" s="274" t="s">
        <v>37</v>
      </c>
      <c r="AA100" s="274" t="s">
        <v>39</v>
      </c>
      <c r="AB100" s="274" t="s">
        <v>62</v>
      </c>
      <c r="AC100" s="299" t="s">
        <v>26</v>
      </c>
    </row>
    <row r="101" spans="1:29" ht="36" customHeight="1" x14ac:dyDescent="0.2">
      <c r="A101" s="287"/>
      <c r="B101" s="288"/>
      <c r="C101" s="289"/>
      <c r="D101" s="289"/>
      <c r="E101" s="289"/>
      <c r="F101" s="289"/>
      <c r="G101" s="270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75"/>
      <c r="AA101" s="276"/>
      <c r="AB101" s="276"/>
      <c r="AC101" s="299"/>
    </row>
    <row r="102" spans="1:29" x14ac:dyDescent="0.2">
      <c r="A102" s="287"/>
      <c r="B102" s="300" t="s">
        <v>2</v>
      </c>
      <c r="C102" s="302" t="s">
        <v>84</v>
      </c>
      <c r="D102" s="12"/>
      <c r="E102" s="10"/>
      <c r="F102" s="12"/>
      <c r="G102" s="302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66">
        <f>SUM(L102, R102, X102)+SUM(L103, R103, X103)</f>
        <v>0</v>
      </c>
      <c r="AA102" s="266">
        <f>SUM(M102, S102, Y102)+SUM(M103, S103, Y103)</f>
        <v>0</v>
      </c>
      <c r="AB102" s="268">
        <f>IF($Z102=0, ,AA102/$Z102)</f>
        <v>0</v>
      </c>
      <c r="AC102" s="292" t="s">
        <v>87</v>
      </c>
    </row>
    <row r="103" spans="1:29" x14ac:dyDescent="0.2">
      <c r="A103" s="287"/>
      <c r="B103" s="301"/>
      <c r="C103" s="303"/>
      <c r="D103" s="12"/>
      <c r="E103" s="12"/>
      <c r="F103" s="12"/>
      <c r="G103" s="304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67"/>
      <c r="AA103" s="267"/>
      <c r="AB103" s="269"/>
      <c r="AC103" s="293"/>
    </row>
    <row r="104" spans="1:29" x14ac:dyDescent="0.2">
      <c r="A104" s="287"/>
      <c r="B104" s="290" t="s">
        <v>6</v>
      </c>
      <c r="C104" s="279" t="s">
        <v>8</v>
      </c>
      <c r="D104" s="10"/>
      <c r="E104" s="10"/>
      <c r="F104" s="10"/>
      <c r="G104" s="279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81">
        <f>SUM(L104, R104, X104)+SUM(L105, R105, X105)</f>
        <v>0</v>
      </c>
      <c r="AA104" s="283">
        <f>SUM(M104, S104, Y104)+SUM(M105, S105, Y105)</f>
        <v>0</v>
      </c>
      <c r="AB104" s="258">
        <f>IF($Z104=0, ,AA104/$Z104)</f>
        <v>0</v>
      </c>
      <c r="AC104" s="277" t="s">
        <v>87</v>
      </c>
    </row>
    <row r="105" spans="1:29" x14ac:dyDescent="0.2">
      <c r="A105" s="287"/>
      <c r="B105" s="291"/>
      <c r="C105" s="280"/>
      <c r="D105" s="10"/>
      <c r="E105" s="10"/>
      <c r="F105" s="10"/>
      <c r="G105" s="280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82"/>
      <c r="AA105" s="284"/>
      <c r="AB105" s="259"/>
      <c r="AC105" s="278"/>
    </row>
    <row r="106" spans="1:29" x14ac:dyDescent="0.2">
      <c r="A106" s="287"/>
      <c r="B106" s="285" t="s">
        <v>7</v>
      </c>
      <c r="C106" s="264" t="s">
        <v>81</v>
      </c>
      <c r="D106" s="9"/>
      <c r="E106" s="9"/>
      <c r="F106" s="9"/>
      <c r="G106" s="264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66">
        <f>SUM(L106, R106, X106)+SUM(L107, R107, X107)</f>
        <v>0</v>
      </c>
      <c r="AA106" s="266">
        <f>SUM(M106, S106, Y106)+SUM(M107, S107, Y107)</f>
        <v>0</v>
      </c>
      <c r="AB106" s="268">
        <f>IF($Z106=0, ,AA106/$Z106)</f>
        <v>0</v>
      </c>
      <c r="AC106" s="292" t="s">
        <v>87</v>
      </c>
    </row>
    <row r="107" spans="1:29" x14ac:dyDescent="0.2">
      <c r="A107" s="287"/>
      <c r="B107" s="286"/>
      <c r="C107" s="265"/>
      <c r="D107" s="9"/>
      <c r="E107" s="9"/>
      <c r="F107" s="9"/>
      <c r="G107" s="265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67"/>
      <c r="AA107" s="267"/>
      <c r="AB107" s="269"/>
      <c r="AC107" s="293"/>
    </row>
    <row r="108" spans="1:29" x14ac:dyDescent="0.2">
      <c r="A108" s="287"/>
      <c r="B108" s="290" t="s">
        <v>3</v>
      </c>
      <c r="C108" s="279" t="s">
        <v>82</v>
      </c>
      <c r="D108" s="10"/>
      <c r="E108" s="10"/>
      <c r="F108" s="10"/>
      <c r="G108" s="279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83">
        <f>SUM(L108, R108, X108)+SUM(L109, R109, X109)</f>
        <v>0</v>
      </c>
      <c r="AA108" s="283">
        <f>SUM(M108, S108, Y108)+SUM(M109, S109, Y109)</f>
        <v>0</v>
      </c>
      <c r="AB108" s="258">
        <f>IF($Z108=0, ,AA108/$Z108)</f>
        <v>0</v>
      </c>
      <c r="AC108" s="277" t="s">
        <v>87</v>
      </c>
    </row>
    <row r="109" spans="1:29" x14ac:dyDescent="0.2">
      <c r="A109" s="287"/>
      <c r="B109" s="291"/>
      <c r="C109" s="280"/>
      <c r="D109" s="10"/>
      <c r="E109" s="10"/>
      <c r="F109" s="10"/>
      <c r="G109" s="280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84"/>
      <c r="AA109" s="284"/>
      <c r="AB109" s="259"/>
      <c r="AC109" s="278"/>
    </row>
    <row r="110" spans="1:29" x14ac:dyDescent="0.2">
      <c r="A110" s="287"/>
      <c r="B110" s="285" t="s">
        <v>4</v>
      </c>
      <c r="C110" s="264" t="s">
        <v>9</v>
      </c>
      <c r="D110" s="9"/>
      <c r="E110" s="10"/>
      <c r="F110" s="9"/>
      <c r="G110" s="264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66">
        <f>SUM(L110, R110, X110)+SUM(L111, R111, X111)</f>
        <v>0</v>
      </c>
      <c r="AA110" s="266">
        <f>SUM(M110, S110, Y110)+SUM(M111, S111, Y111)</f>
        <v>0</v>
      </c>
      <c r="AB110" s="268">
        <f>IF($Z110=0, ,AA110/$Z110)</f>
        <v>0</v>
      </c>
      <c r="AC110" s="292" t="s">
        <v>87</v>
      </c>
    </row>
    <row r="111" spans="1:29" x14ac:dyDescent="0.2">
      <c r="A111" s="287"/>
      <c r="B111" s="286"/>
      <c r="C111" s="265"/>
      <c r="D111" s="9"/>
      <c r="E111" s="9"/>
      <c r="F111" s="9"/>
      <c r="G111" s="265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67"/>
      <c r="AA111" s="267"/>
      <c r="AB111" s="269"/>
      <c r="AC111" s="293"/>
    </row>
    <row r="112" spans="1:29" x14ac:dyDescent="0.2">
      <c r="A112" s="287"/>
      <c r="B112" s="294" t="s">
        <v>85</v>
      </c>
      <c r="C112" s="296" t="s">
        <v>83</v>
      </c>
      <c r="D112" s="11"/>
      <c r="E112" s="10"/>
      <c r="F112" s="11"/>
      <c r="G112" s="296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98">
        <f>SUM(L112, R112, X112)+SUM(L113, R113, X113)</f>
        <v>0</v>
      </c>
      <c r="AA112" s="298">
        <f>SUM(M112, S112, Y112)+SUM(M113, S113, Y113)</f>
        <v>0</v>
      </c>
      <c r="AB112" s="258">
        <f>IF($Z112=0, ,AA112/$Z112)</f>
        <v>0</v>
      </c>
      <c r="AC112" s="260" t="s">
        <v>87</v>
      </c>
    </row>
    <row r="113" spans="1:29" x14ac:dyDescent="0.2">
      <c r="A113" s="287"/>
      <c r="B113" s="295"/>
      <c r="C113" s="297"/>
      <c r="D113" s="11"/>
      <c r="E113" s="11"/>
      <c r="F113" s="11"/>
      <c r="G113" s="297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98"/>
      <c r="AA113" s="298"/>
      <c r="AB113" s="259"/>
      <c r="AC113" s="260"/>
    </row>
    <row r="114" spans="1:29" x14ac:dyDescent="0.2">
      <c r="A114" s="287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87"/>
      <c r="B115" s="261" t="s">
        <v>67</v>
      </c>
      <c r="C115" s="262"/>
      <c r="D115" s="262"/>
      <c r="E115" s="262"/>
      <c r="F115" s="262"/>
      <c r="G115" s="9" t="s">
        <v>68</v>
      </c>
      <c r="H115" s="263" t="s">
        <v>64</v>
      </c>
      <c r="I115" s="263"/>
      <c r="J115" s="263"/>
      <c r="K115" s="263" t="s">
        <v>76</v>
      </c>
      <c r="L115" s="263"/>
      <c r="M115" s="263"/>
      <c r="N115" s="263" t="s">
        <v>65</v>
      </c>
      <c r="O115" s="263"/>
      <c r="P115" s="263"/>
      <c r="Q115" s="263" t="s">
        <v>66</v>
      </c>
      <c r="R115" s="263"/>
      <c r="S115" s="263"/>
      <c r="T115" s="263" t="s">
        <v>73</v>
      </c>
      <c r="U115" s="263"/>
      <c r="V115" s="263"/>
      <c r="W115" s="263" t="s">
        <v>74</v>
      </c>
      <c r="X115" s="263"/>
      <c r="Y115" s="263"/>
      <c r="Z115" s="263" t="s">
        <v>75</v>
      </c>
      <c r="AA115" s="263"/>
      <c r="AB115" s="263"/>
      <c r="AC115" s="254"/>
    </row>
    <row r="116" spans="1:29" x14ac:dyDescent="0.2">
      <c r="A116" s="287"/>
      <c r="B116" s="261"/>
      <c r="C116" s="262"/>
      <c r="D116" s="262"/>
      <c r="E116" s="262"/>
      <c r="F116" s="262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54"/>
    </row>
    <row r="117" spans="1:29" x14ac:dyDescent="0.2">
      <c r="A117" s="287"/>
      <c r="B117" s="255" t="str">
        <f>B104</f>
        <v>02C</v>
      </c>
      <c r="C117" s="256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57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54"/>
    </row>
    <row r="118" spans="1:29" x14ac:dyDescent="0.2">
      <c r="A118" s="287"/>
      <c r="B118" s="255"/>
      <c r="C118" s="256"/>
      <c r="D118" s="9"/>
      <c r="E118" s="9" t="str">
        <f t="shared" ref="E118:F120" si="19">IF(ISBLANK(E105), "", E105)</f>
        <v/>
      </c>
      <c r="F118" s="9" t="str">
        <f t="shared" si="19"/>
        <v/>
      </c>
      <c r="G118" s="257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54"/>
    </row>
    <row r="119" spans="1:29" x14ac:dyDescent="0.2">
      <c r="A119" s="287"/>
      <c r="B119" s="255" t="str">
        <f>B106</f>
        <v>03C</v>
      </c>
      <c r="C119" s="256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57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54"/>
    </row>
    <row r="120" spans="1:29" x14ac:dyDescent="0.2">
      <c r="A120" s="287"/>
      <c r="B120" s="255"/>
      <c r="C120" s="256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57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54"/>
    </row>
    <row r="122" spans="1:29" x14ac:dyDescent="0.2">
      <c r="A122" s="287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87"/>
      <c r="B123" s="288" t="s">
        <v>10</v>
      </c>
      <c r="C123" s="289" t="s">
        <v>0</v>
      </c>
      <c r="D123" s="289" t="s">
        <v>25</v>
      </c>
      <c r="E123" s="289" t="s">
        <v>11</v>
      </c>
      <c r="F123" s="289" t="s">
        <v>16</v>
      </c>
      <c r="G123" s="270" t="s">
        <v>12</v>
      </c>
      <c r="H123" s="271" t="s">
        <v>13</v>
      </c>
      <c r="I123" s="272"/>
      <c r="J123" s="272"/>
      <c r="K123" s="272"/>
      <c r="L123" s="272"/>
      <c r="M123" s="273"/>
      <c r="N123" s="271" t="s">
        <v>14</v>
      </c>
      <c r="O123" s="272"/>
      <c r="P123" s="272"/>
      <c r="Q123" s="272"/>
      <c r="R123" s="272"/>
      <c r="S123" s="273"/>
      <c r="T123" s="271" t="s">
        <v>15</v>
      </c>
      <c r="U123" s="272"/>
      <c r="V123" s="272"/>
      <c r="W123" s="272"/>
      <c r="X123" s="272"/>
      <c r="Y123" s="273"/>
      <c r="Z123" s="274" t="s">
        <v>37</v>
      </c>
      <c r="AA123" s="274" t="s">
        <v>39</v>
      </c>
      <c r="AB123" s="274" t="s">
        <v>62</v>
      </c>
      <c r="AC123" s="299" t="s">
        <v>26</v>
      </c>
    </row>
    <row r="124" spans="1:29" ht="39.75" customHeight="1" x14ac:dyDescent="0.2">
      <c r="A124" s="287"/>
      <c r="B124" s="288"/>
      <c r="C124" s="289"/>
      <c r="D124" s="289"/>
      <c r="E124" s="289"/>
      <c r="F124" s="289"/>
      <c r="G124" s="270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75"/>
      <c r="AA124" s="276"/>
      <c r="AB124" s="276"/>
      <c r="AC124" s="299"/>
    </row>
    <row r="125" spans="1:29" x14ac:dyDescent="0.2">
      <c r="A125" s="287"/>
      <c r="B125" s="300" t="s">
        <v>2</v>
      </c>
      <c r="C125" s="302" t="s">
        <v>84</v>
      </c>
      <c r="D125" s="12"/>
      <c r="E125" s="10"/>
      <c r="F125" s="12"/>
      <c r="G125" s="302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66">
        <f>SUM(L125, R125, X125)+SUM(L126, R126, X126)</f>
        <v>0</v>
      </c>
      <c r="AA125" s="266">
        <f>SUM(M125, S125, Y125)+SUM(M126, S126, Y126)</f>
        <v>0</v>
      </c>
      <c r="AB125" s="268">
        <f>IF($Z125=0, ,AA125/$Z125)</f>
        <v>0</v>
      </c>
      <c r="AC125" s="292" t="s">
        <v>87</v>
      </c>
    </row>
    <row r="126" spans="1:29" x14ac:dyDescent="0.2">
      <c r="A126" s="287"/>
      <c r="B126" s="301"/>
      <c r="C126" s="303"/>
      <c r="D126" s="12"/>
      <c r="E126" s="12"/>
      <c r="F126" s="12"/>
      <c r="G126" s="304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67"/>
      <c r="AA126" s="267"/>
      <c r="AB126" s="269"/>
      <c r="AC126" s="293"/>
    </row>
    <row r="127" spans="1:29" x14ac:dyDescent="0.2">
      <c r="A127" s="287"/>
      <c r="B127" s="290" t="s">
        <v>6</v>
      </c>
      <c r="C127" s="279" t="s">
        <v>8</v>
      </c>
      <c r="D127" s="10"/>
      <c r="E127" s="10"/>
      <c r="F127" s="10"/>
      <c r="G127" s="279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81">
        <f>SUM(L127, R127, X127)+SUM(L128, R128, X128)</f>
        <v>0</v>
      </c>
      <c r="AA127" s="283">
        <f>SUM(M127, S127, Y127)+SUM(M128, S128, Y128)</f>
        <v>0</v>
      </c>
      <c r="AB127" s="258">
        <f>IF($Z127=0, ,AA127/$Z127)</f>
        <v>0</v>
      </c>
      <c r="AC127" s="277" t="s">
        <v>87</v>
      </c>
    </row>
    <row r="128" spans="1:29" x14ac:dyDescent="0.2">
      <c r="A128" s="287"/>
      <c r="B128" s="291"/>
      <c r="C128" s="280"/>
      <c r="D128" s="10"/>
      <c r="E128" s="10"/>
      <c r="F128" s="10"/>
      <c r="G128" s="280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82"/>
      <c r="AA128" s="284"/>
      <c r="AB128" s="259"/>
      <c r="AC128" s="278"/>
    </row>
    <row r="129" spans="1:29" x14ac:dyDescent="0.2">
      <c r="A129" s="287"/>
      <c r="B129" s="285" t="s">
        <v>7</v>
      </c>
      <c r="C129" s="264" t="s">
        <v>81</v>
      </c>
      <c r="D129" s="9"/>
      <c r="E129" s="9"/>
      <c r="F129" s="9"/>
      <c r="G129" s="264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66">
        <f>SUM(L129, R129, X129)+SUM(L130, R130, X130)</f>
        <v>0</v>
      </c>
      <c r="AA129" s="266">
        <f>SUM(M129, S129, Y129)+SUM(M130, S130, Y130)</f>
        <v>0</v>
      </c>
      <c r="AB129" s="268">
        <f>IF($Z129=0, ,AA129/$Z129)</f>
        <v>0</v>
      </c>
      <c r="AC129" s="292" t="s">
        <v>87</v>
      </c>
    </row>
    <row r="130" spans="1:29" x14ac:dyDescent="0.2">
      <c r="A130" s="287"/>
      <c r="B130" s="286"/>
      <c r="C130" s="265"/>
      <c r="D130" s="9"/>
      <c r="E130" s="9"/>
      <c r="F130" s="9"/>
      <c r="G130" s="265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67"/>
      <c r="AA130" s="267"/>
      <c r="AB130" s="269"/>
      <c r="AC130" s="293"/>
    </row>
    <row r="131" spans="1:29" x14ac:dyDescent="0.2">
      <c r="A131" s="287"/>
      <c r="B131" s="290" t="s">
        <v>3</v>
      </c>
      <c r="C131" s="279" t="s">
        <v>82</v>
      </c>
      <c r="D131" s="10"/>
      <c r="E131" s="10"/>
      <c r="F131" s="10"/>
      <c r="G131" s="279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83">
        <f>SUM(L131, R131, X131)+SUM(L132, R132, X132)</f>
        <v>0</v>
      </c>
      <c r="AA131" s="283">
        <f>SUM(M131, S131, Y131)+SUM(M132, S132, Y132)</f>
        <v>0</v>
      </c>
      <c r="AB131" s="258">
        <f>IF($Z131=0, ,AA131/$Z131)</f>
        <v>0</v>
      </c>
      <c r="AC131" s="277" t="s">
        <v>87</v>
      </c>
    </row>
    <row r="132" spans="1:29" x14ac:dyDescent="0.2">
      <c r="A132" s="287"/>
      <c r="B132" s="291"/>
      <c r="C132" s="280"/>
      <c r="D132" s="10"/>
      <c r="E132" s="10"/>
      <c r="F132" s="10"/>
      <c r="G132" s="280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84"/>
      <c r="AA132" s="284"/>
      <c r="AB132" s="259"/>
      <c r="AC132" s="278"/>
    </row>
    <row r="133" spans="1:29" x14ac:dyDescent="0.2">
      <c r="A133" s="287"/>
      <c r="B133" s="285" t="s">
        <v>4</v>
      </c>
      <c r="C133" s="264" t="s">
        <v>9</v>
      </c>
      <c r="D133" s="9"/>
      <c r="E133" s="10"/>
      <c r="F133" s="9"/>
      <c r="G133" s="264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66">
        <f>SUM(L133, R133, X133)+SUM(L134, R134, X134)</f>
        <v>0</v>
      </c>
      <c r="AA133" s="266">
        <f>SUM(M133, S133, Y133)+SUM(M134, S134, Y134)</f>
        <v>0</v>
      </c>
      <c r="AB133" s="268">
        <f>IF($Z133=0, ,AA133/$Z133)</f>
        <v>0</v>
      </c>
      <c r="AC133" s="292" t="s">
        <v>87</v>
      </c>
    </row>
    <row r="134" spans="1:29" x14ac:dyDescent="0.2">
      <c r="A134" s="287"/>
      <c r="B134" s="286"/>
      <c r="C134" s="265"/>
      <c r="D134" s="9"/>
      <c r="E134" s="9"/>
      <c r="F134" s="9"/>
      <c r="G134" s="265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67"/>
      <c r="AA134" s="267"/>
      <c r="AB134" s="269"/>
      <c r="AC134" s="293"/>
    </row>
    <row r="135" spans="1:29" x14ac:dyDescent="0.2">
      <c r="A135" s="287"/>
      <c r="B135" s="294" t="s">
        <v>85</v>
      </c>
      <c r="C135" s="296" t="s">
        <v>83</v>
      </c>
      <c r="D135" s="11"/>
      <c r="E135" s="10"/>
      <c r="F135" s="11"/>
      <c r="G135" s="296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98">
        <f>SUM(L135, R135, X135)+SUM(L136, R136, X136)</f>
        <v>0</v>
      </c>
      <c r="AA135" s="298">
        <f>SUM(M135, S135, Y135)+SUM(M136, S136, Y136)</f>
        <v>0</v>
      </c>
      <c r="AB135" s="258">
        <f>IF($Z135=0, ,AA135/$Z135)</f>
        <v>0</v>
      </c>
      <c r="AC135" s="260" t="s">
        <v>87</v>
      </c>
    </row>
    <row r="136" spans="1:29" x14ac:dyDescent="0.2">
      <c r="A136" s="287"/>
      <c r="B136" s="295"/>
      <c r="C136" s="297"/>
      <c r="D136" s="11"/>
      <c r="E136" s="11"/>
      <c r="F136" s="11"/>
      <c r="G136" s="297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98"/>
      <c r="AA136" s="298"/>
      <c r="AB136" s="259"/>
      <c r="AC136" s="260"/>
    </row>
    <row r="137" spans="1:29" x14ac:dyDescent="0.2">
      <c r="A137" s="287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87"/>
      <c r="B138" s="261" t="s">
        <v>67</v>
      </c>
      <c r="C138" s="262"/>
      <c r="D138" s="262"/>
      <c r="E138" s="262"/>
      <c r="F138" s="262"/>
      <c r="G138" s="9" t="s">
        <v>68</v>
      </c>
      <c r="H138" s="263" t="s">
        <v>64</v>
      </c>
      <c r="I138" s="263"/>
      <c r="J138" s="263"/>
      <c r="K138" s="263" t="s">
        <v>76</v>
      </c>
      <c r="L138" s="263"/>
      <c r="M138" s="263"/>
      <c r="N138" s="263" t="s">
        <v>65</v>
      </c>
      <c r="O138" s="263"/>
      <c r="P138" s="263"/>
      <c r="Q138" s="263" t="s">
        <v>66</v>
      </c>
      <c r="R138" s="263"/>
      <c r="S138" s="263"/>
      <c r="T138" s="263" t="s">
        <v>73</v>
      </c>
      <c r="U138" s="263"/>
      <c r="V138" s="263"/>
      <c r="W138" s="263" t="s">
        <v>74</v>
      </c>
      <c r="X138" s="263"/>
      <c r="Y138" s="263"/>
      <c r="Z138" s="263" t="s">
        <v>75</v>
      </c>
      <c r="AA138" s="263"/>
      <c r="AB138" s="263"/>
      <c r="AC138" s="254"/>
    </row>
    <row r="139" spans="1:29" x14ac:dyDescent="0.2">
      <c r="A139" s="287"/>
      <c r="B139" s="261"/>
      <c r="C139" s="262"/>
      <c r="D139" s="262"/>
      <c r="E139" s="262"/>
      <c r="F139" s="262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54"/>
    </row>
    <row r="140" spans="1:29" x14ac:dyDescent="0.2">
      <c r="A140" s="287"/>
      <c r="B140" s="255" t="str">
        <f>B127</f>
        <v>02C</v>
      </c>
      <c r="C140" s="256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57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54"/>
    </row>
    <row r="141" spans="1:29" x14ac:dyDescent="0.2">
      <c r="A141" s="287"/>
      <c r="B141" s="255"/>
      <c r="C141" s="256"/>
      <c r="D141" s="9"/>
      <c r="E141" s="9" t="str">
        <f t="shared" ref="E141:F143" si="23">IF(ISBLANK(E128), "", E128)</f>
        <v/>
      </c>
      <c r="F141" s="9" t="str">
        <f t="shared" si="23"/>
        <v/>
      </c>
      <c r="G141" s="257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54"/>
    </row>
    <row r="142" spans="1:29" x14ac:dyDescent="0.2">
      <c r="A142" s="287"/>
      <c r="B142" s="255" t="str">
        <f>B129</f>
        <v>03C</v>
      </c>
      <c r="C142" s="256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57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54"/>
    </row>
    <row r="143" spans="1:29" x14ac:dyDescent="0.2">
      <c r="A143" s="287"/>
      <c r="B143" s="255"/>
      <c r="C143" s="256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57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54"/>
    </row>
    <row r="145" spans="1:29" ht="12.75" customHeight="1" x14ac:dyDescent="0.2">
      <c r="A145" s="287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87"/>
      <c r="B146" s="288" t="s">
        <v>10</v>
      </c>
      <c r="C146" s="289" t="s">
        <v>0</v>
      </c>
      <c r="D146" s="289" t="s">
        <v>25</v>
      </c>
      <c r="E146" s="289" t="s">
        <v>11</v>
      </c>
      <c r="F146" s="289" t="s">
        <v>16</v>
      </c>
      <c r="G146" s="270" t="s">
        <v>12</v>
      </c>
      <c r="H146" s="271" t="s">
        <v>13</v>
      </c>
      <c r="I146" s="272"/>
      <c r="J146" s="272"/>
      <c r="K146" s="272"/>
      <c r="L146" s="272"/>
      <c r="M146" s="273"/>
      <c r="N146" s="271" t="s">
        <v>14</v>
      </c>
      <c r="O146" s="272"/>
      <c r="P146" s="272"/>
      <c r="Q146" s="272"/>
      <c r="R146" s="272"/>
      <c r="S146" s="273"/>
      <c r="T146" s="271" t="s">
        <v>15</v>
      </c>
      <c r="U146" s="272"/>
      <c r="V146" s="272"/>
      <c r="W146" s="272"/>
      <c r="X146" s="272"/>
      <c r="Y146" s="273"/>
      <c r="Z146" s="274" t="s">
        <v>37</v>
      </c>
      <c r="AA146" s="274" t="s">
        <v>39</v>
      </c>
      <c r="AB146" s="274" t="s">
        <v>62</v>
      </c>
      <c r="AC146" s="299" t="s">
        <v>26</v>
      </c>
    </row>
    <row r="147" spans="1:29" ht="42.75" customHeight="1" x14ac:dyDescent="0.2">
      <c r="A147" s="287"/>
      <c r="B147" s="288"/>
      <c r="C147" s="289"/>
      <c r="D147" s="289"/>
      <c r="E147" s="289"/>
      <c r="F147" s="289"/>
      <c r="G147" s="270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75"/>
      <c r="AA147" s="276"/>
      <c r="AB147" s="276"/>
      <c r="AC147" s="299"/>
    </row>
    <row r="148" spans="1:29" ht="12.75" customHeight="1" x14ac:dyDescent="0.2">
      <c r="A148" s="287"/>
      <c r="B148" s="300" t="s">
        <v>2</v>
      </c>
      <c r="C148" s="302" t="s">
        <v>84</v>
      </c>
      <c r="D148" s="12"/>
      <c r="E148" s="10"/>
      <c r="F148" s="12"/>
      <c r="G148" s="302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66">
        <f>SUM(L148, R148, X148)+SUM(L149, R149, X149)</f>
        <v>0</v>
      </c>
      <c r="AA148" s="266">
        <f>SUM(M148, S148, Y148)+SUM(M149, S149, Y149)</f>
        <v>0</v>
      </c>
      <c r="AB148" s="268">
        <f>IF($Z148=0, ,AA148/$Z148)</f>
        <v>0</v>
      </c>
      <c r="AC148" s="292"/>
    </row>
    <row r="149" spans="1:29" ht="12.75" customHeight="1" x14ac:dyDescent="0.2">
      <c r="A149" s="287"/>
      <c r="B149" s="301"/>
      <c r="C149" s="303"/>
      <c r="D149" s="12"/>
      <c r="E149" s="12"/>
      <c r="F149" s="12"/>
      <c r="G149" s="304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67"/>
      <c r="AA149" s="267"/>
      <c r="AB149" s="269"/>
      <c r="AC149" s="293"/>
    </row>
    <row r="150" spans="1:29" ht="12.75" customHeight="1" x14ac:dyDescent="0.2">
      <c r="A150" s="287"/>
      <c r="B150" s="290" t="s">
        <v>6</v>
      </c>
      <c r="C150" s="279" t="s">
        <v>8</v>
      </c>
      <c r="D150" s="10" t="s">
        <v>88</v>
      </c>
      <c r="E150" s="10" t="s">
        <v>89</v>
      </c>
      <c r="F150" s="10">
        <v>621</v>
      </c>
      <c r="G150" s="279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81">
        <f>SUM(L150, R150, X150)+SUM(L151, R151, X151)</f>
        <v>42072</v>
      </c>
      <c r="AA150" s="283">
        <f>SUM(M150, S150, Y150)+SUM(M151, S151, Y151)</f>
        <v>600</v>
      </c>
      <c r="AB150" s="258">
        <f>IF($Z150=0, ,AA150/$Z150)</f>
        <v>1.4261266400456361E-2</v>
      </c>
      <c r="AC150" s="277"/>
    </row>
    <row r="151" spans="1:29" ht="12.75" customHeight="1" x14ac:dyDescent="0.2">
      <c r="A151" s="287"/>
      <c r="B151" s="291"/>
      <c r="C151" s="280"/>
      <c r="D151" s="10"/>
      <c r="E151" s="10"/>
      <c r="F151" s="10"/>
      <c r="G151" s="280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82"/>
      <c r="AA151" s="284"/>
      <c r="AB151" s="259"/>
      <c r="AC151" s="278"/>
    </row>
    <row r="152" spans="1:29" ht="12.75" customHeight="1" x14ac:dyDescent="0.2">
      <c r="A152" s="287"/>
      <c r="B152" s="285" t="s">
        <v>7</v>
      </c>
      <c r="C152" s="264" t="s">
        <v>81</v>
      </c>
      <c r="D152" s="9" t="s">
        <v>90</v>
      </c>
      <c r="E152" s="9" t="s">
        <v>91</v>
      </c>
      <c r="F152" s="9">
        <v>621</v>
      </c>
      <c r="G152" s="264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66">
        <f>SUM(L152, R152, X152)+SUM(L153, R153, X153)</f>
        <v>32872</v>
      </c>
      <c r="AA152" s="266">
        <f>SUM(M152, S152, Y152)+SUM(M153, S153, Y153)</f>
        <v>120</v>
      </c>
      <c r="AB152" s="268">
        <f>IF($Z152=0, ,AA152/$Z152)</f>
        <v>3.6505232416646385E-3</v>
      </c>
      <c r="AC152" s="292"/>
    </row>
    <row r="153" spans="1:29" ht="12.75" customHeight="1" x14ac:dyDescent="0.2">
      <c r="A153" s="287"/>
      <c r="B153" s="286"/>
      <c r="C153" s="265"/>
      <c r="D153" s="9"/>
      <c r="E153" s="9"/>
      <c r="F153" s="9"/>
      <c r="G153" s="265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67"/>
      <c r="AA153" s="267"/>
      <c r="AB153" s="269"/>
      <c r="AC153" s="293"/>
    </row>
    <row r="154" spans="1:29" ht="12.75" customHeight="1" x14ac:dyDescent="0.2">
      <c r="A154" s="287"/>
      <c r="B154" s="290" t="s">
        <v>3</v>
      </c>
      <c r="C154" s="279" t="s">
        <v>82</v>
      </c>
      <c r="D154" s="10"/>
      <c r="E154" s="10"/>
      <c r="F154" s="10"/>
      <c r="G154" s="279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83">
        <f>SUM(L154, R154, X154)+SUM(L155, R155, X155)</f>
        <v>0</v>
      </c>
      <c r="AA154" s="283">
        <f>SUM(M154, S154, Y154)+SUM(M155, S155, Y155)</f>
        <v>0</v>
      </c>
      <c r="AB154" s="258">
        <f>IF($Z154=0, ,AA154/$Z154)</f>
        <v>0</v>
      </c>
      <c r="AC154" s="277"/>
    </row>
    <row r="155" spans="1:29" ht="12.75" customHeight="1" x14ac:dyDescent="0.2">
      <c r="A155" s="287"/>
      <c r="B155" s="291"/>
      <c r="C155" s="280"/>
      <c r="D155" s="10"/>
      <c r="E155" s="10"/>
      <c r="F155" s="10"/>
      <c r="G155" s="280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84"/>
      <c r="AA155" s="284"/>
      <c r="AB155" s="259"/>
      <c r="AC155" s="278"/>
    </row>
    <row r="156" spans="1:29" ht="12.75" customHeight="1" x14ac:dyDescent="0.2">
      <c r="A156" s="287"/>
      <c r="B156" s="285" t="s">
        <v>4</v>
      </c>
      <c r="C156" s="264" t="s">
        <v>9</v>
      </c>
      <c r="D156" s="9"/>
      <c r="E156" s="10"/>
      <c r="F156" s="9"/>
      <c r="G156" s="264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66">
        <f>SUM(L156, R156, X156)+SUM(L157, R157, X157)</f>
        <v>0</v>
      </c>
      <c r="AA156" s="266">
        <f>SUM(M156, S156, Y156)+SUM(M157, S157, Y157)</f>
        <v>0</v>
      </c>
      <c r="AB156" s="268">
        <f>IF($Z156=0, ,AA156/$Z156)</f>
        <v>0</v>
      </c>
      <c r="AC156" s="292"/>
    </row>
    <row r="157" spans="1:29" ht="12.75" customHeight="1" x14ac:dyDescent="0.2">
      <c r="A157" s="287"/>
      <c r="B157" s="286"/>
      <c r="C157" s="265"/>
      <c r="D157" s="9"/>
      <c r="E157" s="9"/>
      <c r="F157" s="9"/>
      <c r="G157" s="265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67"/>
      <c r="AA157" s="267"/>
      <c r="AB157" s="269"/>
      <c r="AC157" s="293"/>
    </row>
    <row r="158" spans="1:29" ht="12.75" customHeight="1" x14ac:dyDescent="0.2">
      <c r="A158" s="287"/>
      <c r="B158" s="294" t="s">
        <v>85</v>
      </c>
      <c r="C158" s="296" t="s">
        <v>83</v>
      </c>
      <c r="D158" s="11"/>
      <c r="E158" s="10"/>
      <c r="F158" s="11"/>
      <c r="G158" s="296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98">
        <f>SUM(L158, R158, X158)+SUM(L159, R159, X159)</f>
        <v>0</v>
      </c>
      <c r="AA158" s="298">
        <f>SUM(M158, S158, Y158)+SUM(M159, S159, Y159)</f>
        <v>0</v>
      </c>
      <c r="AB158" s="258">
        <f>IF($Z158=0, ,AA158/$Z158)</f>
        <v>0</v>
      </c>
      <c r="AC158" s="260"/>
    </row>
    <row r="159" spans="1:29" ht="12.75" customHeight="1" x14ac:dyDescent="0.2">
      <c r="A159" s="287"/>
      <c r="B159" s="295"/>
      <c r="C159" s="297"/>
      <c r="D159" s="11"/>
      <c r="E159" s="11"/>
      <c r="F159" s="11"/>
      <c r="G159" s="297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98"/>
      <c r="AA159" s="298"/>
      <c r="AB159" s="259"/>
      <c r="AC159" s="260"/>
    </row>
    <row r="160" spans="1:29" ht="12.75" customHeight="1" x14ac:dyDescent="0.2">
      <c r="A160" s="287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87"/>
      <c r="B161" s="261" t="s">
        <v>67</v>
      </c>
      <c r="C161" s="262"/>
      <c r="D161" s="262"/>
      <c r="E161" s="262"/>
      <c r="F161" s="262"/>
      <c r="G161" s="9" t="s">
        <v>68</v>
      </c>
      <c r="H161" s="263" t="s">
        <v>64</v>
      </c>
      <c r="I161" s="263"/>
      <c r="J161" s="263"/>
      <c r="K161" s="263" t="s">
        <v>76</v>
      </c>
      <c r="L161" s="263"/>
      <c r="M161" s="263"/>
      <c r="N161" s="263" t="s">
        <v>65</v>
      </c>
      <c r="O161" s="263"/>
      <c r="P161" s="263"/>
      <c r="Q161" s="263" t="s">
        <v>66</v>
      </c>
      <c r="R161" s="263"/>
      <c r="S161" s="263"/>
      <c r="T161" s="263" t="s">
        <v>73</v>
      </c>
      <c r="U161" s="263"/>
      <c r="V161" s="263"/>
      <c r="W161" s="263" t="s">
        <v>74</v>
      </c>
      <c r="X161" s="263"/>
      <c r="Y161" s="263"/>
      <c r="Z161" s="263" t="s">
        <v>75</v>
      </c>
      <c r="AA161" s="263"/>
      <c r="AB161" s="263"/>
      <c r="AC161" s="254" t="s">
        <v>97</v>
      </c>
    </row>
    <row r="162" spans="1:29" ht="12.75" customHeight="1" x14ac:dyDescent="0.2">
      <c r="A162" s="287"/>
      <c r="B162" s="261"/>
      <c r="C162" s="262"/>
      <c r="D162" s="262"/>
      <c r="E162" s="262"/>
      <c r="F162" s="262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54"/>
    </row>
    <row r="163" spans="1:29" ht="12.75" customHeight="1" x14ac:dyDescent="0.2">
      <c r="A163" s="287"/>
      <c r="B163" s="255" t="str">
        <f>B150</f>
        <v>02C</v>
      </c>
      <c r="C163" s="256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57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54"/>
    </row>
    <row r="164" spans="1:29" ht="12.75" customHeight="1" x14ac:dyDescent="0.2">
      <c r="A164" s="287"/>
      <c r="B164" s="255"/>
      <c r="C164" s="256"/>
      <c r="D164" s="9"/>
      <c r="E164" s="9" t="str">
        <f t="shared" ref="E164:F166" si="27">IF(ISBLANK(E151), "", E151)</f>
        <v/>
      </c>
      <c r="F164" s="9" t="str">
        <f t="shared" si="27"/>
        <v/>
      </c>
      <c r="G164" s="257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54"/>
    </row>
    <row r="165" spans="1:29" ht="12.75" customHeight="1" x14ac:dyDescent="0.2">
      <c r="A165" s="287"/>
      <c r="B165" s="255" t="str">
        <f>B152</f>
        <v>03C</v>
      </c>
      <c r="C165" s="256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57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54"/>
    </row>
    <row r="166" spans="1:29" ht="12.75" customHeight="1" x14ac:dyDescent="0.2">
      <c r="A166" s="287"/>
      <c r="B166" s="255"/>
      <c r="C166" s="256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57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54"/>
    </row>
    <row r="168" spans="1:29" x14ac:dyDescent="0.2">
      <c r="A168" s="287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87"/>
      <c r="B169" s="288" t="s">
        <v>10</v>
      </c>
      <c r="C169" s="289" t="s">
        <v>0</v>
      </c>
      <c r="D169" s="289" t="s">
        <v>25</v>
      </c>
      <c r="E169" s="289" t="s">
        <v>11</v>
      </c>
      <c r="F169" s="289" t="s">
        <v>16</v>
      </c>
      <c r="G169" s="270" t="s">
        <v>12</v>
      </c>
      <c r="H169" s="271" t="s">
        <v>13</v>
      </c>
      <c r="I169" s="272"/>
      <c r="J169" s="272"/>
      <c r="K169" s="272"/>
      <c r="L169" s="272"/>
      <c r="M169" s="273"/>
      <c r="N169" s="271" t="s">
        <v>14</v>
      </c>
      <c r="O169" s="272"/>
      <c r="P169" s="272"/>
      <c r="Q169" s="272"/>
      <c r="R169" s="272"/>
      <c r="S169" s="273"/>
      <c r="T169" s="271" t="s">
        <v>15</v>
      </c>
      <c r="U169" s="272"/>
      <c r="V169" s="272"/>
      <c r="W169" s="272"/>
      <c r="X169" s="272"/>
      <c r="Y169" s="273"/>
      <c r="Z169" s="274" t="s">
        <v>37</v>
      </c>
      <c r="AA169" s="274" t="s">
        <v>39</v>
      </c>
      <c r="AB169" s="274" t="s">
        <v>62</v>
      </c>
      <c r="AC169" s="299" t="s">
        <v>26</v>
      </c>
    </row>
    <row r="170" spans="1:29" ht="42.75" customHeight="1" x14ac:dyDescent="0.2">
      <c r="A170" s="287"/>
      <c r="B170" s="288"/>
      <c r="C170" s="289"/>
      <c r="D170" s="289"/>
      <c r="E170" s="289"/>
      <c r="F170" s="289"/>
      <c r="G170" s="270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75"/>
      <c r="AA170" s="276"/>
      <c r="AB170" s="276"/>
      <c r="AC170" s="299"/>
    </row>
    <row r="171" spans="1:29" x14ac:dyDescent="0.2">
      <c r="A171" s="287"/>
      <c r="B171" s="300" t="s">
        <v>2</v>
      </c>
      <c r="C171" s="302" t="s">
        <v>84</v>
      </c>
      <c r="D171" s="12"/>
      <c r="E171" s="10"/>
      <c r="F171" s="12"/>
      <c r="G171" s="302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66">
        <f>SUM(L171, R171, X171)+SUM(L172, R172, X172)</f>
        <v>0</v>
      </c>
      <c r="AA171" s="266">
        <f>SUM(M171, S171, Y171)+SUM(M172, S172, Y172)</f>
        <v>0</v>
      </c>
      <c r="AB171" s="268">
        <f>IF($Z171=0, ,AA171/$Z171)</f>
        <v>0</v>
      </c>
      <c r="AC171" s="292"/>
    </row>
    <row r="172" spans="1:29" x14ac:dyDescent="0.2">
      <c r="A172" s="287"/>
      <c r="B172" s="301"/>
      <c r="C172" s="303"/>
      <c r="D172" s="12"/>
      <c r="E172" s="12"/>
      <c r="F172" s="12"/>
      <c r="G172" s="304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67"/>
      <c r="AA172" s="267"/>
      <c r="AB172" s="269"/>
      <c r="AC172" s="293"/>
    </row>
    <row r="173" spans="1:29" x14ac:dyDescent="0.2">
      <c r="A173" s="287"/>
      <c r="B173" s="290" t="s">
        <v>6</v>
      </c>
      <c r="C173" s="279" t="s">
        <v>8</v>
      </c>
      <c r="D173" s="10">
        <v>21284</v>
      </c>
      <c r="E173" s="10" t="s">
        <v>89</v>
      </c>
      <c r="F173" s="10">
        <v>621</v>
      </c>
      <c r="G173" s="279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81">
        <f>SUM(L173, R173, X173)+SUM(L174, R174, X174)</f>
        <v>35312</v>
      </c>
      <c r="AA173" s="283">
        <f>SUM(M173, S173, Y173)+SUM(M174, S174, Y174)</f>
        <v>180</v>
      </c>
      <c r="AB173" s="258">
        <f>IF($Z173=0, ,AA173/$Z173)</f>
        <v>5.0974173085636607E-3</v>
      </c>
      <c r="AC173" s="277"/>
    </row>
    <row r="174" spans="1:29" x14ac:dyDescent="0.2">
      <c r="A174" s="287"/>
      <c r="B174" s="291"/>
      <c r="C174" s="280"/>
      <c r="D174" s="10"/>
      <c r="E174" s="10"/>
      <c r="F174" s="10"/>
      <c r="G174" s="280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82"/>
      <c r="AA174" s="284"/>
      <c r="AB174" s="259"/>
      <c r="AC174" s="278"/>
    </row>
    <row r="175" spans="1:29" x14ac:dyDescent="0.2">
      <c r="A175" s="287"/>
      <c r="B175" s="285" t="s">
        <v>7</v>
      </c>
      <c r="C175" s="264" t="s">
        <v>81</v>
      </c>
      <c r="D175" s="9">
        <v>21284</v>
      </c>
      <c r="E175" s="9" t="s">
        <v>92</v>
      </c>
      <c r="F175" s="9">
        <v>621</v>
      </c>
      <c r="G175" s="264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66">
        <f>SUM(L175, R175, X175)+SUM(L176, R176, X176)</f>
        <v>33808</v>
      </c>
      <c r="AA175" s="266">
        <f>SUM(M175, S175, Y175)+SUM(M176, S176, Y176)</f>
        <v>90</v>
      </c>
      <c r="AB175" s="268">
        <f>IF($Z175=0, ,AA175/$Z175)</f>
        <v>2.6620918125887364E-3</v>
      </c>
      <c r="AC175" s="292"/>
    </row>
    <row r="176" spans="1:29" x14ac:dyDescent="0.2">
      <c r="A176" s="287"/>
      <c r="B176" s="286"/>
      <c r="C176" s="265"/>
      <c r="D176" s="9"/>
      <c r="E176" s="9"/>
      <c r="F176" s="9"/>
      <c r="G176" s="265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67"/>
      <c r="AA176" s="267"/>
      <c r="AB176" s="269"/>
      <c r="AC176" s="293"/>
    </row>
    <row r="177" spans="1:29" x14ac:dyDescent="0.2">
      <c r="A177" s="287"/>
      <c r="B177" s="290" t="s">
        <v>3</v>
      </c>
      <c r="C177" s="279" t="s">
        <v>82</v>
      </c>
      <c r="D177" s="10"/>
      <c r="E177" s="10"/>
      <c r="F177" s="10"/>
      <c r="G177" s="279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83">
        <f>SUM(L177, R177, X177)+SUM(L178, R178, X178)</f>
        <v>0</v>
      </c>
      <c r="AA177" s="283">
        <f>SUM(M177, S177, Y177)+SUM(M178, S178, Y178)</f>
        <v>0</v>
      </c>
      <c r="AB177" s="258">
        <f>IF($Z177=0, ,AA177/$Z177)</f>
        <v>0</v>
      </c>
      <c r="AC177" s="277"/>
    </row>
    <row r="178" spans="1:29" x14ac:dyDescent="0.2">
      <c r="A178" s="287"/>
      <c r="B178" s="291"/>
      <c r="C178" s="280"/>
      <c r="D178" s="10"/>
      <c r="E178" s="10"/>
      <c r="F178" s="10"/>
      <c r="G178" s="280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84"/>
      <c r="AA178" s="284"/>
      <c r="AB178" s="259"/>
      <c r="AC178" s="278"/>
    </row>
    <row r="179" spans="1:29" x14ac:dyDescent="0.2">
      <c r="A179" s="287"/>
      <c r="B179" s="285" t="s">
        <v>4</v>
      </c>
      <c r="C179" s="264" t="s">
        <v>9</v>
      </c>
      <c r="D179" s="9"/>
      <c r="E179" s="10"/>
      <c r="F179" s="9"/>
      <c r="G179" s="264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66">
        <f>SUM(L179, R179, X179)+SUM(L180, R180, X180)</f>
        <v>0</v>
      </c>
      <c r="AA179" s="266">
        <f>SUM(M179, S179, Y179)+SUM(M180, S180, Y180)</f>
        <v>0</v>
      </c>
      <c r="AB179" s="268">
        <f>IF($Z179=0, ,AA179/$Z179)</f>
        <v>0</v>
      </c>
      <c r="AC179" s="292"/>
    </row>
    <row r="180" spans="1:29" x14ac:dyDescent="0.2">
      <c r="A180" s="287"/>
      <c r="B180" s="286"/>
      <c r="C180" s="265"/>
      <c r="D180" s="9"/>
      <c r="E180" s="9"/>
      <c r="F180" s="9"/>
      <c r="G180" s="265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67"/>
      <c r="AA180" s="267"/>
      <c r="AB180" s="269"/>
      <c r="AC180" s="293"/>
    </row>
    <row r="181" spans="1:29" x14ac:dyDescent="0.2">
      <c r="A181" s="287"/>
      <c r="B181" s="294" t="s">
        <v>85</v>
      </c>
      <c r="C181" s="296" t="s">
        <v>83</v>
      </c>
      <c r="D181" s="11"/>
      <c r="E181" s="10"/>
      <c r="F181" s="11"/>
      <c r="G181" s="296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98">
        <f>SUM(L181, R181, X181)+SUM(L182, R182, X182)</f>
        <v>0</v>
      </c>
      <c r="AA181" s="298">
        <f>SUM(M181, S181, Y181)+SUM(M182, S182, Y182)</f>
        <v>0</v>
      </c>
      <c r="AB181" s="258">
        <f>IF($Z181=0, ,AA181/$Z181)</f>
        <v>0</v>
      </c>
      <c r="AC181" s="260"/>
    </row>
    <row r="182" spans="1:29" x14ac:dyDescent="0.2">
      <c r="A182" s="287"/>
      <c r="B182" s="295"/>
      <c r="C182" s="297"/>
      <c r="D182" s="11"/>
      <c r="E182" s="11"/>
      <c r="F182" s="11"/>
      <c r="G182" s="297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98"/>
      <c r="AA182" s="298"/>
      <c r="AB182" s="259"/>
      <c r="AC182" s="260"/>
    </row>
    <row r="183" spans="1:29" x14ac:dyDescent="0.2">
      <c r="A183" s="287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87"/>
      <c r="B184" s="261" t="s">
        <v>67</v>
      </c>
      <c r="C184" s="262"/>
      <c r="D184" s="262"/>
      <c r="E184" s="262"/>
      <c r="F184" s="262"/>
      <c r="G184" s="9" t="s">
        <v>68</v>
      </c>
      <c r="H184" s="263" t="s">
        <v>64</v>
      </c>
      <c r="I184" s="263"/>
      <c r="J184" s="263"/>
      <c r="K184" s="263" t="s">
        <v>76</v>
      </c>
      <c r="L184" s="263"/>
      <c r="M184" s="263"/>
      <c r="N184" s="263" t="s">
        <v>65</v>
      </c>
      <c r="O184" s="263"/>
      <c r="P184" s="263"/>
      <c r="Q184" s="263" t="s">
        <v>66</v>
      </c>
      <c r="R184" s="263"/>
      <c r="S184" s="263"/>
      <c r="T184" s="263" t="s">
        <v>73</v>
      </c>
      <c r="U184" s="263"/>
      <c r="V184" s="263"/>
      <c r="W184" s="263" t="s">
        <v>74</v>
      </c>
      <c r="X184" s="263"/>
      <c r="Y184" s="263"/>
      <c r="Z184" s="263" t="s">
        <v>75</v>
      </c>
      <c r="AA184" s="263"/>
      <c r="AB184" s="263"/>
      <c r="AC184" s="254" t="s">
        <v>97</v>
      </c>
    </row>
    <row r="185" spans="1:29" x14ac:dyDescent="0.2">
      <c r="A185" s="287"/>
      <c r="B185" s="261"/>
      <c r="C185" s="262"/>
      <c r="D185" s="262"/>
      <c r="E185" s="262"/>
      <c r="F185" s="262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54"/>
    </row>
    <row r="186" spans="1:29" x14ac:dyDescent="0.2">
      <c r="A186" s="287"/>
      <c r="B186" s="255" t="str">
        <f>B173</f>
        <v>02C</v>
      </c>
      <c r="C186" s="256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57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54"/>
    </row>
    <row r="187" spans="1:29" x14ac:dyDescent="0.2">
      <c r="A187" s="287"/>
      <c r="B187" s="255"/>
      <c r="C187" s="256"/>
      <c r="D187" s="9"/>
      <c r="E187" s="9" t="str">
        <f t="shared" ref="E187:F189" si="31">IF(ISBLANK(E174), "", E174)</f>
        <v/>
      </c>
      <c r="F187" s="9" t="str">
        <f t="shared" si="31"/>
        <v/>
      </c>
      <c r="G187" s="257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54"/>
    </row>
    <row r="188" spans="1:29" x14ac:dyDescent="0.2">
      <c r="A188" s="287"/>
      <c r="B188" s="255" t="str">
        <f>B175</f>
        <v>03C</v>
      </c>
      <c r="C188" s="256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57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54"/>
    </row>
    <row r="189" spans="1:29" x14ac:dyDescent="0.2">
      <c r="A189" s="287"/>
      <c r="B189" s="255"/>
      <c r="C189" s="256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57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54"/>
    </row>
    <row r="191" spans="1:29" x14ac:dyDescent="0.2">
      <c r="A191" s="287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87"/>
      <c r="B192" s="288" t="s">
        <v>10</v>
      </c>
      <c r="C192" s="289" t="s">
        <v>0</v>
      </c>
      <c r="D192" s="289" t="s">
        <v>25</v>
      </c>
      <c r="E192" s="289" t="s">
        <v>11</v>
      </c>
      <c r="F192" s="289" t="s">
        <v>16</v>
      </c>
      <c r="G192" s="270" t="s">
        <v>12</v>
      </c>
      <c r="H192" s="271" t="s">
        <v>13</v>
      </c>
      <c r="I192" s="272"/>
      <c r="J192" s="272"/>
      <c r="K192" s="272"/>
      <c r="L192" s="272"/>
      <c r="M192" s="273"/>
      <c r="N192" s="271" t="s">
        <v>14</v>
      </c>
      <c r="O192" s="272"/>
      <c r="P192" s="272"/>
      <c r="Q192" s="272"/>
      <c r="R192" s="272"/>
      <c r="S192" s="273"/>
      <c r="T192" s="271" t="s">
        <v>15</v>
      </c>
      <c r="U192" s="272"/>
      <c r="V192" s="272"/>
      <c r="W192" s="272"/>
      <c r="X192" s="272"/>
      <c r="Y192" s="273"/>
      <c r="Z192" s="274" t="s">
        <v>37</v>
      </c>
      <c r="AA192" s="274" t="s">
        <v>39</v>
      </c>
      <c r="AB192" s="274" t="s">
        <v>62</v>
      </c>
      <c r="AC192" s="299" t="s">
        <v>26</v>
      </c>
    </row>
    <row r="193" spans="1:29" ht="41.25" customHeight="1" x14ac:dyDescent="0.2">
      <c r="A193" s="287"/>
      <c r="B193" s="288"/>
      <c r="C193" s="289"/>
      <c r="D193" s="289"/>
      <c r="E193" s="289"/>
      <c r="F193" s="289"/>
      <c r="G193" s="270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75"/>
      <c r="AA193" s="276"/>
      <c r="AB193" s="276"/>
      <c r="AC193" s="299"/>
    </row>
    <row r="194" spans="1:29" x14ac:dyDescent="0.2">
      <c r="A194" s="287"/>
      <c r="B194" s="300" t="s">
        <v>2</v>
      </c>
      <c r="C194" s="302" t="s">
        <v>84</v>
      </c>
      <c r="D194" s="12"/>
      <c r="E194" s="10"/>
      <c r="F194" s="12"/>
      <c r="G194" s="302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66">
        <f>SUM(L194, R194, X194)+SUM(L195, R195, X195)</f>
        <v>0</v>
      </c>
      <c r="AA194" s="266">
        <f>SUM(M194, S194, Y194)+SUM(M195, S195, Y195)</f>
        <v>0</v>
      </c>
      <c r="AB194" s="268">
        <f>IF($Z194=0, ,AA194/$Z194)</f>
        <v>0</v>
      </c>
      <c r="AC194" s="292"/>
    </row>
    <row r="195" spans="1:29" x14ac:dyDescent="0.2">
      <c r="A195" s="287"/>
      <c r="B195" s="301"/>
      <c r="C195" s="303"/>
      <c r="D195" s="12"/>
      <c r="E195" s="12"/>
      <c r="F195" s="12"/>
      <c r="G195" s="304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67"/>
      <c r="AA195" s="267"/>
      <c r="AB195" s="269"/>
      <c r="AC195" s="293"/>
    </row>
    <row r="196" spans="1:29" x14ac:dyDescent="0.2">
      <c r="A196" s="287"/>
      <c r="B196" s="290" t="s">
        <v>6</v>
      </c>
      <c r="C196" s="279" t="s">
        <v>8</v>
      </c>
      <c r="D196" s="10" t="s">
        <v>93</v>
      </c>
      <c r="E196" s="10" t="s">
        <v>89</v>
      </c>
      <c r="F196" s="10">
        <v>621</v>
      </c>
      <c r="G196" s="279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81">
        <f>SUM(L196, R196, X196)+SUM(L197, R197, X197)</f>
        <v>34880</v>
      </c>
      <c r="AA196" s="283">
        <f>SUM(M196, S196, Y196)+SUM(M197, S197, Y197)</f>
        <v>55</v>
      </c>
      <c r="AB196" s="258">
        <f>IF($Z196=0, ,AA196/$Z196)</f>
        <v>1.5768348623853212E-3</v>
      </c>
      <c r="AC196" s="277"/>
    </row>
    <row r="197" spans="1:29" x14ac:dyDescent="0.2">
      <c r="A197" s="287"/>
      <c r="B197" s="291"/>
      <c r="C197" s="280"/>
      <c r="D197" s="10"/>
      <c r="E197" s="10"/>
      <c r="F197" s="10"/>
      <c r="G197" s="280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82"/>
      <c r="AA197" s="284"/>
      <c r="AB197" s="259"/>
      <c r="AC197" s="278"/>
    </row>
    <row r="198" spans="1:29" x14ac:dyDescent="0.2">
      <c r="A198" s="287"/>
      <c r="B198" s="285" t="s">
        <v>7</v>
      </c>
      <c r="C198" s="264" t="s">
        <v>81</v>
      </c>
      <c r="D198" s="9" t="s">
        <v>94</v>
      </c>
      <c r="E198" s="9"/>
      <c r="F198" s="9">
        <v>621</v>
      </c>
      <c r="G198" s="264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66">
        <f>SUM(L198, R198, X198)+SUM(L199, R199, X199)</f>
        <v>33304</v>
      </c>
      <c r="AA198" s="266">
        <f>SUM(M198, S198, Y198)+SUM(M199, S199, Y199)</f>
        <v>70</v>
      </c>
      <c r="AB198" s="268">
        <f>IF($Z198=0, ,AA198/$Z198)</f>
        <v>2.1018496276723518E-3</v>
      </c>
      <c r="AC198" s="292"/>
    </row>
    <row r="199" spans="1:29" x14ac:dyDescent="0.2">
      <c r="A199" s="287"/>
      <c r="B199" s="286"/>
      <c r="C199" s="265"/>
      <c r="D199" s="9"/>
      <c r="E199" s="9"/>
      <c r="F199" s="9"/>
      <c r="G199" s="265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67"/>
      <c r="AA199" s="267"/>
      <c r="AB199" s="269"/>
      <c r="AC199" s="293"/>
    </row>
    <row r="200" spans="1:29" x14ac:dyDescent="0.2">
      <c r="A200" s="287"/>
      <c r="B200" s="290" t="s">
        <v>3</v>
      </c>
      <c r="C200" s="279" t="s">
        <v>82</v>
      </c>
      <c r="D200" s="10"/>
      <c r="E200" s="10"/>
      <c r="F200" s="10"/>
      <c r="G200" s="279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83">
        <f>SUM(L200, R200, X200)+SUM(L201, R201, X201)</f>
        <v>0</v>
      </c>
      <c r="AA200" s="283">
        <f>SUM(M200, S200, Y200)+SUM(M201, S201, Y201)</f>
        <v>0</v>
      </c>
      <c r="AB200" s="258">
        <f>IF($Z200=0, ,AA200/$Z200)</f>
        <v>0</v>
      </c>
      <c r="AC200" s="277"/>
    </row>
    <row r="201" spans="1:29" x14ac:dyDescent="0.2">
      <c r="A201" s="287"/>
      <c r="B201" s="291"/>
      <c r="C201" s="280"/>
      <c r="D201" s="10"/>
      <c r="E201" s="10"/>
      <c r="F201" s="10"/>
      <c r="G201" s="280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84"/>
      <c r="AA201" s="284"/>
      <c r="AB201" s="259"/>
      <c r="AC201" s="278"/>
    </row>
    <row r="202" spans="1:29" x14ac:dyDescent="0.2">
      <c r="A202" s="287"/>
      <c r="B202" s="285" t="s">
        <v>4</v>
      </c>
      <c r="C202" s="264" t="s">
        <v>9</v>
      </c>
      <c r="D202" s="9"/>
      <c r="E202" s="10"/>
      <c r="F202" s="9"/>
      <c r="G202" s="264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66">
        <f>SUM(L202, R202, X202)+SUM(L203, R203, X203)</f>
        <v>0</v>
      </c>
      <c r="AA202" s="266">
        <f>SUM(M202, S202, Y202)+SUM(M203, S203, Y203)</f>
        <v>0</v>
      </c>
      <c r="AB202" s="268">
        <f>IF($Z202=0, ,AA202/$Z202)</f>
        <v>0</v>
      </c>
      <c r="AC202" s="292"/>
    </row>
    <row r="203" spans="1:29" x14ac:dyDescent="0.2">
      <c r="A203" s="287"/>
      <c r="B203" s="286"/>
      <c r="C203" s="265"/>
      <c r="D203" s="9"/>
      <c r="E203" s="9"/>
      <c r="F203" s="9"/>
      <c r="G203" s="265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67"/>
      <c r="AA203" s="267"/>
      <c r="AB203" s="269"/>
      <c r="AC203" s="293"/>
    </row>
    <row r="204" spans="1:29" x14ac:dyDescent="0.2">
      <c r="A204" s="287"/>
      <c r="B204" s="294" t="s">
        <v>85</v>
      </c>
      <c r="C204" s="296" t="s">
        <v>83</v>
      </c>
      <c r="D204" s="11"/>
      <c r="E204" s="10"/>
      <c r="F204" s="11"/>
      <c r="G204" s="296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98">
        <f>SUM(L204, R204, X204)+SUM(L205, R205, X205)</f>
        <v>0</v>
      </c>
      <c r="AA204" s="298">
        <f>SUM(M204, S204, Y204)+SUM(M205, S205, Y205)</f>
        <v>0</v>
      </c>
      <c r="AB204" s="258">
        <f>IF($Z204=0, ,AA204/$Z204)</f>
        <v>0</v>
      </c>
      <c r="AC204" s="260"/>
    </row>
    <row r="205" spans="1:29" x14ac:dyDescent="0.2">
      <c r="A205" s="287"/>
      <c r="B205" s="295"/>
      <c r="C205" s="297"/>
      <c r="D205" s="11"/>
      <c r="E205" s="11"/>
      <c r="F205" s="11"/>
      <c r="G205" s="297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98"/>
      <c r="AA205" s="298"/>
      <c r="AB205" s="259"/>
      <c r="AC205" s="260"/>
    </row>
    <row r="206" spans="1:29" x14ac:dyDescent="0.2">
      <c r="A206" s="287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87"/>
      <c r="B207" s="261" t="s">
        <v>67</v>
      </c>
      <c r="C207" s="262"/>
      <c r="D207" s="262"/>
      <c r="E207" s="262"/>
      <c r="F207" s="262"/>
      <c r="G207" s="9" t="s">
        <v>68</v>
      </c>
      <c r="H207" s="263" t="s">
        <v>64</v>
      </c>
      <c r="I207" s="263"/>
      <c r="J207" s="263"/>
      <c r="K207" s="263" t="s">
        <v>76</v>
      </c>
      <c r="L207" s="263"/>
      <c r="M207" s="263"/>
      <c r="N207" s="263" t="s">
        <v>65</v>
      </c>
      <c r="O207" s="263"/>
      <c r="P207" s="263"/>
      <c r="Q207" s="263" t="s">
        <v>66</v>
      </c>
      <c r="R207" s="263"/>
      <c r="S207" s="263"/>
      <c r="T207" s="263" t="s">
        <v>73</v>
      </c>
      <c r="U207" s="263"/>
      <c r="V207" s="263"/>
      <c r="W207" s="263" t="s">
        <v>74</v>
      </c>
      <c r="X207" s="263"/>
      <c r="Y207" s="263"/>
      <c r="Z207" s="263" t="s">
        <v>75</v>
      </c>
      <c r="AA207" s="263"/>
      <c r="AB207" s="263"/>
      <c r="AC207" s="254"/>
    </row>
    <row r="208" spans="1:29" x14ac:dyDescent="0.2">
      <c r="A208" s="287"/>
      <c r="B208" s="261"/>
      <c r="C208" s="262"/>
      <c r="D208" s="262"/>
      <c r="E208" s="262"/>
      <c r="F208" s="262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54"/>
    </row>
    <row r="209" spans="1:29" x14ac:dyDescent="0.2">
      <c r="A209" s="287"/>
      <c r="B209" s="255" t="str">
        <f>B196</f>
        <v>02C</v>
      </c>
      <c r="C209" s="256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57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54"/>
    </row>
    <row r="210" spans="1:29" x14ac:dyDescent="0.2">
      <c r="A210" s="287"/>
      <c r="B210" s="255"/>
      <c r="C210" s="256"/>
      <c r="D210" s="9"/>
      <c r="E210" s="9" t="str">
        <f t="shared" ref="E210:F212" si="35">IF(ISBLANK(E197), "", E197)</f>
        <v/>
      </c>
      <c r="F210" s="9" t="str">
        <f t="shared" si="35"/>
        <v/>
      </c>
      <c r="G210" s="257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54"/>
    </row>
    <row r="211" spans="1:29" x14ac:dyDescent="0.2">
      <c r="A211" s="287"/>
      <c r="B211" s="255" t="str">
        <f>B198</f>
        <v>03C</v>
      </c>
      <c r="C211" s="256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57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54"/>
    </row>
    <row r="212" spans="1:29" x14ac:dyDescent="0.2">
      <c r="A212" s="287"/>
      <c r="B212" s="255"/>
      <c r="C212" s="256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57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54"/>
    </row>
    <row r="214" spans="1:29" x14ac:dyDescent="0.2">
      <c r="A214" s="287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87"/>
      <c r="B215" s="288" t="s">
        <v>10</v>
      </c>
      <c r="C215" s="289" t="s">
        <v>0</v>
      </c>
      <c r="D215" s="289" t="s">
        <v>25</v>
      </c>
      <c r="E215" s="289" t="s">
        <v>11</v>
      </c>
      <c r="F215" s="289" t="s">
        <v>16</v>
      </c>
      <c r="G215" s="270" t="s">
        <v>12</v>
      </c>
      <c r="H215" s="271" t="s">
        <v>13</v>
      </c>
      <c r="I215" s="272"/>
      <c r="J215" s="272"/>
      <c r="K215" s="272"/>
      <c r="L215" s="272"/>
      <c r="M215" s="273"/>
      <c r="N215" s="271" t="s">
        <v>14</v>
      </c>
      <c r="O215" s="272"/>
      <c r="P215" s="272"/>
      <c r="Q215" s="272"/>
      <c r="R215" s="272"/>
      <c r="S215" s="273"/>
      <c r="T215" s="271" t="s">
        <v>15</v>
      </c>
      <c r="U215" s="272"/>
      <c r="V215" s="272"/>
      <c r="W215" s="272"/>
      <c r="X215" s="272"/>
      <c r="Y215" s="273"/>
      <c r="Z215" s="274" t="s">
        <v>37</v>
      </c>
      <c r="AA215" s="274" t="s">
        <v>39</v>
      </c>
      <c r="AB215" s="274" t="s">
        <v>62</v>
      </c>
      <c r="AC215" s="299" t="s">
        <v>26</v>
      </c>
    </row>
    <row r="216" spans="1:29" ht="41.25" customHeight="1" x14ac:dyDescent="0.2">
      <c r="A216" s="287"/>
      <c r="B216" s="288"/>
      <c r="C216" s="289"/>
      <c r="D216" s="289"/>
      <c r="E216" s="289"/>
      <c r="F216" s="289"/>
      <c r="G216" s="270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75"/>
      <c r="AA216" s="276"/>
      <c r="AB216" s="276"/>
      <c r="AC216" s="299"/>
    </row>
    <row r="217" spans="1:29" x14ac:dyDescent="0.2">
      <c r="A217" s="287"/>
      <c r="B217" s="300" t="s">
        <v>2</v>
      </c>
      <c r="C217" s="302" t="s">
        <v>84</v>
      </c>
      <c r="D217" s="12"/>
      <c r="E217" s="10"/>
      <c r="F217" s="12"/>
      <c r="G217" s="302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66">
        <f>SUM(L217, R217, X217)+SUM(L218, R218, X218)</f>
        <v>0</v>
      </c>
      <c r="AA217" s="266">
        <f>SUM(M217, S217, Y217)+SUM(M218, S218, Y218)</f>
        <v>0</v>
      </c>
      <c r="AB217" s="268">
        <f>IF($Z217=0, ,AA217/$Z217)</f>
        <v>0</v>
      </c>
      <c r="AC217" s="292"/>
    </row>
    <row r="218" spans="1:29" x14ac:dyDescent="0.2">
      <c r="A218" s="287"/>
      <c r="B218" s="301"/>
      <c r="C218" s="303"/>
      <c r="D218" s="12"/>
      <c r="E218" s="12"/>
      <c r="F218" s="12"/>
      <c r="G218" s="304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67"/>
      <c r="AA218" s="267"/>
      <c r="AB218" s="269"/>
      <c r="AC218" s="293"/>
    </row>
    <row r="219" spans="1:29" x14ac:dyDescent="0.2">
      <c r="A219" s="287"/>
      <c r="B219" s="290" t="s">
        <v>6</v>
      </c>
      <c r="C219" s="279" t="s">
        <v>8</v>
      </c>
      <c r="D219" s="10" t="s">
        <v>93</v>
      </c>
      <c r="E219" s="10" t="s">
        <v>89</v>
      </c>
      <c r="F219" s="10">
        <v>621</v>
      </c>
      <c r="G219" s="279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81">
        <f>SUM(L219, R219, X219)+SUM(L220, R220, X220)</f>
        <v>27336</v>
      </c>
      <c r="AA219" s="283">
        <f>SUM(M219, S219, Y219)+SUM(M220, S220, Y220)</f>
        <v>30</v>
      </c>
      <c r="AB219" s="258">
        <f>IF($Z219=0, ,AA219/$Z219)</f>
        <v>1.0974539069359087E-3</v>
      </c>
      <c r="AC219" s="277"/>
    </row>
    <row r="220" spans="1:29" x14ac:dyDescent="0.2">
      <c r="A220" s="287"/>
      <c r="B220" s="291"/>
      <c r="C220" s="280"/>
      <c r="D220" s="10"/>
      <c r="E220" s="10"/>
      <c r="F220" s="10"/>
      <c r="G220" s="280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82"/>
      <c r="AA220" s="284"/>
      <c r="AB220" s="259"/>
      <c r="AC220" s="278"/>
    </row>
    <row r="221" spans="1:29" x14ac:dyDescent="0.2">
      <c r="A221" s="287"/>
      <c r="B221" s="285" t="s">
        <v>7</v>
      </c>
      <c r="C221" s="264" t="s">
        <v>81</v>
      </c>
      <c r="D221" s="9" t="s">
        <v>94</v>
      </c>
      <c r="E221" s="9"/>
      <c r="F221" s="9">
        <v>621</v>
      </c>
      <c r="G221" s="264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66">
        <f>SUM(L221, R221, X221)+SUM(L222, R222, X222)</f>
        <v>26800</v>
      </c>
      <c r="AA221" s="266">
        <f>SUM(M221, S221, Y221)+SUM(M222, S222, Y222)</f>
        <v>40</v>
      </c>
      <c r="AB221" s="268">
        <f>IF($Z221=0, ,AA221/$Z221)</f>
        <v>1.4925373134328358E-3</v>
      </c>
      <c r="AC221" s="292"/>
    </row>
    <row r="222" spans="1:29" x14ac:dyDescent="0.2">
      <c r="A222" s="287"/>
      <c r="B222" s="286"/>
      <c r="C222" s="265"/>
      <c r="D222" s="9"/>
      <c r="E222" s="9"/>
      <c r="F222" s="9"/>
      <c r="G222" s="265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67"/>
      <c r="AA222" s="267"/>
      <c r="AB222" s="269"/>
      <c r="AC222" s="293"/>
    </row>
    <row r="223" spans="1:29" x14ac:dyDescent="0.2">
      <c r="A223" s="287"/>
      <c r="B223" s="290" t="s">
        <v>3</v>
      </c>
      <c r="C223" s="279" t="s">
        <v>82</v>
      </c>
      <c r="D223" s="10"/>
      <c r="E223" s="10"/>
      <c r="F223" s="10"/>
      <c r="G223" s="279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83">
        <f>SUM(L223, R223, X223)+SUM(L224, R224, X224)</f>
        <v>0</v>
      </c>
      <c r="AA223" s="283">
        <f>SUM(M223, S223, Y223)+SUM(M224, S224, Y224)</f>
        <v>0</v>
      </c>
      <c r="AB223" s="258">
        <f>IF($Z223=0, ,AA223/$Z223)</f>
        <v>0</v>
      </c>
      <c r="AC223" s="277"/>
    </row>
    <row r="224" spans="1:29" x14ac:dyDescent="0.2">
      <c r="A224" s="287"/>
      <c r="B224" s="291"/>
      <c r="C224" s="280"/>
      <c r="D224" s="10"/>
      <c r="E224" s="10"/>
      <c r="F224" s="10"/>
      <c r="G224" s="280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84"/>
      <c r="AA224" s="284"/>
      <c r="AB224" s="259"/>
      <c r="AC224" s="278"/>
    </row>
    <row r="225" spans="1:29" x14ac:dyDescent="0.2">
      <c r="A225" s="287"/>
      <c r="B225" s="285" t="s">
        <v>4</v>
      </c>
      <c r="C225" s="264" t="s">
        <v>9</v>
      </c>
      <c r="D225" s="9"/>
      <c r="E225" s="10"/>
      <c r="F225" s="9"/>
      <c r="G225" s="264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66">
        <f>SUM(L225, R225, X225)+SUM(L226, R226, X226)</f>
        <v>0</v>
      </c>
      <c r="AA225" s="266">
        <f>SUM(M225, S225, Y225)+SUM(M226, S226, Y226)</f>
        <v>0</v>
      </c>
      <c r="AB225" s="268">
        <f>IF($Z225=0, ,AA225/$Z225)</f>
        <v>0</v>
      </c>
      <c r="AC225" s="292"/>
    </row>
    <row r="226" spans="1:29" x14ac:dyDescent="0.2">
      <c r="A226" s="287"/>
      <c r="B226" s="286"/>
      <c r="C226" s="265"/>
      <c r="D226" s="9"/>
      <c r="E226" s="9"/>
      <c r="F226" s="9"/>
      <c r="G226" s="265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67"/>
      <c r="AA226" s="267"/>
      <c r="AB226" s="269"/>
      <c r="AC226" s="293"/>
    </row>
    <row r="227" spans="1:29" x14ac:dyDescent="0.2">
      <c r="A227" s="287"/>
      <c r="B227" s="294" t="s">
        <v>85</v>
      </c>
      <c r="C227" s="296" t="s">
        <v>83</v>
      </c>
      <c r="D227" s="11"/>
      <c r="E227" s="10"/>
      <c r="F227" s="11"/>
      <c r="G227" s="296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98">
        <f>SUM(L227, R227, X227)+SUM(L228, R228, X228)</f>
        <v>0</v>
      </c>
      <c r="AA227" s="298">
        <f>SUM(M227, S227, Y227)+SUM(M228, S228, Y228)</f>
        <v>0</v>
      </c>
      <c r="AB227" s="258">
        <f>IF($Z227=0, ,AA227/$Z227)</f>
        <v>0</v>
      </c>
      <c r="AC227" s="260"/>
    </row>
    <row r="228" spans="1:29" x14ac:dyDescent="0.2">
      <c r="A228" s="287"/>
      <c r="B228" s="295"/>
      <c r="C228" s="297"/>
      <c r="D228" s="11"/>
      <c r="E228" s="11"/>
      <c r="F228" s="11"/>
      <c r="G228" s="297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98"/>
      <c r="AA228" s="298"/>
      <c r="AB228" s="259"/>
      <c r="AC228" s="260"/>
    </row>
    <row r="229" spans="1:29" x14ac:dyDescent="0.2">
      <c r="A229" s="287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87"/>
      <c r="B230" s="261" t="s">
        <v>67</v>
      </c>
      <c r="C230" s="262"/>
      <c r="D230" s="262"/>
      <c r="E230" s="262"/>
      <c r="F230" s="262"/>
      <c r="G230" s="9" t="s">
        <v>68</v>
      </c>
      <c r="H230" s="263" t="s">
        <v>64</v>
      </c>
      <c r="I230" s="263"/>
      <c r="J230" s="263"/>
      <c r="K230" s="263" t="s">
        <v>76</v>
      </c>
      <c r="L230" s="263"/>
      <c r="M230" s="263"/>
      <c r="N230" s="263" t="s">
        <v>65</v>
      </c>
      <c r="O230" s="263"/>
      <c r="P230" s="263"/>
      <c r="Q230" s="263" t="s">
        <v>66</v>
      </c>
      <c r="R230" s="263"/>
      <c r="S230" s="263"/>
      <c r="T230" s="263" t="s">
        <v>73</v>
      </c>
      <c r="U230" s="263"/>
      <c r="V230" s="263"/>
      <c r="W230" s="263" t="s">
        <v>74</v>
      </c>
      <c r="X230" s="263"/>
      <c r="Y230" s="263"/>
      <c r="Z230" s="263" t="s">
        <v>75</v>
      </c>
      <c r="AA230" s="263"/>
      <c r="AB230" s="263"/>
      <c r="AC230" s="254"/>
    </row>
    <row r="231" spans="1:29" x14ac:dyDescent="0.2">
      <c r="A231" s="287"/>
      <c r="B231" s="261"/>
      <c r="C231" s="262"/>
      <c r="D231" s="262"/>
      <c r="E231" s="262"/>
      <c r="F231" s="262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54"/>
    </row>
    <row r="232" spans="1:29" x14ac:dyDescent="0.2">
      <c r="A232" s="287"/>
      <c r="B232" s="255" t="str">
        <f>B219</f>
        <v>02C</v>
      </c>
      <c r="C232" s="256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57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54"/>
    </row>
    <row r="233" spans="1:29" x14ac:dyDescent="0.2">
      <c r="A233" s="287"/>
      <c r="B233" s="255"/>
      <c r="C233" s="256"/>
      <c r="D233" s="9"/>
      <c r="E233" s="9" t="str">
        <f t="shared" ref="E233:F235" si="39">IF(ISBLANK(E220), "", E220)</f>
        <v/>
      </c>
      <c r="F233" s="9" t="str">
        <f t="shared" si="39"/>
        <v/>
      </c>
      <c r="G233" s="257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54"/>
    </row>
    <row r="234" spans="1:29" x14ac:dyDescent="0.2">
      <c r="A234" s="287"/>
      <c r="B234" s="255" t="str">
        <f>B221</f>
        <v>03C</v>
      </c>
      <c r="C234" s="256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57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54"/>
    </row>
    <row r="235" spans="1:29" x14ac:dyDescent="0.2">
      <c r="A235" s="287"/>
      <c r="B235" s="255"/>
      <c r="C235" s="256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57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54"/>
    </row>
    <row r="237" spans="1:29" x14ac:dyDescent="0.2">
      <c r="A237" s="287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87"/>
      <c r="B238" s="288" t="s">
        <v>10</v>
      </c>
      <c r="C238" s="289" t="s">
        <v>0</v>
      </c>
      <c r="D238" s="289" t="s">
        <v>25</v>
      </c>
      <c r="E238" s="289" t="s">
        <v>11</v>
      </c>
      <c r="F238" s="289" t="s">
        <v>16</v>
      </c>
      <c r="G238" s="270" t="s">
        <v>12</v>
      </c>
      <c r="H238" s="271" t="s">
        <v>13</v>
      </c>
      <c r="I238" s="272"/>
      <c r="J238" s="272"/>
      <c r="K238" s="272"/>
      <c r="L238" s="272"/>
      <c r="M238" s="273"/>
      <c r="N238" s="271" t="s">
        <v>14</v>
      </c>
      <c r="O238" s="272"/>
      <c r="P238" s="272"/>
      <c r="Q238" s="272"/>
      <c r="R238" s="272"/>
      <c r="S238" s="273"/>
      <c r="T238" s="271" t="s">
        <v>15</v>
      </c>
      <c r="U238" s="272"/>
      <c r="V238" s="272"/>
      <c r="W238" s="272"/>
      <c r="X238" s="272"/>
      <c r="Y238" s="273"/>
      <c r="Z238" s="274" t="s">
        <v>37</v>
      </c>
      <c r="AA238" s="274" t="s">
        <v>39</v>
      </c>
      <c r="AB238" s="274" t="s">
        <v>62</v>
      </c>
      <c r="AC238" s="299" t="s">
        <v>26</v>
      </c>
    </row>
    <row r="239" spans="1:29" ht="25.5" x14ac:dyDescent="0.2">
      <c r="A239" s="287"/>
      <c r="B239" s="288"/>
      <c r="C239" s="289"/>
      <c r="D239" s="289"/>
      <c r="E239" s="289"/>
      <c r="F239" s="289"/>
      <c r="G239" s="270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75"/>
      <c r="AA239" s="276"/>
      <c r="AB239" s="276"/>
      <c r="AC239" s="299"/>
    </row>
    <row r="240" spans="1:29" x14ac:dyDescent="0.2">
      <c r="A240" s="287"/>
      <c r="B240" s="300" t="s">
        <v>2</v>
      </c>
      <c r="C240" s="302" t="s">
        <v>84</v>
      </c>
      <c r="D240" s="12"/>
      <c r="E240" s="10"/>
      <c r="F240" s="12"/>
      <c r="G240" s="302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66">
        <f>SUM(L240, R240, X240)+SUM(L241, R241, X241)</f>
        <v>0</v>
      </c>
      <c r="AA240" s="266">
        <f>SUM(M240, S240, Y240)+SUM(M241, S241, Y241)</f>
        <v>0</v>
      </c>
      <c r="AB240" s="268">
        <f>IF($Z240=0, ,AA240/$Z240)</f>
        <v>0</v>
      </c>
      <c r="AC240" s="292" t="s">
        <v>99</v>
      </c>
    </row>
    <row r="241" spans="1:29" x14ac:dyDescent="0.2">
      <c r="A241" s="287"/>
      <c r="B241" s="301"/>
      <c r="C241" s="303"/>
      <c r="D241" s="12"/>
      <c r="E241" s="12"/>
      <c r="F241" s="12"/>
      <c r="G241" s="304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67"/>
      <c r="AA241" s="267"/>
      <c r="AB241" s="269"/>
      <c r="AC241" s="293"/>
    </row>
    <row r="242" spans="1:29" x14ac:dyDescent="0.2">
      <c r="A242" s="287"/>
      <c r="B242" s="290" t="s">
        <v>6</v>
      </c>
      <c r="C242" s="279" t="s">
        <v>8</v>
      </c>
      <c r="D242" s="10"/>
      <c r="E242" s="10"/>
      <c r="F242" s="10"/>
      <c r="G242" s="279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81">
        <f>SUM(L242, R242, X242)+SUM(L243, R243, X243)</f>
        <v>0</v>
      </c>
      <c r="AA242" s="283">
        <f>SUM(M242, S242, Y242)+SUM(M243, S243, Y243)</f>
        <v>0</v>
      </c>
      <c r="AB242" s="258">
        <f>IF($Z242=0, ,AA242/$Z242)</f>
        <v>0</v>
      </c>
      <c r="AC242" s="277" t="s">
        <v>98</v>
      </c>
    </row>
    <row r="243" spans="1:29" x14ac:dyDescent="0.2">
      <c r="A243" s="287"/>
      <c r="B243" s="291"/>
      <c r="C243" s="280"/>
      <c r="D243" s="10"/>
      <c r="E243" s="10"/>
      <c r="F243" s="10"/>
      <c r="G243" s="280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82"/>
      <c r="AA243" s="284"/>
      <c r="AB243" s="259"/>
      <c r="AC243" s="278"/>
    </row>
    <row r="244" spans="1:29" x14ac:dyDescent="0.2">
      <c r="A244" s="287"/>
      <c r="B244" s="285" t="s">
        <v>7</v>
      </c>
      <c r="C244" s="264" t="s">
        <v>81</v>
      </c>
      <c r="D244" s="9"/>
      <c r="E244" s="9"/>
      <c r="F244" s="9"/>
      <c r="G244" s="264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66">
        <f>SUM(L244, R244, X244)+SUM(L245, R245, X245)</f>
        <v>0</v>
      </c>
      <c r="AA244" s="266">
        <f>SUM(M244, S244, Y244)+SUM(M245, S245, Y245)</f>
        <v>0</v>
      </c>
      <c r="AB244" s="268">
        <f>IF($Z244=0, ,AA244/$Z244)</f>
        <v>0</v>
      </c>
      <c r="AC244" s="292" t="s">
        <v>98</v>
      </c>
    </row>
    <row r="245" spans="1:29" x14ac:dyDescent="0.2">
      <c r="A245" s="287"/>
      <c r="B245" s="286"/>
      <c r="C245" s="265"/>
      <c r="D245" s="9"/>
      <c r="E245" s="9"/>
      <c r="F245" s="9"/>
      <c r="G245" s="265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67"/>
      <c r="AA245" s="267"/>
      <c r="AB245" s="269"/>
      <c r="AC245" s="293"/>
    </row>
    <row r="246" spans="1:29" x14ac:dyDescent="0.2">
      <c r="A246" s="287"/>
      <c r="B246" s="290" t="s">
        <v>3</v>
      </c>
      <c r="C246" s="279" t="s">
        <v>82</v>
      </c>
      <c r="D246" s="10"/>
      <c r="E246" s="10"/>
      <c r="F246" s="10"/>
      <c r="G246" s="279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83">
        <f>SUM(L246, R246, X246)+SUM(L247, R247, X247)</f>
        <v>0</v>
      </c>
      <c r="AA246" s="283">
        <f>SUM(M246, S246, Y246)+SUM(M247, S247, Y247)</f>
        <v>0</v>
      </c>
      <c r="AB246" s="258">
        <f>IF($Z246=0, ,AA246/$Z246)</f>
        <v>0</v>
      </c>
      <c r="AC246" s="277" t="s">
        <v>96</v>
      </c>
    </row>
    <row r="247" spans="1:29" x14ac:dyDescent="0.2">
      <c r="A247" s="287"/>
      <c r="B247" s="291"/>
      <c r="C247" s="280"/>
      <c r="D247" s="10"/>
      <c r="E247" s="10"/>
      <c r="F247" s="10"/>
      <c r="G247" s="280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84"/>
      <c r="AA247" s="284"/>
      <c r="AB247" s="259"/>
      <c r="AC247" s="278"/>
    </row>
    <row r="248" spans="1:29" x14ac:dyDescent="0.2">
      <c r="A248" s="287"/>
      <c r="B248" s="285" t="s">
        <v>4</v>
      </c>
      <c r="C248" s="264" t="s">
        <v>9</v>
      </c>
      <c r="D248" s="9"/>
      <c r="E248" s="10"/>
      <c r="F248" s="9"/>
      <c r="G248" s="264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66">
        <f>SUM(L248, R248, X248)+SUM(L249, R249, X249)</f>
        <v>0</v>
      </c>
      <c r="AA248" s="266">
        <f>SUM(M248, S248, Y248)+SUM(M249, S249, Y249)</f>
        <v>0</v>
      </c>
      <c r="AB248" s="268">
        <f>IF($Z248=0, ,AA248/$Z248)</f>
        <v>0</v>
      </c>
      <c r="AC248" s="292" t="s">
        <v>96</v>
      </c>
    </row>
    <row r="249" spans="1:29" x14ac:dyDescent="0.2">
      <c r="A249" s="287"/>
      <c r="B249" s="286"/>
      <c r="C249" s="265"/>
      <c r="D249" s="9"/>
      <c r="E249" s="9"/>
      <c r="F249" s="9"/>
      <c r="G249" s="265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67"/>
      <c r="AA249" s="267"/>
      <c r="AB249" s="269"/>
      <c r="AC249" s="293"/>
    </row>
    <row r="250" spans="1:29" x14ac:dyDescent="0.2">
      <c r="A250" s="287"/>
      <c r="B250" s="294" t="s">
        <v>85</v>
      </c>
      <c r="C250" s="296" t="s">
        <v>83</v>
      </c>
      <c r="D250" s="11"/>
      <c r="E250" s="10"/>
      <c r="F250" s="11"/>
      <c r="G250" s="296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98">
        <f>SUM(L250, R250, X250)+SUM(L251, R251, X251)</f>
        <v>0</v>
      </c>
      <c r="AA250" s="298">
        <f>SUM(M250, S250, Y250)+SUM(M251, S251, Y251)</f>
        <v>0</v>
      </c>
      <c r="AB250" s="258">
        <f>IF($Z250=0, ,AA250/$Z250)</f>
        <v>0</v>
      </c>
      <c r="AC250" s="260" t="s">
        <v>96</v>
      </c>
    </row>
    <row r="251" spans="1:29" x14ac:dyDescent="0.2">
      <c r="A251" s="287"/>
      <c r="B251" s="295"/>
      <c r="C251" s="297"/>
      <c r="D251" s="11"/>
      <c r="E251" s="11"/>
      <c r="F251" s="11"/>
      <c r="G251" s="297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98"/>
      <c r="AA251" s="298"/>
      <c r="AB251" s="259"/>
      <c r="AC251" s="260"/>
    </row>
    <row r="252" spans="1:29" x14ac:dyDescent="0.2">
      <c r="A252" s="287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87"/>
      <c r="B253" s="261" t="s">
        <v>67</v>
      </c>
      <c r="C253" s="262"/>
      <c r="D253" s="262"/>
      <c r="E253" s="262"/>
      <c r="F253" s="262"/>
      <c r="G253" s="9" t="s">
        <v>68</v>
      </c>
      <c r="H253" s="263" t="s">
        <v>64</v>
      </c>
      <c r="I253" s="263"/>
      <c r="J253" s="263"/>
      <c r="K253" s="263" t="s">
        <v>76</v>
      </c>
      <c r="L253" s="263"/>
      <c r="M253" s="263"/>
      <c r="N253" s="263" t="s">
        <v>65</v>
      </c>
      <c r="O253" s="263"/>
      <c r="P253" s="263"/>
      <c r="Q253" s="263" t="s">
        <v>66</v>
      </c>
      <c r="R253" s="263"/>
      <c r="S253" s="263"/>
      <c r="T253" s="263" t="s">
        <v>73</v>
      </c>
      <c r="U253" s="263"/>
      <c r="V253" s="263"/>
      <c r="W253" s="263" t="s">
        <v>74</v>
      </c>
      <c r="X253" s="263"/>
      <c r="Y253" s="263"/>
      <c r="Z253" s="263" t="s">
        <v>75</v>
      </c>
      <c r="AA253" s="263"/>
      <c r="AB253" s="263"/>
      <c r="AC253" s="254"/>
    </row>
    <row r="254" spans="1:29" x14ac:dyDescent="0.2">
      <c r="A254" s="287"/>
      <c r="B254" s="261"/>
      <c r="C254" s="262"/>
      <c r="D254" s="262"/>
      <c r="E254" s="262"/>
      <c r="F254" s="262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54"/>
    </row>
    <row r="255" spans="1:29" x14ac:dyDescent="0.2">
      <c r="A255" s="287"/>
      <c r="B255" s="255" t="str">
        <f>B242</f>
        <v>02C</v>
      </c>
      <c r="C255" s="256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57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54"/>
    </row>
    <row r="256" spans="1:29" x14ac:dyDescent="0.2">
      <c r="A256" s="287"/>
      <c r="B256" s="255"/>
      <c r="C256" s="256"/>
      <c r="D256" s="9"/>
      <c r="E256" s="9" t="str">
        <f t="shared" ref="E256:F258" si="43">IF(ISBLANK(E243), "", E243)</f>
        <v/>
      </c>
      <c r="F256" s="9" t="str">
        <f t="shared" si="43"/>
        <v/>
      </c>
      <c r="G256" s="257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54"/>
    </row>
    <row r="257" spans="1:29" x14ac:dyDescent="0.2">
      <c r="A257" s="287"/>
      <c r="B257" s="255" t="str">
        <f>B244</f>
        <v>03C</v>
      </c>
      <c r="C257" s="256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57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54"/>
    </row>
    <row r="258" spans="1:29" x14ac:dyDescent="0.2">
      <c r="A258" s="287"/>
      <c r="B258" s="255"/>
      <c r="C258" s="256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57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54"/>
    </row>
    <row r="260" spans="1:29" x14ac:dyDescent="0.2">
      <c r="A260" s="287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87"/>
      <c r="B261" s="288" t="s">
        <v>10</v>
      </c>
      <c r="C261" s="289" t="s">
        <v>0</v>
      </c>
      <c r="D261" s="289" t="s">
        <v>25</v>
      </c>
      <c r="E261" s="289" t="s">
        <v>11</v>
      </c>
      <c r="F261" s="289" t="s">
        <v>16</v>
      </c>
      <c r="G261" s="270" t="s">
        <v>12</v>
      </c>
      <c r="H261" s="271" t="s">
        <v>13</v>
      </c>
      <c r="I261" s="272"/>
      <c r="J261" s="272"/>
      <c r="K261" s="272"/>
      <c r="L261" s="272"/>
      <c r="M261" s="273"/>
      <c r="N261" s="271" t="s">
        <v>14</v>
      </c>
      <c r="O261" s="272"/>
      <c r="P261" s="272"/>
      <c r="Q261" s="272"/>
      <c r="R261" s="272"/>
      <c r="S261" s="273"/>
      <c r="T261" s="271" t="s">
        <v>15</v>
      </c>
      <c r="U261" s="272"/>
      <c r="V261" s="272"/>
      <c r="W261" s="272"/>
      <c r="X261" s="272"/>
      <c r="Y261" s="273"/>
      <c r="Z261" s="274" t="s">
        <v>37</v>
      </c>
      <c r="AA261" s="274" t="s">
        <v>39</v>
      </c>
      <c r="AB261" s="274" t="s">
        <v>62</v>
      </c>
      <c r="AC261" s="299" t="s">
        <v>26</v>
      </c>
    </row>
    <row r="262" spans="1:29" ht="50.25" customHeight="1" x14ac:dyDescent="0.2">
      <c r="A262" s="287"/>
      <c r="B262" s="288"/>
      <c r="C262" s="289"/>
      <c r="D262" s="289"/>
      <c r="E262" s="289"/>
      <c r="F262" s="289"/>
      <c r="G262" s="270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75"/>
      <c r="AA262" s="276"/>
      <c r="AB262" s="276"/>
      <c r="AC262" s="299"/>
    </row>
    <row r="263" spans="1:29" x14ac:dyDescent="0.2">
      <c r="A263" s="287"/>
      <c r="B263" s="300" t="s">
        <v>2</v>
      </c>
      <c r="C263" s="302" t="s">
        <v>84</v>
      </c>
      <c r="D263" s="12"/>
      <c r="E263" s="10"/>
      <c r="F263" s="12"/>
      <c r="G263" s="302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66">
        <f>SUM(L263, R263, X263)+SUM(L264, R264, X264)</f>
        <v>0</v>
      </c>
      <c r="AA263" s="266">
        <f>SUM(M263, S263, Y263)+SUM(M264, S264, Y264)</f>
        <v>0</v>
      </c>
      <c r="AB263" s="268">
        <f>IF($Z263=0, ,AA263/$Z263)</f>
        <v>0</v>
      </c>
      <c r="AC263" s="292" t="s">
        <v>96</v>
      </c>
    </row>
    <row r="264" spans="1:29" x14ac:dyDescent="0.2">
      <c r="A264" s="287"/>
      <c r="B264" s="301"/>
      <c r="C264" s="303"/>
      <c r="D264" s="12"/>
      <c r="E264" s="12"/>
      <c r="F264" s="12"/>
      <c r="G264" s="304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67"/>
      <c r="AA264" s="267"/>
      <c r="AB264" s="269"/>
      <c r="AC264" s="293"/>
    </row>
    <row r="265" spans="1:29" x14ac:dyDescent="0.2">
      <c r="A265" s="287"/>
      <c r="B265" s="290" t="s">
        <v>6</v>
      </c>
      <c r="C265" s="279" t="s">
        <v>8</v>
      </c>
      <c r="D265" s="10"/>
      <c r="E265" s="10"/>
      <c r="F265" s="10"/>
      <c r="G265" s="279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81">
        <f>SUM(L265, R265, X265)+SUM(L266, R266, X266)</f>
        <v>0</v>
      </c>
      <c r="AA265" s="283">
        <f>SUM(M265, S265, Y265)+SUM(M266, S266, Y266)</f>
        <v>0</v>
      </c>
      <c r="AB265" s="258">
        <f>IF($Z265=0, ,AA265/$Z265)</f>
        <v>0</v>
      </c>
      <c r="AC265" s="277" t="s">
        <v>100</v>
      </c>
    </row>
    <row r="266" spans="1:29" x14ac:dyDescent="0.2">
      <c r="A266" s="287"/>
      <c r="B266" s="291"/>
      <c r="C266" s="280"/>
      <c r="D266" s="10"/>
      <c r="E266" s="10"/>
      <c r="F266" s="10"/>
      <c r="G266" s="280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82"/>
      <c r="AA266" s="284"/>
      <c r="AB266" s="259"/>
      <c r="AC266" s="278"/>
    </row>
    <row r="267" spans="1:29" x14ac:dyDescent="0.2">
      <c r="A267" s="287"/>
      <c r="B267" s="285" t="s">
        <v>7</v>
      </c>
      <c r="C267" s="264" t="s">
        <v>81</v>
      </c>
      <c r="D267" s="9"/>
      <c r="E267" s="9"/>
      <c r="F267" s="9"/>
      <c r="G267" s="264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66">
        <f>SUM(L267, R267, X267)+SUM(L268, R268, X268)</f>
        <v>0</v>
      </c>
      <c r="AA267" s="266">
        <f>SUM(M267, S267, Y267)+SUM(M268, S268, Y268)</f>
        <v>0</v>
      </c>
      <c r="AB267" s="268">
        <f>IF($Z267=0, ,AA267/$Z267)</f>
        <v>0</v>
      </c>
      <c r="AC267" s="292" t="s">
        <v>100</v>
      </c>
    </row>
    <row r="268" spans="1:29" x14ac:dyDescent="0.2">
      <c r="A268" s="287"/>
      <c r="B268" s="286"/>
      <c r="C268" s="265"/>
      <c r="D268" s="9"/>
      <c r="E268" s="9"/>
      <c r="F268" s="9"/>
      <c r="G268" s="265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67"/>
      <c r="AA268" s="267"/>
      <c r="AB268" s="269"/>
      <c r="AC268" s="293"/>
    </row>
    <row r="269" spans="1:29" x14ac:dyDescent="0.2">
      <c r="A269" s="287"/>
      <c r="B269" s="290" t="s">
        <v>3</v>
      </c>
      <c r="C269" s="279" t="s">
        <v>82</v>
      </c>
      <c r="D269" s="10"/>
      <c r="E269" s="10"/>
      <c r="F269" s="10"/>
      <c r="G269" s="279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83">
        <f>SUM(L269, R269, X269)+SUM(L270, R270, X270)</f>
        <v>0</v>
      </c>
      <c r="AA269" s="283">
        <f>SUM(M269, S269, Y269)+SUM(M270, S270, Y270)</f>
        <v>0</v>
      </c>
      <c r="AB269" s="258">
        <f>IF($Z269=0, ,AA269/$Z269)</f>
        <v>0</v>
      </c>
      <c r="AC269" s="277" t="s">
        <v>96</v>
      </c>
    </row>
    <row r="270" spans="1:29" x14ac:dyDescent="0.2">
      <c r="A270" s="287"/>
      <c r="B270" s="291"/>
      <c r="C270" s="280"/>
      <c r="D270" s="10"/>
      <c r="E270" s="10"/>
      <c r="F270" s="10"/>
      <c r="G270" s="280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84"/>
      <c r="AA270" s="284"/>
      <c r="AB270" s="259"/>
      <c r="AC270" s="278"/>
    </row>
    <row r="271" spans="1:29" x14ac:dyDescent="0.2">
      <c r="A271" s="287"/>
      <c r="B271" s="285" t="s">
        <v>4</v>
      </c>
      <c r="C271" s="264" t="s">
        <v>9</v>
      </c>
      <c r="D271" s="9"/>
      <c r="E271" s="10"/>
      <c r="F271" s="9"/>
      <c r="G271" s="264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66">
        <f>SUM(L271, R271, X271)+SUM(L272, R272, X272)</f>
        <v>0</v>
      </c>
      <c r="AA271" s="266">
        <f>SUM(M271, S271, Y271)+SUM(M272, S272, Y272)</f>
        <v>0</v>
      </c>
      <c r="AB271" s="268">
        <f>IF($Z271=0, ,AA271/$Z271)</f>
        <v>0</v>
      </c>
      <c r="AC271" s="292" t="s">
        <v>96</v>
      </c>
    </row>
    <row r="272" spans="1:29" x14ac:dyDescent="0.2">
      <c r="A272" s="287"/>
      <c r="B272" s="286"/>
      <c r="C272" s="265"/>
      <c r="D272" s="9"/>
      <c r="E272" s="9"/>
      <c r="F272" s="9"/>
      <c r="G272" s="265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67"/>
      <c r="AA272" s="267"/>
      <c r="AB272" s="269"/>
      <c r="AC272" s="293"/>
    </row>
    <row r="273" spans="1:29" x14ac:dyDescent="0.2">
      <c r="A273" s="287"/>
      <c r="B273" s="294" t="s">
        <v>85</v>
      </c>
      <c r="C273" s="296" t="s">
        <v>83</v>
      </c>
      <c r="D273" s="11"/>
      <c r="E273" s="10"/>
      <c r="F273" s="11"/>
      <c r="G273" s="296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98">
        <f>SUM(L273, R273, X273)+SUM(L274, R274, X274)</f>
        <v>0</v>
      </c>
      <c r="AA273" s="298">
        <f>SUM(M273, S273, Y273)+SUM(M274, S274, Y274)</f>
        <v>0</v>
      </c>
      <c r="AB273" s="258">
        <f>IF($Z273=0, ,AA273/$Z273)</f>
        <v>0</v>
      </c>
      <c r="AC273" s="260" t="s">
        <v>96</v>
      </c>
    </row>
    <row r="274" spans="1:29" x14ac:dyDescent="0.2">
      <c r="A274" s="287"/>
      <c r="B274" s="295"/>
      <c r="C274" s="297"/>
      <c r="D274" s="11"/>
      <c r="E274" s="11"/>
      <c r="F274" s="11"/>
      <c r="G274" s="297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98"/>
      <c r="AA274" s="298"/>
      <c r="AB274" s="259"/>
      <c r="AC274" s="260"/>
    </row>
    <row r="275" spans="1:29" x14ac:dyDescent="0.2">
      <c r="A275" s="287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87"/>
      <c r="B276" s="261" t="s">
        <v>67</v>
      </c>
      <c r="C276" s="262"/>
      <c r="D276" s="262"/>
      <c r="E276" s="262"/>
      <c r="F276" s="262"/>
      <c r="G276" s="9" t="s">
        <v>68</v>
      </c>
      <c r="H276" s="263" t="s">
        <v>64</v>
      </c>
      <c r="I276" s="263"/>
      <c r="J276" s="263"/>
      <c r="K276" s="263" t="s">
        <v>76</v>
      </c>
      <c r="L276" s="263"/>
      <c r="M276" s="263"/>
      <c r="N276" s="263" t="s">
        <v>65</v>
      </c>
      <c r="O276" s="263"/>
      <c r="P276" s="263"/>
      <c r="Q276" s="263" t="s">
        <v>66</v>
      </c>
      <c r="R276" s="263"/>
      <c r="S276" s="263"/>
      <c r="T276" s="263" t="s">
        <v>73</v>
      </c>
      <c r="U276" s="263"/>
      <c r="V276" s="263"/>
      <c r="W276" s="263" t="s">
        <v>74</v>
      </c>
      <c r="X276" s="263"/>
      <c r="Y276" s="263"/>
      <c r="Z276" s="263" t="s">
        <v>75</v>
      </c>
      <c r="AA276" s="263"/>
      <c r="AB276" s="263"/>
      <c r="AC276" s="254"/>
    </row>
    <row r="277" spans="1:29" x14ac:dyDescent="0.2">
      <c r="A277" s="287"/>
      <c r="B277" s="261"/>
      <c r="C277" s="262"/>
      <c r="D277" s="262"/>
      <c r="E277" s="262"/>
      <c r="F277" s="262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54"/>
    </row>
    <row r="278" spans="1:29" x14ac:dyDescent="0.2">
      <c r="A278" s="287"/>
      <c r="B278" s="255" t="str">
        <f>B265</f>
        <v>02C</v>
      </c>
      <c r="C278" s="256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57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54"/>
    </row>
    <row r="279" spans="1:29" x14ac:dyDescent="0.2">
      <c r="A279" s="287"/>
      <c r="B279" s="255"/>
      <c r="C279" s="256"/>
      <c r="D279" s="9"/>
      <c r="E279" s="9" t="str">
        <f t="shared" ref="E279:F281" si="47">IF(ISBLANK(E266), "", E266)</f>
        <v/>
      </c>
      <c r="F279" s="9" t="str">
        <f t="shared" si="47"/>
        <v/>
      </c>
      <c r="G279" s="257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54"/>
    </row>
    <row r="280" spans="1:29" x14ac:dyDescent="0.2">
      <c r="A280" s="287"/>
      <c r="B280" s="255" t="str">
        <f>B267</f>
        <v>03C</v>
      </c>
      <c r="C280" s="256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57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54"/>
    </row>
    <row r="281" spans="1:29" x14ac:dyDescent="0.2">
      <c r="A281" s="287"/>
      <c r="B281" s="255"/>
      <c r="C281" s="256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57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54"/>
    </row>
    <row r="283" spans="1:29" x14ac:dyDescent="0.2">
      <c r="A283" s="287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87"/>
      <c r="B284" s="288" t="s">
        <v>10</v>
      </c>
      <c r="C284" s="289" t="s">
        <v>0</v>
      </c>
      <c r="D284" s="289" t="s">
        <v>25</v>
      </c>
      <c r="E284" s="289" t="s">
        <v>11</v>
      </c>
      <c r="F284" s="289" t="s">
        <v>16</v>
      </c>
      <c r="G284" s="270" t="s">
        <v>12</v>
      </c>
      <c r="H284" s="271" t="s">
        <v>13</v>
      </c>
      <c r="I284" s="272"/>
      <c r="J284" s="272"/>
      <c r="K284" s="272"/>
      <c r="L284" s="272"/>
      <c r="M284" s="273"/>
      <c r="N284" s="271" t="s">
        <v>14</v>
      </c>
      <c r="O284" s="272"/>
      <c r="P284" s="272"/>
      <c r="Q284" s="272"/>
      <c r="R284" s="272"/>
      <c r="S284" s="273"/>
      <c r="T284" s="271" t="s">
        <v>15</v>
      </c>
      <c r="U284" s="272"/>
      <c r="V284" s="272"/>
      <c r="W284" s="272"/>
      <c r="X284" s="272"/>
      <c r="Y284" s="273"/>
      <c r="Z284" s="274" t="s">
        <v>37</v>
      </c>
      <c r="AA284" s="274" t="s">
        <v>39</v>
      </c>
      <c r="AB284" s="274" t="s">
        <v>62</v>
      </c>
      <c r="AC284" s="299" t="s">
        <v>26</v>
      </c>
    </row>
    <row r="285" spans="1:29" ht="48" customHeight="1" x14ac:dyDescent="0.2">
      <c r="A285" s="287"/>
      <c r="B285" s="288"/>
      <c r="C285" s="289"/>
      <c r="D285" s="289"/>
      <c r="E285" s="289"/>
      <c r="F285" s="289"/>
      <c r="G285" s="270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75"/>
      <c r="AA285" s="276"/>
      <c r="AB285" s="276"/>
      <c r="AC285" s="299"/>
    </row>
    <row r="286" spans="1:29" x14ac:dyDescent="0.2">
      <c r="A286" s="287"/>
      <c r="B286" s="300" t="s">
        <v>2</v>
      </c>
      <c r="C286" s="302" t="s">
        <v>84</v>
      </c>
      <c r="D286" s="12"/>
      <c r="E286" s="10"/>
      <c r="F286" s="12"/>
      <c r="G286" s="302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66">
        <f>SUM(L286, R286, X286)+SUM(L287, R287, X287)</f>
        <v>0</v>
      </c>
      <c r="AA286" s="266">
        <f>SUM(M286, S286, Y286)+SUM(M287, S287, Y287)</f>
        <v>0</v>
      </c>
      <c r="AB286" s="268">
        <f>IF($Z286=0, ,AA286/$Z286)</f>
        <v>0</v>
      </c>
      <c r="AC286" s="292" t="s">
        <v>87</v>
      </c>
    </row>
    <row r="287" spans="1:29" x14ac:dyDescent="0.2">
      <c r="A287" s="287"/>
      <c r="B287" s="301"/>
      <c r="C287" s="303"/>
      <c r="D287" s="12"/>
      <c r="E287" s="12"/>
      <c r="F287" s="12"/>
      <c r="G287" s="304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67"/>
      <c r="AA287" s="267"/>
      <c r="AB287" s="269"/>
      <c r="AC287" s="293"/>
    </row>
    <row r="288" spans="1:29" x14ac:dyDescent="0.2">
      <c r="A288" s="287"/>
      <c r="B288" s="290" t="s">
        <v>6</v>
      </c>
      <c r="C288" s="279" t="s">
        <v>8</v>
      </c>
      <c r="D288" s="10"/>
      <c r="E288" s="10"/>
      <c r="F288" s="10"/>
      <c r="G288" s="279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81">
        <f>SUM(L288, R288, X288)+SUM(L289, R289, X289)</f>
        <v>0</v>
      </c>
      <c r="AA288" s="283">
        <f>SUM(M288, S288, Y288)+SUM(M289, S289, Y289)</f>
        <v>0</v>
      </c>
      <c r="AB288" s="258">
        <f>IF($Z288=0, ,AA288/$Z288)</f>
        <v>0</v>
      </c>
      <c r="AC288" s="277" t="s">
        <v>101</v>
      </c>
    </row>
    <row r="289" spans="1:29" x14ac:dyDescent="0.2">
      <c r="A289" s="287"/>
      <c r="B289" s="291"/>
      <c r="C289" s="280"/>
      <c r="D289" s="10"/>
      <c r="E289" s="10"/>
      <c r="F289" s="10"/>
      <c r="G289" s="280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82"/>
      <c r="AA289" s="284"/>
      <c r="AB289" s="259"/>
      <c r="AC289" s="278"/>
    </row>
    <row r="290" spans="1:29" x14ac:dyDescent="0.2">
      <c r="A290" s="287"/>
      <c r="B290" s="285" t="s">
        <v>7</v>
      </c>
      <c r="C290" s="264" t="s">
        <v>81</v>
      </c>
      <c r="D290" s="9"/>
      <c r="E290" s="9"/>
      <c r="F290" s="9"/>
      <c r="G290" s="264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66">
        <f>SUM(L290, R290, X290)+SUM(L291, R291, X291)</f>
        <v>0</v>
      </c>
      <c r="AA290" s="266">
        <f>SUM(M290, S290, Y290)+SUM(M291, S291, Y291)</f>
        <v>0</v>
      </c>
      <c r="AB290" s="268">
        <f>IF($Z290=0, ,AA290/$Z290)</f>
        <v>0</v>
      </c>
      <c r="AC290" s="292" t="s">
        <v>101</v>
      </c>
    </row>
    <row r="291" spans="1:29" x14ac:dyDescent="0.2">
      <c r="A291" s="287"/>
      <c r="B291" s="286"/>
      <c r="C291" s="265"/>
      <c r="D291" s="9"/>
      <c r="E291" s="9"/>
      <c r="F291" s="9"/>
      <c r="G291" s="265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67"/>
      <c r="AA291" s="267"/>
      <c r="AB291" s="269"/>
      <c r="AC291" s="293"/>
    </row>
    <row r="292" spans="1:29" x14ac:dyDescent="0.2">
      <c r="A292" s="287"/>
      <c r="B292" s="290" t="s">
        <v>3</v>
      </c>
      <c r="C292" s="279" t="s">
        <v>82</v>
      </c>
      <c r="D292" s="10"/>
      <c r="E292" s="10"/>
      <c r="F292" s="10"/>
      <c r="G292" s="279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83">
        <f>SUM(L292, R292, X292)+SUM(L293, R293, X293)</f>
        <v>0</v>
      </c>
      <c r="AA292" s="283">
        <f>SUM(M292, S292, Y292)+SUM(M293, S293, Y293)</f>
        <v>0</v>
      </c>
      <c r="AB292" s="258">
        <f>IF($Z292=0, ,AA292/$Z292)</f>
        <v>0</v>
      </c>
      <c r="AC292" s="277" t="s">
        <v>87</v>
      </c>
    </row>
    <row r="293" spans="1:29" x14ac:dyDescent="0.2">
      <c r="A293" s="287"/>
      <c r="B293" s="291"/>
      <c r="C293" s="280"/>
      <c r="D293" s="10"/>
      <c r="E293" s="10"/>
      <c r="F293" s="10"/>
      <c r="G293" s="280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84"/>
      <c r="AA293" s="284"/>
      <c r="AB293" s="259"/>
      <c r="AC293" s="278"/>
    </row>
    <row r="294" spans="1:29" x14ac:dyDescent="0.2">
      <c r="A294" s="287"/>
      <c r="B294" s="285" t="s">
        <v>4</v>
      </c>
      <c r="C294" s="264" t="s">
        <v>9</v>
      </c>
      <c r="D294" s="9"/>
      <c r="E294" s="10"/>
      <c r="F294" s="9"/>
      <c r="G294" s="264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66">
        <f>SUM(L294, R294, X294)+SUM(L295, R295, X295)</f>
        <v>0</v>
      </c>
      <c r="AA294" s="266">
        <f>SUM(M294, S294, Y294)+SUM(M295, S295, Y295)</f>
        <v>0</v>
      </c>
      <c r="AB294" s="268">
        <f>IF($Z294=0, ,AA294/$Z294)</f>
        <v>0</v>
      </c>
      <c r="AC294" s="292" t="s">
        <v>87</v>
      </c>
    </row>
    <row r="295" spans="1:29" x14ac:dyDescent="0.2">
      <c r="A295" s="287"/>
      <c r="B295" s="286"/>
      <c r="C295" s="265"/>
      <c r="D295" s="9"/>
      <c r="E295" s="9"/>
      <c r="F295" s="9"/>
      <c r="G295" s="265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67"/>
      <c r="AA295" s="267"/>
      <c r="AB295" s="269"/>
      <c r="AC295" s="293"/>
    </row>
    <row r="296" spans="1:29" x14ac:dyDescent="0.2">
      <c r="A296" s="287"/>
      <c r="B296" s="294" t="s">
        <v>85</v>
      </c>
      <c r="C296" s="296" t="s">
        <v>83</v>
      </c>
      <c r="D296" s="11"/>
      <c r="E296" s="10"/>
      <c r="F296" s="11"/>
      <c r="G296" s="296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98">
        <f>SUM(L296, R296, X296)+SUM(L297, R297, X297)</f>
        <v>0</v>
      </c>
      <c r="AA296" s="298">
        <f>SUM(M296, S296, Y296)+SUM(M297, S297, Y297)</f>
        <v>0</v>
      </c>
      <c r="AB296" s="258">
        <f>IF($Z296=0, ,AA296/$Z296)</f>
        <v>0</v>
      </c>
      <c r="AC296" s="260" t="s">
        <v>87</v>
      </c>
    </row>
    <row r="297" spans="1:29" x14ac:dyDescent="0.2">
      <c r="A297" s="287"/>
      <c r="B297" s="295"/>
      <c r="C297" s="297"/>
      <c r="D297" s="11"/>
      <c r="E297" s="11"/>
      <c r="F297" s="11"/>
      <c r="G297" s="297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98"/>
      <c r="AA297" s="298"/>
      <c r="AB297" s="259"/>
      <c r="AC297" s="260"/>
    </row>
    <row r="298" spans="1:29" x14ac:dyDescent="0.2">
      <c r="A298" s="287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87"/>
      <c r="B299" s="261" t="s">
        <v>67</v>
      </c>
      <c r="C299" s="262"/>
      <c r="D299" s="262"/>
      <c r="E299" s="262"/>
      <c r="F299" s="262"/>
      <c r="G299" s="9" t="s">
        <v>68</v>
      </c>
      <c r="H299" s="263" t="s">
        <v>64</v>
      </c>
      <c r="I299" s="263"/>
      <c r="J299" s="263"/>
      <c r="K299" s="263" t="s">
        <v>76</v>
      </c>
      <c r="L299" s="263"/>
      <c r="M299" s="263"/>
      <c r="N299" s="263" t="s">
        <v>65</v>
      </c>
      <c r="O299" s="263"/>
      <c r="P299" s="263"/>
      <c r="Q299" s="263" t="s">
        <v>66</v>
      </c>
      <c r="R299" s="263"/>
      <c r="S299" s="263"/>
      <c r="T299" s="263" t="s">
        <v>73</v>
      </c>
      <c r="U299" s="263"/>
      <c r="V299" s="263"/>
      <c r="W299" s="263" t="s">
        <v>74</v>
      </c>
      <c r="X299" s="263"/>
      <c r="Y299" s="263"/>
      <c r="Z299" s="263" t="s">
        <v>75</v>
      </c>
      <c r="AA299" s="263"/>
      <c r="AB299" s="263"/>
      <c r="AC299" s="254"/>
    </row>
    <row r="300" spans="1:29" x14ac:dyDescent="0.2">
      <c r="A300" s="287"/>
      <c r="B300" s="261"/>
      <c r="C300" s="262"/>
      <c r="D300" s="262"/>
      <c r="E300" s="262"/>
      <c r="F300" s="262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54"/>
    </row>
    <row r="301" spans="1:29" x14ac:dyDescent="0.2">
      <c r="A301" s="287"/>
      <c r="B301" s="255" t="str">
        <f>B288</f>
        <v>02C</v>
      </c>
      <c r="C301" s="256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57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54"/>
    </row>
    <row r="302" spans="1:29" x14ac:dyDescent="0.2">
      <c r="A302" s="287"/>
      <c r="B302" s="255"/>
      <c r="C302" s="256"/>
      <c r="D302" s="9"/>
      <c r="E302" s="9" t="str">
        <f t="shared" ref="E302:F304" si="51">IF(ISBLANK(E289), "", E289)</f>
        <v/>
      </c>
      <c r="F302" s="9" t="str">
        <f t="shared" si="51"/>
        <v/>
      </c>
      <c r="G302" s="257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54"/>
    </row>
    <row r="303" spans="1:29" x14ac:dyDescent="0.2">
      <c r="A303" s="287"/>
      <c r="B303" s="255" t="str">
        <f>B290</f>
        <v>03C</v>
      </c>
      <c r="C303" s="256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57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54"/>
    </row>
    <row r="304" spans="1:29" x14ac:dyDescent="0.2">
      <c r="A304" s="287"/>
      <c r="B304" s="255"/>
      <c r="C304" s="256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57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54"/>
    </row>
    <row r="306" spans="1:29" x14ac:dyDescent="0.2">
      <c r="A306" s="287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87"/>
      <c r="B307" s="288" t="s">
        <v>10</v>
      </c>
      <c r="C307" s="289" t="s">
        <v>0</v>
      </c>
      <c r="D307" s="289" t="s">
        <v>25</v>
      </c>
      <c r="E307" s="289" t="s">
        <v>11</v>
      </c>
      <c r="F307" s="289" t="s">
        <v>16</v>
      </c>
      <c r="G307" s="270" t="s">
        <v>12</v>
      </c>
      <c r="H307" s="271" t="s">
        <v>13</v>
      </c>
      <c r="I307" s="272"/>
      <c r="J307" s="272"/>
      <c r="K307" s="272"/>
      <c r="L307" s="272"/>
      <c r="M307" s="273"/>
      <c r="N307" s="271" t="s">
        <v>14</v>
      </c>
      <c r="O307" s="272"/>
      <c r="P307" s="272"/>
      <c r="Q307" s="272"/>
      <c r="R307" s="272"/>
      <c r="S307" s="273"/>
      <c r="T307" s="271" t="s">
        <v>15</v>
      </c>
      <c r="U307" s="272"/>
      <c r="V307" s="272"/>
      <c r="W307" s="272"/>
      <c r="X307" s="272"/>
      <c r="Y307" s="273"/>
      <c r="Z307" s="274" t="s">
        <v>37</v>
      </c>
      <c r="AA307" s="274" t="s">
        <v>39</v>
      </c>
      <c r="AB307" s="274" t="s">
        <v>62</v>
      </c>
      <c r="AC307" s="299" t="s">
        <v>26</v>
      </c>
    </row>
    <row r="308" spans="1:29" ht="25.5" x14ac:dyDescent="0.2">
      <c r="A308" s="287"/>
      <c r="B308" s="288"/>
      <c r="C308" s="289"/>
      <c r="D308" s="289"/>
      <c r="E308" s="289"/>
      <c r="F308" s="289"/>
      <c r="G308" s="270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75"/>
      <c r="AA308" s="276"/>
      <c r="AB308" s="276"/>
      <c r="AC308" s="299"/>
    </row>
    <row r="309" spans="1:29" x14ac:dyDescent="0.2">
      <c r="A309" s="287"/>
      <c r="B309" s="300" t="s">
        <v>2</v>
      </c>
      <c r="C309" s="302" t="s">
        <v>84</v>
      </c>
      <c r="D309" s="12"/>
      <c r="E309" s="10"/>
      <c r="F309" s="12"/>
      <c r="G309" s="302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66">
        <f>SUM(L309, R309, X309)+SUM(L310, R310, X310)</f>
        <v>0</v>
      </c>
      <c r="AA309" s="266">
        <f>SUM(M309, S309, Y309)+SUM(M310, S310, Y310)</f>
        <v>0</v>
      </c>
      <c r="AB309" s="268">
        <f>IF($Z309=0, ,AA309/$Z309)</f>
        <v>0</v>
      </c>
      <c r="AC309" s="292" t="s">
        <v>87</v>
      </c>
    </row>
    <row r="310" spans="1:29" x14ac:dyDescent="0.2">
      <c r="A310" s="287"/>
      <c r="B310" s="301"/>
      <c r="C310" s="303"/>
      <c r="D310" s="12"/>
      <c r="E310" s="12"/>
      <c r="F310" s="12"/>
      <c r="G310" s="304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67"/>
      <c r="AA310" s="267"/>
      <c r="AB310" s="269"/>
      <c r="AC310" s="293"/>
    </row>
    <row r="311" spans="1:29" x14ac:dyDescent="0.2">
      <c r="A311" s="287"/>
      <c r="B311" s="290" t="s">
        <v>6</v>
      </c>
      <c r="C311" s="279" t="s">
        <v>8</v>
      </c>
      <c r="D311" s="10"/>
      <c r="E311" s="10"/>
      <c r="F311" s="10"/>
      <c r="G311" s="279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81">
        <f>SUM(L311, R311, X311)+SUM(L312, R312, X312)</f>
        <v>0</v>
      </c>
      <c r="AA311" s="283">
        <f>SUM(M311, S311, Y311)+SUM(M312, S312, Y312)</f>
        <v>0</v>
      </c>
      <c r="AB311" s="258">
        <f>IF($Z311=0, ,AA311/$Z311)</f>
        <v>0</v>
      </c>
      <c r="AC311" s="277" t="s">
        <v>87</v>
      </c>
    </row>
    <row r="312" spans="1:29" x14ac:dyDescent="0.2">
      <c r="A312" s="287"/>
      <c r="B312" s="291"/>
      <c r="C312" s="280"/>
      <c r="D312" s="10"/>
      <c r="E312" s="10"/>
      <c r="F312" s="10"/>
      <c r="G312" s="280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82"/>
      <c r="AA312" s="284"/>
      <c r="AB312" s="259"/>
      <c r="AC312" s="278"/>
    </row>
    <row r="313" spans="1:29" x14ac:dyDescent="0.2">
      <c r="A313" s="287"/>
      <c r="B313" s="285" t="s">
        <v>7</v>
      </c>
      <c r="C313" s="264" t="s">
        <v>81</v>
      </c>
      <c r="D313" s="9"/>
      <c r="E313" s="9"/>
      <c r="F313" s="9"/>
      <c r="G313" s="264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66">
        <f>SUM(L313, R313, X313)+SUM(L314, R314, X314)</f>
        <v>0</v>
      </c>
      <c r="AA313" s="266">
        <f>SUM(M313, S313, Y313)+SUM(M314, S314, Y314)</f>
        <v>0</v>
      </c>
      <c r="AB313" s="268">
        <f>IF($Z313=0, ,AA313/$Z313)</f>
        <v>0</v>
      </c>
      <c r="AC313" s="292" t="s">
        <v>87</v>
      </c>
    </row>
    <row r="314" spans="1:29" x14ac:dyDescent="0.2">
      <c r="A314" s="287"/>
      <c r="B314" s="286"/>
      <c r="C314" s="265"/>
      <c r="D314" s="9"/>
      <c r="E314" s="9"/>
      <c r="F314" s="9"/>
      <c r="G314" s="265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67"/>
      <c r="AA314" s="267"/>
      <c r="AB314" s="269"/>
      <c r="AC314" s="293"/>
    </row>
    <row r="315" spans="1:29" x14ac:dyDescent="0.2">
      <c r="A315" s="287"/>
      <c r="B315" s="290" t="s">
        <v>3</v>
      </c>
      <c r="C315" s="279" t="s">
        <v>82</v>
      </c>
      <c r="D315" s="10"/>
      <c r="E315" s="10"/>
      <c r="F315" s="10"/>
      <c r="G315" s="279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83">
        <f>SUM(L315, R315, X315)+SUM(L316, R316, X316)</f>
        <v>0</v>
      </c>
      <c r="AA315" s="283">
        <f>SUM(M315, S315, Y315)+SUM(M316, S316, Y316)</f>
        <v>0</v>
      </c>
      <c r="AB315" s="258">
        <f>IF($Z315=0, ,AA315/$Z315)</f>
        <v>0</v>
      </c>
      <c r="AC315" s="277" t="s">
        <v>87</v>
      </c>
    </row>
    <row r="316" spans="1:29" x14ac:dyDescent="0.2">
      <c r="A316" s="287"/>
      <c r="B316" s="291"/>
      <c r="C316" s="280"/>
      <c r="D316" s="10"/>
      <c r="E316" s="10"/>
      <c r="F316" s="10"/>
      <c r="G316" s="280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84"/>
      <c r="AA316" s="284"/>
      <c r="AB316" s="259"/>
      <c r="AC316" s="278"/>
    </row>
    <row r="317" spans="1:29" x14ac:dyDescent="0.2">
      <c r="A317" s="287"/>
      <c r="B317" s="285" t="s">
        <v>4</v>
      </c>
      <c r="C317" s="264" t="s">
        <v>9</v>
      </c>
      <c r="D317" s="9"/>
      <c r="E317" s="10"/>
      <c r="F317" s="9"/>
      <c r="G317" s="264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66">
        <f>SUM(L317, R317, X317)+SUM(L318, R318, X318)</f>
        <v>0</v>
      </c>
      <c r="AA317" s="266">
        <f>SUM(M317, S317, Y317)+SUM(M318, S318, Y318)</f>
        <v>0</v>
      </c>
      <c r="AB317" s="268">
        <f>IF($Z317=0, ,AA317/$Z317)</f>
        <v>0</v>
      </c>
      <c r="AC317" s="292" t="s">
        <v>87</v>
      </c>
    </row>
    <row r="318" spans="1:29" x14ac:dyDescent="0.2">
      <c r="A318" s="287"/>
      <c r="B318" s="286"/>
      <c r="C318" s="265"/>
      <c r="D318" s="9"/>
      <c r="E318" s="9"/>
      <c r="F318" s="9"/>
      <c r="G318" s="265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67"/>
      <c r="AA318" s="267"/>
      <c r="AB318" s="269"/>
      <c r="AC318" s="293"/>
    </row>
    <row r="319" spans="1:29" x14ac:dyDescent="0.2">
      <c r="A319" s="287"/>
      <c r="B319" s="294" t="s">
        <v>85</v>
      </c>
      <c r="C319" s="296" t="s">
        <v>83</v>
      </c>
      <c r="D319" s="11"/>
      <c r="E319" s="10"/>
      <c r="F319" s="11"/>
      <c r="G319" s="296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98">
        <f>SUM(L319, R319, X319)+SUM(L320, R320, X320)</f>
        <v>0</v>
      </c>
      <c r="AA319" s="298">
        <f>SUM(M319, S319, Y319)+SUM(M320, S320, Y320)</f>
        <v>0</v>
      </c>
      <c r="AB319" s="258">
        <f>IF($Z319=0, ,AA319/$Z319)</f>
        <v>0</v>
      </c>
      <c r="AC319" s="260" t="s">
        <v>87</v>
      </c>
    </row>
    <row r="320" spans="1:29" x14ac:dyDescent="0.2">
      <c r="A320" s="287"/>
      <c r="B320" s="295"/>
      <c r="C320" s="297"/>
      <c r="D320" s="11"/>
      <c r="E320" s="11"/>
      <c r="F320" s="11"/>
      <c r="G320" s="297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98"/>
      <c r="AA320" s="298"/>
      <c r="AB320" s="259"/>
      <c r="AC320" s="260"/>
    </row>
    <row r="321" spans="1:29" x14ac:dyDescent="0.2">
      <c r="A321" s="287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87"/>
      <c r="B322" s="261" t="s">
        <v>67</v>
      </c>
      <c r="C322" s="262"/>
      <c r="D322" s="262"/>
      <c r="E322" s="262"/>
      <c r="F322" s="262"/>
      <c r="G322" s="9" t="s">
        <v>68</v>
      </c>
      <c r="H322" s="263" t="s">
        <v>64</v>
      </c>
      <c r="I322" s="263"/>
      <c r="J322" s="263"/>
      <c r="K322" s="263" t="s">
        <v>76</v>
      </c>
      <c r="L322" s="263"/>
      <c r="M322" s="263"/>
      <c r="N322" s="263" t="s">
        <v>65</v>
      </c>
      <c r="O322" s="263"/>
      <c r="P322" s="263"/>
      <c r="Q322" s="263" t="s">
        <v>66</v>
      </c>
      <c r="R322" s="263"/>
      <c r="S322" s="263"/>
      <c r="T322" s="263" t="s">
        <v>73</v>
      </c>
      <c r="U322" s="263"/>
      <c r="V322" s="263"/>
      <c r="W322" s="263" t="s">
        <v>74</v>
      </c>
      <c r="X322" s="263"/>
      <c r="Y322" s="263"/>
      <c r="Z322" s="263" t="s">
        <v>75</v>
      </c>
      <c r="AA322" s="263"/>
      <c r="AB322" s="263"/>
      <c r="AC322" s="254"/>
    </row>
    <row r="323" spans="1:29" x14ac:dyDescent="0.2">
      <c r="A323" s="287"/>
      <c r="B323" s="261"/>
      <c r="C323" s="262"/>
      <c r="D323" s="262"/>
      <c r="E323" s="262"/>
      <c r="F323" s="262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54"/>
    </row>
    <row r="324" spans="1:29" x14ac:dyDescent="0.2">
      <c r="A324" s="287"/>
      <c r="B324" s="255" t="str">
        <f>B311</f>
        <v>02C</v>
      </c>
      <c r="C324" s="256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57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54"/>
    </row>
    <row r="325" spans="1:29" x14ac:dyDescent="0.2">
      <c r="A325" s="287"/>
      <c r="B325" s="255"/>
      <c r="C325" s="256"/>
      <c r="D325" s="9"/>
      <c r="E325" s="9" t="str">
        <f t="shared" ref="E325:F327" si="55">IF(ISBLANK(E312), "", E312)</f>
        <v/>
      </c>
      <c r="F325" s="9" t="str">
        <f t="shared" si="55"/>
        <v/>
      </c>
      <c r="G325" s="257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54"/>
    </row>
    <row r="326" spans="1:29" x14ac:dyDescent="0.2">
      <c r="A326" s="287"/>
      <c r="B326" s="255" t="str">
        <f>B313</f>
        <v>03C</v>
      </c>
      <c r="C326" s="256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57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54"/>
    </row>
    <row r="327" spans="1:29" x14ac:dyDescent="0.2">
      <c r="A327" s="287"/>
      <c r="B327" s="255"/>
      <c r="C327" s="256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57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54"/>
    </row>
    <row r="329" spans="1:29" x14ac:dyDescent="0.2">
      <c r="A329" s="287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87"/>
      <c r="B330" s="288" t="s">
        <v>10</v>
      </c>
      <c r="C330" s="289" t="s">
        <v>0</v>
      </c>
      <c r="D330" s="289" t="s">
        <v>25</v>
      </c>
      <c r="E330" s="289" t="s">
        <v>11</v>
      </c>
      <c r="F330" s="289" t="s">
        <v>16</v>
      </c>
      <c r="G330" s="270" t="s">
        <v>12</v>
      </c>
      <c r="H330" s="271" t="s">
        <v>13</v>
      </c>
      <c r="I330" s="272"/>
      <c r="J330" s="272"/>
      <c r="K330" s="272"/>
      <c r="L330" s="272"/>
      <c r="M330" s="273"/>
      <c r="N330" s="271" t="s">
        <v>14</v>
      </c>
      <c r="O330" s="272"/>
      <c r="P330" s="272"/>
      <c r="Q330" s="272"/>
      <c r="R330" s="272"/>
      <c r="S330" s="273"/>
      <c r="T330" s="271" t="s">
        <v>15</v>
      </c>
      <c r="U330" s="272"/>
      <c r="V330" s="272"/>
      <c r="W330" s="272"/>
      <c r="X330" s="272"/>
      <c r="Y330" s="273"/>
      <c r="Z330" s="274" t="s">
        <v>37</v>
      </c>
      <c r="AA330" s="274" t="s">
        <v>39</v>
      </c>
      <c r="AB330" s="274" t="s">
        <v>62</v>
      </c>
      <c r="AC330" s="299" t="s">
        <v>26</v>
      </c>
    </row>
    <row r="331" spans="1:29" ht="25.5" x14ac:dyDescent="0.2">
      <c r="A331" s="287"/>
      <c r="B331" s="288"/>
      <c r="C331" s="289"/>
      <c r="D331" s="289"/>
      <c r="E331" s="289"/>
      <c r="F331" s="289"/>
      <c r="G331" s="270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75"/>
      <c r="AA331" s="276"/>
      <c r="AB331" s="276"/>
      <c r="AC331" s="299"/>
    </row>
    <row r="332" spans="1:29" x14ac:dyDescent="0.2">
      <c r="A332" s="287"/>
      <c r="B332" s="300" t="s">
        <v>2</v>
      </c>
      <c r="C332" s="302" t="s">
        <v>84</v>
      </c>
      <c r="D332" s="12"/>
      <c r="E332" s="10"/>
      <c r="F332" s="12"/>
      <c r="G332" s="302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66">
        <f>SUM(L332, R332, X332)+SUM(L333, R333, X333)</f>
        <v>0</v>
      </c>
      <c r="AA332" s="266">
        <f>SUM(M332, S332, Y332)+SUM(M333, S333, Y333)</f>
        <v>0</v>
      </c>
      <c r="AB332" s="268">
        <f>IF($Z332=0, ,AA332/$Z332)</f>
        <v>0</v>
      </c>
      <c r="AC332" s="292" t="s">
        <v>87</v>
      </c>
    </row>
    <row r="333" spans="1:29" x14ac:dyDescent="0.2">
      <c r="A333" s="287"/>
      <c r="B333" s="301"/>
      <c r="C333" s="303"/>
      <c r="D333" s="12"/>
      <c r="E333" s="12"/>
      <c r="F333" s="12"/>
      <c r="G333" s="304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67"/>
      <c r="AA333" s="267"/>
      <c r="AB333" s="269"/>
      <c r="AC333" s="293"/>
    </row>
    <row r="334" spans="1:29" x14ac:dyDescent="0.2">
      <c r="A334" s="287"/>
      <c r="B334" s="290" t="s">
        <v>6</v>
      </c>
      <c r="C334" s="279" t="s">
        <v>8</v>
      </c>
      <c r="D334" s="10"/>
      <c r="E334" s="10"/>
      <c r="F334" s="10"/>
      <c r="G334" s="279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81">
        <f>SUM(L334, R334, X334)+SUM(L335, R335, X335)</f>
        <v>0</v>
      </c>
      <c r="AA334" s="283">
        <f>SUM(M334, S334, Y334)+SUM(M335, S335, Y335)</f>
        <v>0</v>
      </c>
      <c r="AB334" s="258">
        <f>IF($Z334=0, ,AA334/$Z334)</f>
        <v>0</v>
      </c>
      <c r="AC334" s="277" t="s">
        <v>87</v>
      </c>
    </row>
    <row r="335" spans="1:29" x14ac:dyDescent="0.2">
      <c r="A335" s="287"/>
      <c r="B335" s="291"/>
      <c r="C335" s="280"/>
      <c r="D335" s="10"/>
      <c r="E335" s="10"/>
      <c r="F335" s="10"/>
      <c r="G335" s="280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82"/>
      <c r="AA335" s="284"/>
      <c r="AB335" s="259"/>
      <c r="AC335" s="278"/>
    </row>
    <row r="336" spans="1:29" x14ac:dyDescent="0.2">
      <c r="A336" s="287"/>
      <c r="B336" s="285" t="s">
        <v>7</v>
      </c>
      <c r="C336" s="264" t="s">
        <v>81</v>
      </c>
      <c r="D336" s="9"/>
      <c r="E336" s="9"/>
      <c r="F336" s="9"/>
      <c r="G336" s="264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66">
        <f>SUM(L336, R336, X336)+SUM(L337, R337, X337)</f>
        <v>0</v>
      </c>
      <c r="AA336" s="266">
        <f>SUM(M336, S336, Y336)+SUM(M337, S337, Y337)</f>
        <v>0</v>
      </c>
      <c r="AB336" s="268">
        <f>IF($Z336=0, ,AA336/$Z336)</f>
        <v>0</v>
      </c>
      <c r="AC336" s="292" t="s">
        <v>87</v>
      </c>
    </row>
    <row r="337" spans="1:29" x14ac:dyDescent="0.2">
      <c r="A337" s="287"/>
      <c r="B337" s="286"/>
      <c r="C337" s="265"/>
      <c r="D337" s="9"/>
      <c r="E337" s="9"/>
      <c r="F337" s="9"/>
      <c r="G337" s="265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67"/>
      <c r="AA337" s="267"/>
      <c r="AB337" s="269"/>
      <c r="AC337" s="293"/>
    </row>
    <row r="338" spans="1:29" x14ac:dyDescent="0.2">
      <c r="A338" s="287"/>
      <c r="B338" s="290" t="s">
        <v>3</v>
      </c>
      <c r="C338" s="279" t="s">
        <v>82</v>
      </c>
      <c r="D338" s="10"/>
      <c r="E338" s="10"/>
      <c r="F338" s="10"/>
      <c r="G338" s="279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83">
        <f>SUM(L338, R338, X338)+SUM(L339, R339, X339)</f>
        <v>0</v>
      </c>
      <c r="AA338" s="283">
        <f>SUM(M338, S338, Y338)+SUM(M339, S339, Y339)</f>
        <v>0</v>
      </c>
      <c r="AB338" s="258">
        <f>IF($Z338=0, ,AA338/$Z338)</f>
        <v>0</v>
      </c>
      <c r="AC338" s="277" t="s">
        <v>87</v>
      </c>
    </row>
    <row r="339" spans="1:29" x14ac:dyDescent="0.2">
      <c r="A339" s="287"/>
      <c r="B339" s="291"/>
      <c r="C339" s="280"/>
      <c r="D339" s="10"/>
      <c r="E339" s="10"/>
      <c r="F339" s="10"/>
      <c r="G339" s="280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84"/>
      <c r="AA339" s="284"/>
      <c r="AB339" s="259"/>
      <c r="AC339" s="278"/>
    </row>
    <row r="340" spans="1:29" x14ac:dyDescent="0.2">
      <c r="A340" s="287"/>
      <c r="B340" s="285" t="s">
        <v>4</v>
      </c>
      <c r="C340" s="264" t="s">
        <v>9</v>
      </c>
      <c r="D340" s="9"/>
      <c r="E340" s="10"/>
      <c r="F340" s="9"/>
      <c r="G340" s="264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66">
        <f>SUM(L340, R340, X340)+SUM(L341, R341, X341)</f>
        <v>0</v>
      </c>
      <c r="AA340" s="266">
        <f>SUM(M340, S340, Y340)+SUM(M341, S341, Y341)</f>
        <v>0</v>
      </c>
      <c r="AB340" s="268">
        <f>IF($Z340=0, ,AA340/$Z340)</f>
        <v>0</v>
      </c>
      <c r="AC340" s="292" t="s">
        <v>87</v>
      </c>
    </row>
    <row r="341" spans="1:29" x14ac:dyDescent="0.2">
      <c r="A341" s="287"/>
      <c r="B341" s="286"/>
      <c r="C341" s="265"/>
      <c r="D341" s="9"/>
      <c r="E341" s="9"/>
      <c r="F341" s="9"/>
      <c r="G341" s="265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67"/>
      <c r="AA341" s="267"/>
      <c r="AB341" s="269"/>
      <c r="AC341" s="293"/>
    </row>
    <row r="342" spans="1:29" x14ac:dyDescent="0.2">
      <c r="A342" s="287"/>
      <c r="B342" s="294" t="s">
        <v>85</v>
      </c>
      <c r="C342" s="296" t="s">
        <v>83</v>
      </c>
      <c r="D342" s="11"/>
      <c r="E342" s="10"/>
      <c r="F342" s="11"/>
      <c r="G342" s="296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98">
        <f>SUM(L342, R342, X342)+SUM(L343, R343, X343)</f>
        <v>0</v>
      </c>
      <c r="AA342" s="298">
        <f>SUM(M342, S342, Y342)+SUM(M343, S343, Y343)</f>
        <v>0</v>
      </c>
      <c r="AB342" s="258">
        <f>IF($Z342=0, ,AA342/$Z342)</f>
        <v>0</v>
      </c>
      <c r="AC342" s="260" t="s">
        <v>87</v>
      </c>
    </row>
    <row r="343" spans="1:29" x14ac:dyDescent="0.2">
      <c r="A343" s="287"/>
      <c r="B343" s="295"/>
      <c r="C343" s="297"/>
      <c r="D343" s="11"/>
      <c r="E343" s="11"/>
      <c r="F343" s="11"/>
      <c r="G343" s="297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98"/>
      <c r="AA343" s="298"/>
      <c r="AB343" s="259"/>
      <c r="AC343" s="260"/>
    </row>
    <row r="344" spans="1:29" x14ac:dyDescent="0.2">
      <c r="A344" s="287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87"/>
      <c r="B345" s="261" t="s">
        <v>67</v>
      </c>
      <c r="C345" s="262"/>
      <c r="D345" s="262"/>
      <c r="E345" s="262"/>
      <c r="F345" s="262"/>
      <c r="G345" s="9" t="s">
        <v>68</v>
      </c>
      <c r="H345" s="263" t="s">
        <v>64</v>
      </c>
      <c r="I345" s="263"/>
      <c r="J345" s="263"/>
      <c r="K345" s="263" t="s">
        <v>76</v>
      </c>
      <c r="L345" s="263"/>
      <c r="M345" s="263"/>
      <c r="N345" s="263" t="s">
        <v>65</v>
      </c>
      <c r="O345" s="263"/>
      <c r="P345" s="263"/>
      <c r="Q345" s="263" t="s">
        <v>66</v>
      </c>
      <c r="R345" s="263"/>
      <c r="S345" s="263"/>
      <c r="T345" s="263" t="s">
        <v>73</v>
      </c>
      <c r="U345" s="263"/>
      <c r="V345" s="263"/>
      <c r="W345" s="263" t="s">
        <v>74</v>
      </c>
      <c r="X345" s="263"/>
      <c r="Y345" s="263"/>
      <c r="Z345" s="263" t="s">
        <v>75</v>
      </c>
      <c r="AA345" s="263"/>
      <c r="AB345" s="263"/>
      <c r="AC345" s="254"/>
    </row>
    <row r="346" spans="1:29" x14ac:dyDescent="0.2">
      <c r="A346" s="287"/>
      <c r="B346" s="261"/>
      <c r="C346" s="262"/>
      <c r="D346" s="262"/>
      <c r="E346" s="262"/>
      <c r="F346" s="262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54"/>
    </row>
    <row r="347" spans="1:29" x14ac:dyDescent="0.2">
      <c r="A347" s="287"/>
      <c r="B347" s="255" t="str">
        <f>B334</f>
        <v>02C</v>
      </c>
      <c r="C347" s="256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57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54"/>
    </row>
    <row r="348" spans="1:29" x14ac:dyDescent="0.2">
      <c r="A348" s="287"/>
      <c r="B348" s="255"/>
      <c r="C348" s="256"/>
      <c r="D348" s="9"/>
      <c r="E348" s="9" t="str">
        <f t="shared" ref="E348:F350" si="59">IF(ISBLANK(E335), "", E335)</f>
        <v/>
      </c>
      <c r="F348" s="9" t="str">
        <f t="shared" si="59"/>
        <v/>
      </c>
      <c r="G348" s="257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54"/>
    </row>
    <row r="349" spans="1:29" x14ac:dyDescent="0.2">
      <c r="A349" s="287"/>
      <c r="B349" s="255" t="str">
        <f>B336</f>
        <v>03C</v>
      </c>
      <c r="C349" s="256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57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54"/>
    </row>
    <row r="350" spans="1:29" x14ac:dyDescent="0.2">
      <c r="A350" s="287"/>
      <c r="B350" s="255"/>
      <c r="C350" s="256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57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54"/>
    </row>
    <row r="352" spans="1:29" x14ac:dyDescent="0.2">
      <c r="A352" s="287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87"/>
      <c r="B353" s="288" t="s">
        <v>10</v>
      </c>
      <c r="C353" s="289" t="s">
        <v>0</v>
      </c>
      <c r="D353" s="289" t="s">
        <v>25</v>
      </c>
      <c r="E353" s="289" t="s">
        <v>11</v>
      </c>
      <c r="F353" s="289" t="s">
        <v>16</v>
      </c>
      <c r="G353" s="270" t="s">
        <v>12</v>
      </c>
      <c r="H353" s="271" t="s">
        <v>13</v>
      </c>
      <c r="I353" s="272"/>
      <c r="J353" s="272"/>
      <c r="K353" s="272"/>
      <c r="L353" s="272"/>
      <c r="M353" s="273"/>
      <c r="N353" s="271" t="s">
        <v>14</v>
      </c>
      <c r="O353" s="272"/>
      <c r="P353" s="272"/>
      <c r="Q353" s="272"/>
      <c r="R353" s="272"/>
      <c r="S353" s="273"/>
      <c r="T353" s="271" t="s">
        <v>15</v>
      </c>
      <c r="U353" s="272"/>
      <c r="V353" s="272"/>
      <c r="W353" s="272"/>
      <c r="X353" s="272"/>
      <c r="Y353" s="273"/>
      <c r="Z353" s="274" t="s">
        <v>37</v>
      </c>
      <c r="AA353" s="274" t="s">
        <v>39</v>
      </c>
      <c r="AB353" s="274" t="s">
        <v>62</v>
      </c>
      <c r="AC353" s="299" t="s">
        <v>26</v>
      </c>
    </row>
    <row r="354" spans="1:29" ht="25.5" x14ac:dyDescent="0.2">
      <c r="A354" s="287"/>
      <c r="B354" s="288"/>
      <c r="C354" s="289"/>
      <c r="D354" s="289"/>
      <c r="E354" s="289"/>
      <c r="F354" s="289"/>
      <c r="G354" s="270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75"/>
      <c r="AA354" s="276"/>
      <c r="AB354" s="276"/>
      <c r="AC354" s="299"/>
    </row>
    <row r="355" spans="1:29" x14ac:dyDescent="0.2">
      <c r="A355" s="287"/>
      <c r="B355" s="300" t="s">
        <v>2</v>
      </c>
      <c r="C355" s="302" t="s">
        <v>84</v>
      </c>
      <c r="D355" s="12"/>
      <c r="E355" s="10" t="s">
        <v>92</v>
      </c>
      <c r="F355" s="12">
        <v>6331</v>
      </c>
      <c r="G355" s="302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66">
        <f>SUM(L355, R355, X355)+SUM(L356, R356, X356)</f>
        <v>45200</v>
      </c>
      <c r="AA355" s="266">
        <f>SUM(M355, S355, Y355)+SUM(M356, S356, Y356)</f>
        <v>0</v>
      </c>
      <c r="AB355" s="268">
        <f>IF($Z355=0, ,AA355/$Z355)</f>
        <v>0</v>
      </c>
      <c r="AC355" s="292"/>
    </row>
    <row r="356" spans="1:29" x14ac:dyDescent="0.2">
      <c r="A356" s="287"/>
      <c r="B356" s="301"/>
      <c r="C356" s="303"/>
      <c r="D356" s="12"/>
      <c r="E356" s="12"/>
      <c r="F356" s="12"/>
      <c r="G356" s="304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67"/>
      <c r="AA356" s="267"/>
      <c r="AB356" s="269"/>
      <c r="AC356" s="293"/>
    </row>
    <row r="357" spans="1:29" x14ac:dyDescent="0.2">
      <c r="A357" s="287"/>
      <c r="B357" s="290" t="s">
        <v>6</v>
      </c>
      <c r="C357" s="279" t="s">
        <v>8</v>
      </c>
      <c r="D357" s="10"/>
      <c r="E357" s="10"/>
      <c r="F357" s="10"/>
      <c r="G357" s="279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81">
        <f>SUM(L357, R357, X357)+SUM(L358, R358, X358)</f>
        <v>0</v>
      </c>
      <c r="AA357" s="283">
        <f>SUM(M357, S357, Y357)+SUM(M358, S358, Y358)</f>
        <v>0</v>
      </c>
      <c r="AB357" s="258">
        <f>IF($Z357=0, ,AA357/$Z357)</f>
        <v>0</v>
      </c>
      <c r="AC357" s="277"/>
    </row>
    <row r="358" spans="1:29" x14ac:dyDescent="0.2">
      <c r="A358" s="287"/>
      <c r="B358" s="291"/>
      <c r="C358" s="280"/>
      <c r="D358" s="10"/>
      <c r="E358" s="10"/>
      <c r="F358" s="10"/>
      <c r="G358" s="280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82"/>
      <c r="AA358" s="284"/>
      <c r="AB358" s="259"/>
      <c r="AC358" s="278"/>
    </row>
    <row r="359" spans="1:29" x14ac:dyDescent="0.2">
      <c r="A359" s="287"/>
      <c r="B359" s="285" t="s">
        <v>7</v>
      </c>
      <c r="C359" s="264" t="s">
        <v>81</v>
      </c>
      <c r="D359" s="9" t="s">
        <v>102</v>
      </c>
      <c r="E359" s="9" t="s">
        <v>103</v>
      </c>
      <c r="F359" s="9">
        <v>6331</v>
      </c>
      <c r="G359" s="264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66">
        <f>SUM(L359, R359, X359)+SUM(L360, R360, X360)</f>
        <v>27296</v>
      </c>
      <c r="AA359" s="266">
        <f>SUM(M359, S359, Y359)+SUM(M360, S360, Y360)</f>
        <v>600</v>
      </c>
      <c r="AB359" s="268">
        <f>IF($Z359=0, ,AA359/$Z359)</f>
        <v>2.1981242672919107E-2</v>
      </c>
      <c r="AC359" s="292" t="s">
        <v>105</v>
      </c>
    </row>
    <row r="360" spans="1:29" x14ac:dyDescent="0.2">
      <c r="A360" s="287"/>
      <c r="B360" s="286"/>
      <c r="C360" s="265"/>
      <c r="D360" s="9"/>
      <c r="E360" s="9"/>
      <c r="F360" s="9"/>
      <c r="G360" s="265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67"/>
      <c r="AA360" s="267"/>
      <c r="AB360" s="269"/>
      <c r="AC360" s="293"/>
    </row>
    <row r="361" spans="1:29" x14ac:dyDescent="0.2">
      <c r="A361" s="287"/>
      <c r="B361" s="290" t="s">
        <v>3</v>
      </c>
      <c r="C361" s="279" t="s">
        <v>82</v>
      </c>
      <c r="D361" s="10"/>
      <c r="E361" s="10" t="s">
        <v>104</v>
      </c>
      <c r="F361" s="10">
        <v>6331</v>
      </c>
      <c r="G361" s="279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83">
        <f>SUM(L361, R361, X361)+SUM(L362, R362, X362)</f>
        <v>44896</v>
      </c>
      <c r="AA361" s="283">
        <f>SUM(M361, S361, Y361)+SUM(M362, S362, Y362)</f>
        <v>0</v>
      </c>
      <c r="AB361" s="258">
        <f>IF($Z361=0, ,AA361/$Z361)</f>
        <v>0</v>
      </c>
      <c r="AC361" s="277"/>
    </row>
    <row r="362" spans="1:29" x14ac:dyDescent="0.2">
      <c r="A362" s="287"/>
      <c r="B362" s="291"/>
      <c r="C362" s="280"/>
      <c r="D362" s="10"/>
      <c r="E362" s="10"/>
      <c r="F362" s="10"/>
      <c r="G362" s="280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84"/>
      <c r="AA362" s="284"/>
      <c r="AB362" s="259"/>
      <c r="AC362" s="278"/>
    </row>
    <row r="363" spans="1:29" x14ac:dyDescent="0.2">
      <c r="A363" s="287"/>
      <c r="B363" s="285" t="s">
        <v>4</v>
      </c>
      <c r="C363" s="264" t="s">
        <v>9</v>
      </c>
      <c r="D363" s="9"/>
      <c r="E363" s="10"/>
      <c r="F363" s="9"/>
      <c r="G363" s="264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66">
        <f>SUM(L363, R363, X363)+SUM(L364, R364, X364)</f>
        <v>0</v>
      </c>
      <c r="AA363" s="266">
        <f>SUM(M363, S363, Y363)+SUM(M364, S364, Y364)</f>
        <v>0</v>
      </c>
      <c r="AB363" s="268">
        <f>IF($Z363=0, ,AA363/$Z363)</f>
        <v>0</v>
      </c>
      <c r="AC363" s="292"/>
    </row>
    <row r="364" spans="1:29" x14ac:dyDescent="0.2">
      <c r="A364" s="287"/>
      <c r="B364" s="286"/>
      <c r="C364" s="265"/>
      <c r="D364" s="9"/>
      <c r="E364" s="9"/>
      <c r="F364" s="9"/>
      <c r="G364" s="265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67"/>
      <c r="AA364" s="267"/>
      <c r="AB364" s="269"/>
      <c r="AC364" s="293"/>
    </row>
    <row r="365" spans="1:29" x14ac:dyDescent="0.2">
      <c r="A365" s="287"/>
      <c r="B365" s="294" t="s">
        <v>85</v>
      </c>
      <c r="C365" s="296" t="s">
        <v>83</v>
      </c>
      <c r="D365" s="11"/>
      <c r="E365" s="10"/>
      <c r="F365" s="11">
        <v>6331</v>
      </c>
      <c r="G365" s="296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98">
        <f>SUM(L365, R365, X365)+SUM(L366, R366, X366)</f>
        <v>96544</v>
      </c>
      <c r="AA365" s="298">
        <f>SUM(M365, S365, Y365)+SUM(M366, S366, Y366)</f>
        <v>0</v>
      </c>
      <c r="AB365" s="258">
        <f>IF($Z365=0, ,AA365/$Z365)</f>
        <v>0</v>
      </c>
      <c r="AC365" s="260"/>
    </row>
    <row r="366" spans="1:29" x14ac:dyDescent="0.2">
      <c r="A366" s="287"/>
      <c r="B366" s="295"/>
      <c r="C366" s="297"/>
      <c r="D366" s="11"/>
      <c r="E366" s="11"/>
      <c r="F366" s="11"/>
      <c r="G366" s="297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98"/>
      <c r="AA366" s="298"/>
      <c r="AB366" s="259"/>
      <c r="AC366" s="260"/>
    </row>
    <row r="367" spans="1:29" x14ac:dyDescent="0.2">
      <c r="A367" s="287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87"/>
      <c r="B368" s="261" t="s">
        <v>67</v>
      </c>
      <c r="C368" s="262"/>
      <c r="D368" s="262"/>
      <c r="E368" s="262"/>
      <c r="F368" s="262"/>
      <c r="G368" s="9" t="s">
        <v>68</v>
      </c>
      <c r="H368" s="263" t="s">
        <v>64</v>
      </c>
      <c r="I368" s="263"/>
      <c r="J368" s="263"/>
      <c r="K368" s="263" t="s">
        <v>76</v>
      </c>
      <c r="L368" s="263"/>
      <c r="M368" s="263"/>
      <c r="N368" s="263" t="s">
        <v>65</v>
      </c>
      <c r="O368" s="263"/>
      <c r="P368" s="263"/>
      <c r="Q368" s="263" t="s">
        <v>66</v>
      </c>
      <c r="R368" s="263"/>
      <c r="S368" s="263"/>
      <c r="T368" s="263" t="s">
        <v>73</v>
      </c>
      <c r="U368" s="263"/>
      <c r="V368" s="263"/>
      <c r="W368" s="263" t="s">
        <v>74</v>
      </c>
      <c r="X368" s="263"/>
      <c r="Y368" s="263"/>
      <c r="Z368" s="263" t="s">
        <v>75</v>
      </c>
      <c r="AA368" s="263"/>
      <c r="AB368" s="263"/>
      <c r="AC368" s="254"/>
    </row>
    <row r="369" spans="1:29" x14ac:dyDescent="0.2">
      <c r="A369" s="287"/>
      <c r="B369" s="261"/>
      <c r="C369" s="262"/>
      <c r="D369" s="262"/>
      <c r="E369" s="262"/>
      <c r="F369" s="262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54"/>
    </row>
    <row r="370" spans="1:29" x14ac:dyDescent="0.2">
      <c r="A370" s="287"/>
      <c r="B370" s="255" t="str">
        <f>B357</f>
        <v>02C</v>
      </c>
      <c r="C370" s="256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57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54"/>
    </row>
    <row r="371" spans="1:29" x14ac:dyDescent="0.2">
      <c r="A371" s="287"/>
      <c r="B371" s="255"/>
      <c r="C371" s="256"/>
      <c r="D371" s="9"/>
      <c r="E371" s="9" t="str">
        <f t="shared" ref="E371:F373" si="63">IF(ISBLANK(E358), "", E358)</f>
        <v/>
      </c>
      <c r="F371" s="9" t="str">
        <f t="shared" si="63"/>
        <v/>
      </c>
      <c r="G371" s="257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54"/>
    </row>
    <row r="372" spans="1:29" x14ac:dyDescent="0.2">
      <c r="A372" s="287"/>
      <c r="B372" s="255" t="str">
        <f>B359</f>
        <v>03C</v>
      </c>
      <c r="C372" s="256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57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54"/>
    </row>
    <row r="373" spans="1:29" x14ac:dyDescent="0.2">
      <c r="A373" s="287"/>
      <c r="B373" s="255"/>
      <c r="C373" s="256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57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54"/>
    </row>
    <row r="375" spans="1:29" x14ac:dyDescent="0.2">
      <c r="A375" s="287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87"/>
      <c r="B376" s="288" t="s">
        <v>10</v>
      </c>
      <c r="C376" s="289" t="s">
        <v>0</v>
      </c>
      <c r="D376" s="289" t="s">
        <v>25</v>
      </c>
      <c r="E376" s="289" t="s">
        <v>11</v>
      </c>
      <c r="F376" s="289" t="s">
        <v>16</v>
      </c>
      <c r="G376" s="270" t="s">
        <v>12</v>
      </c>
      <c r="H376" s="271" t="s">
        <v>13</v>
      </c>
      <c r="I376" s="272"/>
      <c r="J376" s="272"/>
      <c r="K376" s="272"/>
      <c r="L376" s="272"/>
      <c r="M376" s="273"/>
      <c r="N376" s="271" t="s">
        <v>14</v>
      </c>
      <c r="O376" s="272"/>
      <c r="P376" s="272"/>
      <c r="Q376" s="272"/>
      <c r="R376" s="272"/>
      <c r="S376" s="273"/>
      <c r="T376" s="271" t="s">
        <v>15</v>
      </c>
      <c r="U376" s="272"/>
      <c r="V376" s="272"/>
      <c r="W376" s="272"/>
      <c r="X376" s="272"/>
      <c r="Y376" s="273"/>
      <c r="Z376" s="274" t="s">
        <v>37</v>
      </c>
      <c r="AA376" s="274" t="s">
        <v>39</v>
      </c>
      <c r="AB376" s="274" t="s">
        <v>62</v>
      </c>
      <c r="AC376" s="299" t="s">
        <v>26</v>
      </c>
    </row>
    <row r="377" spans="1:29" ht="25.5" x14ac:dyDescent="0.2">
      <c r="A377" s="287"/>
      <c r="B377" s="288"/>
      <c r="C377" s="289"/>
      <c r="D377" s="289"/>
      <c r="E377" s="289"/>
      <c r="F377" s="289"/>
      <c r="G377" s="270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75"/>
      <c r="AA377" s="276"/>
      <c r="AB377" s="276"/>
      <c r="AC377" s="299"/>
    </row>
    <row r="378" spans="1:29" x14ac:dyDescent="0.2">
      <c r="A378" s="287"/>
      <c r="B378" s="300" t="s">
        <v>2</v>
      </c>
      <c r="C378" s="302" t="s">
        <v>84</v>
      </c>
      <c r="D378" s="12"/>
      <c r="E378" s="10" t="s">
        <v>92</v>
      </c>
      <c r="F378" s="12">
        <v>6331</v>
      </c>
      <c r="G378" s="302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66">
        <f>SUM(L378, R378, X378)+SUM(L379, R379, X379)</f>
        <v>27424</v>
      </c>
      <c r="AA378" s="266">
        <f>SUM(M378, S378, Y378)+SUM(M379, S379, Y379)</f>
        <v>0</v>
      </c>
      <c r="AB378" s="268">
        <f>IF($Z378=0, ,AA378/$Z378)</f>
        <v>0</v>
      </c>
      <c r="AC378" s="292"/>
    </row>
    <row r="379" spans="1:29" x14ac:dyDescent="0.2">
      <c r="A379" s="287"/>
      <c r="B379" s="301"/>
      <c r="C379" s="303"/>
      <c r="D379" s="12"/>
      <c r="E379" s="12"/>
      <c r="F379" s="12"/>
      <c r="G379" s="304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67"/>
      <c r="AA379" s="267"/>
      <c r="AB379" s="269"/>
      <c r="AC379" s="293"/>
    </row>
    <row r="380" spans="1:29" x14ac:dyDescent="0.2">
      <c r="A380" s="287"/>
      <c r="B380" s="290" t="s">
        <v>6</v>
      </c>
      <c r="C380" s="279" t="s">
        <v>8</v>
      </c>
      <c r="D380" s="10"/>
      <c r="E380" s="10"/>
      <c r="F380" s="10"/>
      <c r="G380" s="279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81">
        <f>SUM(L380, R380, X380)+SUM(L381, R381, X381)</f>
        <v>0</v>
      </c>
      <c r="AA380" s="283">
        <f>SUM(M380, S380, Y380)+SUM(M381, S381, Y381)</f>
        <v>0</v>
      </c>
      <c r="AB380" s="258">
        <f>IF($Z380=0, ,AA380/$Z380)</f>
        <v>0</v>
      </c>
      <c r="AC380" s="277"/>
    </row>
    <row r="381" spans="1:29" x14ac:dyDescent="0.2">
      <c r="A381" s="287"/>
      <c r="B381" s="291"/>
      <c r="C381" s="280"/>
      <c r="D381" s="10"/>
      <c r="E381" s="10"/>
      <c r="F381" s="10"/>
      <c r="G381" s="280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82"/>
      <c r="AA381" s="284"/>
      <c r="AB381" s="259"/>
      <c r="AC381" s="278"/>
    </row>
    <row r="382" spans="1:29" x14ac:dyDescent="0.2">
      <c r="A382" s="287"/>
      <c r="B382" s="285" t="s">
        <v>7</v>
      </c>
      <c r="C382" s="264" t="s">
        <v>81</v>
      </c>
      <c r="D382" s="9" t="s">
        <v>102</v>
      </c>
      <c r="E382" s="9" t="s">
        <v>103</v>
      </c>
      <c r="F382" s="9">
        <v>6331</v>
      </c>
      <c r="G382" s="264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66">
        <f>SUM(L382, R382, X382)+SUM(L383, R383, X383)</f>
        <v>11120</v>
      </c>
      <c r="AA382" s="266">
        <f>SUM(M382, S382, Y382)+SUM(M383, S383, Y383)</f>
        <v>35</v>
      </c>
      <c r="AB382" s="268">
        <f>IF($Z382=0, ,AA382/$Z382)</f>
        <v>3.1474820143884892E-3</v>
      </c>
      <c r="AC382" s="292"/>
    </row>
    <row r="383" spans="1:29" x14ac:dyDescent="0.2">
      <c r="A383" s="287"/>
      <c r="B383" s="286"/>
      <c r="C383" s="265"/>
      <c r="D383" s="9"/>
      <c r="E383" s="9"/>
      <c r="F383" s="9"/>
      <c r="G383" s="265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67"/>
      <c r="AA383" s="267"/>
      <c r="AB383" s="269"/>
      <c r="AC383" s="293"/>
    </row>
    <row r="384" spans="1:29" x14ac:dyDescent="0.2">
      <c r="A384" s="287"/>
      <c r="B384" s="290" t="s">
        <v>3</v>
      </c>
      <c r="C384" s="279" t="s">
        <v>82</v>
      </c>
      <c r="D384" s="10"/>
      <c r="E384" s="10" t="s">
        <v>103</v>
      </c>
      <c r="F384" s="10">
        <v>6331</v>
      </c>
      <c r="G384" s="279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83">
        <f>SUM(L384, R384, X384)+SUM(L385, R385, X385)</f>
        <v>38560</v>
      </c>
      <c r="AA384" s="283">
        <f>SUM(M384, S384, Y384)+SUM(M385, S385, Y385)</f>
        <v>0</v>
      </c>
      <c r="AB384" s="258">
        <f>IF($Z384=0, ,AA384/$Z384)</f>
        <v>0</v>
      </c>
      <c r="AC384" s="277"/>
    </row>
    <row r="385" spans="1:29" x14ac:dyDescent="0.2">
      <c r="A385" s="287"/>
      <c r="B385" s="291"/>
      <c r="C385" s="280"/>
      <c r="D385" s="10"/>
      <c r="E385" s="10"/>
      <c r="F385" s="10"/>
      <c r="G385" s="280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84"/>
      <c r="AA385" s="284"/>
      <c r="AB385" s="259"/>
      <c r="AC385" s="278"/>
    </row>
    <row r="386" spans="1:29" x14ac:dyDescent="0.2">
      <c r="A386" s="287"/>
      <c r="B386" s="285" t="s">
        <v>4</v>
      </c>
      <c r="C386" s="264" t="s">
        <v>9</v>
      </c>
      <c r="D386" s="9"/>
      <c r="E386" s="10"/>
      <c r="F386" s="9"/>
      <c r="G386" s="264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66">
        <f>SUM(L386, R386, X386)+SUM(L387, R387, X387)</f>
        <v>0</v>
      </c>
      <c r="AA386" s="266">
        <f>SUM(M386, S386, Y386)+SUM(M387, S387, Y387)</f>
        <v>0</v>
      </c>
      <c r="AB386" s="268">
        <f>IF($Z386=0, ,AA386/$Z386)</f>
        <v>0</v>
      </c>
      <c r="AC386" s="292"/>
    </row>
    <row r="387" spans="1:29" x14ac:dyDescent="0.2">
      <c r="A387" s="287"/>
      <c r="B387" s="286"/>
      <c r="C387" s="265"/>
      <c r="D387" s="9"/>
      <c r="E387" s="9"/>
      <c r="F387" s="9"/>
      <c r="G387" s="265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67"/>
      <c r="AA387" s="267"/>
      <c r="AB387" s="269"/>
      <c r="AC387" s="293"/>
    </row>
    <row r="388" spans="1:29" x14ac:dyDescent="0.2">
      <c r="A388" s="287"/>
      <c r="B388" s="294" t="s">
        <v>85</v>
      </c>
      <c r="C388" s="296" t="s">
        <v>83</v>
      </c>
      <c r="D388" s="11"/>
      <c r="E388" s="10"/>
      <c r="F388" s="11"/>
      <c r="G388" s="296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98">
        <f>SUM(L388, R388, X388)+SUM(L389, R389, X389)</f>
        <v>0</v>
      </c>
      <c r="AA388" s="298">
        <f>SUM(M388, S388, Y388)+SUM(M389, S389, Y389)</f>
        <v>0</v>
      </c>
      <c r="AB388" s="258">
        <f>IF($Z388=0, ,AA388/$Z388)</f>
        <v>0</v>
      </c>
      <c r="AC388" s="260"/>
    </row>
    <row r="389" spans="1:29" x14ac:dyDescent="0.2">
      <c r="A389" s="287"/>
      <c r="B389" s="295"/>
      <c r="C389" s="297"/>
      <c r="D389" s="11"/>
      <c r="E389" s="11"/>
      <c r="F389" s="11"/>
      <c r="G389" s="297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98"/>
      <c r="AA389" s="298"/>
      <c r="AB389" s="259"/>
      <c r="AC389" s="260"/>
    </row>
    <row r="390" spans="1:29" x14ac:dyDescent="0.2">
      <c r="A390" s="287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87"/>
      <c r="B391" s="261" t="s">
        <v>67</v>
      </c>
      <c r="C391" s="262"/>
      <c r="D391" s="262"/>
      <c r="E391" s="262"/>
      <c r="F391" s="262"/>
      <c r="G391" s="9" t="s">
        <v>68</v>
      </c>
      <c r="H391" s="263" t="s">
        <v>64</v>
      </c>
      <c r="I391" s="263"/>
      <c r="J391" s="263"/>
      <c r="K391" s="263" t="s">
        <v>76</v>
      </c>
      <c r="L391" s="263"/>
      <c r="M391" s="263"/>
      <c r="N391" s="263" t="s">
        <v>65</v>
      </c>
      <c r="O391" s="263"/>
      <c r="P391" s="263"/>
      <c r="Q391" s="263" t="s">
        <v>66</v>
      </c>
      <c r="R391" s="263"/>
      <c r="S391" s="263"/>
      <c r="T391" s="263" t="s">
        <v>73</v>
      </c>
      <c r="U391" s="263"/>
      <c r="V391" s="263"/>
      <c r="W391" s="263" t="s">
        <v>74</v>
      </c>
      <c r="X391" s="263"/>
      <c r="Y391" s="263"/>
      <c r="Z391" s="263" t="s">
        <v>75</v>
      </c>
      <c r="AA391" s="263"/>
      <c r="AB391" s="263"/>
      <c r="AC391" s="254" t="s">
        <v>106</v>
      </c>
    </row>
    <row r="392" spans="1:29" x14ac:dyDescent="0.2">
      <c r="A392" s="287"/>
      <c r="B392" s="261"/>
      <c r="C392" s="262"/>
      <c r="D392" s="262"/>
      <c r="E392" s="262"/>
      <c r="F392" s="262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54"/>
    </row>
    <row r="393" spans="1:29" x14ac:dyDescent="0.2">
      <c r="A393" s="287"/>
      <c r="B393" s="255" t="str">
        <f>B380</f>
        <v>02C</v>
      </c>
      <c r="C393" s="256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57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54"/>
    </row>
    <row r="394" spans="1:29" x14ac:dyDescent="0.2">
      <c r="A394" s="287"/>
      <c r="B394" s="255"/>
      <c r="C394" s="256"/>
      <c r="D394" s="9"/>
      <c r="E394" s="9" t="str">
        <f t="shared" ref="E394:F396" si="67">IF(ISBLANK(E381), "", E381)</f>
        <v/>
      </c>
      <c r="F394" s="9" t="str">
        <f t="shared" si="67"/>
        <v/>
      </c>
      <c r="G394" s="257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54"/>
    </row>
    <row r="395" spans="1:29" x14ac:dyDescent="0.2">
      <c r="A395" s="287"/>
      <c r="B395" s="255" t="str">
        <f>B382</f>
        <v>03C</v>
      </c>
      <c r="C395" s="256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57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54"/>
    </row>
    <row r="396" spans="1:29" x14ac:dyDescent="0.2">
      <c r="A396" s="287"/>
      <c r="B396" s="255"/>
      <c r="C396" s="256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57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54"/>
    </row>
    <row r="398" spans="1:29" x14ac:dyDescent="0.2">
      <c r="A398" s="287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87"/>
      <c r="B399" s="288" t="s">
        <v>10</v>
      </c>
      <c r="C399" s="289" t="s">
        <v>0</v>
      </c>
      <c r="D399" s="289" t="s">
        <v>25</v>
      </c>
      <c r="E399" s="289" t="s">
        <v>11</v>
      </c>
      <c r="F399" s="289" t="s">
        <v>16</v>
      </c>
      <c r="G399" s="270" t="s">
        <v>12</v>
      </c>
      <c r="H399" s="271" t="s">
        <v>13</v>
      </c>
      <c r="I399" s="272"/>
      <c r="J399" s="272"/>
      <c r="K399" s="272"/>
      <c r="L399" s="272"/>
      <c r="M399" s="273"/>
      <c r="N399" s="271" t="s">
        <v>14</v>
      </c>
      <c r="O399" s="272"/>
      <c r="P399" s="272"/>
      <c r="Q399" s="272"/>
      <c r="R399" s="272"/>
      <c r="S399" s="273"/>
      <c r="T399" s="271" t="s">
        <v>15</v>
      </c>
      <c r="U399" s="272"/>
      <c r="V399" s="272"/>
      <c r="W399" s="272"/>
      <c r="X399" s="272"/>
      <c r="Y399" s="273"/>
      <c r="Z399" s="274" t="s">
        <v>37</v>
      </c>
      <c r="AA399" s="274" t="s">
        <v>39</v>
      </c>
      <c r="AB399" s="274" t="s">
        <v>62</v>
      </c>
      <c r="AC399" s="299" t="s">
        <v>26</v>
      </c>
    </row>
    <row r="400" spans="1:29" ht="25.5" x14ac:dyDescent="0.2">
      <c r="A400" s="287"/>
      <c r="B400" s="288"/>
      <c r="C400" s="289"/>
      <c r="D400" s="289"/>
      <c r="E400" s="289"/>
      <c r="F400" s="289"/>
      <c r="G400" s="270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75"/>
      <c r="AA400" s="276"/>
      <c r="AB400" s="276"/>
      <c r="AC400" s="299"/>
    </row>
    <row r="401" spans="1:29" x14ac:dyDescent="0.2">
      <c r="A401" s="287"/>
      <c r="B401" s="300" t="s">
        <v>2</v>
      </c>
      <c r="C401" s="302" t="s">
        <v>84</v>
      </c>
      <c r="D401" s="12"/>
      <c r="E401" s="10"/>
      <c r="F401" s="12"/>
      <c r="G401" s="302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66">
        <f>SUM(L401, R401, X401)+SUM(L402, R402, X402)</f>
        <v>0</v>
      </c>
      <c r="AA401" s="266">
        <f>SUM(M401, S401, Y401)+SUM(M402, S402, Y402)</f>
        <v>0</v>
      </c>
      <c r="AB401" s="268">
        <f>IF($Z401=0, ,AA401/$Z401)</f>
        <v>0</v>
      </c>
      <c r="AC401" s="292"/>
    </row>
    <row r="402" spans="1:29" x14ac:dyDescent="0.2">
      <c r="A402" s="287"/>
      <c r="B402" s="301"/>
      <c r="C402" s="303"/>
      <c r="D402" s="12"/>
      <c r="E402" s="12"/>
      <c r="F402" s="12"/>
      <c r="G402" s="304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67"/>
      <c r="AA402" s="267"/>
      <c r="AB402" s="269"/>
      <c r="AC402" s="293"/>
    </row>
    <row r="403" spans="1:29" x14ac:dyDescent="0.2">
      <c r="A403" s="287"/>
      <c r="B403" s="290" t="s">
        <v>6</v>
      </c>
      <c r="C403" s="279" t="s">
        <v>8</v>
      </c>
      <c r="D403" s="10"/>
      <c r="E403" s="10"/>
      <c r="F403" s="10"/>
      <c r="G403" s="279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81">
        <f>SUM(L403, R403, X403)+SUM(L404, R404, X404)</f>
        <v>0</v>
      </c>
      <c r="AA403" s="283">
        <f>SUM(M403, S403, Y403)+SUM(M404, S404, Y404)</f>
        <v>0</v>
      </c>
      <c r="AB403" s="258">
        <f>IF($Z403=0, ,AA403/$Z403)</f>
        <v>0</v>
      </c>
      <c r="AC403" s="277"/>
    </row>
    <row r="404" spans="1:29" x14ac:dyDescent="0.2">
      <c r="A404" s="287"/>
      <c r="B404" s="291"/>
      <c r="C404" s="280"/>
      <c r="D404" s="10"/>
      <c r="E404" s="10"/>
      <c r="F404" s="10"/>
      <c r="G404" s="280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82"/>
      <c r="AA404" s="284"/>
      <c r="AB404" s="259"/>
      <c r="AC404" s="278"/>
    </row>
    <row r="405" spans="1:29" x14ac:dyDescent="0.2">
      <c r="A405" s="287"/>
      <c r="B405" s="285" t="s">
        <v>7</v>
      </c>
      <c r="C405" s="264" t="s">
        <v>81</v>
      </c>
      <c r="D405" s="9"/>
      <c r="E405" s="9"/>
      <c r="F405" s="9"/>
      <c r="G405" s="264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66">
        <f>SUM(L405, R405, X405)+SUM(L406, R406, X406)</f>
        <v>0</v>
      </c>
      <c r="AA405" s="266">
        <f>SUM(M405, S405, Y405)+SUM(M406, S406, Y406)</f>
        <v>0</v>
      </c>
      <c r="AB405" s="268">
        <f>IF($Z405=0, ,AA405/$Z405)</f>
        <v>0</v>
      </c>
      <c r="AC405" s="292"/>
    </row>
    <row r="406" spans="1:29" x14ac:dyDescent="0.2">
      <c r="A406" s="287"/>
      <c r="B406" s="286"/>
      <c r="C406" s="265"/>
      <c r="D406" s="9"/>
      <c r="E406" s="9"/>
      <c r="F406" s="9"/>
      <c r="G406" s="265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67"/>
      <c r="AA406" s="267"/>
      <c r="AB406" s="269"/>
      <c r="AC406" s="293"/>
    </row>
    <row r="407" spans="1:29" x14ac:dyDescent="0.2">
      <c r="A407" s="287"/>
      <c r="B407" s="290" t="s">
        <v>3</v>
      </c>
      <c r="C407" s="279" t="s">
        <v>82</v>
      </c>
      <c r="D407" s="10"/>
      <c r="E407" s="10"/>
      <c r="F407" s="10"/>
      <c r="G407" s="279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83">
        <f>SUM(L407, R407, X407)+SUM(L408, R408, X408)</f>
        <v>0</v>
      </c>
      <c r="AA407" s="283">
        <f>SUM(M407, S407, Y407)+SUM(M408, S408, Y408)</f>
        <v>0</v>
      </c>
      <c r="AB407" s="258">
        <f>IF($Z407=0, ,AA407/$Z407)</f>
        <v>0</v>
      </c>
      <c r="AC407" s="277"/>
    </row>
    <row r="408" spans="1:29" x14ac:dyDescent="0.2">
      <c r="A408" s="287"/>
      <c r="B408" s="291"/>
      <c r="C408" s="280"/>
      <c r="D408" s="10"/>
      <c r="E408" s="10"/>
      <c r="F408" s="10"/>
      <c r="G408" s="280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84"/>
      <c r="AA408" s="284"/>
      <c r="AB408" s="259"/>
      <c r="AC408" s="278"/>
    </row>
    <row r="409" spans="1:29" x14ac:dyDescent="0.2">
      <c r="A409" s="287"/>
      <c r="B409" s="285" t="s">
        <v>4</v>
      </c>
      <c r="C409" s="264" t="s">
        <v>9</v>
      </c>
      <c r="D409" s="9"/>
      <c r="E409" s="10"/>
      <c r="F409" s="9"/>
      <c r="G409" s="264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66">
        <f>SUM(L409, R409, X409)+SUM(L410, R410, X410)</f>
        <v>0</v>
      </c>
      <c r="AA409" s="266">
        <f>SUM(M409, S409, Y409)+SUM(M410, S410, Y410)</f>
        <v>0</v>
      </c>
      <c r="AB409" s="268">
        <f>IF($Z409=0, ,AA409/$Z409)</f>
        <v>0</v>
      </c>
      <c r="AC409" s="292"/>
    </row>
    <row r="410" spans="1:29" x14ac:dyDescent="0.2">
      <c r="A410" s="287"/>
      <c r="B410" s="286"/>
      <c r="C410" s="265"/>
      <c r="D410" s="9"/>
      <c r="E410" s="9"/>
      <c r="F410" s="9"/>
      <c r="G410" s="265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67"/>
      <c r="AA410" s="267"/>
      <c r="AB410" s="269"/>
      <c r="AC410" s="293"/>
    </row>
    <row r="411" spans="1:29" x14ac:dyDescent="0.2">
      <c r="A411" s="287"/>
      <c r="B411" s="294" t="s">
        <v>85</v>
      </c>
      <c r="C411" s="296" t="s">
        <v>83</v>
      </c>
      <c r="D411" s="11"/>
      <c r="E411" s="10"/>
      <c r="F411" s="11"/>
      <c r="G411" s="296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98">
        <f>SUM(L411, R411, X411)+SUM(L412, R412, X412)</f>
        <v>0</v>
      </c>
      <c r="AA411" s="298">
        <f>SUM(M411, S411, Y411)+SUM(M412, S412, Y412)</f>
        <v>0</v>
      </c>
      <c r="AB411" s="258">
        <f>IF($Z411=0, ,AA411/$Z411)</f>
        <v>0</v>
      </c>
      <c r="AC411" s="260"/>
    </row>
    <row r="412" spans="1:29" x14ac:dyDescent="0.2">
      <c r="A412" s="287"/>
      <c r="B412" s="295"/>
      <c r="C412" s="297"/>
      <c r="D412" s="11"/>
      <c r="E412" s="11"/>
      <c r="F412" s="11"/>
      <c r="G412" s="297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98"/>
      <c r="AA412" s="298"/>
      <c r="AB412" s="259"/>
      <c r="AC412" s="260"/>
    </row>
    <row r="413" spans="1:29" x14ac:dyDescent="0.2">
      <c r="A413" s="287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87"/>
      <c r="B414" s="261" t="s">
        <v>67</v>
      </c>
      <c r="C414" s="262"/>
      <c r="D414" s="262"/>
      <c r="E414" s="262"/>
      <c r="F414" s="262"/>
      <c r="G414" s="9" t="s">
        <v>68</v>
      </c>
      <c r="H414" s="263" t="s">
        <v>64</v>
      </c>
      <c r="I414" s="263"/>
      <c r="J414" s="263"/>
      <c r="K414" s="263" t="s">
        <v>76</v>
      </c>
      <c r="L414" s="263"/>
      <c r="M414" s="263"/>
      <c r="N414" s="263" t="s">
        <v>65</v>
      </c>
      <c r="O414" s="263"/>
      <c r="P414" s="263"/>
      <c r="Q414" s="263" t="s">
        <v>66</v>
      </c>
      <c r="R414" s="263"/>
      <c r="S414" s="263"/>
      <c r="T414" s="263" t="s">
        <v>73</v>
      </c>
      <c r="U414" s="263"/>
      <c r="V414" s="263"/>
      <c r="W414" s="263" t="s">
        <v>74</v>
      </c>
      <c r="X414" s="263"/>
      <c r="Y414" s="263"/>
      <c r="Z414" s="263" t="s">
        <v>75</v>
      </c>
      <c r="AA414" s="263"/>
      <c r="AB414" s="263"/>
      <c r="AC414" s="254" t="s">
        <v>106</v>
      </c>
    </row>
    <row r="415" spans="1:29" x14ac:dyDescent="0.2">
      <c r="A415" s="287"/>
      <c r="B415" s="261"/>
      <c r="C415" s="262"/>
      <c r="D415" s="262"/>
      <c r="E415" s="262"/>
      <c r="F415" s="262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54"/>
    </row>
    <row r="416" spans="1:29" x14ac:dyDescent="0.2">
      <c r="A416" s="287"/>
      <c r="B416" s="255" t="str">
        <f>B403</f>
        <v>02C</v>
      </c>
      <c r="C416" s="256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57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54"/>
    </row>
    <row r="417" spans="1:29" x14ac:dyDescent="0.2">
      <c r="A417" s="287"/>
      <c r="B417" s="255"/>
      <c r="C417" s="256"/>
      <c r="D417" s="9"/>
      <c r="E417" s="9" t="str">
        <f t="shared" ref="E417:F419" si="71">IF(ISBLANK(E404), "", E404)</f>
        <v/>
      </c>
      <c r="F417" s="9" t="str">
        <f t="shared" si="71"/>
        <v/>
      </c>
      <c r="G417" s="257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54"/>
    </row>
    <row r="418" spans="1:29" x14ac:dyDescent="0.2">
      <c r="A418" s="287"/>
      <c r="B418" s="255" t="str">
        <f>B405</f>
        <v>03C</v>
      </c>
      <c r="C418" s="256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57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54"/>
    </row>
    <row r="419" spans="1:29" x14ac:dyDescent="0.2">
      <c r="A419" s="287"/>
      <c r="B419" s="255"/>
      <c r="C419" s="256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57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54"/>
    </row>
    <row r="421" spans="1:29" x14ac:dyDescent="0.2">
      <c r="A421" s="287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87"/>
      <c r="B422" s="288" t="s">
        <v>10</v>
      </c>
      <c r="C422" s="289" t="s">
        <v>0</v>
      </c>
      <c r="D422" s="289" t="s">
        <v>25</v>
      </c>
      <c r="E422" s="289" t="s">
        <v>11</v>
      </c>
      <c r="F422" s="289" t="s">
        <v>16</v>
      </c>
      <c r="G422" s="270" t="s">
        <v>12</v>
      </c>
      <c r="H422" s="271" t="s">
        <v>13</v>
      </c>
      <c r="I422" s="272"/>
      <c r="J422" s="272"/>
      <c r="K422" s="272"/>
      <c r="L422" s="272"/>
      <c r="M422" s="273"/>
      <c r="N422" s="271" t="s">
        <v>14</v>
      </c>
      <c r="O422" s="272"/>
      <c r="P422" s="272"/>
      <c r="Q422" s="272"/>
      <c r="R422" s="272"/>
      <c r="S422" s="273"/>
      <c r="T422" s="271" t="s">
        <v>15</v>
      </c>
      <c r="U422" s="272"/>
      <c r="V422" s="272"/>
      <c r="W422" s="272"/>
      <c r="X422" s="272"/>
      <c r="Y422" s="273"/>
      <c r="Z422" s="274" t="s">
        <v>37</v>
      </c>
      <c r="AA422" s="274" t="s">
        <v>39</v>
      </c>
      <c r="AB422" s="274" t="s">
        <v>62</v>
      </c>
      <c r="AC422" s="299" t="s">
        <v>26</v>
      </c>
    </row>
    <row r="423" spans="1:29" ht="25.5" x14ac:dyDescent="0.2">
      <c r="A423" s="287"/>
      <c r="B423" s="288"/>
      <c r="C423" s="289"/>
      <c r="D423" s="289"/>
      <c r="E423" s="289"/>
      <c r="F423" s="289"/>
      <c r="G423" s="270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75"/>
      <c r="AA423" s="276"/>
      <c r="AB423" s="276"/>
      <c r="AC423" s="299"/>
    </row>
    <row r="424" spans="1:29" x14ac:dyDescent="0.2">
      <c r="A424" s="287"/>
      <c r="B424" s="300" t="s">
        <v>2</v>
      </c>
      <c r="C424" s="302" t="s">
        <v>84</v>
      </c>
      <c r="D424" s="12"/>
      <c r="E424" s="10"/>
      <c r="F424" s="12"/>
      <c r="G424" s="302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66">
        <f>SUM(L424, R424, X424)+SUM(L425, R425, X425)</f>
        <v>0</v>
      </c>
      <c r="AA424" s="266">
        <f>SUM(M424, S424, Y424)+SUM(M425, S425, Y425)</f>
        <v>0</v>
      </c>
      <c r="AB424" s="268">
        <f>IF($Z424=0, ,AA424/$Z424)</f>
        <v>0</v>
      </c>
      <c r="AC424" s="292"/>
    </row>
    <row r="425" spans="1:29" x14ac:dyDescent="0.2">
      <c r="A425" s="287"/>
      <c r="B425" s="301"/>
      <c r="C425" s="303"/>
      <c r="D425" s="12"/>
      <c r="E425" s="12"/>
      <c r="F425" s="12"/>
      <c r="G425" s="304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67"/>
      <c r="AA425" s="267"/>
      <c r="AB425" s="269"/>
      <c r="AC425" s="293"/>
    </row>
    <row r="426" spans="1:29" x14ac:dyDescent="0.2">
      <c r="A426" s="287"/>
      <c r="B426" s="290" t="s">
        <v>6</v>
      </c>
      <c r="C426" s="279" t="s">
        <v>8</v>
      </c>
      <c r="D426" s="10"/>
      <c r="E426" s="10"/>
      <c r="F426" s="10"/>
      <c r="G426" s="279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81">
        <f>SUM(L426, R426, X426)+SUM(L427, R427, X427)</f>
        <v>0</v>
      </c>
      <c r="AA426" s="283">
        <f>SUM(M426, S426, Y426)+SUM(M427, S427, Y427)</f>
        <v>0</v>
      </c>
      <c r="AB426" s="258">
        <f>IF($Z426=0, ,AA426/$Z426)</f>
        <v>0</v>
      </c>
      <c r="AC426" s="277"/>
    </row>
    <row r="427" spans="1:29" x14ac:dyDescent="0.2">
      <c r="A427" s="287"/>
      <c r="B427" s="291"/>
      <c r="C427" s="280"/>
      <c r="D427" s="10"/>
      <c r="E427" s="10"/>
      <c r="F427" s="10"/>
      <c r="G427" s="280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82"/>
      <c r="AA427" s="284"/>
      <c r="AB427" s="259"/>
      <c r="AC427" s="278"/>
    </row>
    <row r="428" spans="1:29" x14ac:dyDescent="0.2">
      <c r="A428" s="287"/>
      <c r="B428" s="285" t="s">
        <v>7</v>
      </c>
      <c r="C428" s="264" t="s">
        <v>81</v>
      </c>
      <c r="D428" s="9"/>
      <c r="E428" s="9"/>
      <c r="F428" s="9"/>
      <c r="G428" s="264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66">
        <f>SUM(L428, R428, X428)+SUM(L429, R429, X429)</f>
        <v>0</v>
      </c>
      <c r="AA428" s="266">
        <f>SUM(M428, S428, Y428)+SUM(M429, S429, Y429)</f>
        <v>0</v>
      </c>
      <c r="AB428" s="268">
        <f>IF($Z428=0, ,AA428/$Z428)</f>
        <v>0</v>
      </c>
      <c r="AC428" s="292"/>
    </row>
    <row r="429" spans="1:29" x14ac:dyDescent="0.2">
      <c r="A429" s="287"/>
      <c r="B429" s="286"/>
      <c r="C429" s="265"/>
      <c r="D429" s="9"/>
      <c r="E429" s="9"/>
      <c r="F429" s="9"/>
      <c r="G429" s="265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67"/>
      <c r="AA429" s="267"/>
      <c r="AB429" s="269"/>
      <c r="AC429" s="293"/>
    </row>
    <row r="430" spans="1:29" x14ac:dyDescent="0.2">
      <c r="A430" s="287"/>
      <c r="B430" s="290" t="s">
        <v>3</v>
      </c>
      <c r="C430" s="279" t="s">
        <v>82</v>
      </c>
      <c r="D430" s="10"/>
      <c r="E430" s="10"/>
      <c r="F430" s="10"/>
      <c r="G430" s="279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83">
        <f>SUM(L430, R430, X430)+SUM(L431, R431, X431)</f>
        <v>0</v>
      </c>
      <c r="AA430" s="283">
        <f>SUM(M430, S430, Y430)+SUM(M431, S431, Y431)</f>
        <v>0</v>
      </c>
      <c r="AB430" s="258">
        <f>IF($Z430=0, ,AA430/$Z430)</f>
        <v>0</v>
      </c>
      <c r="AC430" s="277"/>
    </row>
    <row r="431" spans="1:29" x14ac:dyDescent="0.2">
      <c r="A431" s="287"/>
      <c r="B431" s="291"/>
      <c r="C431" s="280"/>
      <c r="D431" s="10"/>
      <c r="E431" s="10"/>
      <c r="F431" s="10"/>
      <c r="G431" s="280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84"/>
      <c r="AA431" s="284"/>
      <c r="AB431" s="259"/>
      <c r="AC431" s="278"/>
    </row>
    <row r="432" spans="1:29" x14ac:dyDescent="0.2">
      <c r="A432" s="287"/>
      <c r="B432" s="285" t="s">
        <v>4</v>
      </c>
      <c r="C432" s="264" t="s">
        <v>9</v>
      </c>
      <c r="D432" s="9"/>
      <c r="E432" s="10"/>
      <c r="F432" s="9"/>
      <c r="G432" s="264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66">
        <f>SUM(L432, R432, X432)+SUM(L433, R433, X433)</f>
        <v>0</v>
      </c>
      <c r="AA432" s="266">
        <f>SUM(M432, S432, Y432)+SUM(M433, S433, Y433)</f>
        <v>0</v>
      </c>
      <c r="AB432" s="268">
        <f>IF($Z432=0, ,AA432/$Z432)</f>
        <v>0</v>
      </c>
      <c r="AC432" s="292"/>
    </row>
    <row r="433" spans="1:29" x14ac:dyDescent="0.2">
      <c r="A433" s="287"/>
      <c r="B433" s="286"/>
      <c r="C433" s="265"/>
      <c r="D433" s="9"/>
      <c r="E433" s="9"/>
      <c r="F433" s="9"/>
      <c r="G433" s="265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67"/>
      <c r="AA433" s="267"/>
      <c r="AB433" s="269"/>
      <c r="AC433" s="293"/>
    </row>
    <row r="434" spans="1:29" x14ac:dyDescent="0.2">
      <c r="A434" s="287"/>
      <c r="B434" s="294" t="s">
        <v>85</v>
      </c>
      <c r="C434" s="296" t="s">
        <v>83</v>
      </c>
      <c r="D434" s="11"/>
      <c r="E434" s="10"/>
      <c r="F434" s="11"/>
      <c r="G434" s="296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98">
        <f>SUM(L434, R434, X434)+SUM(L435, R435, X435)</f>
        <v>0</v>
      </c>
      <c r="AA434" s="298">
        <f>SUM(M434, S434, Y434)+SUM(M435, S435, Y435)</f>
        <v>0</v>
      </c>
      <c r="AB434" s="258">
        <f>IF($Z434=0, ,AA434/$Z434)</f>
        <v>0</v>
      </c>
      <c r="AC434" s="260"/>
    </row>
    <row r="435" spans="1:29" x14ac:dyDescent="0.2">
      <c r="A435" s="287"/>
      <c r="B435" s="295"/>
      <c r="C435" s="297"/>
      <c r="D435" s="11"/>
      <c r="E435" s="11"/>
      <c r="F435" s="11"/>
      <c r="G435" s="297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98"/>
      <c r="AA435" s="298"/>
      <c r="AB435" s="259"/>
      <c r="AC435" s="260"/>
    </row>
    <row r="436" spans="1:29" x14ac:dyDescent="0.2">
      <c r="A436" s="287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87"/>
      <c r="B437" s="261" t="s">
        <v>67</v>
      </c>
      <c r="C437" s="262"/>
      <c r="D437" s="262"/>
      <c r="E437" s="262"/>
      <c r="F437" s="262"/>
      <c r="G437" s="9" t="s">
        <v>68</v>
      </c>
      <c r="H437" s="263" t="s">
        <v>64</v>
      </c>
      <c r="I437" s="263"/>
      <c r="J437" s="263"/>
      <c r="K437" s="263" t="s">
        <v>76</v>
      </c>
      <c r="L437" s="263"/>
      <c r="M437" s="263"/>
      <c r="N437" s="263" t="s">
        <v>65</v>
      </c>
      <c r="O437" s="263"/>
      <c r="P437" s="263"/>
      <c r="Q437" s="263" t="s">
        <v>66</v>
      </c>
      <c r="R437" s="263"/>
      <c r="S437" s="263"/>
      <c r="T437" s="263" t="s">
        <v>73</v>
      </c>
      <c r="U437" s="263"/>
      <c r="V437" s="263"/>
      <c r="W437" s="263" t="s">
        <v>74</v>
      </c>
      <c r="X437" s="263"/>
      <c r="Y437" s="263"/>
      <c r="Z437" s="263" t="s">
        <v>75</v>
      </c>
      <c r="AA437" s="263"/>
      <c r="AB437" s="263"/>
      <c r="AC437" s="254" t="s">
        <v>106</v>
      </c>
    </row>
    <row r="438" spans="1:29" x14ac:dyDescent="0.2">
      <c r="A438" s="287"/>
      <c r="B438" s="261"/>
      <c r="C438" s="262"/>
      <c r="D438" s="262"/>
      <c r="E438" s="262"/>
      <c r="F438" s="262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54"/>
    </row>
    <row r="439" spans="1:29" x14ac:dyDescent="0.2">
      <c r="A439" s="287"/>
      <c r="B439" s="255" t="str">
        <f>B426</f>
        <v>02C</v>
      </c>
      <c r="C439" s="256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57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54"/>
    </row>
    <row r="440" spans="1:29" x14ac:dyDescent="0.2">
      <c r="A440" s="287"/>
      <c r="B440" s="255"/>
      <c r="C440" s="256"/>
      <c r="D440" s="9"/>
      <c r="E440" s="9" t="str">
        <f t="shared" ref="E440:F442" si="75">IF(ISBLANK(E427), "", E427)</f>
        <v/>
      </c>
      <c r="F440" s="9" t="str">
        <f t="shared" si="75"/>
        <v/>
      </c>
      <c r="G440" s="257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54"/>
    </row>
    <row r="441" spans="1:29" x14ac:dyDescent="0.2">
      <c r="A441" s="287"/>
      <c r="B441" s="255" t="str">
        <f>B428</f>
        <v>03C</v>
      </c>
      <c r="C441" s="256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57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54"/>
    </row>
    <row r="442" spans="1:29" x14ac:dyDescent="0.2">
      <c r="A442" s="287"/>
      <c r="B442" s="255"/>
      <c r="C442" s="256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57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54"/>
    </row>
    <row r="444" spans="1:29" x14ac:dyDescent="0.2">
      <c r="A444" s="287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87"/>
      <c r="B445" s="288" t="s">
        <v>10</v>
      </c>
      <c r="C445" s="289" t="s">
        <v>0</v>
      </c>
      <c r="D445" s="289" t="s">
        <v>25</v>
      </c>
      <c r="E445" s="289" t="s">
        <v>11</v>
      </c>
      <c r="F445" s="289" t="s">
        <v>16</v>
      </c>
      <c r="G445" s="270" t="s">
        <v>12</v>
      </c>
      <c r="H445" s="271" t="s">
        <v>13</v>
      </c>
      <c r="I445" s="272"/>
      <c r="J445" s="272"/>
      <c r="K445" s="272"/>
      <c r="L445" s="272"/>
      <c r="M445" s="273"/>
      <c r="N445" s="271" t="s">
        <v>14</v>
      </c>
      <c r="O445" s="272"/>
      <c r="P445" s="272"/>
      <c r="Q445" s="272"/>
      <c r="R445" s="272"/>
      <c r="S445" s="273"/>
      <c r="T445" s="271" t="s">
        <v>15</v>
      </c>
      <c r="U445" s="272"/>
      <c r="V445" s="272"/>
      <c r="W445" s="272"/>
      <c r="X445" s="272"/>
      <c r="Y445" s="273"/>
      <c r="Z445" s="274" t="s">
        <v>37</v>
      </c>
      <c r="AA445" s="274" t="s">
        <v>39</v>
      </c>
      <c r="AB445" s="274" t="s">
        <v>62</v>
      </c>
      <c r="AC445" s="299" t="s">
        <v>26</v>
      </c>
    </row>
    <row r="446" spans="1:29" ht="25.5" x14ac:dyDescent="0.2">
      <c r="A446" s="287"/>
      <c r="B446" s="288"/>
      <c r="C446" s="289"/>
      <c r="D446" s="289"/>
      <c r="E446" s="289"/>
      <c r="F446" s="289"/>
      <c r="G446" s="270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75"/>
      <c r="AA446" s="276"/>
      <c r="AB446" s="276"/>
      <c r="AC446" s="299"/>
    </row>
    <row r="447" spans="1:29" x14ac:dyDescent="0.2">
      <c r="A447" s="287"/>
      <c r="B447" s="300" t="s">
        <v>2</v>
      </c>
      <c r="C447" s="302" t="s">
        <v>84</v>
      </c>
      <c r="D447" s="12"/>
      <c r="E447" s="10"/>
      <c r="F447" s="12"/>
      <c r="G447" s="302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66">
        <f>SUM(L447, R447, X447)+SUM(L448, R448, X448)</f>
        <v>0</v>
      </c>
      <c r="AA447" s="266">
        <f>SUM(M447, S447, Y447)+SUM(M448, S448, Y448)</f>
        <v>0</v>
      </c>
      <c r="AB447" s="268">
        <f>IF($Z447=0, ,AA447/$Z447)</f>
        <v>0</v>
      </c>
      <c r="AC447" s="292"/>
    </row>
    <row r="448" spans="1:29" x14ac:dyDescent="0.2">
      <c r="A448" s="287"/>
      <c r="B448" s="301"/>
      <c r="C448" s="303"/>
      <c r="D448" s="12"/>
      <c r="E448" s="12"/>
      <c r="F448" s="12"/>
      <c r="G448" s="304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67"/>
      <c r="AA448" s="267"/>
      <c r="AB448" s="269"/>
      <c r="AC448" s="293"/>
    </row>
    <row r="449" spans="1:29" x14ac:dyDescent="0.2">
      <c r="A449" s="287"/>
      <c r="B449" s="290" t="s">
        <v>6</v>
      </c>
      <c r="C449" s="279" t="s">
        <v>8</v>
      </c>
      <c r="D449" s="10"/>
      <c r="E449" s="10"/>
      <c r="F449" s="10"/>
      <c r="G449" s="279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81">
        <f>SUM(L449, R449, X449)+SUM(L450, R450, X450)</f>
        <v>0</v>
      </c>
      <c r="AA449" s="283">
        <f>SUM(M449, S449, Y449)+SUM(M450, S450, Y450)</f>
        <v>0</v>
      </c>
      <c r="AB449" s="258">
        <f>IF($Z449=0, ,AA449/$Z449)</f>
        <v>0</v>
      </c>
      <c r="AC449" s="277"/>
    </row>
    <row r="450" spans="1:29" x14ac:dyDescent="0.2">
      <c r="A450" s="287"/>
      <c r="B450" s="291"/>
      <c r="C450" s="280"/>
      <c r="D450" s="10"/>
      <c r="E450" s="10"/>
      <c r="F450" s="10"/>
      <c r="G450" s="280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82"/>
      <c r="AA450" s="284"/>
      <c r="AB450" s="259"/>
      <c r="AC450" s="278"/>
    </row>
    <row r="451" spans="1:29" x14ac:dyDescent="0.2">
      <c r="A451" s="287"/>
      <c r="B451" s="285" t="s">
        <v>7</v>
      </c>
      <c r="C451" s="264" t="s">
        <v>81</v>
      </c>
      <c r="D451" s="9"/>
      <c r="E451" s="9"/>
      <c r="F451" s="9"/>
      <c r="G451" s="264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66">
        <f>SUM(L451, R451, X451)+SUM(L452, R452, X452)</f>
        <v>0</v>
      </c>
      <c r="AA451" s="266">
        <f>SUM(M451, S451, Y451)+SUM(M452, S452, Y452)</f>
        <v>0</v>
      </c>
      <c r="AB451" s="268">
        <f>IF($Z451=0, ,AA451/$Z451)</f>
        <v>0</v>
      </c>
      <c r="AC451" s="292"/>
    </row>
    <row r="452" spans="1:29" x14ac:dyDescent="0.2">
      <c r="A452" s="287"/>
      <c r="B452" s="286"/>
      <c r="C452" s="265"/>
      <c r="D452" s="9"/>
      <c r="E452" s="9"/>
      <c r="F452" s="9"/>
      <c r="G452" s="265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67"/>
      <c r="AA452" s="267"/>
      <c r="AB452" s="269"/>
      <c r="AC452" s="293"/>
    </row>
    <row r="453" spans="1:29" x14ac:dyDescent="0.2">
      <c r="A453" s="287"/>
      <c r="B453" s="290" t="s">
        <v>3</v>
      </c>
      <c r="C453" s="279" t="s">
        <v>82</v>
      </c>
      <c r="D453" s="10"/>
      <c r="E453" s="10"/>
      <c r="F453" s="10"/>
      <c r="G453" s="279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83">
        <f>SUM(L453, R453, X453)+SUM(L454, R454, X454)</f>
        <v>0</v>
      </c>
      <c r="AA453" s="283">
        <f>SUM(M453, S453, Y453)+SUM(M454, S454, Y454)</f>
        <v>0</v>
      </c>
      <c r="AB453" s="258">
        <f>IF($Z453=0, ,AA453/$Z453)</f>
        <v>0</v>
      </c>
      <c r="AC453" s="277"/>
    </row>
    <row r="454" spans="1:29" x14ac:dyDescent="0.2">
      <c r="A454" s="287"/>
      <c r="B454" s="291"/>
      <c r="C454" s="280"/>
      <c r="D454" s="10"/>
      <c r="E454" s="10"/>
      <c r="F454" s="10"/>
      <c r="G454" s="280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84"/>
      <c r="AA454" s="284"/>
      <c r="AB454" s="259"/>
      <c r="AC454" s="278"/>
    </row>
    <row r="455" spans="1:29" x14ac:dyDescent="0.2">
      <c r="A455" s="287"/>
      <c r="B455" s="285" t="s">
        <v>4</v>
      </c>
      <c r="C455" s="264" t="s">
        <v>9</v>
      </c>
      <c r="D455" s="9"/>
      <c r="E455" s="10"/>
      <c r="F455" s="9"/>
      <c r="G455" s="264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66">
        <f>SUM(L455, R455, X455)+SUM(L456, R456, X456)</f>
        <v>0</v>
      </c>
      <c r="AA455" s="266">
        <f>SUM(M455, S455, Y455)+SUM(M456, S456, Y456)</f>
        <v>0</v>
      </c>
      <c r="AB455" s="268">
        <f>IF($Z455=0, ,AA455/$Z455)</f>
        <v>0</v>
      </c>
      <c r="AC455" s="292"/>
    </row>
    <row r="456" spans="1:29" x14ac:dyDescent="0.2">
      <c r="A456" s="287"/>
      <c r="B456" s="286"/>
      <c r="C456" s="265"/>
      <c r="D456" s="9"/>
      <c r="E456" s="9"/>
      <c r="F456" s="9"/>
      <c r="G456" s="265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67"/>
      <c r="AA456" s="267"/>
      <c r="AB456" s="269"/>
      <c r="AC456" s="293"/>
    </row>
    <row r="457" spans="1:29" x14ac:dyDescent="0.2">
      <c r="A457" s="287"/>
      <c r="B457" s="294" t="s">
        <v>85</v>
      </c>
      <c r="C457" s="296" t="s">
        <v>83</v>
      </c>
      <c r="D457" s="11"/>
      <c r="E457" s="10"/>
      <c r="F457" s="11"/>
      <c r="G457" s="296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98">
        <f>SUM(L457, R457, X457)+SUM(L458, R458, X458)</f>
        <v>0</v>
      </c>
      <c r="AA457" s="298">
        <f>SUM(M457, S457, Y457)+SUM(M458, S458, Y458)</f>
        <v>0</v>
      </c>
      <c r="AB457" s="258">
        <f>IF($Z457=0, ,AA457/$Z457)</f>
        <v>0</v>
      </c>
      <c r="AC457" s="260"/>
    </row>
    <row r="458" spans="1:29" x14ac:dyDescent="0.2">
      <c r="A458" s="287"/>
      <c r="B458" s="295"/>
      <c r="C458" s="297"/>
      <c r="D458" s="11"/>
      <c r="E458" s="11"/>
      <c r="F458" s="11"/>
      <c r="G458" s="297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98"/>
      <c r="AA458" s="298"/>
      <c r="AB458" s="259"/>
      <c r="AC458" s="260"/>
    </row>
    <row r="459" spans="1:29" x14ac:dyDescent="0.2">
      <c r="A459" s="287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87"/>
      <c r="B460" s="261" t="s">
        <v>67</v>
      </c>
      <c r="C460" s="262"/>
      <c r="D460" s="262"/>
      <c r="E460" s="262"/>
      <c r="F460" s="262"/>
      <c r="G460" s="9" t="s">
        <v>68</v>
      </c>
      <c r="H460" s="263" t="s">
        <v>64</v>
      </c>
      <c r="I460" s="263"/>
      <c r="J460" s="263"/>
      <c r="K460" s="263" t="s">
        <v>76</v>
      </c>
      <c r="L460" s="263"/>
      <c r="M460" s="263"/>
      <c r="N460" s="263" t="s">
        <v>65</v>
      </c>
      <c r="O460" s="263"/>
      <c r="P460" s="263"/>
      <c r="Q460" s="263" t="s">
        <v>66</v>
      </c>
      <c r="R460" s="263"/>
      <c r="S460" s="263"/>
      <c r="T460" s="263" t="s">
        <v>73</v>
      </c>
      <c r="U460" s="263"/>
      <c r="V460" s="263"/>
      <c r="W460" s="263" t="s">
        <v>74</v>
      </c>
      <c r="X460" s="263"/>
      <c r="Y460" s="263"/>
      <c r="Z460" s="263" t="s">
        <v>75</v>
      </c>
      <c r="AA460" s="263"/>
      <c r="AB460" s="263"/>
      <c r="AC460" s="254" t="s">
        <v>106</v>
      </c>
    </row>
    <row r="461" spans="1:29" x14ac:dyDescent="0.2">
      <c r="A461" s="287"/>
      <c r="B461" s="261"/>
      <c r="C461" s="262"/>
      <c r="D461" s="262"/>
      <c r="E461" s="262"/>
      <c r="F461" s="262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54"/>
    </row>
    <row r="462" spans="1:29" x14ac:dyDescent="0.2">
      <c r="A462" s="287"/>
      <c r="B462" s="255" t="str">
        <f>B449</f>
        <v>02C</v>
      </c>
      <c r="C462" s="256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57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54"/>
    </row>
    <row r="463" spans="1:29" x14ac:dyDescent="0.2">
      <c r="A463" s="287"/>
      <c r="B463" s="255"/>
      <c r="C463" s="256"/>
      <c r="D463" s="9"/>
      <c r="E463" s="9" t="str">
        <f t="shared" ref="E463:F465" si="79">IF(ISBLANK(E450), "", E450)</f>
        <v/>
      </c>
      <c r="F463" s="9" t="str">
        <f t="shared" si="79"/>
        <v/>
      </c>
      <c r="G463" s="257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54"/>
    </row>
    <row r="464" spans="1:29" x14ac:dyDescent="0.2">
      <c r="A464" s="287"/>
      <c r="B464" s="255" t="str">
        <f>B451</f>
        <v>03C</v>
      </c>
      <c r="C464" s="256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57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54"/>
    </row>
    <row r="465" spans="1:29" x14ac:dyDescent="0.2">
      <c r="A465" s="287"/>
      <c r="B465" s="255"/>
      <c r="C465" s="256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57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54"/>
    </row>
    <row r="467" spans="1:29" x14ac:dyDescent="0.2">
      <c r="A467" s="287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87"/>
      <c r="B468" s="288" t="s">
        <v>10</v>
      </c>
      <c r="C468" s="289" t="s">
        <v>0</v>
      </c>
      <c r="D468" s="289" t="s">
        <v>25</v>
      </c>
      <c r="E468" s="289" t="s">
        <v>11</v>
      </c>
      <c r="F468" s="289" t="s">
        <v>16</v>
      </c>
      <c r="G468" s="270" t="s">
        <v>12</v>
      </c>
      <c r="H468" s="271" t="s">
        <v>13</v>
      </c>
      <c r="I468" s="272"/>
      <c r="J468" s="272"/>
      <c r="K468" s="272"/>
      <c r="L468" s="272"/>
      <c r="M468" s="273"/>
      <c r="N468" s="271" t="s">
        <v>14</v>
      </c>
      <c r="O468" s="272"/>
      <c r="P468" s="272"/>
      <c r="Q468" s="272"/>
      <c r="R468" s="272"/>
      <c r="S468" s="273"/>
      <c r="T468" s="271" t="s">
        <v>15</v>
      </c>
      <c r="U468" s="272"/>
      <c r="V468" s="272"/>
      <c r="W468" s="272"/>
      <c r="X468" s="272"/>
      <c r="Y468" s="273"/>
      <c r="Z468" s="274" t="s">
        <v>37</v>
      </c>
      <c r="AA468" s="274" t="s">
        <v>39</v>
      </c>
      <c r="AB468" s="274" t="s">
        <v>62</v>
      </c>
      <c r="AC468" s="299" t="s">
        <v>26</v>
      </c>
    </row>
    <row r="469" spans="1:29" ht="25.5" x14ac:dyDescent="0.2">
      <c r="A469" s="287"/>
      <c r="B469" s="288"/>
      <c r="C469" s="289"/>
      <c r="D469" s="289"/>
      <c r="E469" s="289"/>
      <c r="F469" s="289"/>
      <c r="G469" s="270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75"/>
      <c r="AA469" s="276"/>
      <c r="AB469" s="276"/>
      <c r="AC469" s="299"/>
    </row>
    <row r="470" spans="1:29" x14ac:dyDescent="0.2">
      <c r="A470" s="287"/>
      <c r="B470" s="300" t="s">
        <v>2</v>
      </c>
      <c r="C470" s="302" t="s">
        <v>84</v>
      </c>
      <c r="D470" s="12"/>
      <c r="E470" s="10"/>
      <c r="F470" s="12"/>
      <c r="G470" s="302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66">
        <f>SUM(L470, R470, X470)+SUM(L471, R471, X471)</f>
        <v>0</v>
      </c>
      <c r="AA470" s="266">
        <f>SUM(M470, S470, Y470)+SUM(M471, S471, Y471)</f>
        <v>0</v>
      </c>
      <c r="AB470" s="268">
        <f>IF($Z470=0, ,AA470/$Z470)</f>
        <v>0</v>
      </c>
      <c r="AC470" s="292"/>
    </row>
    <row r="471" spans="1:29" x14ac:dyDescent="0.2">
      <c r="A471" s="287"/>
      <c r="B471" s="301"/>
      <c r="C471" s="303"/>
      <c r="D471" s="12"/>
      <c r="E471" s="12"/>
      <c r="F471" s="12"/>
      <c r="G471" s="304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67"/>
      <c r="AA471" s="267"/>
      <c r="AB471" s="269"/>
      <c r="AC471" s="293"/>
    </row>
    <row r="472" spans="1:29" x14ac:dyDescent="0.2">
      <c r="A472" s="287"/>
      <c r="B472" s="290" t="s">
        <v>6</v>
      </c>
      <c r="C472" s="279" t="s">
        <v>8</v>
      </c>
      <c r="D472" s="10"/>
      <c r="E472" s="10"/>
      <c r="F472" s="10"/>
      <c r="G472" s="279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81">
        <f>SUM(L472, R472, X472)+SUM(L473, R473, X473)</f>
        <v>0</v>
      </c>
      <c r="AA472" s="283">
        <f>SUM(M472, S472, Y472)+SUM(M473, S473, Y473)</f>
        <v>0</v>
      </c>
      <c r="AB472" s="258">
        <f>IF($Z472=0, ,AA472/$Z472)</f>
        <v>0</v>
      </c>
      <c r="AC472" s="277"/>
    </row>
    <row r="473" spans="1:29" x14ac:dyDescent="0.2">
      <c r="A473" s="287"/>
      <c r="B473" s="291"/>
      <c r="C473" s="280"/>
      <c r="D473" s="10"/>
      <c r="E473" s="10"/>
      <c r="F473" s="10"/>
      <c r="G473" s="280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82"/>
      <c r="AA473" s="284"/>
      <c r="AB473" s="259"/>
      <c r="AC473" s="278"/>
    </row>
    <row r="474" spans="1:29" x14ac:dyDescent="0.2">
      <c r="A474" s="287"/>
      <c r="B474" s="285" t="s">
        <v>7</v>
      </c>
      <c r="C474" s="264" t="s">
        <v>81</v>
      </c>
      <c r="D474" s="9"/>
      <c r="E474" s="9"/>
      <c r="F474" s="9"/>
      <c r="G474" s="264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66">
        <f>SUM(L474, R474, X474)+SUM(L475, R475, X475)</f>
        <v>0</v>
      </c>
      <c r="AA474" s="266">
        <f>SUM(M474, S474, Y474)+SUM(M475, S475, Y475)</f>
        <v>0</v>
      </c>
      <c r="AB474" s="268">
        <f>IF($Z474=0, ,AA474/$Z474)</f>
        <v>0</v>
      </c>
      <c r="AC474" s="292"/>
    </row>
    <row r="475" spans="1:29" x14ac:dyDescent="0.2">
      <c r="A475" s="287"/>
      <c r="B475" s="286"/>
      <c r="C475" s="265"/>
      <c r="D475" s="9"/>
      <c r="E475" s="9"/>
      <c r="F475" s="9"/>
      <c r="G475" s="265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67"/>
      <c r="AA475" s="267"/>
      <c r="AB475" s="269"/>
      <c r="AC475" s="293"/>
    </row>
    <row r="476" spans="1:29" x14ac:dyDescent="0.2">
      <c r="A476" s="287"/>
      <c r="B476" s="290" t="s">
        <v>3</v>
      </c>
      <c r="C476" s="279" t="s">
        <v>82</v>
      </c>
      <c r="D476" s="10"/>
      <c r="E476" s="10"/>
      <c r="F476" s="10"/>
      <c r="G476" s="279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83">
        <f>SUM(L476, R476, X476)+SUM(L477, R477, X477)</f>
        <v>0</v>
      </c>
      <c r="AA476" s="283">
        <f>SUM(M476, S476, Y476)+SUM(M477, S477, Y477)</f>
        <v>0</v>
      </c>
      <c r="AB476" s="258">
        <f>IF($Z476=0, ,AA476/$Z476)</f>
        <v>0</v>
      </c>
      <c r="AC476" s="277"/>
    </row>
    <row r="477" spans="1:29" x14ac:dyDescent="0.2">
      <c r="A477" s="287"/>
      <c r="B477" s="291"/>
      <c r="C477" s="280"/>
      <c r="D477" s="10"/>
      <c r="E477" s="10"/>
      <c r="F477" s="10"/>
      <c r="G477" s="280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84"/>
      <c r="AA477" s="284"/>
      <c r="AB477" s="259"/>
      <c r="AC477" s="278"/>
    </row>
    <row r="478" spans="1:29" x14ac:dyDescent="0.2">
      <c r="A478" s="287"/>
      <c r="B478" s="285" t="s">
        <v>4</v>
      </c>
      <c r="C478" s="264" t="s">
        <v>9</v>
      </c>
      <c r="D478" s="9"/>
      <c r="E478" s="10"/>
      <c r="F478" s="9"/>
      <c r="G478" s="264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66">
        <f>SUM(L478, R478, X478)+SUM(L479, R479, X479)</f>
        <v>0</v>
      </c>
      <c r="AA478" s="266">
        <f>SUM(M478, S478, Y478)+SUM(M479, S479, Y479)</f>
        <v>0</v>
      </c>
      <c r="AB478" s="268">
        <f>IF($Z478=0, ,AA478/$Z478)</f>
        <v>0</v>
      </c>
      <c r="AC478" s="292"/>
    </row>
    <row r="479" spans="1:29" x14ac:dyDescent="0.2">
      <c r="A479" s="287"/>
      <c r="B479" s="286"/>
      <c r="C479" s="265"/>
      <c r="D479" s="9"/>
      <c r="E479" s="9"/>
      <c r="F479" s="9"/>
      <c r="G479" s="265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67"/>
      <c r="AA479" s="267"/>
      <c r="AB479" s="269"/>
      <c r="AC479" s="293"/>
    </row>
    <row r="480" spans="1:29" x14ac:dyDescent="0.2">
      <c r="A480" s="287"/>
      <c r="B480" s="294" t="s">
        <v>85</v>
      </c>
      <c r="C480" s="296" t="s">
        <v>83</v>
      </c>
      <c r="D480" s="11"/>
      <c r="E480" s="10"/>
      <c r="F480" s="11"/>
      <c r="G480" s="296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98">
        <f>SUM(L480, R480, X480)+SUM(L481, R481, X481)</f>
        <v>0</v>
      </c>
      <c r="AA480" s="298">
        <f>SUM(M480, S480, Y480)+SUM(M481, S481, Y481)</f>
        <v>0</v>
      </c>
      <c r="AB480" s="258">
        <f>IF($Z480=0, ,AA480/$Z480)</f>
        <v>0</v>
      </c>
      <c r="AC480" s="260"/>
    </row>
    <row r="481" spans="1:29" x14ac:dyDescent="0.2">
      <c r="A481" s="287"/>
      <c r="B481" s="295"/>
      <c r="C481" s="297"/>
      <c r="D481" s="11"/>
      <c r="E481" s="11"/>
      <c r="F481" s="11"/>
      <c r="G481" s="297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98"/>
      <c r="AA481" s="298"/>
      <c r="AB481" s="259"/>
      <c r="AC481" s="260"/>
    </row>
    <row r="482" spans="1:29" x14ac:dyDescent="0.2">
      <c r="A482" s="287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87"/>
      <c r="B483" s="261" t="s">
        <v>67</v>
      </c>
      <c r="C483" s="262"/>
      <c r="D483" s="262"/>
      <c r="E483" s="262"/>
      <c r="F483" s="262"/>
      <c r="G483" s="9" t="s">
        <v>68</v>
      </c>
      <c r="H483" s="263" t="s">
        <v>64</v>
      </c>
      <c r="I483" s="263"/>
      <c r="J483" s="263"/>
      <c r="K483" s="263" t="s">
        <v>76</v>
      </c>
      <c r="L483" s="263"/>
      <c r="M483" s="263"/>
      <c r="N483" s="263" t="s">
        <v>65</v>
      </c>
      <c r="O483" s="263"/>
      <c r="P483" s="263"/>
      <c r="Q483" s="263" t="s">
        <v>66</v>
      </c>
      <c r="R483" s="263"/>
      <c r="S483" s="263"/>
      <c r="T483" s="263" t="s">
        <v>73</v>
      </c>
      <c r="U483" s="263"/>
      <c r="V483" s="263"/>
      <c r="W483" s="263" t="s">
        <v>74</v>
      </c>
      <c r="X483" s="263"/>
      <c r="Y483" s="263"/>
      <c r="Z483" s="263" t="s">
        <v>75</v>
      </c>
      <c r="AA483" s="263"/>
      <c r="AB483" s="263"/>
      <c r="AC483" s="254" t="s">
        <v>106</v>
      </c>
    </row>
    <row r="484" spans="1:29" x14ac:dyDescent="0.2">
      <c r="A484" s="287"/>
      <c r="B484" s="261"/>
      <c r="C484" s="262"/>
      <c r="D484" s="262"/>
      <c r="E484" s="262"/>
      <c r="F484" s="262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54"/>
    </row>
    <row r="485" spans="1:29" x14ac:dyDescent="0.2">
      <c r="A485" s="287"/>
      <c r="B485" s="255" t="str">
        <f>B472</f>
        <v>02C</v>
      </c>
      <c r="C485" s="256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57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54"/>
    </row>
    <row r="486" spans="1:29" x14ac:dyDescent="0.2">
      <c r="A486" s="287"/>
      <c r="B486" s="255"/>
      <c r="C486" s="256"/>
      <c r="D486" s="9"/>
      <c r="E486" s="9" t="str">
        <f t="shared" ref="E486:F488" si="83">IF(ISBLANK(E473), "", E473)</f>
        <v/>
      </c>
      <c r="F486" s="9" t="str">
        <f t="shared" si="83"/>
        <v/>
      </c>
      <c r="G486" s="257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54"/>
    </row>
    <row r="487" spans="1:29" x14ac:dyDescent="0.2">
      <c r="A487" s="287"/>
      <c r="B487" s="255" t="str">
        <f>B474</f>
        <v>03C</v>
      </c>
      <c r="C487" s="256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57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54"/>
    </row>
    <row r="488" spans="1:29" x14ac:dyDescent="0.2">
      <c r="A488" s="287"/>
      <c r="B488" s="255"/>
      <c r="C488" s="256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57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54"/>
    </row>
    <row r="490" spans="1:29" x14ac:dyDescent="0.2">
      <c r="A490" s="287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87"/>
      <c r="B491" s="288" t="s">
        <v>10</v>
      </c>
      <c r="C491" s="289" t="s">
        <v>0</v>
      </c>
      <c r="D491" s="289" t="s">
        <v>25</v>
      </c>
      <c r="E491" s="289" t="s">
        <v>11</v>
      </c>
      <c r="F491" s="289" t="s">
        <v>16</v>
      </c>
      <c r="G491" s="270" t="s">
        <v>12</v>
      </c>
      <c r="H491" s="271" t="s">
        <v>13</v>
      </c>
      <c r="I491" s="272"/>
      <c r="J491" s="272"/>
      <c r="K491" s="272"/>
      <c r="L491" s="272"/>
      <c r="M491" s="273"/>
      <c r="N491" s="271" t="s">
        <v>14</v>
      </c>
      <c r="O491" s="272"/>
      <c r="P491" s="272"/>
      <c r="Q491" s="272"/>
      <c r="R491" s="272"/>
      <c r="S491" s="273"/>
      <c r="T491" s="271" t="s">
        <v>15</v>
      </c>
      <c r="U491" s="272"/>
      <c r="V491" s="272"/>
      <c r="W491" s="272"/>
      <c r="X491" s="272"/>
      <c r="Y491" s="273"/>
      <c r="Z491" s="274" t="s">
        <v>37</v>
      </c>
      <c r="AA491" s="274" t="s">
        <v>39</v>
      </c>
      <c r="AB491" s="274" t="s">
        <v>62</v>
      </c>
      <c r="AC491" s="299" t="s">
        <v>26</v>
      </c>
    </row>
    <row r="492" spans="1:29" ht="25.5" x14ac:dyDescent="0.2">
      <c r="A492" s="287"/>
      <c r="B492" s="288"/>
      <c r="C492" s="289"/>
      <c r="D492" s="289"/>
      <c r="E492" s="289"/>
      <c r="F492" s="289"/>
      <c r="G492" s="270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75"/>
      <c r="AA492" s="276"/>
      <c r="AB492" s="276"/>
      <c r="AC492" s="299"/>
    </row>
    <row r="493" spans="1:29" x14ac:dyDescent="0.2">
      <c r="A493" s="287"/>
      <c r="B493" s="300" t="s">
        <v>2</v>
      </c>
      <c r="C493" s="302" t="s">
        <v>84</v>
      </c>
      <c r="D493" s="12"/>
      <c r="E493" s="10"/>
      <c r="F493" s="12"/>
      <c r="G493" s="302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66">
        <f>SUM(L493, R493, X493)+SUM(L494, R494, X494)</f>
        <v>0</v>
      </c>
      <c r="AA493" s="266">
        <f>SUM(M493, S493, Y493)+SUM(M494, S494, Y494)</f>
        <v>0</v>
      </c>
      <c r="AB493" s="268">
        <f>IF($Z493=0, ,AA493/$Z493)</f>
        <v>0</v>
      </c>
      <c r="AC493" s="292"/>
    </row>
    <row r="494" spans="1:29" x14ac:dyDescent="0.2">
      <c r="A494" s="287"/>
      <c r="B494" s="301"/>
      <c r="C494" s="303"/>
      <c r="D494" s="12"/>
      <c r="E494" s="12"/>
      <c r="F494" s="12"/>
      <c r="G494" s="304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67"/>
      <c r="AA494" s="267"/>
      <c r="AB494" s="269"/>
      <c r="AC494" s="293"/>
    </row>
    <row r="495" spans="1:29" x14ac:dyDescent="0.2">
      <c r="A495" s="287"/>
      <c r="B495" s="290" t="s">
        <v>6</v>
      </c>
      <c r="C495" s="279" t="s">
        <v>8</v>
      </c>
      <c r="D495" s="10"/>
      <c r="E495" s="10"/>
      <c r="F495" s="10"/>
      <c r="G495" s="279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81">
        <f>SUM(L495, R495, X495)+SUM(L496, R496, X496)</f>
        <v>0</v>
      </c>
      <c r="AA495" s="283">
        <f>SUM(M495, S495, Y495)+SUM(M496, S496, Y496)</f>
        <v>0</v>
      </c>
      <c r="AB495" s="258">
        <f>IF($Z495=0, ,AA495/$Z495)</f>
        <v>0</v>
      </c>
      <c r="AC495" s="277"/>
    </row>
    <row r="496" spans="1:29" x14ac:dyDescent="0.2">
      <c r="A496" s="287"/>
      <c r="B496" s="291"/>
      <c r="C496" s="280"/>
      <c r="D496" s="10"/>
      <c r="E496" s="10"/>
      <c r="F496" s="10"/>
      <c r="G496" s="280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82"/>
      <c r="AA496" s="284"/>
      <c r="AB496" s="259"/>
      <c r="AC496" s="278"/>
    </row>
    <row r="497" spans="1:29" x14ac:dyDescent="0.2">
      <c r="A497" s="287"/>
      <c r="B497" s="285" t="s">
        <v>7</v>
      </c>
      <c r="C497" s="264" t="s">
        <v>81</v>
      </c>
      <c r="D497" s="9"/>
      <c r="E497" s="9"/>
      <c r="F497" s="9"/>
      <c r="G497" s="264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66">
        <f>SUM(L497, R497, X497)+SUM(L498, R498, X498)</f>
        <v>0</v>
      </c>
      <c r="AA497" s="266">
        <f>SUM(M497, S497, Y497)+SUM(M498, S498, Y498)</f>
        <v>0</v>
      </c>
      <c r="AB497" s="268">
        <f>IF($Z497=0, ,AA497/$Z497)</f>
        <v>0</v>
      </c>
      <c r="AC497" s="292"/>
    </row>
    <row r="498" spans="1:29" x14ac:dyDescent="0.2">
      <c r="A498" s="287"/>
      <c r="B498" s="286"/>
      <c r="C498" s="265"/>
      <c r="D498" s="9"/>
      <c r="E498" s="9"/>
      <c r="F498" s="9"/>
      <c r="G498" s="265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67"/>
      <c r="AA498" s="267"/>
      <c r="AB498" s="269"/>
      <c r="AC498" s="293"/>
    </row>
    <row r="499" spans="1:29" x14ac:dyDescent="0.2">
      <c r="A499" s="287"/>
      <c r="B499" s="290" t="s">
        <v>3</v>
      </c>
      <c r="C499" s="279" t="s">
        <v>82</v>
      </c>
      <c r="D499" s="10"/>
      <c r="E499" s="10"/>
      <c r="F499" s="10"/>
      <c r="G499" s="279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83">
        <f>SUM(L499, R499, X499)+SUM(L500, R500, X500)</f>
        <v>0</v>
      </c>
      <c r="AA499" s="283">
        <f>SUM(M499, S499, Y499)+SUM(M500, S500, Y500)</f>
        <v>0</v>
      </c>
      <c r="AB499" s="258">
        <f>IF($Z499=0, ,AA499/$Z499)</f>
        <v>0</v>
      </c>
      <c r="AC499" s="277"/>
    </row>
    <row r="500" spans="1:29" x14ac:dyDescent="0.2">
      <c r="A500" s="287"/>
      <c r="B500" s="291"/>
      <c r="C500" s="280"/>
      <c r="D500" s="10"/>
      <c r="E500" s="10"/>
      <c r="F500" s="10"/>
      <c r="G500" s="280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84"/>
      <c r="AA500" s="284"/>
      <c r="AB500" s="259"/>
      <c r="AC500" s="278"/>
    </row>
    <row r="501" spans="1:29" x14ac:dyDescent="0.2">
      <c r="A501" s="287"/>
      <c r="B501" s="285" t="s">
        <v>4</v>
      </c>
      <c r="C501" s="264" t="s">
        <v>9</v>
      </c>
      <c r="D501" s="9"/>
      <c r="E501" s="10"/>
      <c r="F501" s="9"/>
      <c r="G501" s="264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66">
        <f>SUM(L501, R501, X501)+SUM(L502, R502, X502)</f>
        <v>0</v>
      </c>
      <c r="AA501" s="266">
        <f>SUM(M501, S501, Y501)+SUM(M502, S502, Y502)</f>
        <v>0</v>
      </c>
      <c r="AB501" s="268">
        <f>IF($Z501=0, ,AA501/$Z501)</f>
        <v>0</v>
      </c>
      <c r="AC501" s="292"/>
    </row>
    <row r="502" spans="1:29" x14ac:dyDescent="0.2">
      <c r="A502" s="287"/>
      <c r="B502" s="286"/>
      <c r="C502" s="265"/>
      <c r="D502" s="9"/>
      <c r="E502" s="9"/>
      <c r="F502" s="9"/>
      <c r="G502" s="265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67"/>
      <c r="AA502" s="267"/>
      <c r="AB502" s="269"/>
      <c r="AC502" s="293"/>
    </row>
    <row r="503" spans="1:29" x14ac:dyDescent="0.2">
      <c r="A503" s="287"/>
      <c r="B503" s="294" t="s">
        <v>85</v>
      </c>
      <c r="C503" s="296" t="s">
        <v>83</v>
      </c>
      <c r="D503" s="11"/>
      <c r="E503" s="10"/>
      <c r="F503" s="11"/>
      <c r="G503" s="296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98">
        <f>SUM(L503, R503, X503)+SUM(L504, R504, X504)</f>
        <v>0</v>
      </c>
      <c r="AA503" s="298">
        <f>SUM(M503, S503, Y503)+SUM(M504, S504, Y504)</f>
        <v>0</v>
      </c>
      <c r="AB503" s="258">
        <f>IF($Z503=0, ,AA503/$Z503)</f>
        <v>0</v>
      </c>
      <c r="AC503" s="260"/>
    </row>
    <row r="504" spans="1:29" x14ac:dyDescent="0.2">
      <c r="A504" s="287"/>
      <c r="B504" s="295"/>
      <c r="C504" s="297"/>
      <c r="D504" s="11"/>
      <c r="E504" s="11"/>
      <c r="F504" s="11"/>
      <c r="G504" s="297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98"/>
      <c r="AA504" s="298"/>
      <c r="AB504" s="259"/>
      <c r="AC504" s="260"/>
    </row>
    <row r="505" spans="1:29" x14ac:dyDescent="0.2">
      <c r="A505" s="287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87"/>
      <c r="B506" s="261" t="s">
        <v>67</v>
      </c>
      <c r="C506" s="262"/>
      <c r="D506" s="262"/>
      <c r="E506" s="262"/>
      <c r="F506" s="262"/>
      <c r="G506" s="9" t="s">
        <v>68</v>
      </c>
      <c r="H506" s="263" t="s">
        <v>64</v>
      </c>
      <c r="I506" s="263"/>
      <c r="J506" s="263"/>
      <c r="K506" s="263" t="s">
        <v>76</v>
      </c>
      <c r="L506" s="263"/>
      <c r="M506" s="263"/>
      <c r="N506" s="263" t="s">
        <v>65</v>
      </c>
      <c r="O506" s="263"/>
      <c r="P506" s="263"/>
      <c r="Q506" s="263" t="s">
        <v>66</v>
      </c>
      <c r="R506" s="263"/>
      <c r="S506" s="263"/>
      <c r="T506" s="263" t="s">
        <v>73</v>
      </c>
      <c r="U506" s="263"/>
      <c r="V506" s="263"/>
      <c r="W506" s="263" t="s">
        <v>74</v>
      </c>
      <c r="X506" s="263"/>
      <c r="Y506" s="263"/>
      <c r="Z506" s="263" t="s">
        <v>75</v>
      </c>
      <c r="AA506" s="263"/>
      <c r="AB506" s="263"/>
      <c r="AC506" s="254" t="s">
        <v>106</v>
      </c>
    </row>
    <row r="507" spans="1:29" x14ac:dyDescent="0.2">
      <c r="A507" s="287"/>
      <c r="B507" s="261"/>
      <c r="C507" s="262"/>
      <c r="D507" s="262"/>
      <c r="E507" s="262"/>
      <c r="F507" s="262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54"/>
    </row>
    <row r="508" spans="1:29" x14ac:dyDescent="0.2">
      <c r="A508" s="287"/>
      <c r="B508" s="255" t="str">
        <f>B495</f>
        <v>02C</v>
      </c>
      <c r="C508" s="256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57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54"/>
    </row>
    <row r="509" spans="1:29" x14ac:dyDescent="0.2">
      <c r="A509" s="287"/>
      <c r="B509" s="255"/>
      <c r="C509" s="256"/>
      <c r="D509" s="9"/>
      <c r="E509" s="9" t="str">
        <f t="shared" ref="E509:F511" si="87">IF(ISBLANK(E496), "", E496)</f>
        <v/>
      </c>
      <c r="F509" s="9" t="str">
        <f t="shared" si="87"/>
        <v/>
      </c>
      <c r="G509" s="257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54"/>
    </row>
    <row r="510" spans="1:29" x14ac:dyDescent="0.2">
      <c r="A510" s="287"/>
      <c r="B510" s="255" t="str">
        <f>B497</f>
        <v>03C</v>
      </c>
      <c r="C510" s="256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57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54"/>
    </row>
    <row r="511" spans="1:29" x14ac:dyDescent="0.2">
      <c r="A511" s="287"/>
      <c r="B511" s="255"/>
      <c r="C511" s="256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57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54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workbookViewId="0"/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26" t="s">
        <v>86</v>
      </c>
      <c r="K2" s="326"/>
      <c r="L2" s="326"/>
      <c r="M2" s="326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87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87"/>
      <c r="B7" s="288" t="s">
        <v>10</v>
      </c>
      <c r="C7" s="289" t="s">
        <v>25</v>
      </c>
      <c r="D7" s="289" t="s">
        <v>28</v>
      </c>
      <c r="E7" s="270" t="s">
        <v>12</v>
      </c>
      <c r="F7" s="271" t="s">
        <v>13</v>
      </c>
      <c r="G7" s="272"/>
      <c r="H7" s="272"/>
      <c r="I7" s="272"/>
      <c r="J7" s="273"/>
      <c r="K7" s="271" t="s">
        <v>14</v>
      </c>
      <c r="L7" s="272"/>
      <c r="M7" s="272"/>
      <c r="N7" s="272"/>
      <c r="O7" s="273"/>
      <c r="P7" s="271" t="s">
        <v>15</v>
      </c>
      <c r="Q7" s="272"/>
      <c r="R7" s="272"/>
      <c r="S7" s="272"/>
      <c r="T7" s="273"/>
      <c r="U7" s="320" t="s">
        <v>34</v>
      </c>
      <c r="V7" s="320" t="s">
        <v>48</v>
      </c>
      <c r="W7" s="320" t="s">
        <v>56</v>
      </c>
      <c r="X7" s="320" t="s">
        <v>54</v>
      </c>
      <c r="Y7" s="320" t="s">
        <v>57</v>
      </c>
      <c r="Z7" s="320" t="s">
        <v>55</v>
      </c>
      <c r="AA7" s="320" t="s">
        <v>58</v>
      </c>
      <c r="AB7" s="320" t="s">
        <v>38</v>
      </c>
    </row>
    <row r="8" spans="1:28" ht="38.25" x14ac:dyDescent="0.2">
      <c r="A8" s="287"/>
      <c r="B8" s="288"/>
      <c r="C8" s="289"/>
      <c r="D8" s="289"/>
      <c r="E8" s="270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320"/>
      <c r="V8" s="320"/>
      <c r="W8" s="320"/>
      <c r="X8" s="320"/>
      <c r="Y8" s="320"/>
      <c r="Z8" s="320"/>
      <c r="AA8" s="320"/>
      <c r="AB8" s="320"/>
    </row>
    <row r="9" spans="1:28" ht="12.75" customHeight="1" x14ac:dyDescent="0.2">
      <c r="A9" s="287"/>
      <c r="B9" s="300" t="s">
        <v>17</v>
      </c>
      <c r="C9" s="12"/>
      <c r="D9" s="12"/>
      <c r="E9" s="302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66">
        <f>SUM(F9, K9, P9, F10, K10, P10)</f>
        <v>0</v>
      </c>
      <c r="V9" s="266">
        <f>SUM(H9, M9, R9, H10, M10, R10)</f>
        <v>0</v>
      </c>
      <c r="W9" s="268">
        <f>IF($U9=0, ,V9/$U9)</f>
        <v>0</v>
      </c>
      <c r="X9" s="266">
        <f>SUM(I9, N9, S9, I10, N10, S10)</f>
        <v>0</v>
      </c>
      <c r="Y9" s="268">
        <f>IF($U9=0, ,X9/$U9)</f>
        <v>0</v>
      </c>
      <c r="Z9" s="266">
        <f>SUM(J9, O9, T9, J10, O10, T10)</f>
        <v>0</v>
      </c>
      <c r="AA9" s="268">
        <f>IF($U9=0, ,Z9/$U9)</f>
        <v>0</v>
      </c>
      <c r="AB9" s="292" t="s">
        <v>87</v>
      </c>
    </row>
    <row r="10" spans="1:28" ht="12.75" customHeight="1" x14ac:dyDescent="0.2">
      <c r="A10" s="287"/>
      <c r="B10" s="319"/>
      <c r="C10" s="12"/>
      <c r="D10" s="12"/>
      <c r="E10" s="304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67"/>
      <c r="V10" s="267"/>
      <c r="W10" s="269"/>
      <c r="X10" s="267"/>
      <c r="Y10" s="269"/>
      <c r="Z10" s="267"/>
      <c r="AA10" s="269"/>
      <c r="AB10" s="293"/>
    </row>
    <row r="11" spans="1:28" ht="12.75" customHeight="1" x14ac:dyDescent="0.2">
      <c r="A11" s="287"/>
      <c r="B11" s="290" t="s">
        <v>18</v>
      </c>
      <c r="C11" s="10"/>
      <c r="D11" s="10"/>
      <c r="E11" s="279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83">
        <f>SUM(F11, K11, P11, F12, K12, P12)</f>
        <v>0</v>
      </c>
      <c r="V11" s="283">
        <f>SUM(H11, M11, R11, H12, M12, R12)</f>
        <v>0</v>
      </c>
      <c r="W11" s="258">
        <f>IF($U11=0, ,V11/$U11)</f>
        <v>0</v>
      </c>
      <c r="X11" s="283">
        <f>SUM(I11, N11, S11, I12, N12, S12)</f>
        <v>0</v>
      </c>
      <c r="Y11" s="258">
        <f>IF($U11=0, ,X11/$U11)</f>
        <v>0</v>
      </c>
      <c r="Z11" s="283">
        <f>SUM(J11, O11, T11, J12, O12, T12)</f>
        <v>0</v>
      </c>
      <c r="AA11" s="258">
        <f>IF($U11=0, ,Z11/$U11)</f>
        <v>0</v>
      </c>
      <c r="AB11" s="277" t="s">
        <v>87</v>
      </c>
    </row>
    <row r="12" spans="1:28" ht="12.75" customHeight="1" x14ac:dyDescent="0.2">
      <c r="A12" s="287"/>
      <c r="B12" s="291"/>
      <c r="C12" s="10"/>
      <c r="D12" s="10"/>
      <c r="E12" s="280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84"/>
      <c r="V12" s="284"/>
      <c r="W12" s="259"/>
      <c r="X12" s="284"/>
      <c r="Y12" s="259"/>
      <c r="Z12" s="284"/>
      <c r="AA12" s="259"/>
      <c r="AB12" s="278"/>
    </row>
    <row r="13" spans="1:28" ht="12.75" customHeight="1" x14ac:dyDescent="0.2">
      <c r="A13" s="287"/>
      <c r="B13" s="300" t="s">
        <v>19</v>
      </c>
      <c r="C13" s="9"/>
      <c r="D13" s="9"/>
      <c r="E13" s="264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66">
        <f>SUM(F13, K13, P13, F14, K14, P14)</f>
        <v>0</v>
      </c>
      <c r="V13" s="266">
        <f>SUM(H13, M13, R13, H14, M14, R14)</f>
        <v>0</v>
      </c>
      <c r="W13" s="268">
        <f>IF($U13=0, ,V13/$U13)</f>
        <v>0</v>
      </c>
      <c r="X13" s="266">
        <f>SUM(I13, N13, S13, I14, N14, S14)</f>
        <v>0</v>
      </c>
      <c r="Y13" s="268">
        <f>IF($U13=0, ,X13/$U13)</f>
        <v>0</v>
      </c>
      <c r="Z13" s="266">
        <f>SUM(J13, O13, T13, J14, O14, T14)</f>
        <v>0</v>
      </c>
      <c r="AA13" s="268">
        <f>IF($U13=0, ,Z13/$U13)</f>
        <v>0</v>
      </c>
      <c r="AB13" s="292" t="s">
        <v>87</v>
      </c>
    </row>
    <row r="14" spans="1:28" ht="12.75" customHeight="1" x14ac:dyDescent="0.2">
      <c r="A14" s="287"/>
      <c r="B14" s="319"/>
      <c r="C14" s="9"/>
      <c r="D14" s="9"/>
      <c r="E14" s="265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67"/>
      <c r="V14" s="267"/>
      <c r="W14" s="269"/>
      <c r="X14" s="267"/>
      <c r="Y14" s="269"/>
      <c r="Z14" s="267"/>
      <c r="AA14" s="269"/>
      <c r="AB14" s="293"/>
    </row>
    <row r="15" spans="1:28" ht="12.75" customHeight="1" x14ac:dyDescent="0.2">
      <c r="A15" s="287"/>
      <c r="B15" s="290" t="s">
        <v>20</v>
      </c>
      <c r="C15" s="10"/>
      <c r="D15" s="10"/>
      <c r="E15" s="279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83">
        <f>SUM(F15, K15, P15, F16, K16, P16)</f>
        <v>0</v>
      </c>
      <c r="V15" s="283">
        <f>SUM(H15, M15, R15, H16, M16, R16)</f>
        <v>0</v>
      </c>
      <c r="W15" s="258">
        <f>IF($U15=0, ,V15/$U15)</f>
        <v>0</v>
      </c>
      <c r="X15" s="283">
        <f>SUM(I15, N15, S15, I16, N16, S16)</f>
        <v>0</v>
      </c>
      <c r="Y15" s="258">
        <f>IF($U15=0, ,X15/$U15)</f>
        <v>0</v>
      </c>
      <c r="Z15" s="283">
        <f>SUM(J15, O15, T15, J16, O16, T16)</f>
        <v>0</v>
      </c>
      <c r="AA15" s="258">
        <f>IF($U15=0, ,Z15/$U15)</f>
        <v>0</v>
      </c>
      <c r="AB15" s="277" t="s">
        <v>87</v>
      </c>
    </row>
    <row r="16" spans="1:28" ht="12.75" customHeight="1" x14ac:dyDescent="0.2">
      <c r="A16" s="287"/>
      <c r="B16" s="291"/>
      <c r="C16" s="10"/>
      <c r="D16" s="10"/>
      <c r="E16" s="280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84"/>
      <c r="V16" s="284"/>
      <c r="W16" s="259"/>
      <c r="X16" s="284"/>
      <c r="Y16" s="259"/>
      <c r="Z16" s="284"/>
      <c r="AA16" s="259"/>
      <c r="AB16" s="278"/>
    </row>
    <row r="17" spans="1:28" ht="12.75" customHeight="1" x14ac:dyDescent="0.2">
      <c r="A17" s="287"/>
      <c r="B17" s="300" t="s">
        <v>21</v>
      </c>
      <c r="C17" s="9"/>
      <c r="D17" s="9"/>
      <c r="E17" s="264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66">
        <f>SUM(F17, K17, P17, F18, K18, P18)</f>
        <v>0</v>
      </c>
      <c r="V17" s="266">
        <f>SUM(H17, M17, R17, H18, M18, R18)</f>
        <v>0</v>
      </c>
      <c r="W17" s="268">
        <f>IF($U17=0, ,V17/$U17)</f>
        <v>0</v>
      </c>
      <c r="X17" s="266">
        <f>SUM(I17, N17, S17, I18, N18, S18)</f>
        <v>0</v>
      </c>
      <c r="Y17" s="268">
        <f>IF($U17=0, ,X17/$U17)</f>
        <v>0</v>
      </c>
      <c r="Z17" s="266">
        <f>SUM(J17, O17, T17, J18, O18, T18)</f>
        <v>0</v>
      </c>
      <c r="AA17" s="268">
        <f>IF($U17=0, ,Z17/$U17)</f>
        <v>0</v>
      </c>
      <c r="AB17" s="292" t="s">
        <v>87</v>
      </c>
    </row>
    <row r="18" spans="1:28" ht="12.75" customHeight="1" x14ac:dyDescent="0.2">
      <c r="A18" s="287"/>
      <c r="B18" s="319"/>
      <c r="C18" s="9"/>
      <c r="D18" s="9"/>
      <c r="E18" s="265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67"/>
      <c r="V18" s="267"/>
      <c r="W18" s="269"/>
      <c r="X18" s="267"/>
      <c r="Y18" s="269"/>
      <c r="Z18" s="267"/>
      <c r="AA18" s="269"/>
      <c r="AB18" s="293"/>
    </row>
    <row r="19" spans="1:28" ht="12.75" customHeight="1" x14ac:dyDescent="0.2">
      <c r="A19" s="287"/>
      <c r="B19" s="290" t="s">
        <v>22</v>
      </c>
      <c r="C19" s="11"/>
      <c r="D19" s="11"/>
      <c r="E19" s="296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83">
        <f>SUM(F19, K19, P19, F20, K20, P20)</f>
        <v>0</v>
      </c>
      <c r="V19" s="283">
        <f>SUM(H19, M19, R19, H20, M20, R20)</f>
        <v>0</v>
      </c>
      <c r="W19" s="258">
        <f>IF($U19=0, ,V19/$U19)</f>
        <v>0</v>
      </c>
      <c r="X19" s="283">
        <f>SUM(I19, N19, S19, I20, N20, S20)</f>
        <v>0</v>
      </c>
      <c r="Y19" s="258">
        <f>IF($U19=0, ,X19/$U19)</f>
        <v>0</v>
      </c>
      <c r="Z19" s="283">
        <f>SUM(J19, O19, T19, J20, O20, T20)</f>
        <v>0</v>
      </c>
      <c r="AA19" s="258">
        <f>IF($U19=0, ,Z19/$U19)</f>
        <v>0</v>
      </c>
      <c r="AB19" s="277" t="s">
        <v>87</v>
      </c>
    </row>
    <row r="20" spans="1:28" ht="12.75" customHeight="1" x14ac:dyDescent="0.2">
      <c r="A20" s="287"/>
      <c r="B20" s="291"/>
      <c r="C20" s="11"/>
      <c r="D20" s="11"/>
      <c r="E20" s="297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84"/>
      <c r="V20" s="284"/>
      <c r="W20" s="259"/>
      <c r="X20" s="284"/>
      <c r="Y20" s="259"/>
      <c r="Z20" s="284"/>
      <c r="AA20" s="259"/>
      <c r="AB20" s="278"/>
    </row>
    <row r="21" spans="1:28" ht="13.5" customHeight="1" thickBot="1" x14ac:dyDescent="0.25">
      <c r="A21" s="287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87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87"/>
      <c r="B23" s="288" t="s">
        <v>35</v>
      </c>
      <c r="C23" s="289" t="s">
        <v>25</v>
      </c>
      <c r="D23" s="289" t="s">
        <v>28</v>
      </c>
      <c r="E23" s="270" t="s">
        <v>12</v>
      </c>
      <c r="F23" s="314" t="s">
        <v>13</v>
      </c>
      <c r="G23" s="314"/>
      <c r="H23" s="314"/>
      <c r="I23" s="314" t="s">
        <v>14</v>
      </c>
      <c r="J23" s="314"/>
      <c r="K23" s="314"/>
      <c r="L23" s="314" t="s">
        <v>15</v>
      </c>
      <c r="M23" s="314"/>
      <c r="N23" s="314"/>
      <c r="O23" s="274" t="s">
        <v>34</v>
      </c>
      <c r="P23" s="274" t="s">
        <v>48</v>
      </c>
      <c r="Q23" s="274" t="s">
        <v>60</v>
      </c>
      <c r="R23" s="274" t="s">
        <v>49</v>
      </c>
      <c r="S23" s="274" t="s">
        <v>61</v>
      </c>
      <c r="T23" s="310" t="s">
        <v>79</v>
      </c>
      <c r="U23" s="310"/>
      <c r="V23" s="310"/>
      <c r="W23" s="310"/>
      <c r="X23" s="310"/>
      <c r="Y23" s="310"/>
      <c r="Z23" s="310"/>
      <c r="AA23" s="310"/>
      <c r="AB23" s="311"/>
    </row>
    <row r="24" spans="1:28" ht="25.5" x14ac:dyDescent="0.2">
      <c r="A24" s="287"/>
      <c r="B24" s="288"/>
      <c r="C24" s="289"/>
      <c r="D24" s="289"/>
      <c r="E24" s="270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76"/>
      <c r="P24" s="276"/>
      <c r="Q24" s="276"/>
      <c r="R24" s="276"/>
      <c r="S24" s="276"/>
      <c r="T24" s="312"/>
      <c r="U24" s="312"/>
      <c r="V24" s="312"/>
      <c r="W24" s="312"/>
      <c r="X24" s="312"/>
      <c r="Y24" s="312"/>
      <c r="Z24" s="312"/>
      <c r="AA24" s="312"/>
      <c r="AB24" s="313"/>
    </row>
    <row r="25" spans="1:28" ht="12.75" customHeight="1" x14ac:dyDescent="0.2">
      <c r="A25" s="287"/>
      <c r="B25" s="308" t="s">
        <v>36</v>
      </c>
      <c r="C25" s="12"/>
      <c r="D25" s="12" t="s">
        <v>80</v>
      </c>
      <c r="E25" s="309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66">
        <f>SUM(F25, I25, L25, F26, I26, L26)*$O22</f>
        <v>0</v>
      </c>
      <c r="P25" s="266">
        <f>SUM(G25, J25, M25, G26, J26, M26)</f>
        <v>0</v>
      </c>
      <c r="Q25" s="268">
        <f>IF($O25=0, ,P25/$O25)</f>
        <v>0</v>
      </c>
      <c r="R25" s="266">
        <f>SUM(H25, K25, N25, H26, K26, N26)</f>
        <v>0</v>
      </c>
      <c r="S25" s="268">
        <f>IF($O25=0, ,R25/$O25)</f>
        <v>0</v>
      </c>
      <c r="T25" s="315"/>
      <c r="U25" s="315"/>
      <c r="V25" s="315"/>
      <c r="W25" s="315"/>
      <c r="X25" s="315"/>
      <c r="Y25" s="315"/>
      <c r="Z25" s="315"/>
      <c r="AA25" s="315"/>
      <c r="AB25" s="316"/>
    </row>
    <row r="26" spans="1:28" ht="12.75" customHeight="1" x14ac:dyDescent="0.2">
      <c r="A26" s="287"/>
      <c r="B26" s="308"/>
      <c r="C26" s="12"/>
      <c r="D26" s="12"/>
      <c r="E26" s="309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67"/>
      <c r="P26" s="267"/>
      <c r="Q26" s="269"/>
      <c r="R26" s="267"/>
      <c r="S26" s="269"/>
      <c r="T26" s="317"/>
      <c r="U26" s="317"/>
      <c r="V26" s="317"/>
      <c r="W26" s="317"/>
      <c r="X26" s="317"/>
      <c r="Y26" s="317"/>
      <c r="Z26" s="317"/>
      <c r="AA26" s="317"/>
      <c r="AB26" s="318"/>
    </row>
    <row r="27" spans="1:28" ht="12.75" customHeight="1" x14ac:dyDescent="0.2">
      <c r="A27" s="287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87"/>
      <c r="B28" s="321" t="s">
        <v>67</v>
      </c>
      <c r="C28" s="321"/>
      <c r="D28" s="322"/>
      <c r="E28" s="82" t="s">
        <v>68</v>
      </c>
      <c r="F28" s="306" t="s">
        <v>64</v>
      </c>
      <c r="G28" s="306"/>
      <c r="H28" s="306"/>
      <c r="I28" s="306" t="s">
        <v>76</v>
      </c>
      <c r="J28" s="306"/>
      <c r="K28" s="306"/>
      <c r="L28" s="306" t="s">
        <v>65</v>
      </c>
      <c r="M28" s="306"/>
      <c r="N28" s="306"/>
      <c r="O28" s="306" t="s">
        <v>66</v>
      </c>
      <c r="P28" s="306"/>
      <c r="Q28" s="306"/>
      <c r="R28" s="306" t="s">
        <v>73</v>
      </c>
      <c r="S28" s="306"/>
      <c r="T28" s="306"/>
      <c r="U28" s="306" t="s">
        <v>74</v>
      </c>
      <c r="V28" s="306"/>
      <c r="W28" s="306"/>
      <c r="X28" s="306" t="s">
        <v>75</v>
      </c>
      <c r="Y28" s="306"/>
      <c r="Z28" s="306"/>
      <c r="AA28" s="307"/>
      <c r="AB28" s="307"/>
    </row>
    <row r="29" spans="1:28" ht="12.75" customHeight="1" x14ac:dyDescent="0.2">
      <c r="A29" s="287"/>
      <c r="B29" s="323"/>
      <c r="C29" s="323"/>
      <c r="D29" s="324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307"/>
      <c r="AB29" s="307"/>
    </row>
    <row r="30" spans="1:28" ht="12.75" customHeight="1" x14ac:dyDescent="0.2">
      <c r="A30" s="287"/>
      <c r="B30" s="325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307"/>
      <c r="AB30" s="307"/>
    </row>
    <row r="31" spans="1:28" ht="12.75" customHeight="1" x14ac:dyDescent="0.2">
      <c r="A31" s="287"/>
      <c r="B31" s="325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307"/>
      <c r="AB31" s="307"/>
    </row>
    <row r="32" spans="1:28" ht="12.75" customHeight="1" x14ac:dyDescent="0.2">
      <c r="A32" s="287"/>
      <c r="B32" s="325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307"/>
      <c r="AB32" s="307"/>
    </row>
    <row r="33" spans="1:28" ht="12.75" customHeight="1" x14ac:dyDescent="0.2">
      <c r="A33" s="287"/>
      <c r="B33" s="325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307"/>
      <c r="AB33" s="307"/>
    </row>
    <row r="35" spans="1:28" ht="12.75" customHeight="1" x14ac:dyDescent="0.2">
      <c r="A35" s="287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87"/>
      <c r="B36" s="288" t="s">
        <v>10</v>
      </c>
      <c r="C36" s="289" t="s">
        <v>25</v>
      </c>
      <c r="D36" s="289" t="s">
        <v>28</v>
      </c>
      <c r="E36" s="270" t="s">
        <v>12</v>
      </c>
      <c r="F36" s="271" t="s">
        <v>13</v>
      </c>
      <c r="G36" s="272"/>
      <c r="H36" s="272"/>
      <c r="I36" s="272"/>
      <c r="J36" s="273"/>
      <c r="K36" s="271" t="s">
        <v>14</v>
      </c>
      <c r="L36" s="272"/>
      <c r="M36" s="272"/>
      <c r="N36" s="272"/>
      <c r="O36" s="273"/>
      <c r="P36" s="271" t="s">
        <v>15</v>
      </c>
      <c r="Q36" s="272"/>
      <c r="R36" s="272"/>
      <c r="S36" s="272"/>
      <c r="T36" s="273"/>
      <c r="U36" s="320" t="s">
        <v>34</v>
      </c>
      <c r="V36" s="320" t="s">
        <v>48</v>
      </c>
      <c r="W36" s="320" t="s">
        <v>56</v>
      </c>
      <c r="X36" s="320" t="s">
        <v>54</v>
      </c>
      <c r="Y36" s="320" t="s">
        <v>57</v>
      </c>
      <c r="Z36" s="320" t="s">
        <v>55</v>
      </c>
      <c r="AA36" s="320" t="s">
        <v>58</v>
      </c>
      <c r="AB36" s="320" t="s">
        <v>38</v>
      </c>
    </row>
    <row r="37" spans="1:28" ht="38.25" x14ac:dyDescent="0.2">
      <c r="A37" s="287"/>
      <c r="B37" s="288"/>
      <c r="C37" s="289"/>
      <c r="D37" s="289"/>
      <c r="E37" s="270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320"/>
      <c r="V37" s="320"/>
      <c r="W37" s="320"/>
      <c r="X37" s="320"/>
      <c r="Y37" s="320"/>
      <c r="Z37" s="320"/>
      <c r="AA37" s="320"/>
      <c r="AB37" s="320"/>
    </row>
    <row r="38" spans="1:28" ht="12.75" customHeight="1" x14ac:dyDescent="0.2">
      <c r="A38" s="287"/>
      <c r="B38" s="300" t="s">
        <v>17</v>
      </c>
      <c r="C38" s="12"/>
      <c r="D38" s="12"/>
      <c r="E38" s="302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66">
        <f>SUM(F38, K38, P38, F39, K39, P39)</f>
        <v>0</v>
      </c>
      <c r="V38" s="266">
        <f>SUM(H38, M38, R38, H39, M39, R39)</f>
        <v>0</v>
      </c>
      <c r="W38" s="268">
        <f>IF($U38=0, ,V38/$U38)</f>
        <v>0</v>
      </c>
      <c r="X38" s="266">
        <f>SUM(I38, N38, S38, I39, N39, S39)</f>
        <v>0</v>
      </c>
      <c r="Y38" s="268">
        <f>IF($U38=0, ,X38/$U38)</f>
        <v>0</v>
      </c>
      <c r="Z38" s="266">
        <f>SUM(J38, O38, T38, J39, O39, T39)</f>
        <v>0</v>
      </c>
      <c r="AA38" s="268">
        <f>IF($U38=0, ,Z38/$U38)</f>
        <v>0</v>
      </c>
      <c r="AB38" s="292" t="s">
        <v>87</v>
      </c>
    </row>
    <row r="39" spans="1:28" ht="12.75" customHeight="1" x14ac:dyDescent="0.2">
      <c r="A39" s="287"/>
      <c r="B39" s="319"/>
      <c r="C39" s="12"/>
      <c r="D39" s="12"/>
      <c r="E39" s="304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67"/>
      <c r="V39" s="267"/>
      <c r="W39" s="269"/>
      <c r="X39" s="267"/>
      <c r="Y39" s="269"/>
      <c r="Z39" s="267"/>
      <c r="AA39" s="269"/>
      <c r="AB39" s="293"/>
    </row>
    <row r="40" spans="1:28" ht="12.75" customHeight="1" x14ac:dyDescent="0.2">
      <c r="A40" s="287"/>
      <c r="B40" s="290" t="s">
        <v>18</v>
      </c>
      <c r="C40" s="10"/>
      <c r="D40" s="10"/>
      <c r="E40" s="279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83">
        <f>SUM(F40, K40, P40, F41, K41, P41)</f>
        <v>0</v>
      </c>
      <c r="V40" s="283">
        <f>SUM(H40, M40, R40, H41, M41, R41)</f>
        <v>0</v>
      </c>
      <c r="W40" s="258">
        <f>IF($U40=0, ,V40/$U40)</f>
        <v>0</v>
      </c>
      <c r="X40" s="283">
        <f>SUM(I40, N40, S40, I41, N41, S41)</f>
        <v>0</v>
      </c>
      <c r="Y40" s="258">
        <f>IF($U40=0, ,X40/$U40)</f>
        <v>0</v>
      </c>
      <c r="Z40" s="283">
        <f>SUM(J40, O40, T40, J41, O41, T41)</f>
        <v>0</v>
      </c>
      <c r="AA40" s="258">
        <f>IF($U40=0, ,Z40/$U40)</f>
        <v>0</v>
      </c>
      <c r="AB40" s="277" t="s">
        <v>87</v>
      </c>
    </row>
    <row r="41" spans="1:28" ht="12.75" customHeight="1" x14ac:dyDescent="0.2">
      <c r="A41" s="287"/>
      <c r="B41" s="291"/>
      <c r="C41" s="10"/>
      <c r="D41" s="10"/>
      <c r="E41" s="280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84"/>
      <c r="V41" s="284"/>
      <c r="W41" s="259"/>
      <c r="X41" s="284"/>
      <c r="Y41" s="259"/>
      <c r="Z41" s="284"/>
      <c r="AA41" s="259"/>
      <c r="AB41" s="278"/>
    </row>
    <row r="42" spans="1:28" ht="12.75" customHeight="1" x14ac:dyDescent="0.2">
      <c r="A42" s="287"/>
      <c r="B42" s="300" t="s">
        <v>19</v>
      </c>
      <c r="C42" s="9"/>
      <c r="D42" s="9"/>
      <c r="E42" s="264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66">
        <f>SUM(F42, K42, P42, F43, K43, P43)</f>
        <v>0</v>
      </c>
      <c r="V42" s="266">
        <f>SUM(H42, M42, R42, H43, M43, R43)</f>
        <v>0</v>
      </c>
      <c r="W42" s="268">
        <f>IF($U42=0, ,V42/$U42)</f>
        <v>0</v>
      </c>
      <c r="X42" s="266">
        <f>SUM(I42, N42, S42, I43, N43, S43)</f>
        <v>0</v>
      </c>
      <c r="Y42" s="268">
        <f>IF($U42=0, ,X42/$U42)</f>
        <v>0</v>
      </c>
      <c r="Z42" s="266">
        <f>SUM(J42, O42, T42, J43, O43, T43)</f>
        <v>0</v>
      </c>
      <c r="AA42" s="268">
        <f>IF($U42=0, ,Z42/$U42)</f>
        <v>0</v>
      </c>
      <c r="AB42" s="292" t="s">
        <v>87</v>
      </c>
    </row>
    <row r="43" spans="1:28" ht="12.75" customHeight="1" x14ac:dyDescent="0.2">
      <c r="A43" s="287"/>
      <c r="B43" s="319"/>
      <c r="C43" s="9"/>
      <c r="D43" s="9"/>
      <c r="E43" s="265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67"/>
      <c r="V43" s="267"/>
      <c r="W43" s="269"/>
      <c r="X43" s="267"/>
      <c r="Y43" s="269"/>
      <c r="Z43" s="267"/>
      <c r="AA43" s="269"/>
      <c r="AB43" s="293"/>
    </row>
    <row r="44" spans="1:28" ht="12.75" customHeight="1" x14ac:dyDescent="0.2">
      <c r="A44" s="287"/>
      <c r="B44" s="290" t="s">
        <v>20</v>
      </c>
      <c r="C44" s="10"/>
      <c r="D44" s="10"/>
      <c r="E44" s="279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83">
        <f>SUM(F44, K44, P44, F45, K45, P45)</f>
        <v>0</v>
      </c>
      <c r="V44" s="283">
        <f>SUM(H44, M44, R44, H45, M45, R45)</f>
        <v>0</v>
      </c>
      <c r="W44" s="258">
        <f>IF($U44=0, ,V44/$U44)</f>
        <v>0</v>
      </c>
      <c r="X44" s="283">
        <f>SUM(I44, N44, S44, I45, N45, S45)</f>
        <v>0</v>
      </c>
      <c r="Y44" s="258">
        <f>IF($U44=0, ,X44/$U44)</f>
        <v>0</v>
      </c>
      <c r="Z44" s="283">
        <f>SUM(J44, O44, T44, J45, O45, T45)</f>
        <v>0</v>
      </c>
      <c r="AA44" s="258">
        <f>IF($U44=0, ,Z44/$U44)</f>
        <v>0</v>
      </c>
      <c r="AB44" s="277" t="s">
        <v>87</v>
      </c>
    </row>
    <row r="45" spans="1:28" ht="12.75" customHeight="1" x14ac:dyDescent="0.2">
      <c r="A45" s="287"/>
      <c r="B45" s="291"/>
      <c r="C45" s="10"/>
      <c r="D45" s="10"/>
      <c r="E45" s="280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84"/>
      <c r="V45" s="284"/>
      <c r="W45" s="259"/>
      <c r="X45" s="284"/>
      <c r="Y45" s="259"/>
      <c r="Z45" s="284"/>
      <c r="AA45" s="259"/>
      <c r="AB45" s="278"/>
    </row>
    <row r="46" spans="1:28" ht="12.75" customHeight="1" x14ac:dyDescent="0.2">
      <c r="A46" s="287"/>
      <c r="B46" s="300" t="s">
        <v>21</v>
      </c>
      <c r="C46" s="9"/>
      <c r="D46" s="9"/>
      <c r="E46" s="264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66">
        <f>SUM(F46, K46, P46, F47, K47, P47)</f>
        <v>0</v>
      </c>
      <c r="V46" s="266">
        <f>SUM(H46, M46, R46, H47, M47, R47)</f>
        <v>0</v>
      </c>
      <c r="W46" s="268">
        <f>IF($U46=0, ,V46/$U46)</f>
        <v>0</v>
      </c>
      <c r="X46" s="266">
        <f>SUM(I46, N46, S46, I47, N47, S47)</f>
        <v>0</v>
      </c>
      <c r="Y46" s="268">
        <f>IF($U46=0, ,X46/$U46)</f>
        <v>0</v>
      </c>
      <c r="Z46" s="266">
        <f>SUM(J46, O46, T46, J47, O47, T47)</f>
        <v>0</v>
      </c>
      <c r="AA46" s="268">
        <f>IF($U46=0, ,Z46/$U46)</f>
        <v>0</v>
      </c>
      <c r="AB46" s="292" t="s">
        <v>87</v>
      </c>
    </row>
    <row r="47" spans="1:28" ht="12.75" customHeight="1" x14ac:dyDescent="0.2">
      <c r="A47" s="287"/>
      <c r="B47" s="319"/>
      <c r="C47" s="9"/>
      <c r="D47" s="9"/>
      <c r="E47" s="265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67"/>
      <c r="V47" s="267"/>
      <c r="W47" s="269"/>
      <c r="X47" s="267"/>
      <c r="Y47" s="269"/>
      <c r="Z47" s="267"/>
      <c r="AA47" s="269"/>
      <c r="AB47" s="293"/>
    </row>
    <row r="48" spans="1:28" ht="12.75" customHeight="1" x14ac:dyDescent="0.2">
      <c r="A48" s="287"/>
      <c r="B48" s="290" t="s">
        <v>22</v>
      </c>
      <c r="C48" s="11"/>
      <c r="D48" s="11"/>
      <c r="E48" s="296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83">
        <f>SUM(F48, K48, P48, F49, K49, P49)</f>
        <v>0</v>
      </c>
      <c r="V48" s="283">
        <f>SUM(H48, M48, R48, H49, M49, R49)</f>
        <v>0</v>
      </c>
      <c r="W48" s="258">
        <f>IF($U48=0, ,V48/$U48)</f>
        <v>0</v>
      </c>
      <c r="X48" s="283">
        <f>SUM(I48, N48, S48, I49, N49, S49)</f>
        <v>0</v>
      </c>
      <c r="Y48" s="258">
        <f>IF($U48=0, ,X48/$U48)</f>
        <v>0</v>
      </c>
      <c r="Z48" s="283">
        <f>SUM(J48, O48, T48, J49, O49, T49)</f>
        <v>0</v>
      </c>
      <c r="AA48" s="258">
        <f>IF($U48=0, ,Z48/$U48)</f>
        <v>0</v>
      </c>
      <c r="AB48" s="277" t="s">
        <v>87</v>
      </c>
    </row>
    <row r="49" spans="1:28" ht="12.75" customHeight="1" x14ac:dyDescent="0.2">
      <c r="A49" s="287"/>
      <c r="B49" s="291"/>
      <c r="C49" s="11"/>
      <c r="D49" s="11"/>
      <c r="E49" s="297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84"/>
      <c r="V49" s="284"/>
      <c r="W49" s="259"/>
      <c r="X49" s="284"/>
      <c r="Y49" s="259"/>
      <c r="Z49" s="284"/>
      <c r="AA49" s="259"/>
      <c r="AB49" s="278"/>
    </row>
    <row r="50" spans="1:28" ht="13.5" customHeight="1" thickBot="1" x14ac:dyDescent="0.25">
      <c r="A50" s="287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87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87"/>
      <c r="B52" s="288" t="s">
        <v>35</v>
      </c>
      <c r="C52" s="289" t="s">
        <v>25</v>
      </c>
      <c r="D52" s="289" t="s">
        <v>28</v>
      </c>
      <c r="E52" s="270" t="s">
        <v>12</v>
      </c>
      <c r="F52" s="314" t="s">
        <v>13</v>
      </c>
      <c r="G52" s="314"/>
      <c r="H52" s="314"/>
      <c r="I52" s="314" t="s">
        <v>14</v>
      </c>
      <c r="J52" s="314"/>
      <c r="K52" s="314"/>
      <c r="L52" s="314" t="s">
        <v>15</v>
      </c>
      <c r="M52" s="314"/>
      <c r="N52" s="314"/>
      <c r="O52" s="274" t="s">
        <v>34</v>
      </c>
      <c r="P52" s="274" t="s">
        <v>48</v>
      </c>
      <c r="Q52" s="274" t="s">
        <v>60</v>
      </c>
      <c r="R52" s="274" t="s">
        <v>49</v>
      </c>
      <c r="S52" s="274" t="s">
        <v>61</v>
      </c>
      <c r="T52" s="310" t="s">
        <v>79</v>
      </c>
      <c r="U52" s="310"/>
      <c r="V52" s="310"/>
      <c r="W52" s="310"/>
      <c r="X52" s="310"/>
      <c r="Y52" s="310"/>
      <c r="Z52" s="310"/>
      <c r="AA52" s="310"/>
      <c r="AB52" s="311"/>
    </row>
    <row r="53" spans="1:28" ht="25.5" x14ac:dyDescent="0.2">
      <c r="A53" s="287"/>
      <c r="B53" s="288"/>
      <c r="C53" s="289"/>
      <c r="D53" s="289"/>
      <c r="E53" s="270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76"/>
      <c r="P53" s="276"/>
      <c r="Q53" s="276"/>
      <c r="R53" s="276"/>
      <c r="S53" s="276"/>
      <c r="T53" s="312"/>
      <c r="U53" s="312"/>
      <c r="V53" s="312"/>
      <c r="W53" s="312"/>
      <c r="X53" s="312"/>
      <c r="Y53" s="312"/>
      <c r="Z53" s="312"/>
      <c r="AA53" s="312"/>
      <c r="AB53" s="313"/>
    </row>
    <row r="54" spans="1:28" ht="12.75" customHeight="1" x14ac:dyDescent="0.2">
      <c r="A54" s="287"/>
      <c r="B54" s="308" t="s">
        <v>36</v>
      </c>
      <c r="C54" s="12"/>
      <c r="D54" s="12" t="s">
        <v>80</v>
      </c>
      <c r="E54" s="309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66">
        <f>SUM(F54, I54, L54, F55, I55, L55)*$O51</f>
        <v>0</v>
      </c>
      <c r="P54" s="266">
        <f>SUM(G54, J54, M54, G55, J55, M55)</f>
        <v>0</v>
      </c>
      <c r="Q54" s="268">
        <f>IF($O54=0, ,P54/$O54)</f>
        <v>0</v>
      </c>
      <c r="R54" s="266">
        <f>SUM(H54, K54, N54, H55, K55, N55)</f>
        <v>0</v>
      </c>
      <c r="S54" s="268">
        <f>IF($O54=0, ,R54/$O54)</f>
        <v>0</v>
      </c>
      <c r="T54" s="315"/>
      <c r="U54" s="315"/>
      <c r="V54" s="315"/>
      <c r="W54" s="315"/>
      <c r="X54" s="315"/>
      <c r="Y54" s="315"/>
      <c r="Z54" s="315"/>
      <c r="AA54" s="315"/>
      <c r="AB54" s="316"/>
    </row>
    <row r="55" spans="1:28" ht="12.75" customHeight="1" x14ac:dyDescent="0.2">
      <c r="A55" s="287"/>
      <c r="B55" s="308"/>
      <c r="C55" s="12"/>
      <c r="D55" s="12"/>
      <c r="E55" s="309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67"/>
      <c r="P55" s="267"/>
      <c r="Q55" s="269"/>
      <c r="R55" s="267"/>
      <c r="S55" s="269"/>
      <c r="T55" s="317"/>
      <c r="U55" s="317"/>
      <c r="V55" s="317"/>
      <c r="W55" s="317"/>
      <c r="X55" s="317"/>
      <c r="Y55" s="317"/>
      <c r="Z55" s="317"/>
      <c r="AA55" s="317"/>
      <c r="AB55" s="318"/>
    </row>
    <row r="56" spans="1:28" ht="12.75" customHeight="1" x14ac:dyDescent="0.2">
      <c r="A56" s="287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87"/>
      <c r="B57" s="321" t="s">
        <v>67</v>
      </c>
      <c r="C57" s="321"/>
      <c r="D57" s="322"/>
      <c r="E57" s="82" t="s">
        <v>68</v>
      </c>
      <c r="F57" s="306" t="s">
        <v>64</v>
      </c>
      <c r="G57" s="306"/>
      <c r="H57" s="306"/>
      <c r="I57" s="306" t="s">
        <v>76</v>
      </c>
      <c r="J57" s="306"/>
      <c r="K57" s="306"/>
      <c r="L57" s="306" t="s">
        <v>65</v>
      </c>
      <c r="M57" s="306"/>
      <c r="N57" s="306"/>
      <c r="O57" s="306" t="s">
        <v>66</v>
      </c>
      <c r="P57" s="306"/>
      <c r="Q57" s="306"/>
      <c r="R57" s="306" t="s">
        <v>73</v>
      </c>
      <c r="S57" s="306"/>
      <c r="T57" s="306"/>
      <c r="U57" s="306" t="s">
        <v>74</v>
      </c>
      <c r="V57" s="306"/>
      <c r="W57" s="306"/>
      <c r="X57" s="306" t="s">
        <v>75</v>
      </c>
      <c r="Y57" s="306"/>
      <c r="Z57" s="306"/>
      <c r="AA57" s="307"/>
      <c r="AB57" s="307"/>
    </row>
    <row r="58" spans="1:28" ht="12.75" customHeight="1" x14ac:dyDescent="0.2">
      <c r="A58" s="287"/>
      <c r="B58" s="323"/>
      <c r="C58" s="323"/>
      <c r="D58" s="324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307"/>
      <c r="AB58" s="307"/>
    </row>
    <row r="59" spans="1:28" ht="12.75" customHeight="1" x14ac:dyDescent="0.2">
      <c r="A59" s="287"/>
      <c r="B59" s="325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307"/>
      <c r="AB59" s="307"/>
    </row>
    <row r="60" spans="1:28" ht="12.75" customHeight="1" x14ac:dyDescent="0.2">
      <c r="A60" s="287"/>
      <c r="B60" s="325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307"/>
      <c r="AB60" s="307"/>
    </row>
    <row r="61" spans="1:28" ht="12.75" customHeight="1" x14ac:dyDescent="0.2">
      <c r="A61" s="287"/>
      <c r="B61" s="325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307"/>
      <c r="AB61" s="307"/>
    </row>
    <row r="62" spans="1:28" ht="12.75" customHeight="1" x14ac:dyDescent="0.2">
      <c r="A62" s="287"/>
      <c r="B62" s="325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307"/>
      <c r="AB62" s="307"/>
    </row>
    <row r="64" spans="1:28" x14ac:dyDescent="0.2">
      <c r="A64" s="287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87"/>
      <c r="B65" s="288" t="s">
        <v>10</v>
      </c>
      <c r="C65" s="289" t="s">
        <v>25</v>
      </c>
      <c r="D65" s="289" t="s">
        <v>28</v>
      </c>
      <c r="E65" s="270" t="s">
        <v>12</v>
      </c>
      <c r="F65" s="271" t="s">
        <v>13</v>
      </c>
      <c r="G65" s="272"/>
      <c r="H65" s="272"/>
      <c r="I65" s="272"/>
      <c r="J65" s="273"/>
      <c r="K65" s="271" t="s">
        <v>14</v>
      </c>
      <c r="L65" s="272"/>
      <c r="M65" s="272"/>
      <c r="N65" s="272"/>
      <c r="O65" s="273"/>
      <c r="P65" s="271" t="s">
        <v>15</v>
      </c>
      <c r="Q65" s="272"/>
      <c r="R65" s="272"/>
      <c r="S65" s="272"/>
      <c r="T65" s="273"/>
      <c r="U65" s="320" t="s">
        <v>34</v>
      </c>
      <c r="V65" s="320" t="s">
        <v>48</v>
      </c>
      <c r="W65" s="320" t="s">
        <v>56</v>
      </c>
      <c r="X65" s="320" t="s">
        <v>54</v>
      </c>
      <c r="Y65" s="320" t="s">
        <v>57</v>
      </c>
      <c r="Z65" s="320" t="s">
        <v>55</v>
      </c>
      <c r="AA65" s="320" t="s">
        <v>58</v>
      </c>
      <c r="AB65" s="320" t="s">
        <v>38</v>
      </c>
    </row>
    <row r="66" spans="1:28" ht="38.25" x14ac:dyDescent="0.2">
      <c r="A66" s="287"/>
      <c r="B66" s="288"/>
      <c r="C66" s="289"/>
      <c r="D66" s="289"/>
      <c r="E66" s="270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320"/>
      <c r="V66" s="320"/>
      <c r="W66" s="320"/>
      <c r="X66" s="320"/>
      <c r="Y66" s="320"/>
      <c r="Z66" s="320"/>
      <c r="AA66" s="320"/>
      <c r="AB66" s="320"/>
    </row>
    <row r="67" spans="1:28" x14ac:dyDescent="0.2">
      <c r="A67" s="287"/>
      <c r="B67" s="300" t="s">
        <v>17</v>
      </c>
      <c r="C67" s="12"/>
      <c r="D67" s="12"/>
      <c r="E67" s="302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66">
        <f>SUM(F67, K67, P67, F68, K68, P68)</f>
        <v>0</v>
      </c>
      <c r="V67" s="266">
        <f>SUM(H67, M67, R67, H68, M68, R68)</f>
        <v>0</v>
      </c>
      <c r="W67" s="268">
        <f>IF($U67=0, ,V67/$U67)</f>
        <v>0</v>
      </c>
      <c r="X67" s="266">
        <f>SUM(I67, N67, S67, I68, N68, S68)</f>
        <v>0</v>
      </c>
      <c r="Y67" s="268">
        <f>IF($U67=0, ,X67/$U67)</f>
        <v>0</v>
      </c>
      <c r="Z67" s="266">
        <f>SUM(J67, O67, T67, J68, O68, T68)</f>
        <v>0</v>
      </c>
      <c r="AA67" s="268">
        <f>IF($U67=0, ,Z67/$U67)</f>
        <v>0</v>
      </c>
      <c r="AB67" s="292" t="s">
        <v>87</v>
      </c>
    </row>
    <row r="68" spans="1:28" x14ac:dyDescent="0.2">
      <c r="A68" s="287"/>
      <c r="B68" s="319"/>
      <c r="C68" s="12"/>
      <c r="D68" s="12"/>
      <c r="E68" s="304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67"/>
      <c r="V68" s="267"/>
      <c r="W68" s="269"/>
      <c r="X68" s="267"/>
      <c r="Y68" s="269"/>
      <c r="Z68" s="267"/>
      <c r="AA68" s="269"/>
      <c r="AB68" s="293"/>
    </row>
    <row r="69" spans="1:28" x14ac:dyDescent="0.2">
      <c r="A69" s="287"/>
      <c r="B69" s="290" t="s">
        <v>18</v>
      </c>
      <c r="C69" s="10"/>
      <c r="D69" s="10"/>
      <c r="E69" s="279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83">
        <f>SUM(F69, K69, P69, F70, K70, P70)</f>
        <v>0</v>
      </c>
      <c r="V69" s="283">
        <f>SUM(H69, M69, R69, H70, M70, R70)</f>
        <v>0</v>
      </c>
      <c r="W69" s="258">
        <f>IF($U69=0, ,V69/$U69)</f>
        <v>0</v>
      </c>
      <c r="X69" s="283">
        <f>SUM(I69, N69, S69, I70, N70, S70)</f>
        <v>0</v>
      </c>
      <c r="Y69" s="258">
        <f>IF($U69=0, ,X69/$U69)</f>
        <v>0</v>
      </c>
      <c r="Z69" s="283">
        <f>SUM(J69, O69, T69, J70, O70, T70)</f>
        <v>0</v>
      </c>
      <c r="AA69" s="258">
        <f>IF($U69=0, ,Z69/$U69)</f>
        <v>0</v>
      </c>
      <c r="AB69" s="277" t="s">
        <v>87</v>
      </c>
    </row>
    <row r="70" spans="1:28" x14ac:dyDescent="0.2">
      <c r="A70" s="287"/>
      <c r="B70" s="291"/>
      <c r="C70" s="10"/>
      <c r="D70" s="10"/>
      <c r="E70" s="280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84"/>
      <c r="V70" s="284"/>
      <c r="W70" s="259"/>
      <c r="X70" s="284"/>
      <c r="Y70" s="259"/>
      <c r="Z70" s="284"/>
      <c r="AA70" s="259"/>
      <c r="AB70" s="278"/>
    </row>
    <row r="71" spans="1:28" x14ac:dyDescent="0.2">
      <c r="A71" s="287"/>
      <c r="B71" s="300" t="s">
        <v>19</v>
      </c>
      <c r="C71" s="9"/>
      <c r="D71" s="9"/>
      <c r="E71" s="264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66">
        <f>SUM(F71, K71, P71, F72, K72, P72)</f>
        <v>0</v>
      </c>
      <c r="V71" s="266">
        <f>SUM(H71, M71, R71, H72, M72, R72)</f>
        <v>0</v>
      </c>
      <c r="W71" s="268">
        <f>IF($U71=0, ,V71/$U71)</f>
        <v>0</v>
      </c>
      <c r="X71" s="266">
        <f>SUM(I71, N71, S71, I72, N72, S72)</f>
        <v>0</v>
      </c>
      <c r="Y71" s="268">
        <f>IF($U71=0, ,X71/$U71)</f>
        <v>0</v>
      </c>
      <c r="Z71" s="266">
        <f>SUM(J71, O71, T71, J72, O72, T72)</f>
        <v>0</v>
      </c>
      <c r="AA71" s="268">
        <f>IF($U71=0, ,Z71/$U71)</f>
        <v>0</v>
      </c>
      <c r="AB71" s="292" t="s">
        <v>87</v>
      </c>
    </row>
    <row r="72" spans="1:28" x14ac:dyDescent="0.2">
      <c r="A72" s="287"/>
      <c r="B72" s="319"/>
      <c r="C72" s="9"/>
      <c r="D72" s="9"/>
      <c r="E72" s="265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67"/>
      <c r="V72" s="267"/>
      <c r="W72" s="269"/>
      <c r="X72" s="267"/>
      <c r="Y72" s="269"/>
      <c r="Z72" s="267"/>
      <c r="AA72" s="269"/>
      <c r="AB72" s="293"/>
    </row>
    <row r="73" spans="1:28" x14ac:dyDescent="0.2">
      <c r="A73" s="287"/>
      <c r="B73" s="290" t="s">
        <v>20</v>
      </c>
      <c r="C73" s="10"/>
      <c r="D73" s="10"/>
      <c r="E73" s="279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83">
        <f>SUM(F73, K73, P73, F74, K74, P74)</f>
        <v>0</v>
      </c>
      <c r="V73" s="283">
        <f>SUM(H73, M73, R73, H74, M74, R74)</f>
        <v>0</v>
      </c>
      <c r="W73" s="258">
        <f>IF($U73=0, ,V73/$U73)</f>
        <v>0</v>
      </c>
      <c r="X73" s="283">
        <f>SUM(I73, N73, S73, I74, N74, S74)</f>
        <v>0</v>
      </c>
      <c r="Y73" s="258">
        <f>IF($U73=0, ,X73/$U73)</f>
        <v>0</v>
      </c>
      <c r="Z73" s="283">
        <f>SUM(J73, O73, T73, J74, O74, T74)</f>
        <v>0</v>
      </c>
      <c r="AA73" s="258">
        <f>IF($U73=0, ,Z73/$U73)</f>
        <v>0</v>
      </c>
      <c r="AB73" s="277" t="s">
        <v>87</v>
      </c>
    </row>
    <row r="74" spans="1:28" x14ac:dyDescent="0.2">
      <c r="A74" s="287"/>
      <c r="B74" s="291"/>
      <c r="C74" s="10"/>
      <c r="D74" s="10"/>
      <c r="E74" s="280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84"/>
      <c r="V74" s="284"/>
      <c r="W74" s="259"/>
      <c r="X74" s="284"/>
      <c r="Y74" s="259"/>
      <c r="Z74" s="284"/>
      <c r="AA74" s="259"/>
      <c r="AB74" s="278"/>
    </row>
    <row r="75" spans="1:28" x14ac:dyDescent="0.2">
      <c r="A75" s="287"/>
      <c r="B75" s="300" t="s">
        <v>21</v>
      </c>
      <c r="C75" s="9"/>
      <c r="D75" s="9"/>
      <c r="E75" s="264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66">
        <f>SUM(F75, K75, P75, F76, K76, P76)</f>
        <v>0</v>
      </c>
      <c r="V75" s="266">
        <f>SUM(H75, M75, R75, H76, M76, R76)</f>
        <v>0</v>
      </c>
      <c r="W75" s="268">
        <f>IF($U75=0, ,V75/$U75)</f>
        <v>0</v>
      </c>
      <c r="X75" s="266">
        <f>SUM(I75, N75, S75, I76, N76, S76)</f>
        <v>0</v>
      </c>
      <c r="Y75" s="268">
        <f>IF($U75=0, ,X75/$U75)</f>
        <v>0</v>
      </c>
      <c r="Z75" s="266">
        <f>SUM(J75, O75, T75, J76, O76, T76)</f>
        <v>0</v>
      </c>
      <c r="AA75" s="268">
        <f>IF($U75=0, ,Z75/$U75)</f>
        <v>0</v>
      </c>
      <c r="AB75" s="292" t="s">
        <v>87</v>
      </c>
    </row>
    <row r="76" spans="1:28" x14ac:dyDescent="0.2">
      <c r="A76" s="287"/>
      <c r="B76" s="319"/>
      <c r="C76" s="9"/>
      <c r="D76" s="9"/>
      <c r="E76" s="265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67"/>
      <c r="V76" s="267"/>
      <c r="W76" s="269"/>
      <c r="X76" s="267"/>
      <c r="Y76" s="269"/>
      <c r="Z76" s="267"/>
      <c r="AA76" s="269"/>
      <c r="AB76" s="293"/>
    </row>
    <row r="77" spans="1:28" x14ac:dyDescent="0.2">
      <c r="A77" s="287"/>
      <c r="B77" s="290" t="s">
        <v>22</v>
      </c>
      <c r="C77" s="11"/>
      <c r="D77" s="11"/>
      <c r="E77" s="296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83">
        <f>SUM(F77, K77, P77, F78, K78, P78)</f>
        <v>0</v>
      </c>
      <c r="V77" s="283">
        <f>SUM(H77, M77, R77, H78, M78, R78)</f>
        <v>0</v>
      </c>
      <c r="W77" s="258">
        <f>IF($U77=0, ,V77/$U77)</f>
        <v>0</v>
      </c>
      <c r="X77" s="283">
        <f>SUM(I77, N77, S77, I78, N78, S78)</f>
        <v>0</v>
      </c>
      <c r="Y77" s="258">
        <f>IF($U77=0, ,X77/$U77)</f>
        <v>0</v>
      </c>
      <c r="Z77" s="283">
        <f>SUM(J77, O77, T77, J78, O78, T78)</f>
        <v>0</v>
      </c>
      <c r="AA77" s="258">
        <f>IF($U77=0, ,Z77/$U77)</f>
        <v>0</v>
      </c>
      <c r="AB77" s="277" t="s">
        <v>87</v>
      </c>
    </row>
    <row r="78" spans="1:28" x14ac:dyDescent="0.2">
      <c r="A78" s="287"/>
      <c r="B78" s="291"/>
      <c r="C78" s="11"/>
      <c r="D78" s="11"/>
      <c r="E78" s="297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84"/>
      <c r="V78" s="284"/>
      <c r="W78" s="259"/>
      <c r="X78" s="284"/>
      <c r="Y78" s="259"/>
      <c r="Z78" s="284"/>
      <c r="AA78" s="259"/>
      <c r="AB78" s="278"/>
    </row>
    <row r="79" spans="1:28" ht="13.5" thickBot="1" x14ac:dyDescent="0.25">
      <c r="A79" s="287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87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87"/>
      <c r="B81" s="288" t="s">
        <v>35</v>
      </c>
      <c r="C81" s="289" t="s">
        <v>25</v>
      </c>
      <c r="D81" s="289" t="s">
        <v>28</v>
      </c>
      <c r="E81" s="270" t="s">
        <v>12</v>
      </c>
      <c r="F81" s="314" t="s">
        <v>13</v>
      </c>
      <c r="G81" s="314"/>
      <c r="H81" s="314"/>
      <c r="I81" s="314" t="s">
        <v>14</v>
      </c>
      <c r="J81" s="314"/>
      <c r="K81" s="314"/>
      <c r="L81" s="314" t="s">
        <v>15</v>
      </c>
      <c r="M81" s="314"/>
      <c r="N81" s="314"/>
      <c r="O81" s="274" t="s">
        <v>34</v>
      </c>
      <c r="P81" s="274" t="s">
        <v>48</v>
      </c>
      <c r="Q81" s="274" t="s">
        <v>60</v>
      </c>
      <c r="R81" s="274" t="s">
        <v>49</v>
      </c>
      <c r="S81" s="274" t="s">
        <v>61</v>
      </c>
      <c r="T81" s="310" t="s">
        <v>79</v>
      </c>
      <c r="U81" s="310"/>
      <c r="V81" s="310"/>
      <c r="W81" s="310"/>
      <c r="X81" s="310"/>
      <c r="Y81" s="310"/>
      <c r="Z81" s="310"/>
      <c r="AA81" s="310"/>
      <c r="AB81" s="311"/>
    </row>
    <row r="82" spans="1:28" ht="25.5" x14ac:dyDescent="0.2">
      <c r="A82" s="287"/>
      <c r="B82" s="288"/>
      <c r="C82" s="289"/>
      <c r="D82" s="289"/>
      <c r="E82" s="270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76"/>
      <c r="P82" s="276"/>
      <c r="Q82" s="276"/>
      <c r="R82" s="276"/>
      <c r="S82" s="276"/>
      <c r="T82" s="312"/>
      <c r="U82" s="312"/>
      <c r="V82" s="312"/>
      <c r="W82" s="312"/>
      <c r="X82" s="312"/>
      <c r="Y82" s="312"/>
      <c r="Z82" s="312"/>
      <c r="AA82" s="312"/>
      <c r="AB82" s="313"/>
    </row>
    <row r="83" spans="1:28" x14ac:dyDescent="0.2">
      <c r="A83" s="287"/>
      <c r="B83" s="308" t="s">
        <v>36</v>
      </c>
      <c r="C83" s="12"/>
      <c r="D83" s="12" t="s">
        <v>80</v>
      </c>
      <c r="E83" s="309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66">
        <f>SUM(F83, I83, L83, F84, I84, L84)*$O80</f>
        <v>0</v>
      </c>
      <c r="P83" s="266">
        <f>SUM(G83, J83, M83, G84, J84, M84)</f>
        <v>0</v>
      </c>
      <c r="Q83" s="268">
        <f>IF($O83=0, ,P83/$O83)</f>
        <v>0</v>
      </c>
      <c r="R83" s="266">
        <f>SUM(H83, K83, N83, H84, K84, N84)</f>
        <v>0</v>
      </c>
      <c r="S83" s="268">
        <f>IF($O83=0, ,R83/$O83)</f>
        <v>0</v>
      </c>
      <c r="T83" s="315"/>
      <c r="U83" s="315"/>
      <c r="V83" s="315"/>
      <c r="W83" s="315"/>
      <c r="X83" s="315"/>
      <c r="Y83" s="315"/>
      <c r="Z83" s="315"/>
      <c r="AA83" s="315"/>
      <c r="AB83" s="316"/>
    </row>
    <row r="84" spans="1:28" x14ac:dyDescent="0.2">
      <c r="A84" s="287"/>
      <c r="B84" s="308"/>
      <c r="C84" s="12"/>
      <c r="D84" s="12"/>
      <c r="E84" s="309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67"/>
      <c r="P84" s="267"/>
      <c r="Q84" s="269"/>
      <c r="R84" s="267"/>
      <c r="S84" s="269"/>
      <c r="T84" s="317"/>
      <c r="U84" s="317"/>
      <c r="V84" s="317"/>
      <c r="W84" s="317"/>
      <c r="X84" s="317"/>
      <c r="Y84" s="317"/>
      <c r="Z84" s="317"/>
      <c r="AA84" s="317"/>
      <c r="AB84" s="318"/>
    </row>
    <row r="85" spans="1:28" x14ac:dyDescent="0.2">
      <c r="A85" s="287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87"/>
      <c r="B86" s="321" t="s">
        <v>67</v>
      </c>
      <c r="C86" s="321"/>
      <c r="D86" s="322"/>
      <c r="E86" s="82" t="s">
        <v>68</v>
      </c>
      <c r="F86" s="306" t="s">
        <v>64</v>
      </c>
      <c r="G86" s="306"/>
      <c r="H86" s="306"/>
      <c r="I86" s="306" t="s">
        <v>76</v>
      </c>
      <c r="J86" s="306"/>
      <c r="K86" s="306"/>
      <c r="L86" s="306" t="s">
        <v>65</v>
      </c>
      <c r="M86" s="306"/>
      <c r="N86" s="306"/>
      <c r="O86" s="306" t="s">
        <v>66</v>
      </c>
      <c r="P86" s="306"/>
      <c r="Q86" s="306"/>
      <c r="R86" s="306" t="s">
        <v>73</v>
      </c>
      <c r="S86" s="306"/>
      <c r="T86" s="306"/>
      <c r="U86" s="306" t="s">
        <v>74</v>
      </c>
      <c r="V86" s="306"/>
      <c r="W86" s="306"/>
      <c r="X86" s="306" t="s">
        <v>75</v>
      </c>
      <c r="Y86" s="306"/>
      <c r="Z86" s="306"/>
      <c r="AA86" s="307"/>
      <c r="AB86" s="307"/>
    </row>
    <row r="87" spans="1:28" x14ac:dyDescent="0.2">
      <c r="A87" s="287"/>
      <c r="B87" s="323"/>
      <c r="C87" s="323"/>
      <c r="D87" s="324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307"/>
      <c r="AB87" s="307"/>
    </row>
    <row r="88" spans="1:28" x14ac:dyDescent="0.2">
      <c r="A88" s="287"/>
      <c r="B88" s="325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307"/>
      <c r="AB88" s="307"/>
    </row>
    <row r="89" spans="1:28" x14ac:dyDescent="0.2">
      <c r="A89" s="287"/>
      <c r="B89" s="325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307"/>
      <c r="AB89" s="307"/>
    </row>
    <row r="90" spans="1:28" x14ac:dyDescent="0.2">
      <c r="A90" s="287"/>
      <c r="B90" s="325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307"/>
      <c r="AB90" s="307"/>
    </row>
    <row r="91" spans="1:28" x14ac:dyDescent="0.2">
      <c r="A91" s="287"/>
      <c r="B91" s="325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307"/>
      <c r="AB91" s="307"/>
    </row>
    <row r="93" spans="1:28" x14ac:dyDescent="0.2">
      <c r="A93" s="287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87"/>
      <c r="B94" s="288" t="s">
        <v>10</v>
      </c>
      <c r="C94" s="289" t="s">
        <v>25</v>
      </c>
      <c r="D94" s="289" t="s">
        <v>28</v>
      </c>
      <c r="E94" s="270" t="s">
        <v>12</v>
      </c>
      <c r="F94" s="271" t="s">
        <v>13</v>
      </c>
      <c r="G94" s="272"/>
      <c r="H94" s="272"/>
      <c r="I94" s="272"/>
      <c r="J94" s="273"/>
      <c r="K94" s="271" t="s">
        <v>14</v>
      </c>
      <c r="L94" s="272"/>
      <c r="M94" s="272"/>
      <c r="N94" s="272"/>
      <c r="O94" s="273"/>
      <c r="P94" s="271" t="s">
        <v>15</v>
      </c>
      <c r="Q94" s="272"/>
      <c r="R94" s="272"/>
      <c r="S94" s="272"/>
      <c r="T94" s="273"/>
      <c r="U94" s="320" t="s">
        <v>34</v>
      </c>
      <c r="V94" s="320" t="s">
        <v>48</v>
      </c>
      <c r="W94" s="320" t="s">
        <v>56</v>
      </c>
      <c r="X94" s="320" t="s">
        <v>54</v>
      </c>
      <c r="Y94" s="320" t="s">
        <v>57</v>
      </c>
      <c r="Z94" s="320" t="s">
        <v>55</v>
      </c>
      <c r="AA94" s="320" t="s">
        <v>58</v>
      </c>
      <c r="AB94" s="320" t="s">
        <v>38</v>
      </c>
    </row>
    <row r="95" spans="1:28" ht="38.25" x14ac:dyDescent="0.2">
      <c r="A95" s="287"/>
      <c r="B95" s="288"/>
      <c r="C95" s="289"/>
      <c r="D95" s="289"/>
      <c r="E95" s="270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320"/>
      <c r="V95" s="320"/>
      <c r="W95" s="320"/>
      <c r="X95" s="320"/>
      <c r="Y95" s="320"/>
      <c r="Z95" s="320"/>
      <c r="AA95" s="320"/>
      <c r="AB95" s="320"/>
    </row>
    <row r="96" spans="1:28" x14ac:dyDescent="0.2">
      <c r="A96" s="287"/>
      <c r="B96" s="300" t="s">
        <v>17</v>
      </c>
      <c r="C96" s="12"/>
      <c r="D96" s="12"/>
      <c r="E96" s="302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66">
        <f>SUM(F96, K96, P96, F97, K97, P97)</f>
        <v>0</v>
      </c>
      <c r="V96" s="266">
        <f>SUM(H96, M96, R96, H97, M97, R97)</f>
        <v>0</v>
      </c>
      <c r="W96" s="268">
        <f>IF($U96=0, ,V96/$U96)</f>
        <v>0</v>
      </c>
      <c r="X96" s="266">
        <f>SUM(I96, N96, S96, I97, N97, S97)</f>
        <v>0</v>
      </c>
      <c r="Y96" s="268">
        <f>IF($U96=0, ,X96/$U96)</f>
        <v>0</v>
      </c>
      <c r="Z96" s="266">
        <f>SUM(J96, O96, T96, J97, O97, T97)</f>
        <v>0</v>
      </c>
      <c r="AA96" s="268">
        <f>IF($U96=0, ,Z96/$U96)</f>
        <v>0</v>
      </c>
      <c r="AB96" s="292" t="s">
        <v>87</v>
      </c>
    </row>
    <row r="97" spans="1:28" x14ac:dyDescent="0.2">
      <c r="A97" s="287"/>
      <c r="B97" s="319"/>
      <c r="C97" s="12"/>
      <c r="D97" s="12"/>
      <c r="E97" s="304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67"/>
      <c r="V97" s="267"/>
      <c r="W97" s="269"/>
      <c r="X97" s="267"/>
      <c r="Y97" s="269"/>
      <c r="Z97" s="267"/>
      <c r="AA97" s="269"/>
      <c r="AB97" s="293"/>
    </row>
    <row r="98" spans="1:28" x14ac:dyDescent="0.2">
      <c r="A98" s="287"/>
      <c r="B98" s="290" t="s">
        <v>18</v>
      </c>
      <c r="C98" s="10"/>
      <c r="D98" s="10"/>
      <c r="E98" s="279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83">
        <f>SUM(F98, K98, P98, F99, K99, P99)</f>
        <v>0</v>
      </c>
      <c r="V98" s="283">
        <f>SUM(H98, M98, R98, H99, M99, R99)</f>
        <v>0</v>
      </c>
      <c r="W98" s="258">
        <f>IF($U98=0, ,V98/$U98)</f>
        <v>0</v>
      </c>
      <c r="X98" s="283">
        <f>SUM(I98, N98, S98, I99, N99, S99)</f>
        <v>0</v>
      </c>
      <c r="Y98" s="258">
        <f>IF($U98=0, ,X98/$U98)</f>
        <v>0</v>
      </c>
      <c r="Z98" s="283">
        <f>SUM(J98, O98, T98, J99, O99, T99)</f>
        <v>0</v>
      </c>
      <c r="AA98" s="258">
        <f>IF($U98=0, ,Z98/$U98)</f>
        <v>0</v>
      </c>
      <c r="AB98" s="277" t="s">
        <v>87</v>
      </c>
    </row>
    <row r="99" spans="1:28" x14ac:dyDescent="0.2">
      <c r="A99" s="287"/>
      <c r="B99" s="291"/>
      <c r="C99" s="10"/>
      <c r="D99" s="10"/>
      <c r="E99" s="280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84"/>
      <c r="V99" s="284"/>
      <c r="W99" s="259"/>
      <c r="X99" s="284"/>
      <c r="Y99" s="259"/>
      <c r="Z99" s="284"/>
      <c r="AA99" s="259"/>
      <c r="AB99" s="278"/>
    </row>
    <row r="100" spans="1:28" x14ac:dyDescent="0.2">
      <c r="A100" s="287"/>
      <c r="B100" s="300" t="s">
        <v>19</v>
      </c>
      <c r="C100" s="9"/>
      <c r="D100" s="9"/>
      <c r="E100" s="264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66">
        <f>SUM(F100, K100, P100, F101, K101, P101)</f>
        <v>0</v>
      </c>
      <c r="V100" s="266">
        <f>SUM(H100, M100, R100, H101, M101, R101)</f>
        <v>0</v>
      </c>
      <c r="W100" s="268">
        <f>IF($U100=0, ,V100/$U100)</f>
        <v>0</v>
      </c>
      <c r="X100" s="266">
        <f>SUM(I100, N100, S100, I101, N101, S101)</f>
        <v>0</v>
      </c>
      <c r="Y100" s="268">
        <f>IF($U100=0, ,X100/$U100)</f>
        <v>0</v>
      </c>
      <c r="Z100" s="266">
        <f>SUM(J100, O100, T100, J101, O101, T101)</f>
        <v>0</v>
      </c>
      <c r="AA100" s="268">
        <f>IF($U100=0, ,Z100/$U100)</f>
        <v>0</v>
      </c>
      <c r="AB100" s="292" t="s">
        <v>87</v>
      </c>
    </row>
    <row r="101" spans="1:28" x14ac:dyDescent="0.2">
      <c r="A101" s="287"/>
      <c r="B101" s="319"/>
      <c r="C101" s="9"/>
      <c r="D101" s="9"/>
      <c r="E101" s="265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67"/>
      <c r="V101" s="267"/>
      <c r="W101" s="269"/>
      <c r="X101" s="267"/>
      <c r="Y101" s="269"/>
      <c r="Z101" s="267"/>
      <c r="AA101" s="269"/>
      <c r="AB101" s="293"/>
    </row>
    <row r="102" spans="1:28" x14ac:dyDescent="0.2">
      <c r="A102" s="287"/>
      <c r="B102" s="290" t="s">
        <v>20</v>
      </c>
      <c r="C102" s="10"/>
      <c r="D102" s="10"/>
      <c r="E102" s="279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83">
        <f>SUM(F102, K102, P102, F103, K103, P103)</f>
        <v>0</v>
      </c>
      <c r="V102" s="283">
        <f>SUM(H102, M102, R102, H103, M103, R103)</f>
        <v>0</v>
      </c>
      <c r="W102" s="258">
        <f>IF($U102=0, ,V102/$U102)</f>
        <v>0</v>
      </c>
      <c r="X102" s="283">
        <f>SUM(I102, N102, S102, I103, N103, S103)</f>
        <v>0</v>
      </c>
      <c r="Y102" s="258">
        <f>IF($U102=0, ,X102/$U102)</f>
        <v>0</v>
      </c>
      <c r="Z102" s="283">
        <f>SUM(J102, O102, T102, J103, O103, T103)</f>
        <v>0</v>
      </c>
      <c r="AA102" s="258">
        <f>IF($U102=0, ,Z102/$U102)</f>
        <v>0</v>
      </c>
      <c r="AB102" s="277" t="s">
        <v>87</v>
      </c>
    </row>
    <row r="103" spans="1:28" x14ac:dyDescent="0.2">
      <c r="A103" s="287"/>
      <c r="B103" s="291"/>
      <c r="C103" s="10"/>
      <c r="D103" s="10"/>
      <c r="E103" s="280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84"/>
      <c r="V103" s="284"/>
      <c r="W103" s="259"/>
      <c r="X103" s="284"/>
      <c r="Y103" s="259"/>
      <c r="Z103" s="284"/>
      <c r="AA103" s="259"/>
      <c r="AB103" s="278"/>
    </row>
    <row r="104" spans="1:28" x14ac:dyDescent="0.2">
      <c r="A104" s="287"/>
      <c r="B104" s="300" t="s">
        <v>21</v>
      </c>
      <c r="C104" s="9"/>
      <c r="D104" s="9"/>
      <c r="E104" s="264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66">
        <f>SUM(F104, K104, P104, F105, K105, P105)</f>
        <v>0</v>
      </c>
      <c r="V104" s="266">
        <f>SUM(H104, M104, R104, H105, M105, R105)</f>
        <v>0</v>
      </c>
      <c r="W104" s="268">
        <f>IF($U104=0, ,V104/$U104)</f>
        <v>0</v>
      </c>
      <c r="X104" s="266">
        <f>SUM(I104, N104, S104, I105, N105, S105)</f>
        <v>0</v>
      </c>
      <c r="Y104" s="268">
        <f>IF($U104=0, ,X104/$U104)</f>
        <v>0</v>
      </c>
      <c r="Z104" s="266">
        <f>SUM(J104, O104, T104, J105, O105, T105)</f>
        <v>0</v>
      </c>
      <c r="AA104" s="268">
        <f>IF($U104=0, ,Z104/$U104)</f>
        <v>0</v>
      </c>
      <c r="AB104" s="292" t="s">
        <v>87</v>
      </c>
    </row>
    <row r="105" spans="1:28" x14ac:dyDescent="0.2">
      <c r="A105" s="287"/>
      <c r="B105" s="319"/>
      <c r="C105" s="9"/>
      <c r="D105" s="9"/>
      <c r="E105" s="265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67"/>
      <c r="V105" s="267"/>
      <c r="W105" s="269"/>
      <c r="X105" s="267"/>
      <c r="Y105" s="269"/>
      <c r="Z105" s="267"/>
      <c r="AA105" s="269"/>
      <c r="AB105" s="293"/>
    </row>
    <row r="106" spans="1:28" x14ac:dyDescent="0.2">
      <c r="A106" s="287"/>
      <c r="B106" s="290" t="s">
        <v>22</v>
      </c>
      <c r="C106" s="11"/>
      <c r="D106" s="11"/>
      <c r="E106" s="296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83">
        <f>SUM(F106, K106, P106, F107, K107, P107)</f>
        <v>0</v>
      </c>
      <c r="V106" s="283">
        <f>SUM(H106, M106, R106, H107, M107, R107)</f>
        <v>0</v>
      </c>
      <c r="W106" s="258">
        <f>IF($U106=0, ,V106/$U106)</f>
        <v>0</v>
      </c>
      <c r="X106" s="283">
        <f>SUM(I106, N106, S106, I107, N107, S107)</f>
        <v>0</v>
      </c>
      <c r="Y106" s="258">
        <f>IF($U106=0, ,X106/$U106)</f>
        <v>0</v>
      </c>
      <c r="Z106" s="283">
        <f>SUM(J106, O106, T106, J107, O107, T107)</f>
        <v>0</v>
      </c>
      <c r="AA106" s="258">
        <f>IF($U106=0, ,Z106/$U106)</f>
        <v>0</v>
      </c>
      <c r="AB106" s="277" t="s">
        <v>87</v>
      </c>
    </row>
    <row r="107" spans="1:28" x14ac:dyDescent="0.2">
      <c r="A107" s="287"/>
      <c r="B107" s="291"/>
      <c r="C107" s="11"/>
      <c r="D107" s="11"/>
      <c r="E107" s="297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84"/>
      <c r="V107" s="284"/>
      <c r="W107" s="259"/>
      <c r="X107" s="284"/>
      <c r="Y107" s="259"/>
      <c r="Z107" s="284"/>
      <c r="AA107" s="259"/>
      <c r="AB107" s="278"/>
    </row>
    <row r="108" spans="1:28" ht="13.5" thickBot="1" x14ac:dyDescent="0.25">
      <c r="A108" s="287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87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87"/>
      <c r="B110" s="288" t="s">
        <v>35</v>
      </c>
      <c r="C110" s="289" t="s">
        <v>25</v>
      </c>
      <c r="D110" s="289" t="s">
        <v>28</v>
      </c>
      <c r="E110" s="270" t="s">
        <v>12</v>
      </c>
      <c r="F110" s="314" t="s">
        <v>13</v>
      </c>
      <c r="G110" s="314"/>
      <c r="H110" s="314"/>
      <c r="I110" s="314" t="s">
        <v>14</v>
      </c>
      <c r="J110" s="314"/>
      <c r="K110" s="314"/>
      <c r="L110" s="314" t="s">
        <v>15</v>
      </c>
      <c r="M110" s="314"/>
      <c r="N110" s="314"/>
      <c r="O110" s="274" t="s">
        <v>34</v>
      </c>
      <c r="P110" s="274" t="s">
        <v>48</v>
      </c>
      <c r="Q110" s="274" t="s">
        <v>60</v>
      </c>
      <c r="R110" s="274" t="s">
        <v>49</v>
      </c>
      <c r="S110" s="274" t="s">
        <v>61</v>
      </c>
      <c r="T110" s="310" t="s">
        <v>79</v>
      </c>
      <c r="U110" s="310"/>
      <c r="V110" s="310"/>
      <c r="W110" s="310"/>
      <c r="X110" s="310"/>
      <c r="Y110" s="310"/>
      <c r="Z110" s="310"/>
      <c r="AA110" s="310"/>
      <c r="AB110" s="311"/>
    </row>
    <row r="111" spans="1:28" ht="25.5" x14ac:dyDescent="0.2">
      <c r="A111" s="287"/>
      <c r="B111" s="288"/>
      <c r="C111" s="289"/>
      <c r="D111" s="289"/>
      <c r="E111" s="270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76"/>
      <c r="P111" s="276"/>
      <c r="Q111" s="276"/>
      <c r="R111" s="276"/>
      <c r="S111" s="276"/>
      <c r="T111" s="312"/>
      <c r="U111" s="312"/>
      <c r="V111" s="312"/>
      <c r="W111" s="312"/>
      <c r="X111" s="312"/>
      <c r="Y111" s="312"/>
      <c r="Z111" s="312"/>
      <c r="AA111" s="312"/>
      <c r="AB111" s="313"/>
    </row>
    <row r="112" spans="1:28" x14ac:dyDescent="0.2">
      <c r="A112" s="287"/>
      <c r="B112" s="308" t="s">
        <v>36</v>
      </c>
      <c r="C112" s="12"/>
      <c r="D112" s="12" t="s">
        <v>80</v>
      </c>
      <c r="E112" s="309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66">
        <f>SUM(F112, I112, L112, F113, I113, L113)*$O109</f>
        <v>0</v>
      </c>
      <c r="P112" s="266">
        <f>SUM(G112, J112, M112, G113, J113, M113)</f>
        <v>0</v>
      </c>
      <c r="Q112" s="268">
        <f>IF($O112=0, ,P112/$O112)</f>
        <v>0</v>
      </c>
      <c r="R112" s="266">
        <f>SUM(H112, K112, N112, H113, K113, N113)</f>
        <v>0</v>
      </c>
      <c r="S112" s="268">
        <f>IF($O112=0, ,R112/$O112)</f>
        <v>0</v>
      </c>
      <c r="T112" s="315"/>
      <c r="U112" s="315"/>
      <c r="V112" s="315"/>
      <c r="W112" s="315"/>
      <c r="X112" s="315"/>
      <c r="Y112" s="315"/>
      <c r="Z112" s="315"/>
      <c r="AA112" s="315"/>
      <c r="AB112" s="316"/>
    </row>
    <row r="113" spans="1:28" x14ac:dyDescent="0.2">
      <c r="A113" s="287"/>
      <c r="B113" s="308"/>
      <c r="C113" s="12"/>
      <c r="D113" s="12"/>
      <c r="E113" s="309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67"/>
      <c r="P113" s="267"/>
      <c r="Q113" s="269"/>
      <c r="R113" s="267"/>
      <c r="S113" s="269"/>
      <c r="T113" s="317"/>
      <c r="U113" s="317"/>
      <c r="V113" s="317"/>
      <c r="W113" s="317"/>
      <c r="X113" s="317"/>
      <c r="Y113" s="317"/>
      <c r="Z113" s="317"/>
      <c r="AA113" s="317"/>
      <c r="AB113" s="318"/>
    </row>
    <row r="114" spans="1:28" x14ac:dyDescent="0.2">
      <c r="A114" s="287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87"/>
      <c r="B115" s="321" t="s">
        <v>67</v>
      </c>
      <c r="C115" s="321"/>
      <c r="D115" s="322"/>
      <c r="E115" s="82" t="s">
        <v>68</v>
      </c>
      <c r="F115" s="306" t="s">
        <v>64</v>
      </c>
      <c r="G115" s="306"/>
      <c r="H115" s="306"/>
      <c r="I115" s="306" t="s">
        <v>76</v>
      </c>
      <c r="J115" s="306"/>
      <c r="K115" s="306"/>
      <c r="L115" s="306" t="s">
        <v>65</v>
      </c>
      <c r="M115" s="306"/>
      <c r="N115" s="306"/>
      <c r="O115" s="306" t="s">
        <v>66</v>
      </c>
      <c r="P115" s="306"/>
      <c r="Q115" s="306"/>
      <c r="R115" s="306" t="s">
        <v>73</v>
      </c>
      <c r="S115" s="306"/>
      <c r="T115" s="306"/>
      <c r="U115" s="306" t="s">
        <v>74</v>
      </c>
      <c r="V115" s="306"/>
      <c r="W115" s="306"/>
      <c r="X115" s="306" t="s">
        <v>75</v>
      </c>
      <c r="Y115" s="306"/>
      <c r="Z115" s="306"/>
      <c r="AA115" s="307"/>
      <c r="AB115" s="307"/>
    </row>
    <row r="116" spans="1:28" x14ac:dyDescent="0.2">
      <c r="A116" s="287"/>
      <c r="B116" s="323"/>
      <c r="C116" s="323"/>
      <c r="D116" s="324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307"/>
      <c r="AB116" s="307"/>
    </row>
    <row r="117" spans="1:28" x14ac:dyDescent="0.2">
      <c r="A117" s="287"/>
      <c r="B117" s="325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307"/>
      <c r="AB117" s="307"/>
    </row>
    <row r="118" spans="1:28" x14ac:dyDescent="0.2">
      <c r="A118" s="287"/>
      <c r="B118" s="325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307"/>
      <c r="AB118" s="307"/>
    </row>
    <row r="119" spans="1:28" x14ac:dyDescent="0.2">
      <c r="A119" s="287"/>
      <c r="B119" s="325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307"/>
      <c r="AB119" s="307"/>
    </row>
    <row r="120" spans="1:28" x14ac:dyDescent="0.2">
      <c r="A120" s="287"/>
      <c r="B120" s="325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307"/>
      <c r="AB120" s="307"/>
    </row>
    <row r="122" spans="1:28" x14ac:dyDescent="0.2">
      <c r="A122" s="287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87"/>
      <c r="B123" s="288" t="s">
        <v>10</v>
      </c>
      <c r="C123" s="289" t="s">
        <v>25</v>
      </c>
      <c r="D123" s="289" t="s">
        <v>28</v>
      </c>
      <c r="E123" s="270" t="s">
        <v>12</v>
      </c>
      <c r="F123" s="271" t="s">
        <v>13</v>
      </c>
      <c r="G123" s="272"/>
      <c r="H123" s="272"/>
      <c r="I123" s="272"/>
      <c r="J123" s="273"/>
      <c r="K123" s="271" t="s">
        <v>14</v>
      </c>
      <c r="L123" s="272"/>
      <c r="M123" s="272"/>
      <c r="N123" s="272"/>
      <c r="O123" s="273"/>
      <c r="P123" s="271" t="s">
        <v>15</v>
      </c>
      <c r="Q123" s="272"/>
      <c r="R123" s="272"/>
      <c r="S123" s="272"/>
      <c r="T123" s="273"/>
      <c r="U123" s="320" t="s">
        <v>34</v>
      </c>
      <c r="V123" s="320" t="s">
        <v>48</v>
      </c>
      <c r="W123" s="320" t="s">
        <v>56</v>
      </c>
      <c r="X123" s="320" t="s">
        <v>54</v>
      </c>
      <c r="Y123" s="320" t="s">
        <v>57</v>
      </c>
      <c r="Z123" s="320" t="s">
        <v>55</v>
      </c>
      <c r="AA123" s="320" t="s">
        <v>58</v>
      </c>
      <c r="AB123" s="320" t="s">
        <v>38</v>
      </c>
    </row>
    <row r="124" spans="1:28" ht="38.25" x14ac:dyDescent="0.2">
      <c r="A124" s="287"/>
      <c r="B124" s="288"/>
      <c r="C124" s="289"/>
      <c r="D124" s="289"/>
      <c r="E124" s="270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320"/>
      <c r="V124" s="320"/>
      <c r="W124" s="320"/>
      <c r="X124" s="320"/>
      <c r="Y124" s="320"/>
      <c r="Z124" s="320"/>
      <c r="AA124" s="320"/>
      <c r="AB124" s="320"/>
    </row>
    <row r="125" spans="1:28" x14ac:dyDescent="0.2">
      <c r="A125" s="287"/>
      <c r="B125" s="300" t="s">
        <v>17</v>
      </c>
      <c r="C125" s="12"/>
      <c r="D125" s="12"/>
      <c r="E125" s="302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66">
        <f>SUM(F125, K125, P125, F126, K126, P126)</f>
        <v>0</v>
      </c>
      <c r="V125" s="266">
        <f>SUM(H125, M125, R125, H126, M126, R126)</f>
        <v>0</v>
      </c>
      <c r="W125" s="268">
        <f>IF($U125=0, ,V125/$U125)</f>
        <v>0</v>
      </c>
      <c r="X125" s="266">
        <f>SUM(I125, N125, S125, I126, N126, S126)</f>
        <v>0</v>
      </c>
      <c r="Y125" s="268">
        <f>IF($U125=0, ,X125/$U125)</f>
        <v>0</v>
      </c>
      <c r="Z125" s="266">
        <f>SUM(J125, O125, T125, J126, O126, T126)</f>
        <v>0</v>
      </c>
      <c r="AA125" s="268">
        <f>IF($U125=0, ,Z125/$U125)</f>
        <v>0</v>
      </c>
      <c r="AB125" s="292" t="s">
        <v>87</v>
      </c>
    </row>
    <row r="126" spans="1:28" x14ac:dyDescent="0.2">
      <c r="A126" s="287"/>
      <c r="B126" s="319"/>
      <c r="C126" s="12"/>
      <c r="D126" s="12"/>
      <c r="E126" s="304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67"/>
      <c r="V126" s="267"/>
      <c r="W126" s="269"/>
      <c r="X126" s="267"/>
      <c r="Y126" s="269"/>
      <c r="Z126" s="267"/>
      <c r="AA126" s="269"/>
      <c r="AB126" s="293"/>
    </row>
    <row r="127" spans="1:28" x14ac:dyDescent="0.2">
      <c r="A127" s="287"/>
      <c r="B127" s="290" t="s">
        <v>18</v>
      </c>
      <c r="C127" s="10"/>
      <c r="D127" s="10"/>
      <c r="E127" s="279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83">
        <f>SUM(F127, K127, P127, F128, K128, P128)</f>
        <v>0</v>
      </c>
      <c r="V127" s="283">
        <f>SUM(H127, M127, R127, H128, M128, R128)</f>
        <v>0</v>
      </c>
      <c r="W127" s="258">
        <f>IF($U127=0, ,V127/$U127)</f>
        <v>0</v>
      </c>
      <c r="X127" s="283">
        <f>SUM(I127, N127, S127, I128, N128, S128)</f>
        <v>0</v>
      </c>
      <c r="Y127" s="258">
        <f>IF($U127=0, ,X127/$U127)</f>
        <v>0</v>
      </c>
      <c r="Z127" s="283">
        <f>SUM(J127, O127, T127, J128, O128, T128)</f>
        <v>0</v>
      </c>
      <c r="AA127" s="258">
        <f>IF($U127=0, ,Z127/$U127)</f>
        <v>0</v>
      </c>
      <c r="AB127" s="277" t="s">
        <v>87</v>
      </c>
    </row>
    <row r="128" spans="1:28" x14ac:dyDescent="0.2">
      <c r="A128" s="287"/>
      <c r="B128" s="291"/>
      <c r="C128" s="10"/>
      <c r="D128" s="10"/>
      <c r="E128" s="280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84"/>
      <c r="V128" s="284"/>
      <c r="W128" s="259"/>
      <c r="X128" s="284"/>
      <c r="Y128" s="259"/>
      <c r="Z128" s="284"/>
      <c r="AA128" s="259"/>
      <c r="AB128" s="278"/>
    </row>
    <row r="129" spans="1:28" x14ac:dyDescent="0.2">
      <c r="A129" s="287"/>
      <c r="B129" s="300" t="s">
        <v>19</v>
      </c>
      <c r="C129" s="9"/>
      <c r="D129" s="9"/>
      <c r="E129" s="264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66">
        <f>SUM(F129, K129, P129, F130, K130, P130)</f>
        <v>0</v>
      </c>
      <c r="V129" s="266">
        <f>SUM(H129, M129, R129, H130, M130, R130)</f>
        <v>0</v>
      </c>
      <c r="W129" s="268">
        <f>IF($U129=0, ,V129/$U129)</f>
        <v>0</v>
      </c>
      <c r="X129" s="266">
        <f>SUM(I129, N129, S129, I130, N130, S130)</f>
        <v>0</v>
      </c>
      <c r="Y129" s="268">
        <f>IF($U129=0, ,X129/$U129)</f>
        <v>0</v>
      </c>
      <c r="Z129" s="266">
        <f>SUM(J129, O129, T129, J130, O130, T130)</f>
        <v>0</v>
      </c>
      <c r="AA129" s="268">
        <f>IF($U129=0, ,Z129/$U129)</f>
        <v>0</v>
      </c>
      <c r="AB129" s="292" t="s">
        <v>87</v>
      </c>
    </row>
    <row r="130" spans="1:28" x14ac:dyDescent="0.2">
      <c r="A130" s="287"/>
      <c r="B130" s="319"/>
      <c r="C130" s="9"/>
      <c r="D130" s="9"/>
      <c r="E130" s="265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67"/>
      <c r="V130" s="267"/>
      <c r="W130" s="269"/>
      <c r="X130" s="267"/>
      <c r="Y130" s="269"/>
      <c r="Z130" s="267"/>
      <c r="AA130" s="269"/>
      <c r="AB130" s="293"/>
    </row>
    <row r="131" spans="1:28" x14ac:dyDescent="0.2">
      <c r="A131" s="287"/>
      <c r="B131" s="290" t="s">
        <v>20</v>
      </c>
      <c r="C131" s="10"/>
      <c r="D131" s="10"/>
      <c r="E131" s="279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83">
        <f>SUM(F131, K131, P131, F132, K132, P132)</f>
        <v>0</v>
      </c>
      <c r="V131" s="283">
        <f>SUM(H131, M131, R131, H132, M132, R132)</f>
        <v>0</v>
      </c>
      <c r="W131" s="258">
        <f>IF($U131=0, ,V131/$U131)</f>
        <v>0</v>
      </c>
      <c r="X131" s="283">
        <f>SUM(I131, N131, S131, I132, N132, S132)</f>
        <v>0</v>
      </c>
      <c r="Y131" s="258">
        <f>IF($U131=0, ,X131/$U131)</f>
        <v>0</v>
      </c>
      <c r="Z131" s="283">
        <f>SUM(J131, O131, T131, J132, O132, T132)</f>
        <v>0</v>
      </c>
      <c r="AA131" s="258">
        <f>IF($U131=0, ,Z131/$U131)</f>
        <v>0</v>
      </c>
      <c r="AB131" s="277" t="s">
        <v>87</v>
      </c>
    </row>
    <row r="132" spans="1:28" x14ac:dyDescent="0.2">
      <c r="A132" s="287"/>
      <c r="B132" s="291"/>
      <c r="C132" s="10"/>
      <c r="D132" s="10"/>
      <c r="E132" s="280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84"/>
      <c r="V132" s="284"/>
      <c r="W132" s="259"/>
      <c r="X132" s="284"/>
      <c r="Y132" s="259"/>
      <c r="Z132" s="284"/>
      <c r="AA132" s="259"/>
      <c r="AB132" s="278"/>
    </row>
    <row r="133" spans="1:28" x14ac:dyDescent="0.2">
      <c r="A133" s="287"/>
      <c r="B133" s="300" t="s">
        <v>21</v>
      </c>
      <c r="C133" s="9"/>
      <c r="D133" s="9"/>
      <c r="E133" s="264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66">
        <f>SUM(F133, K133, P133, F134, K134, P134)</f>
        <v>0</v>
      </c>
      <c r="V133" s="266">
        <f>SUM(H133, M133, R133, H134, M134, R134)</f>
        <v>0</v>
      </c>
      <c r="W133" s="268">
        <f>IF($U133=0, ,V133/$U133)</f>
        <v>0</v>
      </c>
      <c r="X133" s="266">
        <f>SUM(I133, N133, S133, I134, N134, S134)</f>
        <v>0</v>
      </c>
      <c r="Y133" s="268">
        <f>IF($U133=0, ,X133/$U133)</f>
        <v>0</v>
      </c>
      <c r="Z133" s="266">
        <f>SUM(J133, O133, T133, J134, O134, T134)</f>
        <v>0</v>
      </c>
      <c r="AA133" s="268">
        <f>IF($U133=0, ,Z133/$U133)</f>
        <v>0</v>
      </c>
      <c r="AB133" s="292" t="s">
        <v>87</v>
      </c>
    </row>
    <row r="134" spans="1:28" x14ac:dyDescent="0.2">
      <c r="A134" s="287"/>
      <c r="B134" s="319"/>
      <c r="C134" s="9"/>
      <c r="D134" s="9"/>
      <c r="E134" s="265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67"/>
      <c r="V134" s="267"/>
      <c r="W134" s="269"/>
      <c r="X134" s="267"/>
      <c r="Y134" s="269"/>
      <c r="Z134" s="267"/>
      <c r="AA134" s="269"/>
      <c r="AB134" s="293"/>
    </row>
    <row r="135" spans="1:28" x14ac:dyDescent="0.2">
      <c r="A135" s="287"/>
      <c r="B135" s="290" t="s">
        <v>22</v>
      </c>
      <c r="C135" s="11"/>
      <c r="D135" s="11"/>
      <c r="E135" s="296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83">
        <f>SUM(F135, K135, P135, F136, K136, P136)</f>
        <v>0</v>
      </c>
      <c r="V135" s="283">
        <f>SUM(H135, M135, R135, H136, M136, R136)</f>
        <v>0</v>
      </c>
      <c r="W135" s="258">
        <f>IF($U135=0, ,V135/$U135)</f>
        <v>0</v>
      </c>
      <c r="X135" s="283">
        <f>SUM(I135, N135, S135, I136, N136, S136)</f>
        <v>0</v>
      </c>
      <c r="Y135" s="258">
        <f>IF($U135=0, ,X135/$U135)</f>
        <v>0</v>
      </c>
      <c r="Z135" s="283">
        <f>SUM(J135, O135, T135, J136, O136, T136)</f>
        <v>0</v>
      </c>
      <c r="AA135" s="258">
        <f>IF($U135=0, ,Z135/$U135)</f>
        <v>0</v>
      </c>
      <c r="AB135" s="277" t="s">
        <v>87</v>
      </c>
    </row>
    <row r="136" spans="1:28" x14ac:dyDescent="0.2">
      <c r="A136" s="287"/>
      <c r="B136" s="291"/>
      <c r="C136" s="11"/>
      <c r="D136" s="11"/>
      <c r="E136" s="297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84"/>
      <c r="V136" s="284"/>
      <c r="W136" s="259"/>
      <c r="X136" s="284"/>
      <c r="Y136" s="259"/>
      <c r="Z136" s="284"/>
      <c r="AA136" s="259"/>
      <c r="AB136" s="278"/>
    </row>
    <row r="137" spans="1:28" ht="13.5" thickBot="1" x14ac:dyDescent="0.25">
      <c r="A137" s="287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87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87"/>
      <c r="B139" s="288" t="s">
        <v>35</v>
      </c>
      <c r="C139" s="289" t="s">
        <v>25</v>
      </c>
      <c r="D139" s="289" t="s">
        <v>28</v>
      </c>
      <c r="E139" s="270" t="s">
        <v>12</v>
      </c>
      <c r="F139" s="314" t="s">
        <v>13</v>
      </c>
      <c r="G139" s="314"/>
      <c r="H139" s="314"/>
      <c r="I139" s="314" t="s">
        <v>14</v>
      </c>
      <c r="J139" s="314"/>
      <c r="K139" s="314"/>
      <c r="L139" s="314" t="s">
        <v>15</v>
      </c>
      <c r="M139" s="314"/>
      <c r="N139" s="314"/>
      <c r="O139" s="274" t="s">
        <v>34</v>
      </c>
      <c r="P139" s="274" t="s">
        <v>48</v>
      </c>
      <c r="Q139" s="274" t="s">
        <v>60</v>
      </c>
      <c r="R139" s="274" t="s">
        <v>49</v>
      </c>
      <c r="S139" s="274" t="s">
        <v>61</v>
      </c>
      <c r="T139" s="310" t="s">
        <v>79</v>
      </c>
      <c r="U139" s="310"/>
      <c r="V139" s="310"/>
      <c r="W139" s="310"/>
      <c r="X139" s="310"/>
      <c r="Y139" s="310"/>
      <c r="Z139" s="310"/>
      <c r="AA139" s="310"/>
      <c r="AB139" s="311"/>
    </row>
    <row r="140" spans="1:28" ht="25.5" x14ac:dyDescent="0.2">
      <c r="A140" s="287"/>
      <c r="B140" s="288"/>
      <c r="C140" s="289"/>
      <c r="D140" s="289"/>
      <c r="E140" s="270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76"/>
      <c r="P140" s="276"/>
      <c r="Q140" s="276"/>
      <c r="R140" s="276"/>
      <c r="S140" s="276"/>
      <c r="T140" s="312"/>
      <c r="U140" s="312"/>
      <c r="V140" s="312"/>
      <c r="W140" s="312"/>
      <c r="X140" s="312"/>
      <c r="Y140" s="312"/>
      <c r="Z140" s="312"/>
      <c r="AA140" s="312"/>
      <c r="AB140" s="313"/>
    </row>
    <row r="141" spans="1:28" x14ac:dyDescent="0.2">
      <c r="A141" s="287"/>
      <c r="B141" s="308" t="s">
        <v>36</v>
      </c>
      <c r="C141" s="12"/>
      <c r="D141" s="12" t="s">
        <v>80</v>
      </c>
      <c r="E141" s="309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66">
        <f>SUM(F141, I141, L141, F142, I142, L142)*$O138</f>
        <v>0</v>
      </c>
      <c r="P141" s="266">
        <f>SUM(G141, J141, M141, G142, J142, M142)</f>
        <v>0</v>
      </c>
      <c r="Q141" s="268">
        <f>IF($O141=0, ,P141/$O141)</f>
        <v>0</v>
      </c>
      <c r="R141" s="266">
        <f>SUM(H141, K141, N141, H142, K142, N142)</f>
        <v>0</v>
      </c>
      <c r="S141" s="268">
        <f>IF($O141=0, ,R141/$O141)</f>
        <v>0</v>
      </c>
      <c r="T141" s="315"/>
      <c r="U141" s="315"/>
      <c r="V141" s="315"/>
      <c r="W141" s="315"/>
      <c r="X141" s="315"/>
      <c r="Y141" s="315"/>
      <c r="Z141" s="315"/>
      <c r="AA141" s="315"/>
      <c r="AB141" s="316"/>
    </row>
    <row r="142" spans="1:28" x14ac:dyDescent="0.2">
      <c r="A142" s="287"/>
      <c r="B142" s="308"/>
      <c r="C142" s="12"/>
      <c r="D142" s="12"/>
      <c r="E142" s="309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67"/>
      <c r="P142" s="267"/>
      <c r="Q142" s="269"/>
      <c r="R142" s="267"/>
      <c r="S142" s="269"/>
      <c r="T142" s="317"/>
      <c r="U142" s="317"/>
      <c r="V142" s="317"/>
      <c r="W142" s="317"/>
      <c r="X142" s="317"/>
      <c r="Y142" s="317"/>
      <c r="Z142" s="317"/>
      <c r="AA142" s="317"/>
      <c r="AB142" s="318"/>
    </row>
    <row r="143" spans="1:28" x14ac:dyDescent="0.2">
      <c r="A143" s="287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87"/>
      <c r="B144" s="321" t="s">
        <v>67</v>
      </c>
      <c r="C144" s="321"/>
      <c r="D144" s="322"/>
      <c r="E144" s="82" t="s">
        <v>68</v>
      </c>
      <c r="F144" s="306" t="s">
        <v>64</v>
      </c>
      <c r="G144" s="306"/>
      <c r="H144" s="306"/>
      <c r="I144" s="306" t="s">
        <v>76</v>
      </c>
      <c r="J144" s="306"/>
      <c r="K144" s="306"/>
      <c r="L144" s="306" t="s">
        <v>65</v>
      </c>
      <c r="M144" s="306"/>
      <c r="N144" s="306"/>
      <c r="O144" s="306" t="s">
        <v>66</v>
      </c>
      <c r="P144" s="306"/>
      <c r="Q144" s="306"/>
      <c r="R144" s="306" t="s">
        <v>73</v>
      </c>
      <c r="S144" s="306"/>
      <c r="T144" s="306"/>
      <c r="U144" s="306" t="s">
        <v>74</v>
      </c>
      <c r="V144" s="306"/>
      <c r="W144" s="306"/>
      <c r="X144" s="306" t="s">
        <v>75</v>
      </c>
      <c r="Y144" s="306"/>
      <c r="Z144" s="306"/>
      <c r="AA144" s="307"/>
      <c r="AB144" s="307"/>
    </row>
    <row r="145" spans="1:28" x14ac:dyDescent="0.2">
      <c r="A145" s="287"/>
      <c r="B145" s="323"/>
      <c r="C145" s="323"/>
      <c r="D145" s="324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307"/>
      <c r="AB145" s="307"/>
    </row>
    <row r="146" spans="1:28" x14ac:dyDescent="0.2">
      <c r="A146" s="287"/>
      <c r="B146" s="325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307"/>
      <c r="AB146" s="307"/>
    </row>
    <row r="147" spans="1:28" x14ac:dyDescent="0.2">
      <c r="A147" s="287"/>
      <c r="B147" s="325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307"/>
      <c r="AB147" s="307"/>
    </row>
    <row r="148" spans="1:28" x14ac:dyDescent="0.2">
      <c r="A148" s="287"/>
      <c r="B148" s="325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307"/>
      <c r="AB148" s="307"/>
    </row>
    <row r="149" spans="1:28" x14ac:dyDescent="0.2">
      <c r="A149" s="287"/>
      <c r="B149" s="325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307"/>
      <c r="AB149" s="307"/>
    </row>
    <row r="151" spans="1:28" x14ac:dyDescent="0.2">
      <c r="A151" s="287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87"/>
      <c r="B152" s="288" t="s">
        <v>10</v>
      </c>
      <c r="C152" s="289" t="s">
        <v>25</v>
      </c>
      <c r="D152" s="289" t="s">
        <v>28</v>
      </c>
      <c r="E152" s="270" t="s">
        <v>12</v>
      </c>
      <c r="F152" s="271" t="s">
        <v>13</v>
      </c>
      <c r="G152" s="272"/>
      <c r="H152" s="272"/>
      <c r="I152" s="272"/>
      <c r="J152" s="273"/>
      <c r="K152" s="271" t="s">
        <v>14</v>
      </c>
      <c r="L152" s="272"/>
      <c r="M152" s="272"/>
      <c r="N152" s="272"/>
      <c r="O152" s="273"/>
      <c r="P152" s="271" t="s">
        <v>15</v>
      </c>
      <c r="Q152" s="272"/>
      <c r="R152" s="272"/>
      <c r="S152" s="272"/>
      <c r="T152" s="273"/>
      <c r="U152" s="320" t="s">
        <v>34</v>
      </c>
      <c r="V152" s="320" t="s">
        <v>48</v>
      </c>
      <c r="W152" s="320" t="s">
        <v>56</v>
      </c>
      <c r="X152" s="320" t="s">
        <v>54</v>
      </c>
      <c r="Y152" s="320" t="s">
        <v>57</v>
      </c>
      <c r="Z152" s="320" t="s">
        <v>55</v>
      </c>
      <c r="AA152" s="320" t="s">
        <v>58</v>
      </c>
      <c r="AB152" s="320" t="s">
        <v>38</v>
      </c>
    </row>
    <row r="153" spans="1:28" ht="38.25" x14ac:dyDescent="0.2">
      <c r="A153" s="287"/>
      <c r="B153" s="288"/>
      <c r="C153" s="289"/>
      <c r="D153" s="289"/>
      <c r="E153" s="270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320"/>
      <c r="V153" s="320"/>
      <c r="W153" s="320"/>
      <c r="X153" s="320"/>
      <c r="Y153" s="320"/>
      <c r="Z153" s="320"/>
      <c r="AA153" s="320"/>
      <c r="AB153" s="320"/>
    </row>
    <row r="154" spans="1:28" x14ac:dyDescent="0.2">
      <c r="A154" s="287"/>
      <c r="B154" s="300" t="s">
        <v>17</v>
      </c>
      <c r="C154" s="12"/>
      <c r="D154" s="12"/>
      <c r="E154" s="302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66">
        <f>SUM(F154, K154, P154, F155, K155, P155)</f>
        <v>0</v>
      </c>
      <c r="V154" s="266">
        <f>SUM(H154, M154, R154, H155, M155, R155)</f>
        <v>0</v>
      </c>
      <c r="W154" s="268">
        <f>IF($U154=0, ,V154/$U154)</f>
        <v>0</v>
      </c>
      <c r="X154" s="266">
        <f>SUM(I154, N154, S154, I155, N155, S155)</f>
        <v>0</v>
      </c>
      <c r="Y154" s="268">
        <f>IF($U154=0, ,X154/$U154)</f>
        <v>0</v>
      </c>
      <c r="Z154" s="266">
        <f>SUM(J154, O154, T154, J155, O155, T155)</f>
        <v>0</v>
      </c>
      <c r="AA154" s="268">
        <f>IF($U154=0, ,Z154/$U154)</f>
        <v>0</v>
      </c>
      <c r="AB154" s="292" t="s">
        <v>87</v>
      </c>
    </row>
    <row r="155" spans="1:28" x14ac:dyDescent="0.2">
      <c r="A155" s="287"/>
      <c r="B155" s="319"/>
      <c r="C155" s="12"/>
      <c r="D155" s="12"/>
      <c r="E155" s="304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67"/>
      <c r="V155" s="267"/>
      <c r="W155" s="269"/>
      <c r="X155" s="267"/>
      <c r="Y155" s="269"/>
      <c r="Z155" s="267"/>
      <c r="AA155" s="269"/>
      <c r="AB155" s="293"/>
    </row>
    <row r="156" spans="1:28" x14ac:dyDescent="0.2">
      <c r="A156" s="287"/>
      <c r="B156" s="290" t="s">
        <v>18</v>
      </c>
      <c r="C156" s="10"/>
      <c r="D156" s="10"/>
      <c r="E156" s="279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83">
        <f>SUM(F156, K156, P156, F157, K157, P157)</f>
        <v>0</v>
      </c>
      <c r="V156" s="283">
        <f>SUM(H156, M156, R156, H157, M157, R157)</f>
        <v>0</v>
      </c>
      <c r="W156" s="258">
        <f>IF($U156=0, ,V156/$U156)</f>
        <v>0</v>
      </c>
      <c r="X156" s="283">
        <f>SUM(I156, N156, S156, I157, N157, S157)</f>
        <v>0</v>
      </c>
      <c r="Y156" s="258">
        <f>IF($U156=0, ,X156/$U156)</f>
        <v>0</v>
      </c>
      <c r="Z156" s="283">
        <f>SUM(J156, O156, T156, J157, O157, T157)</f>
        <v>0</v>
      </c>
      <c r="AA156" s="258">
        <f>IF($U156=0, ,Z156/$U156)</f>
        <v>0</v>
      </c>
      <c r="AB156" s="277" t="s">
        <v>87</v>
      </c>
    </row>
    <row r="157" spans="1:28" x14ac:dyDescent="0.2">
      <c r="A157" s="287"/>
      <c r="B157" s="291"/>
      <c r="C157" s="10"/>
      <c r="D157" s="10"/>
      <c r="E157" s="280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84"/>
      <c r="V157" s="284"/>
      <c r="W157" s="259"/>
      <c r="X157" s="284"/>
      <c r="Y157" s="259"/>
      <c r="Z157" s="284"/>
      <c r="AA157" s="259"/>
      <c r="AB157" s="278"/>
    </row>
    <row r="158" spans="1:28" x14ac:dyDescent="0.2">
      <c r="A158" s="287"/>
      <c r="B158" s="300" t="s">
        <v>19</v>
      </c>
      <c r="C158" s="9"/>
      <c r="D158" s="9"/>
      <c r="E158" s="264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66">
        <f>SUM(F158, K158, P158, F159, K159, P159)</f>
        <v>0</v>
      </c>
      <c r="V158" s="266">
        <f>SUM(H158, M158, R158, H159, M159, R159)</f>
        <v>0</v>
      </c>
      <c r="W158" s="268">
        <f>IF($U158=0, ,V158/$U158)</f>
        <v>0</v>
      </c>
      <c r="X158" s="266">
        <f>SUM(I158, N158, S158, I159, N159, S159)</f>
        <v>0</v>
      </c>
      <c r="Y158" s="268">
        <f>IF($U158=0, ,X158/$U158)</f>
        <v>0</v>
      </c>
      <c r="Z158" s="266">
        <f>SUM(J158, O158, T158, J159, O159, T159)</f>
        <v>0</v>
      </c>
      <c r="AA158" s="268">
        <f>IF($U158=0, ,Z158/$U158)</f>
        <v>0</v>
      </c>
      <c r="AB158" s="292" t="s">
        <v>87</v>
      </c>
    </row>
    <row r="159" spans="1:28" x14ac:dyDescent="0.2">
      <c r="A159" s="287"/>
      <c r="B159" s="319"/>
      <c r="C159" s="9"/>
      <c r="D159" s="9"/>
      <c r="E159" s="265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67"/>
      <c r="V159" s="267"/>
      <c r="W159" s="269"/>
      <c r="X159" s="267"/>
      <c r="Y159" s="269"/>
      <c r="Z159" s="267"/>
      <c r="AA159" s="269"/>
      <c r="AB159" s="293"/>
    </row>
    <row r="160" spans="1:28" x14ac:dyDescent="0.2">
      <c r="A160" s="287"/>
      <c r="B160" s="290" t="s">
        <v>20</v>
      </c>
      <c r="C160" s="10"/>
      <c r="D160" s="10"/>
      <c r="E160" s="279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83">
        <f>SUM(F160, K160, P160, F161, K161, P161)</f>
        <v>0</v>
      </c>
      <c r="V160" s="283">
        <f>SUM(H160, M160, R160, H161, M161, R161)</f>
        <v>0</v>
      </c>
      <c r="W160" s="258">
        <f>IF($U160=0, ,V160/$U160)</f>
        <v>0</v>
      </c>
      <c r="X160" s="283">
        <f>SUM(I160, N160, S160, I161, N161, S161)</f>
        <v>0</v>
      </c>
      <c r="Y160" s="258">
        <f>IF($U160=0, ,X160/$U160)</f>
        <v>0</v>
      </c>
      <c r="Z160" s="283">
        <f>SUM(J160, O160, T160, J161, O161, T161)</f>
        <v>0</v>
      </c>
      <c r="AA160" s="258">
        <f>IF($U160=0, ,Z160/$U160)</f>
        <v>0</v>
      </c>
      <c r="AB160" s="277" t="s">
        <v>87</v>
      </c>
    </row>
    <row r="161" spans="1:28" x14ac:dyDescent="0.2">
      <c r="A161" s="287"/>
      <c r="B161" s="291"/>
      <c r="C161" s="10"/>
      <c r="D161" s="10"/>
      <c r="E161" s="280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84"/>
      <c r="V161" s="284"/>
      <c r="W161" s="259"/>
      <c r="X161" s="284"/>
      <c r="Y161" s="259"/>
      <c r="Z161" s="284"/>
      <c r="AA161" s="259"/>
      <c r="AB161" s="278"/>
    </row>
    <row r="162" spans="1:28" x14ac:dyDescent="0.2">
      <c r="A162" s="287"/>
      <c r="B162" s="300" t="s">
        <v>21</v>
      </c>
      <c r="C162" s="9"/>
      <c r="D162" s="9"/>
      <c r="E162" s="264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66">
        <f>SUM(F162, K162, P162, F163, K163, P163)</f>
        <v>0</v>
      </c>
      <c r="V162" s="266">
        <f>SUM(H162, M162, R162, H163, M163, R163)</f>
        <v>0</v>
      </c>
      <c r="W162" s="268">
        <f>IF($U162=0, ,V162/$U162)</f>
        <v>0</v>
      </c>
      <c r="X162" s="266">
        <f>SUM(I162, N162, S162, I163, N163, S163)</f>
        <v>0</v>
      </c>
      <c r="Y162" s="268">
        <f>IF($U162=0, ,X162/$U162)</f>
        <v>0</v>
      </c>
      <c r="Z162" s="266">
        <f>SUM(J162, O162, T162, J163, O163, T163)</f>
        <v>0</v>
      </c>
      <c r="AA162" s="268">
        <f>IF($U162=0, ,Z162/$U162)</f>
        <v>0</v>
      </c>
      <c r="AB162" s="292" t="s">
        <v>87</v>
      </c>
    </row>
    <row r="163" spans="1:28" x14ac:dyDescent="0.2">
      <c r="A163" s="287"/>
      <c r="B163" s="319"/>
      <c r="C163" s="9"/>
      <c r="D163" s="9"/>
      <c r="E163" s="265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67"/>
      <c r="V163" s="267"/>
      <c r="W163" s="269"/>
      <c r="X163" s="267"/>
      <c r="Y163" s="269"/>
      <c r="Z163" s="267"/>
      <c r="AA163" s="269"/>
      <c r="AB163" s="293"/>
    </row>
    <row r="164" spans="1:28" x14ac:dyDescent="0.2">
      <c r="A164" s="287"/>
      <c r="B164" s="290" t="s">
        <v>22</v>
      </c>
      <c r="C164" s="11"/>
      <c r="D164" s="11"/>
      <c r="E164" s="296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83">
        <f>SUM(F164, K164, P164, F165, K165, P165)</f>
        <v>0</v>
      </c>
      <c r="V164" s="283">
        <f>SUM(H164, M164, R164, H165, M165, R165)</f>
        <v>0</v>
      </c>
      <c r="W164" s="258">
        <f>IF($U164=0, ,V164/$U164)</f>
        <v>0</v>
      </c>
      <c r="X164" s="283">
        <f>SUM(I164, N164, S164, I165, N165, S165)</f>
        <v>0</v>
      </c>
      <c r="Y164" s="258">
        <f>IF($U164=0, ,X164/$U164)</f>
        <v>0</v>
      </c>
      <c r="Z164" s="283">
        <f>SUM(J164, O164, T164, J165, O165, T165)</f>
        <v>0</v>
      </c>
      <c r="AA164" s="258">
        <f>IF($U164=0, ,Z164/$U164)</f>
        <v>0</v>
      </c>
      <c r="AB164" s="277" t="s">
        <v>87</v>
      </c>
    </row>
    <row r="165" spans="1:28" x14ac:dyDescent="0.2">
      <c r="A165" s="287"/>
      <c r="B165" s="291"/>
      <c r="C165" s="11"/>
      <c r="D165" s="11"/>
      <c r="E165" s="297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84"/>
      <c r="V165" s="284"/>
      <c r="W165" s="259"/>
      <c r="X165" s="284"/>
      <c r="Y165" s="259"/>
      <c r="Z165" s="284"/>
      <c r="AA165" s="259"/>
      <c r="AB165" s="278"/>
    </row>
    <row r="166" spans="1:28" ht="13.5" thickBot="1" x14ac:dyDescent="0.25">
      <c r="A166" s="287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87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87"/>
      <c r="B168" s="288" t="s">
        <v>35</v>
      </c>
      <c r="C168" s="289" t="s">
        <v>25</v>
      </c>
      <c r="D168" s="289" t="s">
        <v>28</v>
      </c>
      <c r="E168" s="270" t="s">
        <v>12</v>
      </c>
      <c r="F168" s="314" t="s">
        <v>13</v>
      </c>
      <c r="G168" s="314"/>
      <c r="H168" s="314"/>
      <c r="I168" s="314" t="s">
        <v>14</v>
      </c>
      <c r="J168" s="314"/>
      <c r="K168" s="314"/>
      <c r="L168" s="314" t="s">
        <v>15</v>
      </c>
      <c r="M168" s="314"/>
      <c r="N168" s="314"/>
      <c r="O168" s="274" t="s">
        <v>34</v>
      </c>
      <c r="P168" s="274" t="s">
        <v>48</v>
      </c>
      <c r="Q168" s="274" t="s">
        <v>60</v>
      </c>
      <c r="R168" s="274" t="s">
        <v>49</v>
      </c>
      <c r="S168" s="274" t="s">
        <v>61</v>
      </c>
      <c r="T168" s="310" t="s">
        <v>79</v>
      </c>
      <c r="U168" s="310"/>
      <c r="V168" s="310"/>
      <c r="W168" s="310"/>
      <c r="X168" s="310"/>
      <c r="Y168" s="310"/>
      <c r="Z168" s="310"/>
      <c r="AA168" s="310"/>
      <c r="AB168" s="311"/>
    </row>
    <row r="169" spans="1:28" ht="25.5" x14ac:dyDescent="0.2">
      <c r="A169" s="287"/>
      <c r="B169" s="288"/>
      <c r="C169" s="289"/>
      <c r="D169" s="289"/>
      <c r="E169" s="270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76"/>
      <c r="P169" s="276"/>
      <c r="Q169" s="276"/>
      <c r="R169" s="276"/>
      <c r="S169" s="276"/>
      <c r="T169" s="312"/>
      <c r="U169" s="312"/>
      <c r="V169" s="312"/>
      <c r="W169" s="312"/>
      <c r="X169" s="312"/>
      <c r="Y169" s="312"/>
      <c r="Z169" s="312"/>
      <c r="AA169" s="312"/>
      <c r="AB169" s="313"/>
    </row>
    <row r="170" spans="1:28" x14ac:dyDescent="0.2">
      <c r="A170" s="287"/>
      <c r="B170" s="308" t="s">
        <v>36</v>
      </c>
      <c r="C170" s="12"/>
      <c r="D170" s="12" t="s">
        <v>80</v>
      </c>
      <c r="E170" s="309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66">
        <f>SUM(F170, I170, L170, F171, I171, L171)*$O167</f>
        <v>0</v>
      </c>
      <c r="P170" s="266">
        <f>SUM(G170, J170, M170, G171, J171, M171)</f>
        <v>0</v>
      </c>
      <c r="Q170" s="268">
        <f>IF($O170=0, ,P170/$O170)</f>
        <v>0</v>
      </c>
      <c r="R170" s="266">
        <f>SUM(H170, K170, N170, H171, K171, N171)</f>
        <v>0</v>
      </c>
      <c r="S170" s="268">
        <f>IF($O170=0, ,R170/$O170)</f>
        <v>0</v>
      </c>
      <c r="T170" s="315"/>
      <c r="U170" s="315"/>
      <c r="V170" s="315"/>
      <c r="W170" s="315"/>
      <c r="X170" s="315"/>
      <c r="Y170" s="315"/>
      <c r="Z170" s="315"/>
      <c r="AA170" s="315"/>
      <c r="AB170" s="316"/>
    </row>
    <row r="171" spans="1:28" x14ac:dyDescent="0.2">
      <c r="A171" s="287"/>
      <c r="B171" s="308"/>
      <c r="C171" s="12"/>
      <c r="D171" s="12"/>
      <c r="E171" s="309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67"/>
      <c r="P171" s="267"/>
      <c r="Q171" s="269"/>
      <c r="R171" s="267"/>
      <c r="S171" s="269"/>
      <c r="T171" s="317"/>
      <c r="U171" s="317"/>
      <c r="V171" s="317"/>
      <c r="W171" s="317"/>
      <c r="X171" s="317"/>
      <c r="Y171" s="317"/>
      <c r="Z171" s="317"/>
      <c r="AA171" s="317"/>
      <c r="AB171" s="318"/>
    </row>
    <row r="172" spans="1:28" x14ac:dyDescent="0.2">
      <c r="A172" s="287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87"/>
      <c r="B173" s="321" t="s">
        <v>67</v>
      </c>
      <c r="C173" s="321"/>
      <c r="D173" s="322"/>
      <c r="E173" s="82" t="s">
        <v>68</v>
      </c>
      <c r="F173" s="306" t="s">
        <v>64</v>
      </c>
      <c r="G173" s="306"/>
      <c r="H173" s="306"/>
      <c r="I173" s="306" t="s">
        <v>76</v>
      </c>
      <c r="J173" s="306"/>
      <c r="K173" s="306"/>
      <c r="L173" s="306" t="s">
        <v>65</v>
      </c>
      <c r="M173" s="306"/>
      <c r="N173" s="306"/>
      <c r="O173" s="306" t="s">
        <v>66</v>
      </c>
      <c r="P173" s="306"/>
      <c r="Q173" s="306"/>
      <c r="R173" s="306" t="s">
        <v>73</v>
      </c>
      <c r="S173" s="306"/>
      <c r="T173" s="306"/>
      <c r="U173" s="306" t="s">
        <v>74</v>
      </c>
      <c r="V173" s="306"/>
      <c r="W173" s="306"/>
      <c r="X173" s="306" t="s">
        <v>75</v>
      </c>
      <c r="Y173" s="306"/>
      <c r="Z173" s="306"/>
      <c r="AA173" s="307"/>
      <c r="AB173" s="307"/>
    </row>
    <row r="174" spans="1:28" x14ac:dyDescent="0.2">
      <c r="A174" s="287"/>
      <c r="B174" s="323"/>
      <c r="C174" s="323"/>
      <c r="D174" s="324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307"/>
      <c r="AB174" s="307"/>
    </row>
    <row r="175" spans="1:28" x14ac:dyDescent="0.2">
      <c r="A175" s="287"/>
      <c r="B175" s="325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307"/>
      <c r="AB175" s="307"/>
    </row>
    <row r="176" spans="1:28" x14ac:dyDescent="0.2">
      <c r="A176" s="287"/>
      <c r="B176" s="325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307"/>
      <c r="AB176" s="307"/>
    </row>
    <row r="177" spans="1:28" x14ac:dyDescent="0.2">
      <c r="A177" s="287"/>
      <c r="B177" s="325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307"/>
      <c r="AB177" s="307"/>
    </row>
    <row r="178" spans="1:28" x14ac:dyDescent="0.2">
      <c r="A178" s="287"/>
      <c r="B178" s="325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307"/>
      <c r="AB178" s="307"/>
    </row>
    <row r="180" spans="1:28" x14ac:dyDescent="0.2">
      <c r="A180" s="287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87"/>
      <c r="B181" s="288" t="s">
        <v>10</v>
      </c>
      <c r="C181" s="289" t="s">
        <v>25</v>
      </c>
      <c r="D181" s="289" t="s">
        <v>28</v>
      </c>
      <c r="E181" s="270" t="s">
        <v>12</v>
      </c>
      <c r="F181" s="271" t="s">
        <v>13</v>
      </c>
      <c r="G181" s="272"/>
      <c r="H181" s="272"/>
      <c r="I181" s="272"/>
      <c r="J181" s="273"/>
      <c r="K181" s="271" t="s">
        <v>14</v>
      </c>
      <c r="L181" s="272"/>
      <c r="M181" s="272"/>
      <c r="N181" s="272"/>
      <c r="O181" s="273"/>
      <c r="P181" s="271" t="s">
        <v>15</v>
      </c>
      <c r="Q181" s="272"/>
      <c r="R181" s="272"/>
      <c r="S181" s="272"/>
      <c r="T181" s="273"/>
      <c r="U181" s="320" t="s">
        <v>34</v>
      </c>
      <c r="V181" s="320" t="s">
        <v>48</v>
      </c>
      <c r="W181" s="320" t="s">
        <v>56</v>
      </c>
      <c r="X181" s="320" t="s">
        <v>54</v>
      </c>
      <c r="Y181" s="320" t="s">
        <v>57</v>
      </c>
      <c r="Z181" s="320" t="s">
        <v>55</v>
      </c>
      <c r="AA181" s="320" t="s">
        <v>58</v>
      </c>
      <c r="AB181" s="320" t="s">
        <v>38</v>
      </c>
    </row>
    <row r="182" spans="1:28" ht="38.25" x14ac:dyDescent="0.2">
      <c r="A182" s="287"/>
      <c r="B182" s="288"/>
      <c r="C182" s="289"/>
      <c r="D182" s="289"/>
      <c r="E182" s="270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320"/>
      <c r="V182" s="320"/>
      <c r="W182" s="320"/>
      <c r="X182" s="320"/>
      <c r="Y182" s="320"/>
      <c r="Z182" s="320"/>
      <c r="AA182" s="320"/>
      <c r="AB182" s="320"/>
    </row>
    <row r="183" spans="1:28" x14ac:dyDescent="0.2">
      <c r="A183" s="287"/>
      <c r="B183" s="300" t="s">
        <v>17</v>
      </c>
      <c r="C183" s="12"/>
      <c r="D183" s="12"/>
      <c r="E183" s="302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66">
        <f>SUM(F183, K183, P183, F184, K184, P184)</f>
        <v>0</v>
      </c>
      <c r="V183" s="266">
        <f>SUM(H183, M183, R183, H184, M184, R184)</f>
        <v>0</v>
      </c>
      <c r="W183" s="268">
        <f>IF($U183=0, ,V183/$U183)</f>
        <v>0</v>
      </c>
      <c r="X183" s="266">
        <f>SUM(I183, N183, S183, I184, N184, S184)</f>
        <v>0</v>
      </c>
      <c r="Y183" s="268">
        <f>IF($U183=0, ,X183/$U183)</f>
        <v>0</v>
      </c>
      <c r="Z183" s="266">
        <f>SUM(J183, O183, T183, J184, O184, T184)</f>
        <v>0</v>
      </c>
      <c r="AA183" s="268">
        <f>IF($U183=0, ,Z183/$U183)</f>
        <v>0</v>
      </c>
      <c r="AB183" s="292" t="s">
        <v>87</v>
      </c>
    </row>
    <row r="184" spans="1:28" x14ac:dyDescent="0.2">
      <c r="A184" s="287"/>
      <c r="B184" s="319"/>
      <c r="C184" s="12"/>
      <c r="D184" s="12"/>
      <c r="E184" s="304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67"/>
      <c r="V184" s="267"/>
      <c r="W184" s="269"/>
      <c r="X184" s="267"/>
      <c r="Y184" s="269"/>
      <c r="Z184" s="267"/>
      <c r="AA184" s="269"/>
      <c r="AB184" s="293"/>
    </row>
    <row r="185" spans="1:28" x14ac:dyDescent="0.2">
      <c r="A185" s="287"/>
      <c r="B185" s="290" t="s">
        <v>18</v>
      </c>
      <c r="C185" s="10">
        <v>21283</v>
      </c>
      <c r="D185" s="10"/>
      <c r="E185" s="279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83">
        <f>SUM(F185, K185, P185, F186, K186, P186)</f>
        <v>3048</v>
      </c>
      <c r="V185" s="283">
        <f>SUM(H185, M185, R185, H186, M186, R186)</f>
        <v>0</v>
      </c>
      <c r="W185" s="258">
        <f>IF($U185=0, ,V185/$U185)</f>
        <v>0</v>
      </c>
      <c r="X185" s="283">
        <f>SUM(I185, N185, S185, I186, N186, S186)</f>
        <v>0</v>
      </c>
      <c r="Y185" s="258">
        <f>IF($U185=0, ,X185/$U185)</f>
        <v>0</v>
      </c>
      <c r="Z185" s="283">
        <f>SUM(J185, O185, T185, J186, O186, T186)</f>
        <v>0</v>
      </c>
      <c r="AA185" s="258">
        <f>IF($U185=0, ,Z185/$U185)</f>
        <v>0</v>
      </c>
      <c r="AB185" s="277"/>
    </row>
    <row r="186" spans="1:28" x14ac:dyDescent="0.2">
      <c r="A186" s="287"/>
      <c r="B186" s="291"/>
      <c r="C186" s="10"/>
      <c r="D186" s="10"/>
      <c r="E186" s="280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84"/>
      <c r="V186" s="284"/>
      <c r="W186" s="259"/>
      <c r="X186" s="284"/>
      <c r="Y186" s="259"/>
      <c r="Z186" s="284"/>
      <c r="AA186" s="259"/>
      <c r="AB186" s="278"/>
    </row>
    <row r="187" spans="1:28" x14ac:dyDescent="0.2">
      <c r="A187" s="287"/>
      <c r="B187" s="300" t="s">
        <v>19</v>
      </c>
      <c r="C187" s="9"/>
      <c r="D187" s="9"/>
      <c r="E187" s="264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66">
        <f>SUM(F187, K187, P187, F188, K188, P188)</f>
        <v>0</v>
      </c>
      <c r="V187" s="266">
        <f>SUM(H187, M187, R187, H188, M188, R188)</f>
        <v>0</v>
      </c>
      <c r="W187" s="268">
        <f>IF($U187=0, ,V187/$U187)</f>
        <v>0</v>
      </c>
      <c r="X187" s="266">
        <f>SUM(I187, N187, S187, I188, N188, S188)</f>
        <v>0</v>
      </c>
      <c r="Y187" s="268">
        <f>IF($U187=0, ,X187/$U187)</f>
        <v>0</v>
      </c>
      <c r="Z187" s="266">
        <f>SUM(J187, O187, T187, J188, O188, T188)</f>
        <v>0</v>
      </c>
      <c r="AA187" s="268">
        <f>IF($U187=0, ,Z187/$U187)</f>
        <v>0</v>
      </c>
      <c r="AB187" s="292" t="s">
        <v>87</v>
      </c>
    </row>
    <row r="188" spans="1:28" x14ac:dyDescent="0.2">
      <c r="A188" s="287"/>
      <c r="B188" s="319"/>
      <c r="C188" s="9"/>
      <c r="D188" s="9"/>
      <c r="E188" s="265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67"/>
      <c r="V188" s="267"/>
      <c r="W188" s="269"/>
      <c r="X188" s="267"/>
      <c r="Y188" s="269"/>
      <c r="Z188" s="267"/>
      <c r="AA188" s="269"/>
      <c r="AB188" s="293"/>
    </row>
    <row r="189" spans="1:28" x14ac:dyDescent="0.2">
      <c r="A189" s="287"/>
      <c r="B189" s="290" t="s">
        <v>20</v>
      </c>
      <c r="C189" s="10"/>
      <c r="D189" s="10"/>
      <c r="E189" s="279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83">
        <f>SUM(F189, K189, P189, F190, K190, P190)</f>
        <v>0</v>
      </c>
      <c r="V189" s="283">
        <f>SUM(H189, M189, R189, H190, M190, R190)</f>
        <v>0</v>
      </c>
      <c r="W189" s="258">
        <f>IF($U189=0, ,V189/$U189)</f>
        <v>0</v>
      </c>
      <c r="X189" s="283">
        <f>SUM(I189, N189, S189, I190, N190, S190)</f>
        <v>0</v>
      </c>
      <c r="Y189" s="258">
        <f>IF($U189=0, ,X189/$U189)</f>
        <v>0</v>
      </c>
      <c r="Z189" s="283">
        <f>SUM(J189, O189, T189, J190, O190, T190)</f>
        <v>0</v>
      </c>
      <c r="AA189" s="258">
        <f>IF($U189=0, ,Z189/$U189)</f>
        <v>0</v>
      </c>
      <c r="AB189" s="277" t="s">
        <v>87</v>
      </c>
    </row>
    <row r="190" spans="1:28" x14ac:dyDescent="0.2">
      <c r="A190" s="287"/>
      <c r="B190" s="291"/>
      <c r="C190" s="10"/>
      <c r="D190" s="10"/>
      <c r="E190" s="280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84"/>
      <c r="V190" s="284"/>
      <c r="W190" s="259"/>
      <c r="X190" s="284"/>
      <c r="Y190" s="259"/>
      <c r="Z190" s="284"/>
      <c r="AA190" s="259"/>
      <c r="AB190" s="278"/>
    </row>
    <row r="191" spans="1:28" x14ac:dyDescent="0.2">
      <c r="A191" s="287"/>
      <c r="B191" s="300" t="s">
        <v>21</v>
      </c>
      <c r="C191" s="9"/>
      <c r="D191" s="9"/>
      <c r="E191" s="264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66">
        <f>SUM(F191, K191, P191, F192, K192, P192)</f>
        <v>3728</v>
      </c>
      <c r="V191" s="266">
        <f>SUM(H191, M191, R191, H192, M192, R192)</f>
        <v>0</v>
      </c>
      <c r="W191" s="268">
        <f>IF($U191=0, ,V191/$U191)</f>
        <v>0</v>
      </c>
      <c r="X191" s="266">
        <f>SUM(I191, N191, S191, I192, N192, S192)</f>
        <v>0</v>
      </c>
      <c r="Y191" s="268">
        <f>IF($U191=0, ,X191/$U191)</f>
        <v>0</v>
      </c>
      <c r="Z191" s="266">
        <f>SUM(J191, O191, T191, J192, O192, T192)</f>
        <v>0</v>
      </c>
      <c r="AA191" s="268">
        <f>IF($U191=0, ,Z191/$U191)</f>
        <v>0</v>
      </c>
      <c r="AB191" s="292"/>
    </row>
    <row r="192" spans="1:28" x14ac:dyDescent="0.2">
      <c r="A192" s="287"/>
      <c r="B192" s="319"/>
      <c r="C192" s="9"/>
      <c r="D192" s="9"/>
      <c r="E192" s="265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67"/>
      <c r="V192" s="267"/>
      <c r="W192" s="269"/>
      <c r="X192" s="267"/>
      <c r="Y192" s="269"/>
      <c r="Z192" s="267"/>
      <c r="AA192" s="269"/>
      <c r="AB192" s="293"/>
    </row>
    <row r="193" spans="1:28" x14ac:dyDescent="0.2">
      <c r="A193" s="287"/>
      <c r="B193" s="290" t="s">
        <v>22</v>
      </c>
      <c r="C193" s="11"/>
      <c r="D193" s="11"/>
      <c r="E193" s="296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83">
        <f>SUM(F193, K193, P193, F194, K194, P194)</f>
        <v>2584</v>
      </c>
      <c r="V193" s="283">
        <f>SUM(H193, M193, R193, H194, M194, R194)</f>
        <v>0</v>
      </c>
      <c r="W193" s="258">
        <f>IF($U193=0, ,V193/$U193)</f>
        <v>0</v>
      </c>
      <c r="X193" s="283">
        <f>SUM(I193, N193, S193, I194, N194, S194)</f>
        <v>0</v>
      </c>
      <c r="Y193" s="258">
        <f>IF($U193=0, ,X193/$U193)</f>
        <v>0</v>
      </c>
      <c r="Z193" s="283">
        <f>SUM(J193, O193, T193, J194, O194, T194)</f>
        <v>0</v>
      </c>
      <c r="AA193" s="258">
        <f>IF($U193=0, ,Z193/$U193)</f>
        <v>0</v>
      </c>
      <c r="AB193" s="277"/>
    </row>
    <row r="194" spans="1:28" x14ac:dyDescent="0.2">
      <c r="A194" s="287"/>
      <c r="B194" s="291"/>
      <c r="C194" s="11"/>
      <c r="D194" s="11"/>
      <c r="E194" s="297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84"/>
      <c r="V194" s="284"/>
      <c r="W194" s="259"/>
      <c r="X194" s="284"/>
      <c r="Y194" s="259"/>
      <c r="Z194" s="284"/>
      <c r="AA194" s="259"/>
      <c r="AB194" s="278"/>
    </row>
    <row r="195" spans="1:28" ht="13.5" thickBot="1" x14ac:dyDescent="0.25">
      <c r="A195" s="287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87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87"/>
      <c r="B197" s="288" t="s">
        <v>35</v>
      </c>
      <c r="C197" s="289" t="s">
        <v>25</v>
      </c>
      <c r="D197" s="289" t="s">
        <v>28</v>
      </c>
      <c r="E197" s="270" t="s">
        <v>12</v>
      </c>
      <c r="F197" s="314" t="s">
        <v>13</v>
      </c>
      <c r="G197" s="314"/>
      <c r="H197" s="314"/>
      <c r="I197" s="314" t="s">
        <v>14</v>
      </c>
      <c r="J197" s="314"/>
      <c r="K197" s="314"/>
      <c r="L197" s="314" t="s">
        <v>15</v>
      </c>
      <c r="M197" s="314"/>
      <c r="N197" s="314"/>
      <c r="O197" s="274" t="s">
        <v>34</v>
      </c>
      <c r="P197" s="274" t="s">
        <v>48</v>
      </c>
      <c r="Q197" s="274" t="s">
        <v>60</v>
      </c>
      <c r="R197" s="274" t="s">
        <v>49</v>
      </c>
      <c r="S197" s="274" t="s">
        <v>61</v>
      </c>
      <c r="T197" s="310"/>
      <c r="U197" s="310"/>
      <c r="V197" s="310"/>
      <c r="W197" s="310"/>
      <c r="X197" s="310"/>
      <c r="Y197" s="310"/>
      <c r="Z197" s="310"/>
      <c r="AA197" s="310"/>
      <c r="AB197" s="311"/>
    </row>
    <row r="198" spans="1:28" ht="25.5" x14ac:dyDescent="0.2">
      <c r="A198" s="287"/>
      <c r="B198" s="288"/>
      <c r="C198" s="289"/>
      <c r="D198" s="289"/>
      <c r="E198" s="270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76"/>
      <c r="P198" s="276"/>
      <c r="Q198" s="276"/>
      <c r="R198" s="276"/>
      <c r="S198" s="276"/>
      <c r="T198" s="312"/>
      <c r="U198" s="312"/>
      <c r="V198" s="312"/>
      <c r="W198" s="312"/>
      <c r="X198" s="312"/>
      <c r="Y198" s="312"/>
      <c r="Z198" s="312"/>
      <c r="AA198" s="312"/>
      <c r="AB198" s="313"/>
    </row>
    <row r="199" spans="1:28" x14ac:dyDescent="0.2">
      <c r="A199" s="287"/>
      <c r="B199" s="308" t="s">
        <v>36</v>
      </c>
      <c r="C199" s="12">
        <v>21283</v>
      </c>
      <c r="D199" s="12" t="s">
        <v>95</v>
      </c>
      <c r="E199" s="309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66">
        <f>SUM(F199, I199, L199, F200, I200, L200)*$O196</f>
        <v>0</v>
      </c>
      <c r="P199" s="266">
        <f>SUM(G199, J199, M199, G200, J200, M200)</f>
        <v>0</v>
      </c>
      <c r="Q199" s="268">
        <f>IF($O199=0, ,P199/$O199)</f>
        <v>0</v>
      </c>
      <c r="R199" s="266">
        <f>SUM(H199, K199, N199, H200, K200, N200)</f>
        <v>0</v>
      </c>
      <c r="S199" s="268">
        <f>IF($O199=0, ,R199/$O199)</f>
        <v>0</v>
      </c>
      <c r="T199" s="315"/>
      <c r="U199" s="315"/>
      <c r="V199" s="315"/>
      <c r="W199" s="315"/>
      <c r="X199" s="315"/>
      <c r="Y199" s="315"/>
      <c r="Z199" s="315"/>
      <c r="AA199" s="315"/>
      <c r="AB199" s="316"/>
    </row>
    <row r="200" spans="1:28" x14ac:dyDescent="0.2">
      <c r="A200" s="287"/>
      <c r="B200" s="308"/>
      <c r="C200" s="12"/>
      <c r="D200" s="12"/>
      <c r="E200" s="309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67"/>
      <c r="P200" s="267"/>
      <c r="Q200" s="269"/>
      <c r="R200" s="267"/>
      <c r="S200" s="269"/>
      <c r="T200" s="317"/>
      <c r="U200" s="317"/>
      <c r="V200" s="317"/>
      <c r="W200" s="317"/>
      <c r="X200" s="317"/>
      <c r="Y200" s="317"/>
      <c r="Z200" s="317"/>
      <c r="AA200" s="317"/>
      <c r="AB200" s="318"/>
    </row>
    <row r="201" spans="1:28" x14ac:dyDescent="0.2">
      <c r="A201" s="287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87"/>
      <c r="B202" s="321" t="s">
        <v>67</v>
      </c>
      <c r="C202" s="321"/>
      <c r="D202" s="322"/>
      <c r="E202" s="82" t="s">
        <v>68</v>
      </c>
      <c r="F202" s="306" t="s">
        <v>64</v>
      </c>
      <c r="G202" s="306"/>
      <c r="H202" s="306"/>
      <c r="I202" s="306" t="s">
        <v>76</v>
      </c>
      <c r="J202" s="306"/>
      <c r="K202" s="306"/>
      <c r="L202" s="306" t="s">
        <v>65</v>
      </c>
      <c r="M202" s="306"/>
      <c r="N202" s="306"/>
      <c r="O202" s="306" t="s">
        <v>66</v>
      </c>
      <c r="P202" s="306"/>
      <c r="Q202" s="306"/>
      <c r="R202" s="306" t="s">
        <v>73</v>
      </c>
      <c r="S202" s="306"/>
      <c r="T202" s="306"/>
      <c r="U202" s="306" t="s">
        <v>74</v>
      </c>
      <c r="V202" s="306"/>
      <c r="W202" s="306"/>
      <c r="X202" s="306" t="s">
        <v>75</v>
      </c>
      <c r="Y202" s="306"/>
      <c r="Z202" s="306"/>
      <c r="AA202" s="307"/>
      <c r="AB202" s="307"/>
    </row>
    <row r="203" spans="1:28" x14ac:dyDescent="0.2">
      <c r="A203" s="287"/>
      <c r="B203" s="323"/>
      <c r="C203" s="323"/>
      <c r="D203" s="324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307"/>
      <c r="AB203" s="307"/>
    </row>
    <row r="204" spans="1:28" x14ac:dyDescent="0.2">
      <c r="A204" s="287"/>
      <c r="B204" s="325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307"/>
      <c r="AB204" s="307"/>
    </row>
    <row r="205" spans="1:28" x14ac:dyDescent="0.2">
      <c r="A205" s="287"/>
      <c r="B205" s="325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307"/>
      <c r="AB205" s="307"/>
    </row>
    <row r="206" spans="1:28" x14ac:dyDescent="0.2">
      <c r="A206" s="287"/>
      <c r="B206" s="325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307"/>
      <c r="AB206" s="307"/>
    </row>
    <row r="207" spans="1:28" x14ac:dyDescent="0.2">
      <c r="A207" s="287"/>
      <c r="B207" s="325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307"/>
      <c r="AB207" s="307"/>
    </row>
    <row r="209" spans="1:28" ht="12.75" customHeight="1" x14ac:dyDescent="0.2">
      <c r="A209" s="287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87"/>
      <c r="B210" s="288" t="s">
        <v>10</v>
      </c>
      <c r="C210" s="289" t="s">
        <v>25</v>
      </c>
      <c r="D210" s="289" t="s">
        <v>28</v>
      </c>
      <c r="E210" s="270" t="s">
        <v>12</v>
      </c>
      <c r="F210" s="271" t="s">
        <v>13</v>
      </c>
      <c r="G210" s="272"/>
      <c r="H210" s="272"/>
      <c r="I210" s="272"/>
      <c r="J210" s="273"/>
      <c r="K210" s="271" t="s">
        <v>14</v>
      </c>
      <c r="L210" s="272"/>
      <c r="M210" s="272"/>
      <c r="N210" s="272"/>
      <c r="O210" s="273"/>
      <c r="P210" s="271" t="s">
        <v>15</v>
      </c>
      <c r="Q210" s="272"/>
      <c r="R210" s="272"/>
      <c r="S210" s="272"/>
      <c r="T210" s="273"/>
      <c r="U210" s="320" t="s">
        <v>34</v>
      </c>
      <c r="V210" s="320" t="s">
        <v>48</v>
      </c>
      <c r="W210" s="320" t="s">
        <v>56</v>
      </c>
      <c r="X210" s="320" t="s">
        <v>54</v>
      </c>
      <c r="Y210" s="320" t="s">
        <v>57</v>
      </c>
      <c r="Z210" s="320" t="s">
        <v>55</v>
      </c>
      <c r="AA210" s="320" t="s">
        <v>58</v>
      </c>
      <c r="AB210" s="320" t="s">
        <v>38</v>
      </c>
    </row>
    <row r="211" spans="1:28" ht="38.25" x14ac:dyDescent="0.2">
      <c r="A211" s="287"/>
      <c r="B211" s="288"/>
      <c r="C211" s="289"/>
      <c r="D211" s="289"/>
      <c r="E211" s="270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320"/>
      <c r="V211" s="320"/>
      <c r="W211" s="320"/>
      <c r="X211" s="320"/>
      <c r="Y211" s="320"/>
      <c r="Z211" s="320"/>
      <c r="AA211" s="320"/>
      <c r="AB211" s="320"/>
    </row>
    <row r="212" spans="1:28" ht="12.75" customHeight="1" x14ac:dyDescent="0.2">
      <c r="A212" s="287"/>
      <c r="B212" s="300" t="s">
        <v>17</v>
      </c>
      <c r="C212" s="12">
        <v>21283</v>
      </c>
      <c r="D212" s="12"/>
      <c r="E212" s="302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66">
        <f>SUM(F212, K212, P212, F213, K213, P213)</f>
        <v>3601</v>
      </c>
      <c r="V212" s="266">
        <f>SUM(H212, M212, R212, H213, M213, R213)</f>
        <v>0</v>
      </c>
      <c r="W212" s="268">
        <f>IF($U212=0, ,V212/$U212)</f>
        <v>0</v>
      </c>
      <c r="X212" s="266">
        <f>SUM(I212, N212, S212, I213, N213, S213)</f>
        <v>0</v>
      </c>
      <c r="Y212" s="268">
        <f>IF($U212=0, ,X212/$U212)</f>
        <v>0</v>
      </c>
      <c r="Z212" s="266">
        <f>SUM(J212, O212, T212, J213, O213, T213)</f>
        <v>0</v>
      </c>
      <c r="AA212" s="268">
        <f>IF($U212=0, ,Z212/$U212)</f>
        <v>0</v>
      </c>
      <c r="AB212" s="292" t="s">
        <v>87</v>
      </c>
    </row>
    <row r="213" spans="1:28" ht="12.75" customHeight="1" x14ac:dyDescent="0.2">
      <c r="A213" s="287"/>
      <c r="B213" s="319"/>
      <c r="C213" s="12"/>
      <c r="D213" s="12"/>
      <c r="E213" s="304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67"/>
      <c r="V213" s="267"/>
      <c r="W213" s="269"/>
      <c r="X213" s="267"/>
      <c r="Y213" s="269"/>
      <c r="Z213" s="267"/>
      <c r="AA213" s="269"/>
      <c r="AB213" s="293"/>
    </row>
    <row r="214" spans="1:28" ht="12.75" customHeight="1" x14ac:dyDescent="0.2">
      <c r="A214" s="287"/>
      <c r="B214" s="290" t="s">
        <v>18</v>
      </c>
      <c r="C214" s="10">
        <v>21283</v>
      </c>
      <c r="D214" s="10"/>
      <c r="E214" s="279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83">
        <f>SUM(F214, K214, P214, F215, K215, P215)</f>
        <v>7525</v>
      </c>
      <c r="V214" s="283">
        <f>SUM(H214, M214, R214, H215, M215, R215)</f>
        <v>0</v>
      </c>
      <c r="W214" s="258">
        <f>IF($U214=0, ,V214/$U214)</f>
        <v>0</v>
      </c>
      <c r="X214" s="283">
        <f>SUM(I214, N214, S214, I215, N215, S215)</f>
        <v>0</v>
      </c>
      <c r="Y214" s="258">
        <f>IF($U214=0, ,X214/$U214)</f>
        <v>0</v>
      </c>
      <c r="Z214" s="283">
        <f>SUM(J214, O214, T214, J215, O215, T215)</f>
        <v>0</v>
      </c>
      <c r="AA214" s="258">
        <f>IF($U214=0, ,Z214/$U214)</f>
        <v>0</v>
      </c>
      <c r="AB214" s="277" t="s">
        <v>87</v>
      </c>
    </row>
    <row r="215" spans="1:28" ht="12.75" customHeight="1" x14ac:dyDescent="0.2">
      <c r="A215" s="287"/>
      <c r="B215" s="291"/>
      <c r="C215" s="10"/>
      <c r="D215" s="10"/>
      <c r="E215" s="280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84"/>
      <c r="V215" s="284"/>
      <c r="W215" s="259"/>
      <c r="X215" s="284"/>
      <c r="Y215" s="259"/>
      <c r="Z215" s="284"/>
      <c r="AA215" s="259"/>
      <c r="AB215" s="278"/>
    </row>
    <row r="216" spans="1:28" ht="12.75" customHeight="1" x14ac:dyDescent="0.2">
      <c r="A216" s="287"/>
      <c r="B216" s="300" t="s">
        <v>19</v>
      </c>
      <c r="C216" s="9"/>
      <c r="D216" s="9"/>
      <c r="E216" s="264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66">
        <f>SUM(F216, K216, P216, F217, K217, P217)</f>
        <v>0</v>
      </c>
      <c r="V216" s="266">
        <f>SUM(H216, M216, R216, H217, M217, R217)</f>
        <v>0</v>
      </c>
      <c r="W216" s="268">
        <f>IF($U216=0, ,V216/$U216)</f>
        <v>0</v>
      </c>
      <c r="X216" s="266">
        <f>SUM(I216, N216, S216, I217, N217, S217)</f>
        <v>0</v>
      </c>
      <c r="Y216" s="268">
        <f>IF($U216=0, ,X216/$U216)</f>
        <v>0</v>
      </c>
      <c r="Z216" s="266">
        <f>SUM(J216, O216, T216, J217, O217, T217)</f>
        <v>0</v>
      </c>
      <c r="AA216" s="268">
        <f>IF($U216=0, ,Z216/$U216)</f>
        <v>0</v>
      </c>
      <c r="AB216" s="292" t="s">
        <v>87</v>
      </c>
    </row>
    <row r="217" spans="1:28" ht="12.75" customHeight="1" x14ac:dyDescent="0.2">
      <c r="A217" s="287"/>
      <c r="B217" s="319"/>
      <c r="C217" s="9"/>
      <c r="D217" s="9"/>
      <c r="E217" s="265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67"/>
      <c r="V217" s="267"/>
      <c r="W217" s="269"/>
      <c r="X217" s="267"/>
      <c r="Y217" s="269"/>
      <c r="Z217" s="267"/>
      <c r="AA217" s="269"/>
      <c r="AB217" s="293"/>
    </row>
    <row r="218" spans="1:28" ht="12.75" customHeight="1" x14ac:dyDescent="0.2">
      <c r="A218" s="287"/>
      <c r="B218" s="290" t="s">
        <v>20</v>
      </c>
      <c r="C218" s="10">
        <v>21283</v>
      </c>
      <c r="D218" s="10"/>
      <c r="E218" s="279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83">
        <f>SUM(F218, K218, P218, F219, K219, P219)</f>
        <v>6767</v>
      </c>
      <c r="V218" s="283">
        <f>SUM(H218, M218, R218, H219, M219, R219)</f>
        <v>0</v>
      </c>
      <c r="W218" s="258">
        <f>IF($U218=0, ,V218/$U218)</f>
        <v>0</v>
      </c>
      <c r="X218" s="283">
        <f>SUM(I218, N218, S218, I219, N219, S219)</f>
        <v>0</v>
      </c>
      <c r="Y218" s="258">
        <f>IF($U218=0, ,X218/$U218)</f>
        <v>0</v>
      </c>
      <c r="Z218" s="283">
        <f>SUM(J218, O218, T218, J219, O219, T219)</f>
        <v>0</v>
      </c>
      <c r="AA218" s="258">
        <f>IF($U218=0, ,Z218/$U218)</f>
        <v>0</v>
      </c>
      <c r="AB218" s="277" t="s">
        <v>87</v>
      </c>
    </row>
    <row r="219" spans="1:28" ht="12.75" customHeight="1" x14ac:dyDescent="0.2">
      <c r="A219" s="287"/>
      <c r="B219" s="291"/>
      <c r="C219" s="10"/>
      <c r="D219" s="10"/>
      <c r="E219" s="280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84"/>
      <c r="V219" s="284"/>
      <c r="W219" s="259"/>
      <c r="X219" s="284"/>
      <c r="Y219" s="259"/>
      <c r="Z219" s="284"/>
      <c r="AA219" s="259"/>
      <c r="AB219" s="278"/>
    </row>
    <row r="220" spans="1:28" ht="12.75" customHeight="1" x14ac:dyDescent="0.2">
      <c r="A220" s="287"/>
      <c r="B220" s="300" t="s">
        <v>21</v>
      </c>
      <c r="C220" s="9">
        <v>21283</v>
      </c>
      <c r="D220" s="9"/>
      <c r="E220" s="264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66">
        <f>SUM(F220, K220, P220, F221, K221, P221)</f>
        <v>6622</v>
      </c>
      <c r="V220" s="266">
        <f>SUM(H220, M220, R220, H221, M221, R221)</f>
        <v>0</v>
      </c>
      <c r="W220" s="268">
        <f>IF($U220=0, ,V220/$U220)</f>
        <v>0</v>
      </c>
      <c r="X220" s="266">
        <f>SUM(I220, N220, S220, I221, N221, S221)</f>
        <v>0</v>
      </c>
      <c r="Y220" s="268">
        <f>IF($U220=0, ,X220/$U220)</f>
        <v>0</v>
      </c>
      <c r="Z220" s="266">
        <f>SUM(J220, O220, T220, J221, O221, T221)</f>
        <v>0</v>
      </c>
      <c r="AA220" s="268">
        <f>IF($U220=0, ,Z220/$U220)</f>
        <v>0</v>
      </c>
      <c r="AB220" s="292" t="s">
        <v>87</v>
      </c>
    </row>
    <row r="221" spans="1:28" ht="12.75" customHeight="1" x14ac:dyDescent="0.2">
      <c r="A221" s="287"/>
      <c r="B221" s="319"/>
      <c r="C221" s="9"/>
      <c r="D221" s="9"/>
      <c r="E221" s="265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67"/>
      <c r="V221" s="267"/>
      <c r="W221" s="269"/>
      <c r="X221" s="267"/>
      <c r="Y221" s="269"/>
      <c r="Z221" s="267"/>
      <c r="AA221" s="269"/>
      <c r="AB221" s="293"/>
    </row>
    <row r="222" spans="1:28" ht="12.75" customHeight="1" x14ac:dyDescent="0.2">
      <c r="A222" s="287"/>
      <c r="B222" s="290" t="s">
        <v>22</v>
      </c>
      <c r="C222" s="11">
        <v>21283</v>
      </c>
      <c r="D222" s="11"/>
      <c r="E222" s="296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83">
        <f>SUM(F222, K222, P222, F223, K223, P223)</f>
        <v>4743</v>
      </c>
      <c r="V222" s="283">
        <f>SUM(H222, M222, R222, H223, M223, R223)</f>
        <v>0</v>
      </c>
      <c r="W222" s="258">
        <f>IF($U222=0, ,V222/$U222)</f>
        <v>0</v>
      </c>
      <c r="X222" s="283">
        <f>SUM(I222, N222, S222, I223, N223, S223)</f>
        <v>0</v>
      </c>
      <c r="Y222" s="258">
        <f>IF($U222=0, ,X222/$U222)</f>
        <v>0</v>
      </c>
      <c r="Z222" s="283">
        <f>SUM(J222, O222, T222, J223, O223, T223)</f>
        <v>0</v>
      </c>
      <c r="AA222" s="258">
        <f>IF($U222=0, ,Z222/$U222)</f>
        <v>0</v>
      </c>
      <c r="AB222" s="277" t="s">
        <v>87</v>
      </c>
    </row>
    <row r="223" spans="1:28" ht="12.75" customHeight="1" x14ac:dyDescent="0.2">
      <c r="A223" s="287"/>
      <c r="B223" s="291"/>
      <c r="C223" s="11"/>
      <c r="D223" s="11"/>
      <c r="E223" s="297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84"/>
      <c r="V223" s="284"/>
      <c r="W223" s="259"/>
      <c r="X223" s="284"/>
      <c r="Y223" s="259"/>
      <c r="Z223" s="284"/>
      <c r="AA223" s="259"/>
      <c r="AB223" s="278"/>
    </row>
    <row r="224" spans="1:28" ht="13.5" customHeight="1" thickBot="1" x14ac:dyDescent="0.25">
      <c r="A224" s="287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87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87"/>
      <c r="B226" s="288" t="s">
        <v>35</v>
      </c>
      <c r="C226" s="289" t="s">
        <v>25</v>
      </c>
      <c r="D226" s="289" t="s">
        <v>28</v>
      </c>
      <c r="E226" s="270" t="s">
        <v>12</v>
      </c>
      <c r="F226" s="314" t="s">
        <v>13</v>
      </c>
      <c r="G226" s="314"/>
      <c r="H226" s="314"/>
      <c r="I226" s="314" t="s">
        <v>14</v>
      </c>
      <c r="J226" s="314"/>
      <c r="K226" s="314"/>
      <c r="L226" s="314" t="s">
        <v>15</v>
      </c>
      <c r="M226" s="314"/>
      <c r="N226" s="314"/>
      <c r="O226" s="274" t="s">
        <v>34</v>
      </c>
      <c r="P226" s="274" t="s">
        <v>48</v>
      </c>
      <c r="Q226" s="274" t="s">
        <v>60</v>
      </c>
      <c r="R226" s="274" t="s">
        <v>49</v>
      </c>
      <c r="S226" s="274" t="s">
        <v>61</v>
      </c>
      <c r="T226" s="310"/>
      <c r="U226" s="310"/>
      <c r="V226" s="310"/>
      <c r="W226" s="310"/>
      <c r="X226" s="310"/>
      <c r="Y226" s="310"/>
      <c r="Z226" s="310"/>
      <c r="AA226" s="310"/>
      <c r="AB226" s="311"/>
    </row>
    <row r="227" spans="1:28" ht="25.5" x14ac:dyDescent="0.2">
      <c r="A227" s="287"/>
      <c r="B227" s="288"/>
      <c r="C227" s="289"/>
      <c r="D227" s="289"/>
      <c r="E227" s="270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76"/>
      <c r="P227" s="276"/>
      <c r="Q227" s="276"/>
      <c r="R227" s="276"/>
      <c r="S227" s="276"/>
      <c r="T227" s="312"/>
      <c r="U227" s="312"/>
      <c r="V227" s="312"/>
      <c r="W227" s="312"/>
      <c r="X227" s="312"/>
      <c r="Y227" s="312"/>
      <c r="Z227" s="312"/>
      <c r="AA227" s="312"/>
      <c r="AB227" s="313"/>
    </row>
    <row r="228" spans="1:28" ht="12.75" customHeight="1" x14ac:dyDescent="0.2">
      <c r="A228" s="287"/>
      <c r="B228" s="308" t="s">
        <v>36</v>
      </c>
      <c r="C228" s="12">
        <v>21283</v>
      </c>
      <c r="D228" s="12" t="s">
        <v>95</v>
      </c>
      <c r="E228" s="309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66">
        <f>SUM(F228, I228, L228, F229, I229, L229)*$O225</f>
        <v>18880</v>
      </c>
      <c r="P228" s="266">
        <f>SUM(G228, J228, M228, G229, J229, M229)</f>
        <v>0</v>
      </c>
      <c r="Q228" s="268">
        <f>IF($O228=0, ,P228/$O228)</f>
        <v>0</v>
      </c>
      <c r="R228" s="266">
        <f>SUM(H228, K228, N228, H229, K229, N229)</f>
        <v>0</v>
      </c>
      <c r="S228" s="268">
        <f>IF($O228=0, ,R228/$O228)</f>
        <v>0</v>
      </c>
      <c r="T228" s="315"/>
      <c r="U228" s="315"/>
      <c r="V228" s="315"/>
      <c r="W228" s="315"/>
      <c r="X228" s="315"/>
      <c r="Y228" s="315"/>
      <c r="Z228" s="315"/>
      <c r="AA228" s="315"/>
      <c r="AB228" s="316"/>
    </row>
    <row r="229" spans="1:28" ht="12.75" customHeight="1" x14ac:dyDescent="0.2">
      <c r="A229" s="287"/>
      <c r="B229" s="308"/>
      <c r="C229" s="12"/>
      <c r="D229" s="12"/>
      <c r="E229" s="309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67"/>
      <c r="P229" s="267"/>
      <c r="Q229" s="269"/>
      <c r="R229" s="267"/>
      <c r="S229" s="269"/>
      <c r="T229" s="317"/>
      <c r="U229" s="317"/>
      <c r="V229" s="317"/>
      <c r="W229" s="317"/>
      <c r="X229" s="317"/>
      <c r="Y229" s="317"/>
      <c r="Z229" s="317"/>
      <c r="AA229" s="317"/>
      <c r="AB229" s="318"/>
    </row>
    <row r="230" spans="1:28" ht="12.75" customHeight="1" x14ac:dyDescent="0.2">
      <c r="A230" s="287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87"/>
      <c r="B231" s="321" t="s">
        <v>67</v>
      </c>
      <c r="C231" s="321"/>
      <c r="D231" s="322"/>
      <c r="E231" s="82" t="s">
        <v>68</v>
      </c>
      <c r="F231" s="306" t="s">
        <v>64</v>
      </c>
      <c r="G231" s="306"/>
      <c r="H231" s="306"/>
      <c r="I231" s="306" t="s">
        <v>76</v>
      </c>
      <c r="J231" s="306"/>
      <c r="K231" s="306"/>
      <c r="L231" s="306" t="s">
        <v>65</v>
      </c>
      <c r="M231" s="306"/>
      <c r="N231" s="306"/>
      <c r="O231" s="306" t="s">
        <v>66</v>
      </c>
      <c r="P231" s="306"/>
      <c r="Q231" s="306"/>
      <c r="R231" s="306" t="s">
        <v>73</v>
      </c>
      <c r="S231" s="306"/>
      <c r="T231" s="306"/>
      <c r="U231" s="306" t="s">
        <v>74</v>
      </c>
      <c r="V231" s="306"/>
      <c r="W231" s="306"/>
      <c r="X231" s="306" t="s">
        <v>75</v>
      </c>
      <c r="Y231" s="306"/>
      <c r="Z231" s="306"/>
      <c r="AA231" s="307"/>
      <c r="AB231" s="307"/>
    </row>
    <row r="232" spans="1:28" ht="12.75" customHeight="1" x14ac:dyDescent="0.2">
      <c r="A232" s="287"/>
      <c r="B232" s="323"/>
      <c r="C232" s="323"/>
      <c r="D232" s="324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307"/>
      <c r="AB232" s="307"/>
    </row>
    <row r="233" spans="1:28" ht="12.75" customHeight="1" x14ac:dyDescent="0.2">
      <c r="A233" s="287"/>
      <c r="B233" s="325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307"/>
      <c r="AB233" s="307"/>
    </row>
    <row r="234" spans="1:28" ht="12.75" customHeight="1" x14ac:dyDescent="0.2">
      <c r="A234" s="287"/>
      <c r="B234" s="325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307"/>
      <c r="AB234" s="307"/>
    </row>
    <row r="235" spans="1:28" ht="12.75" customHeight="1" x14ac:dyDescent="0.2">
      <c r="A235" s="287"/>
      <c r="B235" s="325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307"/>
      <c r="AB235" s="307"/>
    </row>
    <row r="236" spans="1:28" ht="12.75" customHeight="1" x14ac:dyDescent="0.2">
      <c r="A236" s="287"/>
      <c r="B236" s="325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307"/>
      <c r="AB236" s="307"/>
    </row>
    <row r="238" spans="1:28" x14ac:dyDescent="0.2">
      <c r="A238" s="287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87"/>
      <c r="B239" s="288" t="s">
        <v>10</v>
      </c>
      <c r="C239" s="289" t="s">
        <v>25</v>
      </c>
      <c r="D239" s="289" t="s">
        <v>28</v>
      </c>
      <c r="E239" s="270" t="s">
        <v>12</v>
      </c>
      <c r="F239" s="271" t="s">
        <v>13</v>
      </c>
      <c r="G239" s="272"/>
      <c r="H239" s="272"/>
      <c r="I239" s="272"/>
      <c r="J239" s="273"/>
      <c r="K239" s="271" t="s">
        <v>14</v>
      </c>
      <c r="L239" s="272"/>
      <c r="M239" s="272"/>
      <c r="N239" s="272"/>
      <c r="O239" s="273"/>
      <c r="P239" s="271" t="s">
        <v>15</v>
      </c>
      <c r="Q239" s="272"/>
      <c r="R239" s="272"/>
      <c r="S239" s="272"/>
      <c r="T239" s="273"/>
      <c r="U239" s="320" t="s">
        <v>34</v>
      </c>
      <c r="V239" s="320" t="s">
        <v>48</v>
      </c>
      <c r="W239" s="320" t="s">
        <v>56</v>
      </c>
      <c r="X239" s="320" t="s">
        <v>54</v>
      </c>
      <c r="Y239" s="320" t="s">
        <v>57</v>
      </c>
      <c r="Z239" s="320" t="s">
        <v>55</v>
      </c>
      <c r="AA239" s="320" t="s">
        <v>58</v>
      </c>
      <c r="AB239" s="320" t="s">
        <v>38</v>
      </c>
    </row>
    <row r="240" spans="1:28" ht="38.25" x14ac:dyDescent="0.2">
      <c r="A240" s="287"/>
      <c r="B240" s="288"/>
      <c r="C240" s="289"/>
      <c r="D240" s="289"/>
      <c r="E240" s="270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320"/>
      <c r="V240" s="320"/>
      <c r="W240" s="320"/>
      <c r="X240" s="320"/>
      <c r="Y240" s="320"/>
      <c r="Z240" s="320"/>
      <c r="AA240" s="320"/>
      <c r="AB240" s="320"/>
    </row>
    <row r="241" spans="1:28" x14ac:dyDescent="0.2">
      <c r="A241" s="287"/>
      <c r="B241" s="300" t="s">
        <v>17</v>
      </c>
      <c r="C241" s="12">
        <v>21283</v>
      </c>
      <c r="D241" s="12"/>
      <c r="E241" s="302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66">
        <f>SUM(F241, K241, P241, F242, K242, P242)</f>
        <v>3919</v>
      </c>
      <c r="V241" s="266">
        <f>SUM(H241, M241, R241, H242, M242, R242)</f>
        <v>0</v>
      </c>
      <c r="W241" s="268">
        <f>IF($U241=0, ,V241/$U241)</f>
        <v>0</v>
      </c>
      <c r="X241" s="266">
        <f>SUM(I241, N241, S241, I242, N242, S242)</f>
        <v>0</v>
      </c>
      <c r="Y241" s="268">
        <f>IF($U241=0, ,X241/$U241)</f>
        <v>0</v>
      </c>
      <c r="Z241" s="266">
        <f>SUM(J241, O241, T241, J242, O242, T242)</f>
        <v>0</v>
      </c>
      <c r="AA241" s="268">
        <f>IF($U241=0, ,Z241/$U241)</f>
        <v>0</v>
      </c>
      <c r="AB241" s="292" t="s">
        <v>87</v>
      </c>
    </row>
    <row r="242" spans="1:28" x14ac:dyDescent="0.2">
      <c r="A242" s="287"/>
      <c r="B242" s="319"/>
      <c r="C242" s="12"/>
      <c r="D242" s="12"/>
      <c r="E242" s="304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67"/>
      <c r="V242" s="267"/>
      <c r="W242" s="269"/>
      <c r="X242" s="267"/>
      <c r="Y242" s="269"/>
      <c r="Z242" s="267"/>
      <c r="AA242" s="269"/>
      <c r="AB242" s="293"/>
    </row>
    <row r="243" spans="1:28" x14ac:dyDescent="0.2">
      <c r="A243" s="287"/>
      <c r="B243" s="290" t="s">
        <v>18</v>
      </c>
      <c r="C243" s="10">
        <v>21283</v>
      </c>
      <c r="D243" s="10"/>
      <c r="E243" s="279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83">
        <f>SUM(F243, K243, P243, F244, K244, P244)</f>
        <v>7246</v>
      </c>
      <c r="V243" s="283">
        <f>SUM(H243, M243, R243, H244, M244, R244)</f>
        <v>0</v>
      </c>
      <c r="W243" s="258">
        <f>IF($U243=0, ,V243/$U243)</f>
        <v>0</v>
      </c>
      <c r="X243" s="283">
        <f>SUM(I243, N243, S243, I244, N244, S244)</f>
        <v>0</v>
      </c>
      <c r="Y243" s="258">
        <f>IF($U243=0, ,X243/$U243)</f>
        <v>0</v>
      </c>
      <c r="Z243" s="283">
        <f>SUM(J243, O243, T243, J244, O244, T244)</f>
        <v>0</v>
      </c>
      <c r="AA243" s="258">
        <f>IF($U243=0, ,Z243/$U243)</f>
        <v>0</v>
      </c>
      <c r="AB243" s="277" t="s">
        <v>87</v>
      </c>
    </row>
    <row r="244" spans="1:28" x14ac:dyDescent="0.2">
      <c r="A244" s="287"/>
      <c r="B244" s="291"/>
      <c r="C244" s="10"/>
      <c r="D244" s="10"/>
      <c r="E244" s="280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84"/>
      <c r="V244" s="284"/>
      <c r="W244" s="259"/>
      <c r="X244" s="284"/>
      <c r="Y244" s="259"/>
      <c r="Z244" s="284"/>
      <c r="AA244" s="259"/>
      <c r="AB244" s="278"/>
    </row>
    <row r="245" spans="1:28" x14ac:dyDescent="0.2">
      <c r="A245" s="287"/>
      <c r="B245" s="300" t="s">
        <v>19</v>
      </c>
      <c r="C245" s="9">
        <v>21283</v>
      </c>
      <c r="D245" s="9"/>
      <c r="E245" s="264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66">
        <f>SUM(F245, K245, P245, F246, K246, P246)</f>
        <v>3664</v>
      </c>
      <c r="V245" s="266">
        <f>SUM(H245, M245, R245, H246, M246, R246)</f>
        <v>0</v>
      </c>
      <c r="W245" s="268">
        <f>IF($U245=0, ,V245/$U245)</f>
        <v>0</v>
      </c>
      <c r="X245" s="266">
        <f>SUM(I245, N245, S245, I246, N246, S246)</f>
        <v>0</v>
      </c>
      <c r="Y245" s="268">
        <f>IF($U245=0, ,X245/$U245)</f>
        <v>0</v>
      </c>
      <c r="Z245" s="266">
        <f>SUM(J245, O245, T245, J246, O246, T246)</f>
        <v>0</v>
      </c>
      <c r="AA245" s="268">
        <f>IF($U245=0, ,Z245/$U245)</f>
        <v>0</v>
      </c>
      <c r="AB245" s="292" t="s">
        <v>87</v>
      </c>
    </row>
    <row r="246" spans="1:28" x14ac:dyDescent="0.2">
      <c r="A246" s="287"/>
      <c r="B246" s="319"/>
      <c r="C246" s="9"/>
      <c r="D246" s="9"/>
      <c r="E246" s="265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67"/>
      <c r="V246" s="267"/>
      <c r="W246" s="269"/>
      <c r="X246" s="267"/>
      <c r="Y246" s="269"/>
      <c r="Z246" s="267"/>
      <c r="AA246" s="269"/>
      <c r="AB246" s="293"/>
    </row>
    <row r="247" spans="1:28" x14ac:dyDescent="0.2">
      <c r="A247" s="287"/>
      <c r="B247" s="290" t="s">
        <v>20</v>
      </c>
      <c r="C247" s="10">
        <v>21283</v>
      </c>
      <c r="D247" s="10"/>
      <c r="E247" s="279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83">
        <f>SUM(F247, K247, P247, F248, K248, P248)</f>
        <v>7682</v>
      </c>
      <c r="V247" s="283">
        <f>SUM(H247, M247, R247, H248, M248, R248)</f>
        <v>0</v>
      </c>
      <c r="W247" s="258">
        <f>IF($U247=0, ,V247/$U247)</f>
        <v>0</v>
      </c>
      <c r="X247" s="283">
        <f>SUM(I247, N247, S247, I248, N248, S248)</f>
        <v>0</v>
      </c>
      <c r="Y247" s="258">
        <f>IF($U247=0, ,X247/$U247)</f>
        <v>0</v>
      </c>
      <c r="Z247" s="283">
        <f>SUM(J247, O247, T247, J248, O248, T248)</f>
        <v>0</v>
      </c>
      <c r="AA247" s="258">
        <f>IF($U247=0, ,Z247/$U247)</f>
        <v>0</v>
      </c>
      <c r="AB247" s="277" t="s">
        <v>87</v>
      </c>
    </row>
    <row r="248" spans="1:28" x14ac:dyDescent="0.2">
      <c r="A248" s="287"/>
      <c r="B248" s="291"/>
      <c r="C248" s="10"/>
      <c r="D248" s="10"/>
      <c r="E248" s="280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84"/>
      <c r="V248" s="284"/>
      <c r="W248" s="259"/>
      <c r="X248" s="284"/>
      <c r="Y248" s="259"/>
      <c r="Z248" s="284"/>
      <c r="AA248" s="259"/>
      <c r="AB248" s="278"/>
    </row>
    <row r="249" spans="1:28" x14ac:dyDescent="0.2">
      <c r="A249" s="287"/>
      <c r="B249" s="300" t="s">
        <v>21</v>
      </c>
      <c r="C249" s="9">
        <v>21283</v>
      </c>
      <c r="D249" s="9"/>
      <c r="E249" s="264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66">
        <f>SUM(F249, K249, P249, F250, K250, P250)</f>
        <v>6849</v>
      </c>
      <c r="V249" s="266">
        <f>SUM(H249, M249, R249, H250, M250, R250)</f>
        <v>0</v>
      </c>
      <c r="W249" s="268">
        <f>IF($U249=0, ,V249/$U249)</f>
        <v>0</v>
      </c>
      <c r="X249" s="266">
        <f>SUM(I249, N249, S249, I250, N250, S250)</f>
        <v>0</v>
      </c>
      <c r="Y249" s="268">
        <f>IF($U249=0, ,X249/$U249)</f>
        <v>0</v>
      </c>
      <c r="Z249" s="266">
        <f>SUM(J249, O249, T249, J250, O250, T250)</f>
        <v>0</v>
      </c>
      <c r="AA249" s="268">
        <f>IF($U249=0, ,Z249/$U249)</f>
        <v>0</v>
      </c>
      <c r="AB249" s="292" t="s">
        <v>87</v>
      </c>
    </row>
    <row r="250" spans="1:28" x14ac:dyDescent="0.2">
      <c r="A250" s="287"/>
      <c r="B250" s="319"/>
      <c r="C250" s="9"/>
      <c r="D250" s="9"/>
      <c r="E250" s="265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67"/>
      <c r="V250" s="267"/>
      <c r="W250" s="269"/>
      <c r="X250" s="267"/>
      <c r="Y250" s="269"/>
      <c r="Z250" s="267"/>
      <c r="AA250" s="269"/>
      <c r="AB250" s="293"/>
    </row>
    <row r="251" spans="1:28" x14ac:dyDescent="0.2">
      <c r="A251" s="287"/>
      <c r="B251" s="290" t="s">
        <v>22</v>
      </c>
      <c r="C251" s="11">
        <v>21283</v>
      </c>
      <c r="D251" s="11"/>
      <c r="E251" s="296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83">
        <f>SUM(F251, K251, P251, F252, K252, P252)</f>
        <v>6596</v>
      </c>
      <c r="V251" s="283">
        <f>SUM(H251, M251, R251, H252, M252, R252)</f>
        <v>0</v>
      </c>
      <c r="W251" s="258">
        <f>IF($U251=0, ,V251/$U251)</f>
        <v>0</v>
      </c>
      <c r="X251" s="283">
        <f>SUM(I251, N251, S251, I252, N252, S252)</f>
        <v>0</v>
      </c>
      <c r="Y251" s="258">
        <f>IF($U251=0, ,X251/$U251)</f>
        <v>0</v>
      </c>
      <c r="Z251" s="283">
        <f>SUM(J251, O251, T251, J252, O252, T252)</f>
        <v>0</v>
      </c>
      <c r="AA251" s="258">
        <f>IF($U251=0, ,Z251/$U251)</f>
        <v>0</v>
      </c>
      <c r="AB251" s="277" t="s">
        <v>87</v>
      </c>
    </row>
    <row r="252" spans="1:28" x14ac:dyDescent="0.2">
      <c r="A252" s="287"/>
      <c r="B252" s="291"/>
      <c r="C252" s="11"/>
      <c r="D252" s="11"/>
      <c r="E252" s="297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84"/>
      <c r="V252" s="284"/>
      <c r="W252" s="259"/>
      <c r="X252" s="284"/>
      <c r="Y252" s="259"/>
      <c r="Z252" s="284"/>
      <c r="AA252" s="259"/>
      <c r="AB252" s="278"/>
    </row>
    <row r="253" spans="1:28" ht="13.5" thickBot="1" x14ac:dyDescent="0.25">
      <c r="A253" s="287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87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87"/>
      <c r="B255" s="288" t="s">
        <v>35</v>
      </c>
      <c r="C255" s="289" t="s">
        <v>25</v>
      </c>
      <c r="D255" s="289" t="s">
        <v>28</v>
      </c>
      <c r="E255" s="270" t="s">
        <v>12</v>
      </c>
      <c r="F255" s="314" t="s">
        <v>13</v>
      </c>
      <c r="G255" s="314"/>
      <c r="H255" s="314"/>
      <c r="I255" s="314" t="s">
        <v>14</v>
      </c>
      <c r="J255" s="314"/>
      <c r="K255" s="314"/>
      <c r="L255" s="314" t="s">
        <v>15</v>
      </c>
      <c r="M255" s="314"/>
      <c r="N255" s="314"/>
      <c r="O255" s="274" t="s">
        <v>34</v>
      </c>
      <c r="P255" s="274" t="s">
        <v>48</v>
      </c>
      <c r="Q255" s="274" t="s">
        <v>60</v>
      </c>
      <c r="R255" s="274" t="s">
        <v>49</v>
      </c>
      <c r="S255" s="274" t="s">
        <v>61</v>
      </c>
      <c r="T255" s="310"/>
      <c r="U255" s="310"/>
      <c r="V255" s="310"/>
      <c r="W255" s="310"/>
      <c r="X255" s="310"/>
      <c r="Y255" s="310"/>
      <c r="Z255" s="310"/>
      <c r="AA255" s="310"/>
      <c r="AB255" s="311"/>
    </row>
    <row r="256" spans="1:28" ht="25.5" x14ac:dyDescent="0.2">
      <c r="A256" s="287"/>
      <c r="B256" s="288"/>
      <c r="C256" s="289"/>
      <c r="D256" s="289"/>
      <c r="E256" s="270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76"/>
      <c r="P256" s="276"/>
      <c r="Q256" s="276"/>
      <c r="R256" s="276"/>
      <c r="S256" s="276"/>
      <c r="T256" s="312"/>
      <c r="U256" s="312"/>
      <c r="V256" s="312"/>
      <c r="W256" s="312"/>
      <c r="X256" s="312"/>
      <c r="Y256" s="312"/>
      <c r="Z256" s="312"/>
      <c r="AA256" s="312"/>
      <c r="AB256" s="313"/>
    </row>
    <row r="257" spans="1:28" x14ac:dyDescent="0.2">
      <c r="A257" s="287"/>
      <c r="B257" s="308" t="s">
        <v>36</v>
      </c>
      <c r="C257" s="12">
        <v>21283</v>
      </c>
      <c r="D257" s="12" t="s">
        <v>95</v>
      </c>
      <c r="E257" s="309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66">
        <f>SUM(F257, I257, L257, F258, I258, L258)*$O254</f>
        <v>12160</v>
      </c>
      <c r="P257" s="266">
        <f>SUM(G257, J257, M257, G258, J258, M258)</f>
        <v>0</v>
      </c>
      <c r="Q257" s="268">
        <f>IF($O257=0, ,P257/$O257)</f>
        <v>0</v>
      </c>
      <c r="R257" s="266">
        <f>SUM(H257, K257, N257, H258, K258, N258)</f>
        <v>0</v>
      </c>
      <c r="S257" s="268">
        <f>IF($O257=0, ,R257/$O257)</f>
        <v>0</v>
      </c>
      <c r="T257" s="315"/>
      <c r="U257" s="315"/>
      <c r="V257" s="315"/>
      <c r="W257" s="315"/>
      <c r="X257" s="315"/>
      <c r="Y257" s="315"/>
      <c r="Z257" s="315"/>
      <c r="AA257" s="315"/>
      <c r="AB257" s="316"/>
    </row>
    <row r="258" spans="1:28" x14ac:dyDescent="0.2">
      <c r="A258" s="287"/>
      <c r="B258" s="308"/>
      <c r="C258" s="12"/>
      <c r="D258" s="12"/>
      <c r="E258" s="309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67"/>
      <c r="P258" s="267"/>
      <c r="Q258" s="269"/>
      <c r="R258" s="267"/>
      <c r="S258" s="269"/>
      <c r="T258" s="317"/>
      <c r="U258" s="317"/>
      <c r="V258" s="317"/>
      <c r="W258" s="317"/>
      <c r="X258" s="317"/>
      <c r="Y258" s="317"/>
      <c r="Z258" s="317"/>
      <c r="AA258" s="317"/>
      <c r="AB258" s="318"/>
    </row>
    <row r="259" spans="1:28" x14ac:dyDescent="0.2">
      <c r="A259" s="287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87"/>
      <c r="B260" s="321" t="s">
        <v>67</v>
      </c>
      <c r="C260" s="321"/>
      <c r="D260" s="322"/>
      <c r="E260" s="82" t="s">
        <v>68</v>
      </c>
      <c r="F260" s="306" t="s">
        <v>64</v>
      </c>
      <c r="G260" s="306"/>
      <c r="H260" s="306"/>
      <c r="I260" s="306" t="s">
        <v>76</v>
      </c>
      <c r="J260" s="306"/>
      <c r="K260" s="306"/>
      <c r="L260" s="306" t="s">
        <v>65</v>
      </c>
      <c r="M260" s="306"/>
      <c r="N260" s="306"/>
      <c r="O260" s="306" t="s">
        <v>66</v>
      </c>
      <c r="P260" s="306"/>
      <c r="Q260" s="306"/>
      <c r="R260" s="306" t="s">
        <v>73</v>
      </c>
      <c r="S260" s="306"/>
      <c r="T260" s="306"/>
      <c r="U260" s="306" t="s">
        <v>74</v>
      </c>
      <c r="V260" s="306"/>
      <c r="W260" s="306"/>
      <c r="X260" s="306" t="s">
        <v>75</v>
      </c>
      <c r="Y260" s="306"/>
      <c r="Z260" s="306"/>
      <c r="AA260" s="307"/>
      <c r="AB260" s="307"/>
    </row>
    <row r="261" spans="1:28" x14ac:dyDescent="0.2">
      <c r="A261" s="287"/>
      <c r="B261" s="323"/>
      <c r="C261" s="323"/>
      <c r="D261" s="324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307"/>
      <c r="AB261" s="307"/>
    </row>
    <row r="262" spans="1:28" x14ac:dyDescent="0.2">
      <c r="A262" s="287"/>
      <c r="B262" s="325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307"/>
      <c r="AB262" s="307"/>
    </row>
    <row r="263" spans="1:28" x14ac:dyDescent="0.2">
      <c r="A263" s="287"/>
      <c r="B263" s="325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307"/>
      <c r="AB263" s="307"/>
    </row>
    <row r="264" spans="1:28" x14ac:dyDescent="0.2">
      <c r="A264" s="287"/>
      <c r="B264" s="325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307"/>
      <c r="AB264" s="307"/>
    </row>
    <row r="265" spans="1:28" x14ac:dyDescent="0.2">
      <c r="A265" s="287"/>
      <c r="B265" s="325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307"/>
      <c r="AB265" s="307"/>
    </row>
    <row r="267" spans="1:28" x14ac:dyDescent="0.2">
      <c r="A267" s="287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87"/>
      <c r="B268" s="288" t="s">
        <v>10</v>
      </c>
      <c r="C268" s="289" t="s">
        <v>25</v>
      </c>
      <c r="D268" s="289" t="s">
        <v>28</v>
      </c>
      <c r="E268" s="270" t="s">
        <v>12</v>
      </c>
      <c r="F268" s="271" t="s">
        <v>13</v>
      </c>
      <c r="G268" s="272"/>
      <c r="H268" s="272"/>
      <c r="I268" s="272"/>
      <c r="J268" s="273"/>
      <c r="K268" s="271" t="s">
        <v>14</v>
      </c>
      <c r="L268" s="272"/>
      <c r="M268" s="272"/>
      <c r="N268" s="272"/>
      <c r="O268" s="273"/>
      <c r="P268" s="271" t="s">
        <v>15</v>
      </c>
      <c r="Q268" s="272"/>
      <c r="R268" s="272"/>
      <c r="S268" s="272"/>
      <c r="T268" s="273"/>
      <c r="U268" s="320" t="s">
        <v>34</v>
      </c>
      <c r="V268" s="320" t="s">
        <v>48</v>
      </c>
      <c r="W268" s="320" t="s">
        <v>56</v>
      </c>
      <c r="X268" s="320" t="s">
        <v>54</v>
      </c>
      <c r="Y268" s="320" t="s">
        <v>57</v>
      </c>
      <c r="Z268" s="320" t="s">
        <v>55</v>
      </c>
      <c r="AA268" s="320" t="s">
        <v>58</v>
      </c>
      <c r="AB268" s="320" t="s">
        <v>38</v>
      </c>
    </row>
    <row r="269" spans="1:28" ht="38.25" x14ac:dyDescent="0.2">
      <c r="A269" s="287"/>
      <c r="B269" s="288"/>
      <c r="C269" s="289"/>
      <c r="D269" s="289"/>
      <c r="E269" s="270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320"/>
      <c r="V269" s="320"/>
      <c r="W269" s="320"/>
      <c r="X269" s="320"/>
      <c r="Y269" s="320"/>
      <c r="Z269" s="320"/>
      <c r="AA269" s="320"/>
      <c r="AB269" s="320"/>
    </row>
    <row r="270" spans="1:28" x14ac:dyDescent="0.2">
      <c r="A270" s="287"/>
      <c r="B270" s="300" t="s">
        <v>17</v>
      </c>
      <c r="C270" s="12"/>
      <c r="D270" s="12"/>
      <c r="E270" s="302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66">
        <f>SUM(F270, K270, P270, F271, K271, P271)</f>
        <v>5946</v>
      </c>
      <c r="V270" s="266">
        <f>SUM(H270, M270, R270, H271, M271, R271)</f>
        <v>0</v>
      </c>
      <c r="W270" s="268">
        <f>IF($U270=0, ,V270/$U270)</f>
        <v>0</v>
      </c>
      <c r="X270" s="266">
        <f>SUM(I270, N270, S270, I271, N271, S271)</f>
        <v>0</v>
      </c>
      <c r="Y270" s="268">
        <f>IF($U270=0, ,X270/$U270)</f>
        <v>0</v>
      </c>
      <c r="Z270" s="266">
        <f>SUM(J270, O270, T270, J271, O271, T271)</f>
        <v>0</v>
      </c>
      <c r="AA270" s="268">
        <f>IF($U270=0, ,Z270/$U270)</f>
        <v>0</v>
      </c>
      <c r="AB270" s="292" t="s">
        <v>87</v>
      </c>
    </row>
    <row r="271" spans="1:28" x14ac:dyDescent="0.2">
      <c r="A271" s="287"/>
      <c r="B271" s="319"/>
      <c r="C271" s="12"/>
      <c r="D271" s="12"/>
      <c r="E271" s="304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67"/>
      <c r="V271" s="267"/>
      <c r="W271" s="269"/>
      <c r="X271" s="267"/>
      <c r="Y271" s="269"/>
      <c r="Z271" s="267"/>
      <c r="AA271" s="269"/>
      <c r="AB271" s="293"/>
    </row>
    <row r="272" spans="1:28" x14ac:dyDescent="0.2">
      <c r="A272" s="287"/>
      <c r="B272" s="290" t="s">
        <v>18</v>
      </c>
      <c r="C272" s="10"/>
      <c r="D272" s="10"/>
      <c r="E272" s="279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83">
        <f>SUM(F272, K272, P272, F273, K273, P273)</f>
        <v>4073</v>
      </c>
      <c r="V272" s="283">
        <f>SUM(H272, M272, R272, H273, M273, R273)</f>
        <v>0</v>
      </c>
      <c r="W272" s="258">
        <f>IF($U272=0, ,V272/$U272)</f>
        <v>0</v>
      </c>
      <c r="X272" s="283">
        <f>SUM(I272, N272, S272, I273, N273, S273)</f>
        <v>0</v>
      </c>
      <c r="Y272" s="258">
        <f>IF($U272=0, ,X272/$U272)</f>
        <v>0</v>
      </c>
      <c r="Z272" s="283">
        <f>SUM(J272, O272, T272, J273, O273, T273)</f>
        <v>0</v>
      </c>
      <c r="AA272" s="258">
        <f>IF($U272=0, ,Z272/$U272)</f>
        <v>0</v>
      </c>
      <c r="AB272" s="277" t="s">
        <v>87</v>
      </c>
    </row>
    <row r="273" spans="1:28" x14ac:dyDescent="0.2">
      <c r="A273" s="287"/>
      <c r="B273" s="291"/>
      <c r="C273" s="10"/>
      <c r="D273" s="10"/>
      <c r="E273" s="280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84"/>
      <c r="V273" s="284"/>
      <c r="W273" s="259"/>
      <c r="X273" s="284"/>
      <c r="Y273" s="259"/>
      <c r="Z273" s="284"/>
      <c r="AA273" s="259"/>
      <c r="AB273" s="278"/>
    </row>
    <row r="274" spans="1:28" x14ac:dyDescent="0.2">
      <c r="A274" s="287"/>
      <c r="B274" s="300" t="s">
        <v>19</v>
      </c>
      <c r="C274" s="9"/>
      <c r="D274" s="9"/>
      <c r="E274" s="264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66">
        <f>SUM(F274, K274, P274, F275, K275, P275)</f>
        <v>5643</v>
      </c>
      <c r="V274" s="266">
        <f>SUM(H274, M274, R274, H275, M275, R275)</f>
        <v>0</v>
      </c>
      <c r="W274" s="268">
        <f>IF($U274=0, ,V274/$U274)</f>
        <v>0</v>
      </c>
      <c r="X274" s="266">
        <f>SUM(I274, N274, S274, I275, N275, S275)</f>
        <v>0</v>
      </c>
      <c r="Y274" s="268">
        <f>IF($U274=0, ,X274/$U274)</f>
        <v>0</v>
      </c>
      <c r="Z274" s="266">
        <f>SUM(J274, O274, T274, J275, O275, T275)</f>
        <v>0</v>
      </c>
      <c r="AA274" s="268">
        <f>IF($U274=0, ,Z274/$U274)</f>
        <v>0</v>
      </c>
      <c r="AB274" s="292" t="s">
        <v>87</v>
      </c>
    </row>
    <row r="275" spans="1:28" x14ac:dyDescent="0.2">
      <c r="A275" s="287"/>
      <c r="B275" s="319"/>
      <c r="C275" s="9"/>
      <c r="D275" s="9"/>
      <c r="E275" s="265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67"/>
      <c r="V275" s="267"/>
      <c r="W275" s="269"/>
      <c r="X275" s="267"/>
      <c r="Y275" s="269"/>
      <c r="Z275" s="267"/>
      <c r="AA275" s="269"/>
      <c r="AB275" s="293"/>
    </row>
    <row r="276" spans="1:28" x14ac:dyDescent="0.2">
      <c r="A276" s="287"/>
      <c r="B276" s="290" t="s">
        <v>20</v>
      </c>
      <c r="C276" s="10"/>
      <c r="D276" s="10"/>
      <c r="E276" s="279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83">
        <f>SUM(F276, K276, P276, F277, K277, P277)</f>
        <v>7391</v>
      </c>
      <c r="V276" s="283">
        <f>SUM(H276, M276, R276, H277, M277, R277)</f>
        <v>0</v>
      </c>
      <c r="W276" s="258">
        <f>IF($U276=0, ,V276/$U276)</f>
        <v>0</v>
      </c>
      <c r="X276" s="283">
        <f>SUM(I276, N276, S276, I277, N277, S277)</f>
        <v>0</v>
      </c>
      <c r="Y276" s="258">
        <f>IF($U276=0, ,X276/$U276)</f>
        <v>0</v>
      </c>
      <c r="Z276" s="283">
        <f>SUM(J276, O276, T276, J277, O277, T277)</f>
        <v>0</v>
      </c>
      <c r="AA276" s="258">
        <f>IF($U276=0, ,Z276/$U276)</f>
        <v>0</v>
      </c>
      <c r="AB276" s="277" t="s">
        <v>87</v>
      </c>
    </row>
    <row r="277" spans="1:28" x14ac:dyDescent="0.2">
      <c r="A277" s="287"/>
      <c r="B277" s="291"/>
      <c r="C277" s="10"/>
      <c r="D277" s="10"/>
      <c r="E277" s="280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84"/>
      <c r="V277" s="284"/>
      <c r="W277" s="259"/>
      <c r="X277" s="284"/>
      <c r="Y277" s="259"/>
      <c r="Z277" s="284"/>
      <c r="AA277" s="259"/>
      <c r="AB277" s="278"/>
    </row>
    <row r="278" spans="1:28" x14ac:dyDescent="0.2">
      <c r="A278" s="287"/>
      <c r="B278" s="300" t="s">
        <v>21</v>
      </c>
      <c r="C278" s="9"/>
      <c r="D278" s="9"/>
      <c r="E278" s="264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66">
        <f>SUM(F278, K278, P278, F279, K279, P279)</f>
        <v>7455</v>
      </c>
      <c r="V278" s="266">
        <f>SUM(H278, M278, R278, H279, M279, R279)</f>
        <v>0</v>
      </c>
      <c r="W278" s="268">
        <f>IF($U278=0, ,V278/$U278)</f>
        <v>0</v>
      </c>
      <c r="X278" s="266">
        <f>SUM(I278, N278, S278, I279, N279, S279)</f>
        <v>0</v>
      </c>
      <c r="Y278" s="268">
        <f>IF($U278=0, ,X278/$U278)</f>
        <v>0</v>
      </c>
      <c r="Z278" s="266">
        <f>SUM(J278, O278, T278, J279, O279, T279)</f>
        <v>0</v>
      </c>
      <c r="AA278" s="268">
        <f>IF($U278=0, ,Z278/$U278)</f>
        <v>0</v>
      </c>
      <c r="AB278" s="292" t="s">
        <v>87</v>
      </c>
    </row>
    <row r="279" spans="1:28" x14ac:dyDescent="0.2">
      <c r="A279" s="287"/>
      <c r="B279" s="319"/>
      <c r="C279" s="9"/>
      <c r="D279" s="9"/>
      <c r="E279" s="265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67"/>
      <c r="V279" s="267"/>
      <c r="W279" s="269"/>
      <c r="X279" s="267"/>
      <c r="Y279" s="269"/>
      <c r="Z279" s="267"/>
      <c r="AA279" s="269"/>
      <c r="AB279" s="293"/>
    </row>
    <row r="280" spans="1:28" x14ac:dyDescent="0.2">
      <c r="A280" s="287"/>
      <c r="B280" s="290" t="s">
        <v>22</v>
      </c>
      <c r="C280" s="11"/>
      <c r="D280" s="11"/>
      <c r="E280" s="296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83">
        <f>SUM(F280, K280, P280, F281, K281, P281)</f>
        <v>7414</v>
      </c>
      <c r="V280" s="283">
        <f>SUM(H280, M280, R280, H281, M281, R281)</f>
        <v>0</v>
      </c>
      <c r="W280" s="258">
        <f>IF($U280=0, ,V280/$U280)</f>
        <v>0</v>
      </c>
      <c r="X280" s="283">
        <f>SUM(I280, N280, S280, I281, N281, S281)</f>
        <v>0</v>
      </c>
      <c r="Y280" s="258">
        <f>IF($U280=0, ,X280/$U280)</f>
        <v>0</v>
      </c>
      <c r="Z280" s="283">
        <f>SUM(J280, O280, T280, J281, O281, T281)</f>
        <v>0</v>
      </c>
      <c r="AA280" s="258">
        <f>IF($U280=0, ,Z280/$U280)</f>
        <v>0</v>
      </c>
      <c r="AB280" s="277" t="s">
        <v>87</v>
      </c>
    </row>
    <row r="281" spans="1:28" x14ac:dyDescent="0.2">
      <c r="A281" s="287"/>
      <c r="B281" s="291"/>
      <c r="C281" s="11"/>
      <c r="D281" s="11"/>
      <c r="E281" s="297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84"/>
      <c r="V281" s="284"/>
      <c r="W281" s="259"/>
      <c r="X281" s="284"/>
      <c r="Y281" s="259"/>
      <c r="Z281" s="284"/>
      <c r="AA281" s="259"/>
      <c r="AB281" s="278"/>
    </row>
    <row r="282" spans="1:28" ht="13.5" thickBot="1" x14ac:dyDescent="0.25">
      <c r="A282" s="287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87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87"/>
      <c r="B284" s="288" t="s">
        <v>35</v>
      </c>
      <c r="C284" s="289" t="s">
        <v>25</v>
      </c>
      <c r="D284" s="289" t="s">
        <v>28</v>
      </c>
      <c r="E284" s="270" t="s">
        <v>12</v>
      </c>
      <c r="F284" s="314" t="s">
        <v>13</v>
      </c>
      <c r="G284" s="314"/>
      <c r="H284" s="314"/>
      <c r="I284" s="314" t="s">
        <v>14</v>
      </c>
      <c r="J284" s="314"/>
      <c r="K284" s="314"/>
      <c r="L284" s="314" t="s">
        <v>15</v>
      </c>
      <c r="M284" s="314"/>
      <c r="N284" s="314"/>
      <c r="O284" s="274" t="s">
        <v>34</v>
      </c>
      <c r="P284" s="274" t="s">
        <v>48</v>
      </c>
      <c r="Q284" s="274" t="s">
        <v>60</v>
      </c>
      <c r="R284" s="274" t="s">
        <v>49</v>
      </c>
      <c r="S284" s="274" t="s">
        <v>61</v>
      </c>
      <c r="T284" s="310"/>
      <c r="U284" s="310"/>
      <c r="V284" s="310"/>
      <c r="W284" s="310"/>
      <c r="X284" s="310"/>
      <c r="Y284" s="310"/>
      <c r="Z284" s="310"/>
      <c r="AA284" s="310"/>
      <c r="AB284" s="311"/>
    </row>
    <row r="285" spans="1:28" ht="25.5" x14ac:dyDescent="0.2">
      <c r="A285" s="287"/>
      <c r="B285" s="288"/>
      <c r="C285" s="289"/>
      <c r="D285" s="289"/>
      <c r="E285" s="270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76"/>
      <c r="P285" s="276"/>
      <c r="Q285" s="276"/>
      <c r="R285" s="276"/>
      <c r="S285" s="276"/>
      <c r="T285" s="312"/>
      <c r="U285" s="312"/>
      <c r="V285" s="312"/>
      <c r="W285" s="312"/>
      <c r="X285" s="312"/>
      <c r="Y285" s="312"/>
      <c r="Z285" s="312"/>
      <c r="AA285" s="312"/>
      <c r="AB285" s="313"/>
    </row>
    <row r="286" spans="1:28" x14ac:dyDescent="0.2">
      <c r="A286" s="287"/>
      <c r="B286" s="308" t="s">
        <v>36</v>
      </c>
      <c r="C286" s="12"/>
      <c r="D286" s="12" t="s">
        <v>95</v>
      </c>
      <c r="E286" s="309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66">
        <f>SUM(F286, I286, L286, F287, I287, L287)*$O283</f>
        <v>13440</v>
      </c>
      <c r="P286" s="266">
        <f>SUM(G286, J286, M286, G287, J287, M287)</f>
        <v>0</v>
      </c>
      <c r="Q286" s="268">
        <f>IF($O286=0, ,P286/$O286)</f>
        <v>0</v>
      </c>
      <c r="R286" s="266">
        <f>SUM(H286, K286, N286, H287, K287, N287)</f>
        <v>0</v>
      </c>
      <c r="S286" s="268">
        <f>IF($O286=0, ,R286/$O286)</f>
        <v>0</v>
      </c>
      <c r="T286" s="315"/>
      <c r="U286" s="315"/>
      <c r="V286" s="315"/>
      <c r="W286" s="315"/>
      <c r="X286" s="315"/>
      <c r="Y286" s="315"/>
      <c r="Z286" s="315"/>
      <c r="AA286" s="315"/>
      <c r="AB286" s="316"/>
    </row>
    <row r="287" spans="1:28" x14ac:dyDescent="0.2">
      <c r="A287" s="287"/>
      <c r="B287" s="308"/>
      <c r="C287" s="12"/>
      <c r="D287" s="12"/>
      <c r="E287" s="309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67"/>
      <c r="P287" s="267"/>
      <c r="Q287" s="269"/>
      <c r="R287" s="267"/>
      <c r="S287" s="269"/>
      <c r="T287" s="317"/>
      <c r="U287" s="317"/>
      <c r="V287" s="317"/>
      <c r="W287" s="317"/>
      <c r="X287" s="317"/>
      <c r="Y287" s="317"/>
      <c r="Z287" s="317"/>
      <c r="AA287" s="317"/>
      <c r="AB287" s="318"/>
    </row>
    <row r="288" spans="1:28" x14ac:dyDescent="0.2">
      <c r="A288" s="287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87"/>
      <c r="B289" s="321" t="s">
        <v>67</v>
      </c>
      <c r="C289" s="321"/>
      <c r="D289" s="322"/>
      <c r="E289" s="82" t="s">
        <v>68</v>
      </c>
      <c r="F289" s="306" t="s">
        <v>64</v>
      </c>
      <c r="G289" s="306"/>
      <c r="H289" s="306"/>
      <c r="I289" s="306" t="s">
        <v>76</v>
      </c>
      <c r="J289" s="306"/>
      <c r="K289" s="306"/>
      <c r="L289" s="306" t="s">
        <v>65</v>
      </c>
      <c r="M289" s="306"/>
      <c r="N289" s="306"/>
      <c r="O289" s="306" t="s">
        <v>66</v>
      </c>
      <c r="P289" s="306"/>
      <c r="Q289" s="306"/>
      <c r="R289" s="306" t="s">
        <v>73</v>
      </c>
      <c r="S289" s="306"/>
      <c r="T289" s="306"/>
      <c r="U289" s="306" t="s">
        <v>74</v>
      </c>
      <c r="V289" s="306"/>
      <c r="W289" s="306"/>
      <c r="X289" s="306" t="s">
        <v>75</v>
      </c>
      <c r="Y289" s="306"/>
      <c r="Z289" s="306"/>
      <c r="AA289" s="307"/>
      <c r="AB289" s="307"/>
    </row>
    <row r="290" spans="1:28" x14ac:dyDescent="0.2">
      <c r="A290" s="287"/>
      <c r="B290" s="323"/>
      <c r="C290" s="323"/>
      <c r="D290" s="324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307"/>
      <c r="AB290" s="307"/>
    </row>
    <row r="291" spans="1:28" x14ac:dyDescent="0.2">
      <c r="A291" s="287"/>
      <c r="B291" s="325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307"/>
      <c r="AB291" s="307"/>
    </row>
    <row r="292" spans="1:28" x14ac:dyDescent="0.2">
      <c r="A292" s="287"/>
      <c r="B292" s="325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307"/>
      <c r="AB292" s="307"/>
    </row>
    <row r="293" spans="1:28" x14ac:dyDescent="0.2">
      <c r="A293" s="287"/>
      <c r="B293" s="325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307"/>
      <c r="AB293" s="307"/>
    </row>
    <row r="294" spans="1:28" x14ac:dyDescent="0.2">
      <c r="A294" s="287"/>
      <c r="B294" s="325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307"/>
      <c r="AB294" s="307"/>
    </row>
    <row r="296" spans="1:28" x14ac:dyDescent="0.2">
      <c r="A296" s="287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87"/>
      <c r="B297" s="288" t="s">
        <v>10</v>
      </c>
      <c r="C297" s="289" t="s">
        <v>25</v>
      </c>
      <c r="D297" s="289" t="s">
        <v>28</v>
      </c>
      <c r="E297" s="270" t="s">
        <v>12</v>
      </c>
      <c r="F297" s="271" t="s">
        <v>13</v>
      </c>
      <c r="G297" s="272"/>
      <c r="H297" s="272"/>
      <c r="I297" s="272"/>
      <c r="J297" s="273"/>
      <c r="K297" s="271" t="s">
        <v>14</v>
      </c>
      <c r="L297" s="272"/>
      <c r="M297" s="272"/>
      <c r="N297" s="272"/>
      <c r="O297" s="273"/>
      <c r="P297" s="271" t="s">
        <v>15</v>
      </c>
      <c r="Q297" s="272"/>
      <c r="R297" s="272"/>
      <c r="S297" s="272"/>
      <c r="T297" s="273"/>
      <c r="U297" s="320" t="s">
        <v>34</v>
      </c>
      <c r="V297" s="320" t="s">
        <v>48</v>
      </c>
      <c r="W297" s="320" t="s">
        <v>56</v>
      </c>
      <c r="X297" s="320" t="s">
        <v>54</v>
      </c>
      <c r="Y297" s="320" t="s">
        <v>57</v>
      </c>
      <c r="Z297" s="320" t="s">
        <v>55</v>
      </c>
      <c r="AA297" s="320" t="s">
        <v>58</v>
      </c>
      <c r="AB297" s="320" t="s">
        <v>38</v>
      </c>
    </row>
    <row r="298" spans="1:28" ht="38.25" x14ac:dyDescent="0.2">
      <c r="A298" s="287"/>
      <c r="B298" s="288"/>
      <c r="C298" s="289"/>
      <c r="D298" s="289"/>
      <c r="E298" s="270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320"/>
      <c r="V298" s="320"/>
      <c r="W298" s="320"/>
      <c r="X298" s="320"/>
      <c r="Y298" s="320"/>
      <c r="Z298" s="320"/>
      <c r="AA298" s="320"/>
      <c r="AB298" s="320"/>
    </row>
    <row r="299" spans="1:28" x14ac:dyDescent="0.2">
      <c r="A299" s="287"/>
      <c r="B299" s="300" t="s">
        <v>17</v>
      </c>
      <c r="C299" s="12">
        <v>21284</v>
      </c>
      <c r="D299" s="12"/>
      <c r="E299" s="302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66">
        <f>SUM(F299, K299, P299, F300, K300, P300)</f>
        <v>3824</v>
      </c>
      <c r="V299" s="266">
        <f>SUM(H299, M299, R299, H300, M300, R300)</f>
        <v>0</v>
      </c>
      <c r="W299" s="268">
        <f>IF($U299=0, ,V299/$U299)</f>
        <v>0</v>
      </c>
      <c r="X299" s="266">
        <f>SUM(I299, N299, S299, I300, N300, S300)</f>
        <v>0</v>
      </c>
      <c r="Y299" s="268">
        <f>IF($U299=0, ,X299/$U299)</f>
        <v>0</v>
      </c>
      <c r="Z299" s="266">
        <f>SUM(J299, O299, T299, J300, O300, T300)</f>
        <v>0</v>
      </c>
      <c r="AA299" s="268">
        <f>IF($U299=0, ,Z299/$U299)</f>
        <v>0</v>
      </c>
      <c r="AB299" s="292"/>
    </row>
    <row r="300" spans="1:28" x14ac:dyDescent="0.2">
      <c r="A300" s="287"/>
      <c r="B300" s="319"/>
      <c r="C300" s="12"/>
      <c r="D300" s="12"/>
      <c r="E300" s="304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67"/>
      <c r="V300" s="267"/>
      <c r="W300" s="269"/>
      <c r="X300" s="267"/>
      <c r="Y300" s="269"/>
      <c r="Z300" s="267"/>
      <c r="AA300" s="269"/>
      <c r="AB300" s="293"/>
    </row>
    <row r="301" spans="1:28" x14ac:dyDescent="0.2">
      <c r="A301" s="287"/>
      <c r="B301" s="290" t="s">
        <v>18</v>
      </c>
      <c r="C301" s="10">
        <v>21284</v>
      </c>
      <c r="D301" s="10"/>
      <c r="E301" s="279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83">
        <f>SUM(F301, K301, P301, F302, K302, P302)</f>
        <v>3164</v>
      </c>
      <c r="V301" s="283">
        <f>SUM(H301, M301, R301, H302, M302, R302)</f>
        <v>0</v>
      </c>
      <c r="W301" s="258">
        <f>IF($U301=0, ,V301/$U301)</f>
        <v>0</v>
      </c>
      <c r="X301" s="283">
        <f>SUM(I301, N301, S301, I302, N302, S302)</f>
        <v>0</v>
      </c>
      <c r="Y301" s="258">
        <f>IF($U301=0, ,X301/$U301)</f>
        <v>0</v>
      </c>
      <c r="Z301" s="283">
        <f>SUM(J301, O301, T301, J302, O302, T302)</f>
        <v>0</v>
      </c>
      <c r="AA301" s="258">
        <f>IF($U301=0, ,Z301/$U301)</f>
        <v>0</v>
      </c>
      <c r="AB301" s="277"/>
    </row>
    <row r="302" spans="1:28" x14ac:dyDescent="0.2">
      <c r="A302" s="287"/>
      <c r="B302" s="291"/>
      <c r="C302" s="10"/>
      <c r="D302" s="10"/>
      <c r="E302" s="280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84"/>
      <c r="V302" s="284"/>
      <c r="W302" s="259"/>
      <c r="X302" s="284"/>
      <c r="Y302" s="259"/>
      <c r="Z302" s="284"/>
      <c r="AA302" s="259"/>
      <c r="AB302" s="278"/>
    </row>
    <row r="303" spans="1:28" x14ac:dyDescent="0.2">
      <c r="A303" s="287"/>
      <c r="B303" s="300" t="s">
        <v>19</v>
      </c>
      <c r="C303" s="9"/>
      <c r="D303" s="9"/>
      <c r="E303" s="264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66">
        <f>SUM(F303, K303, P303, F304, K304, P304)</f>
        <v>0</v>
      </c>
      <c r="V303" s="266">
        <f>SUM(H303, M303, R303, H304, M304, R304)</f>
        <v>0</v>
      </c>
      <c r="W303" s="268">
        <f>IF($U303=0, ,V303/$U303)</f>
        <v>0</v>
      </c>
      <c r="X303" s="266">
        <f>SUM(I303, N303, S303, I304, N304, S304)</f>
        <v>0</v>
      </c>
      <c r="Y303" s="268">
        <f>IF($U303=0, ,X303/$U303)</f>
        <v>0</v>
      </c>
      <c r="Z303" s="266">
        <f>SUM(J303, O303, T303, J304, O304, T304)</f>
        <v>0</v>
      </c>
      <c r="AA303" s="268">
        <f>IF($U303=0, ,Z303/$U303)</f>
        <v>0</v>
      </c>
      <c r="AB303" s="292" t="s">
        <v>87</v>
      </c>
    </row>
    <row r="304" spans="1:28" x14ac:dyDescent="0.2">
      <c r="A304" s="287"/>
      <c r="B304" s="319"/>
      <c r="C304" s="9"/>
      <c r="D304" s="9"/>
      <c r="E304" s="265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67"/>
      <c r="V304" s="267"/>
      <c r="W304" s="269"/>
      <c r="X304" s="267"/>
      <c r="Y304" s="269"/>
      <c r="Z304" s="267"/>
      <c r="AA304" s="269"/>
      <c r="AB304" s="293"/>
    </row>
    <row r="305" spans="1:28" x14ac:dyDescent="0.2">
      <c r="A305" s="287"/>
      <c r="B305" s="290" t="s">
        <v>20</v>
      </c>
      <c r="C305" s="10">
        <v>21284</v>
      </c>
      <c r="D305" s="10"/>
      <c r="E305" s="279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83">
        <f>SUM(F305, K305, P305, F306, K306, P306)</f>
        <v>3231</v>
      </c>
      <c r="V305" s="283">
        <f>SUM(H305, M305, R305, H306, M306, R306)</f>
        <v>0</v>
      </c>
      <c r="W305" s="258">
        <f>IF($U305=0, ,V305/$U305)</f>
        <v>0</v>
      </c>
      <c r="X305" s="283">
        <f>SUM(I305, N305, S305, I306, N306, S306)</f>
        <v>0</v>
      </c>
      <c r="Y305" s="258">
        <f>IF($U305=0, ,X305/$U305)</f>
        <v>0</v>
      </c>
      <c r="Z305" s="283">
        <f>SUM(J305, O305, T305, J306, O306, T306)</f>
        <v>0</v>
      </c>
      <c r="AA305" s="258">
        <f>IF($U305=0, ,Z305/$U305)</f>
        <v>0</v>
      </c>
      <c r="AB305" s="277"/>
    </row>
    <row r="306" spans="1:28" x14ac:dyDescent="0.2">
      <c r="A306" s="287"/>
      <c r="B306" s="291"/>
      <c r="C306" s="10"/>
      <c r="D306" s="10"/>
      <c r="E306" s="280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84"/>
      <c r="V306" s="284"/>
      <c r="W306" s="259"/>
      <c r="X306" s="284"/>
      <c r="Y306" s="259"/>
      <c r="Z306" s="284"/>
      <c r="AA306" s="259"/>
      <c r="AB306" s="278"/>
    </row>
    <row r="307" spans="1:28" x14ac:dyDescent="0.2">
      <c r="A307" s="287"/>
      <c r="B307" s="300" t="s">
        <v>21</v>
      </c>
      <c r="C307" s="9"/>
      <c r="D307" s="9"/>
      <c r="E307" s="264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66">
        <f>SUM(F307, K307, P307, F308, K308, P308)</f>
        <v>0</v>
      </c>
      <c r="V307" s="266">
        <f>SUM(H307, M307, R307, H308, M308, R308)</f>
        <v>0</v>
      </c>
      <c r="W307" s="268">
        <f>IF($U307=0, ,V307/$U307)</f>
        <v>0</v>
      </c>
      <c r="X307" s="266">
        <f>SUM(I307, N307, S307, I308, N308, S308)</f>
        <v>0</v>
      </c>
      <c r="Y307" s="268">
        <f>IF($U307=0, ,X307/$U307)</f>
        <v>0</v>
      </c>
      <c r="Z307" s="266">
        <f>SUM(J307, O307, T307, J308, O308, T308)</f>
        <v>0</v>
      </c>
      <c r="AA307" s="268">
        <f>IF($U307=0, ,Z307/$U307)</f>
        <v>0</v>
      </c>
      <c r="AB307" s="292" t="s">
        <v>87</v>
      </c>
    </row>
    <row r="308" spans="1:28" x14ac:dyDescent="0.2">
      <c r="A308" s="287"/>
      <c r="B308" s="319"/>
      <c r="C308" s="9"/>
      <c r="D308" s="9"/>
      <c r="E308" s="265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67"/>
      <c r="V308" s="267"/>
      <c r="W308" s="269"/>
      <c r="X308" s="267"/>
      <c r="Y308" s="269"/>
      <c r="Z308" s="267"/>
      <c r="AA308" s="269"/>
      <c r="AB308" s="293"/>
    </row>
    <row r="309" spans="1:28" x14ac:dyDescent="0.2">
      <c r="A309" s="287"/>
      <c r="B309" s="290" t="s">
        <v>22</v>
      </c>
      <c r="C309" s="11">
        <v>21284</v>
      </c>
      <c r="D309" s="11"/>
      <c r="E309" s="296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83">
        <f>SUM(F309, K309, P309, F310, K310, P310)</f>
        <v>2225</v>
      </c>
      <c r="V309" s="283">
        <f>SUM(H309, M309, R309, H310, M310, R310)</f>
        <v>0</v>
      </c>
      <c r="W309" s="258">
        <f>IF($U309=0, ,V309/$U309)</f>
        <v>0</v>
      </c>
      <c r="X309" s="283">
        <f>SUM(I309, N309, S309, I310, N310, S310)</f>
        <v>0</v>
      </c>
      <c r="Y309" s="258">
        <f>IF($U309=0, ,X309/$U309)</f>
        <v>0</v>
      </c>
      <c r="Z309" s="283">
        <f>SUM(J309, O309, T309, J310, O310, T310)</f>
        <v>0</v>
      </c>
      <c r="AA309" s="258">
        <f>IF($U309=0, ,Z309/$U309)</f>
        <v>0</v>
      </c>
      <c r="AB309" s="277"/>
    </row>
    <row r="310" spans="1:28" x14ac:dyDescent="0.2">
      <c r="A310" s="287"/>
      <c r="B310" s="291"/>
      <c r="C310" s="11"/>
      <c r="D310" s="11"/>
      <c r="E310" s="297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84"/>
      <c r="V310" s="284"/>
      <c r="W310" s="259"/>
      <c r="X310" s="284"/>
      <c r="Y310" s="259"/>
      <c r="Z310" s="284"/>
      <c r="AA310" s="259"/>
      <c r="AB310" s="278"/>
    </row>
    <row r="311" spans="1:28" ht="13.5" thickBot="1" x14ac:dyDescent="0.25">
      <c r="A311" s="287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87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87"/>
      <c r="B313" s="288" t="s">
        <v>35</v>
      </c>
      <c r="C313" s="289" t="s">
        <v>25</v>
      </c>
      <c r="D313" s="289" t="s">
        <v>28</v>
      </c>
      <c r="E313" s="270" t="s">
        <v>12</v>
      </c>
      <c r="F313" s="314" t="s">
        <v>13</v>
      </c>
      <c r="G313" s="314"/>
      <c r="H313" s="314"/>
      <c r="I313" s="314" t="s">
        <v>14</v>
      </c>
      <c r="J313" s="314"/>
      <c r="K313" s="314"/>
      <c r="L313" s="314" t="s">
        <v>15</v>
      </c>
      <c r="M313" s="314"/>
      <c r="N313" s="314"/>
      <c r="O313" s="274" t="s">
        <v>34</v>
      </c>
      <c r="P313" s="274" t="s">
        <v>48</v>
      </c>
      <c r="Q313" s="274" t="s">
        <v>60</v>
      </c>
      <c r="R313" s="274" t="s">
        <v>49</v>
      </c>
      <c r="S313" s="274" t="s">
        <v>61</v>
      </c>
      <c r="T313" s="310"/>
      <c r="U313" s="310"/>
      <c r="V313" s="310"/>
      <c r="W313" s="310"/>
      <c r="X313" s="310"/>
      <c r="Y313" s="310"/>
      <c r="Z313" s="310"/>
      <c r="AA313" s="310"/>
      <c r="AB313" s="311"/>
    </row>
    <row r="314" spans="1:28" ht="25.5" x14ac:dyDescent="0.2">
      <c r="A314" s="287"/>
      <c r="B314" s="288"/>
      <c r="C314" s="289"/>
      <c r="D314" s="289"/>
      <c r="E314" s="270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76"/>
      <c r="P314" s="276"/>
      <c r="Q314" s="276"/>
      <c r="R314" s="276"/>
      <c r="S314" s="276"/>
      <c r="T314" s="312"/>
      <c r="U314" s="312"/>
      <c r="V314" s="312"/>
      <c r="W314" s="312"/>
      <c r="X314" s="312"/>
      <c r="Y314" s="312"/>
      <c r="Z314" s="312"/>
      <c r="AA314" s="312"/>
      <c r="AB314" s="313"/>
    </row>
    <row r="315" spans="1:28" x14ac:dyDescent="0.2">
      <c r="A315" s="287"/>
      <c r="B315" s="308" t="s">
        <v>36</v>
      </c>
      <c r="C315" s="12">
        <v>21284</v>
      </c>
      <c r="D315" s="12" t="s">
        <v>95</v>
      </c>
      <c r="E315" s="309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66">
        <f>SUM(F315, I315, L315, F316, I316, L316)*$O312</f>
        <v>16960</v>
      </c>
      <c r="P315" s="266">
        <f>SUM(G315, J315, M315, G316, J316, M316)</f>
        <v>0</v>
      </c>
      <c r="Q315" s="268">
        <f>IF($O315=0, ,P315/$O315)</f>
        <v>0</v>
      </c>
      <c r="R315" s="266">
        <f>SUM(H315, K315, N315, H316, K316, N316)</f>
        <v>0</v>
      </c>
      <c r="S315" s="268">
        <f>IF($O315=0, ,R315/$O315)</f>
        <v>0</v>
      </c>
      <c r="T315" s="315"/>
      <c r="U315" s="315"/>
      <c r="V315" s="315"/>
      <c r="W315" s="315"/>
      <c r="X315" s="315"/>
      <c r="Y315" s="315"/>
      <c r="Z315" s="315"/>
      <c r="AA315" s="315"/>
      <c r="AB315" s="316"/>
    </row>
    <row r="316" spans="1:28" x14ac:dyDescent="0.2">
      <c r="A316" s="287"/>
      <c r="B316" s="308"/>
      <c r="C316" s="12"/>
      <c r="D316" s="12"/>
      <c r="E316" s="309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67"/>
      <c r="P316" s="267"/>
      <c r="Q316" s="269"/>
      <c r="R316" s="267"/>
      <c r="S316" s="269"/>
      <c r="T316" s="317"/>
      <c r="U316" s="317"/>
      <c r="V316" s="317"/>
      <c r="W316" s="317"/>
      <c r="X316" s="317"/>
      <c r="Y316" s="317"/>
      <c r="Z316" s="317"/>
      <c r="AA316" s="317"/>
      <c r="AB316" s="318"/>
    </row>
    <row r="317" spans="1:28" x14ac:dyDescent="0.2">
      <c r="A317" s="287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87"/>
      <c r="B318" s="321" t="s">
        <v>67</v>
      </c>
      <c r="C318" s="321"/>
      <c r="D318" s="322"/>
      <c r="E318" s="82" t="s">
        <v>68</v>
      </c>
      <c r="F318" s="306" t="s">
        <v>64</v>
      </c>
      <c r="G318" s="306"/>
      <c r="H318" s="306"/>
      <c r="I318" s="306" t="s">
        <v>76</v>
      </c>
      <c r="J318" s="306"/>
      <c r="K318" s="306"/>
      <c r="L318" s="306" t="s">
        <v>65</v>
      </c>
      <c r="M318" s="306"/>
      <c r="N318" s="306"/>
      <c r="O318" s="306" t="s">
        <v>66</v>
      </c>
      <c r="P318" s="306"/>
      <c r="Q318" s="306"/>
      <c r="R318" s="306" t="s">
        <v>73</v>
      </c>
      <c r="S318" s="306"/>
      <c r="T318" s="306"/>
      <c r="U318" s="306" t="s">
        <v>74</v>
      </c>
      <c r="V318" s="306"/>
      <c r="W318" s="306"/>
      <c r="X318" s="306" t="s">
        <v>75</v>
      </c>
      <c r="Y318" s="306"/>
      <c r="Z318" s="306"/>
      <c r="AA318" s="307"/>
      <c r="AB318" s="307"/>
    </row>
    <row r="319" spans="1:28" x14ac:dyDescent="0.2">
      <c r="A319" s="287"/>
      <c r="B319" s="323"/>
      <c r="C319" s="323"/>
      <c r="D319" s="324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307"/>
      <c r="AB319" s="307"/>
    </row>
    <row r="320" spans="1:28" x14ac:dyDescent="0.2">
      <c r="A320" s="287"/>
      <c r="B320" s="325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307"/>
      <c r="AB320" s="307"/>
    </row>
    <row r="321" spans="1:28" x14ac:dyDescent="0.2">
      <c r="A321" s="287"/>
      <c r="B321" s="325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307"/>
      <c r="AB321" s="307"/>
    </row>
    <row r="322" spans="1:28" x14ac:dyDescent="0.2">
      <c r="A322" s="287"/>
      <c r="B322" s="325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307"/>
      <c r="AB322" s="307"/>
    </row>
    <row r="323" spans="1:28" x14ac:dyDescent="0.2">
      <c r="A323" s="287"/>
      <c r="B323" s="325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307"/>
      <c r="AB323" s="307"/>
    </row>
    <row r="325" spans="1:28" x14ac:dyDescent="0.2">
      <c r="A325" s="287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87"/>
      <c r="B326" s="288" t="s">
        <v>10</v>
      </c>
      <c r="C326" s="289" t="s">
        <v>25</v>
      </c>
      <c r="D326" s="289" t="s">
        <v>28</v>
      </c>
      <c r="E326" s="270" t="s">
        <v>12</v>
      </c>
      <c r="F326" s="271" t="s">
        <v>13</v>
      </c>
      <c r="G326" s="272"/>
      <c r="H326" s="272"/>
      <c r="I326" s="272"/>
      <c r="J326" s="273"/>
      <c r="K326" s="271" t="s">
        <v>14</v>
      </c>
      <c r="L326" s="272"/>
      <c r="M326" s="272"/>
      <c r="N326" s="272"/>
      <c r="O326" s="273"/>
      <c r="P326" s="271" t="s">
        <v>15</v>
      </c>
      <c r="Q326" s="272"/>
      <c r="R326" s="272"/>
      <c r="S326" s="272"/>
      <c r="T326" s="273"/>
      <c r="U326" s="320" t="s">
        <v>34</v>
      </c>
      <c r="V326" s="320" t="s">
        <v>48</v>
      </c>
      <c r="W326" s="320" t="s">
        <v>56</v>
      </c>
      <c r="X326" s="320" t="s">
        <v>54</v>
      </c>
      <c r="Y326" s="320" t="s">
        <v>57</v>
      </c>
      <c r="Z326" s="320" t="s">
        <v>55</v>
      </c>
      <c r="AA326" s="320" t="s">
        <v>58</v>
      </c>
      <c r="AB326" s="320" t="s">
        <v>38</v>
      </c>
    </row>
    <row r="327" spans="1:28" ht="38.25" x14ac:dyDescent="0.2">
      <c r="A327" s="287"/>
      <c r="B327" s="288"/>
      <c r="C327" s="289"/>
      <c r="D327" s="289"/>
      <c r="E327" s="270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320"/>
      <c r="V327" s="320"/>
      <c r="W327" s="320"/>
      <c r="X327" s="320"/>
      <c r="Y327" s="320"/>
      <c r="Z327" s="320"/>
      <c r="AA327" s="320"/>
      <c r="AB327" s="320"/>
    </row>
    <row r="328" spans="1:28" x14ac:dyDescent="0.2">
      <c r="A328" s="287"/>
      <c r="B328" s="300" t="s">
        <v>17</v>
      </c>
      <c r="C328" s="12"/>
      <c r="D328" s="12"/>
      <c r="E328" s="302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66">
        <f>SUM(F328, K328, P328, F329, K329, P329)</f>
        <v>0</v>
      </c>
      <c r="V328" s="266">
        <f>SUM(H328, M328, R328, H329, M329, R329)</f>
        <v>0</v>
      </c>
      <c r="W328" s="268">
        <f>IF($U328=0, ,V328/$U328)</f>
        <v>0</v>
      </c>
      <c r="X328" s="266">
        <f>SUM(I328, N328, S328, I329, N329, S329)</f>
        <v>0</v>
      </c>
      <c r="Y328" s="268">
        <f>IF($U328=0, ,X328/$U328)</f>
        <v>0</v>
      </c>
      <c r="Z328" s="266">
        <f>SUM(J328, O328, T328, J329, O329, T329)</f>
        <v>0</v>
      </c>
      <c r="AA328" s="268">
        <f>IF($U328=0, ,Z328/$U328)</f>
        <v>0</v>
      </c>
      <c r="AB328" s="292" t="s">
        <v>96</v>
      </c>
    </row>
    <row r="329" spans="1:28" x14ac:dyDescent="0.2">
      <c r="A329" s="287"/>
      <c r="B329" s="319"/>
      <c r="C329" s="12"/>
      <c r="D329" s="12"/>
      <c r="E329" s="304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67"/>
      <c r="V329" s="267"/>
      <c r="W329" s="269"/>
      <c r="X329" s="267"/>
      <c r="Y329" s="269"/>
      <c r="Z329" s="267"/>
      <c r="AA329" s="269"/>
      <c r="AB329" s="293"/>
    </row>
    <row r="330" spans="1:28" x14ac:dyDescent="0.2">
      <c r="A330" s="287"/>
      <c r="B330" s="290" t="s">
        <v>18</v>
      </c>
      <c r="C330" s="10"/>
      <c r="D330" s="10"/>
      <c r="E330" s="279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83">
        <f>SUM(F330, K330, P330, F331, K331, P331)</f>
        <v>0</v>
      </c>
      <c r="V330" s="283">
        <f>SUM(H330, M330, R330, H331, M331, R331)</f>
        <v>0</v>
      </c>
      <c r="W330" s="258">
        <f>IF($U330=0, ,V330/$U330)</f>
        <v>0</v>
      </c>
      <c r="X330" s="283">
        <f>SUM(I330, N330, S330, I331, N331, S331)</f>
        <v>0</v>
      </c>
      <c r="Y330" s="258">
        <f>IF($U330=0, ,X330/$U330)</f>
        <v>0</v>
      </c>
      <c r="Z330" s="283">
        <f>SUM(J330, O330, T330, J331, O331, T331)</f>
        <v>0</v>
      </c>
      <c r="AA330" s="258">
        <f>IF($U330=0, ,Z330/$U330)</f>
        <v>0</v>
      </c>
      <c r="AB330" s="277" t="s">
        <v>96</v>
      </c>
    </row>
    <row r="331" spans="1:28" x14ac:dyDescent="0.2">
      <c r="A331" s="287"/>
      <c r="B331" s="291"/>
      <c r="C331" s="10"/>
      <c r="D331" s="10"/>
      <c r="E331" s="280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84"/>
      <c r="V331" s="284"/>
      <c r="W331" s="259"/>
      <c r="X331" s="284"/>
      <c r="Y331" s="259"/>
      <c r="Z331" s="284"/>
      <c r="AA331" s="259"/>
      <c r="AB331" s="278"/>
    </row>
    <row r="332" spans="1:28" x14ac:dyDescent="0.2">
      <c r="A332" s="287"/>
      <c r="B332" s="300" t="s">
        <v>19</v>
      </c>
      <c r="C332" s="9"/>
      <c r="D332" s="9"/>
      <c r="E332" s="264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66">
        <f>SUM(F332, K332, P332, F333, K333, P333)</f>
        <v>0</v>
      </c>
      <c r="V332" s="266">
        <f>SUM(H332, M332, R332, H333, M333, R333)</f>
        <v>0</v>
      </c>
      <c r="W332" s="268">
        <f>IF($U332=0, ,V332/$U332)</f>
        <v>0</v>
      </c>
      <c r="X332" s="266">
        <f>SUM(I332, N332, S332, I333, N333, S333)</f>
        <v>0</v>
      </c>
      <c r="Y332" s="268">
        <f>IF($U332=0, ,X332/$U332)</f>
        <v>0</v>
      </c>
      <c r="Z332" s="266">
        <f>SUM(J332, O332, T332, J333, O333, T333)</f>
        <v>0</v>
      </c>
      <c r="AA332" s="268">
        <f>IF($U332=0, ,Z332/$U332)</f>
        <v>0</v>
      </c>
      <c r="AB332" s="292" t="s">
        <v>96</v>
      </c>
    </row>
    <row r="333" spans="1:28" x14ac:dyDescent="0.2">
      <c r="A333" s="287"/>
      <c r="B333" s="319"/>
      <c r="C333" s="9"/>
      <c r="D333" s="9"/>
      <c r="E333" s="265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67"/>
      <c r="V333" s="267"/>
      <c r="W333" s="269"/>
      <c r="X333" s="267"/>
      <c r="Y333" s="269"/>
      <c r="Z333" s="267"/>
      <c r="AA333" s="269"/>
      <c r="AB333" s="293"/>
    </row>
    <row r="334" spans="1:28" x14ac:dyDescent="0.2">
      <c r="A334" s="287"/>
      <c r="B334" s="290" t="s">
        <v>20</v>
      </c>
      <c r="C334" s="10"/>
      <c r="D334" s="10"/>
      <c r="E334" s="279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83">
        <f>SUM(F334, K334, P334, F335, K335, P335)</f>
        <v>0</v>
      </c>
      <c r="V334" s="283">
        <f>SUM(H334, M334, R334, H335, M335, R335)</f>
        <v>0</v>
      </c>
      <c r="W334" s="258">
        <f>IF($U334=0, ,V334/$U334)</f>
        <v>0</v>
      </c>
      <c r="X334" s="283">
        <f>SUM(I334, N334, S334, I335, N335, S335)</f>
        <v>0</v>
      </c>
      <c r="Y334" s="258">
        <f>IF($U334=0, ,X334/$U334)</f>
        <v>0</v>
      </c>
      <c r="Z334" s="283">
        <f>SUM(J334, O334, T334, J335, O335, T335)</f>
        <v>0</v>
      </c>
      <c r="AA334" s="258">
        <f>IF($U334=0, ,Z334/$U334)</f>
        <v>0</v>
      </c>
      <c r="AB334" s="277" t="s">
        <v>96</v>
      </c>
    </row>
    <row r="335" spans="1:28" x14ac:dyDescent="0.2">
      <c r="A335" s="287"/>
      <c r="B335" s="291"/>
      <c r="C335" s="10"/>
      <c r="D335" s="10"/>
      <c r="E335" s="280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84"/>
      <c r="V335" s="284"/>
      <c r="W335" s="259"/>
      <c r="X335" s="284"/>
      <c r="Y335" s="259"/>
      <c r="Z335" s="284"/>
      <c r="AA335" s="259"/>
      <c r="AB335" s="278"/>
    </row>
    <row r="336" spans="1:28" x14ac:dyDescent="0.2">
      <c r="A336" s="287"/>
      <c r="B336" s="300" t="s">
        <v>21</v>
      </c>
      <c r="C336" s="9"/>
      <c r="D336" s="9"/>
      <c r="E336" s="264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66">
        <f>SUM(F336, K336, P336, F337, K337, P337)</f>
        <v>0</v>
      </c>
      <c r="V336" s="266">
        <f>SUM(H336, M336, R336, H337, M337, R337)</f>
        <v>0</v>
      </c>
      <c r="W336" s="268">
        <f>IF($U336=0, ,V336/$U336)</f>
        <v>0</v>
      </c>
      <c r="X336" s="266">
        <f>SUM(I336, N336, S336, I337, N337, S337)</f>
        <v>0</v>
      </c>
      <c r="Y336" s="268">
        <f>IF($U336=0, ,X336/$U336)</f>
        <v>0</v>
      </c>
      <c r="Z336" s="266">
        <f>SUM(J336, O336, T336, J337, O337, T337)</f>
        <v>0</v>
      </c>
      <c r="AA336" s="268">
        <f>IF($U336=0, ,Z336/$U336)</f>
        <v>0</v>
      </c>
      <c r="AB336" s="292" t="s">
        <v>96</v>
      </c>
    </row>
    <row r="337" spans="1:28" x14ac:dyDescent="0.2">
      <c r="A337" s="287"/>
      <c r="B337" s="319"/>
      <c r="C337" s="9"/>
      <c r="D337" s="9"/>
      <c r="E337" s="265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67"/>
      <c r="V337" s="267"/>
      <c r="W337" s="269"/>
      <c r="X337" s="267"/>
      <c r="Y337" s="269"/>
      <c r="Z337" s="267"/>
      <c r="AA337" s="269"/>
      <c r="AB337" s="293"/>
    </row>
    <row r="338" spans="1:28" x14ac:dyDescent="0.2">
      <c r="A338" s="287"/>
      <c r="B338" s="290" t="s">
        <v>22</v>
      </c>
      <c r="C338" s="11"/>
      <c r="D338" s="11"/>
      <c r="E338" s="296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83">
        <f>SUM(F338, K338, P338, F339, K339, P339)</f>
        <v>0</v>
      </c>
      <c r="V338" s="283">
        <f>SUM(H338, M338, R338, H339, M339, R339)</f>
        <v>0</v>
      </c>
      <c r="W338" s="258">
        <f>IF($U338=0, ,V338/$U338)</f>
        <v>0</v>
      </c>
      <c r="X338" s="283">
        <f>SUM(I338, N338, S338, I339, N339, S339)</f>
        <v>0</v>
      </c>
      <c r="Y338" s="258">
        <f>IF($U338=0, ,X338/$U338)</f>
        <v>0</v>
      </c>
      <c r="Z338" s="283">
        <f>SUM(J338, O338, T338, J339, O339, T339)</f>
        <v>0</v>
      </c>
      <c r="AA338" s="258">
        <f>IF($U338=0, ,Z338/$U338)</f>
        <v>0</v>
      </c>
      <c r="AB338" s="277" t="s">
        <v>96</v>
      </c>
    </row>
    <row r="339" spans="1:28" x14ac:dyDescent="0.2">
      <c r="A339" s="287"/>
      <c r="B339" s="291"/>
      <c r="C339" s="11"/>
      <c r="D339" s="11"/>
      <c r="E339" s="297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84"/>
      <c r="V339" s="284"/>
      <c r="W339" s="259"/>
      <c r="X339" s="284"/>
      <c r="Y339" s="259"/>
      <c r="Z339" s="284"/>
      <c r="AA339" s="259"/>
      <c r="AB339" s="278"/>
    </row>
    <row r="340" spans="1:28" ht="13.5" thickBot="1" x14ac:dyDescent="0.25">
      <c r="A340" s="287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87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87"/>
      <c r="B342" s="288" t="s">
        <v>35</v>
      </c>
      <c r="C342" s="289" t="s">
        <v>25</v>
      </c>
      <c r="D342" s="289" t="s">
        <v>28</v>
      </c>
      <c r="E342" s="270" t="s">
        <v>12</v>
      </c>
      <c r="F342" s="314" t="s">
        <v>13</v>
      </c>
      <c r="G342" s="314"/>
      <c r="H342" s="314"/>
      <c r="I342" s="314" t="s">
        <v>14</v>
      </c>
      <c r="J342" s="314"/>
      <c r="K342" s="314"/>
      <c r="L342" s="314" t="s">
        <v>15</v>
      </c>
      <c r="M342" s="314"/>
      <c r="N342" s="314"/>
      <c r="O342" s="274" t="s">
        <v>34</v>
      </c>
      <c r="P342" s="274" t="s">
        <v>48</v>
      </c>
      <c r="Q342" s="274" t="s">
        <v>60</v>
      </c>
      <c r="R342" s="274" t="s">
        <v>49</v>
      </c>
      <c r="S342" s="274" t="s">
        <v>61</v>
      </c>
      <c r="T342" s="310"/>
      <c r="U342" s="310"/>
      <c r="V342" s="310"/>
      <c r="W342" s="310"/>
      <c r="X342" s="310"/>
      <c r="Y342" s="310"/>
      <c r="Z342" s="310"/>
      <c r="AA342" s="310"/>
      <c r="AB342" s="311"/>
    </row>
    <row r="343" spans="1:28" ht="25.5" x14ac:dyDescent="0.2">
      <c r="A343" s="287"/>
      <c r="B343" s="288"/>
      <c r="C343" s="289"/>
      <c r="D343" s="289"/>
      <c r="E343" s="270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76"/>
      <c r="P343" s="276"/>
      <c r="Q343" s="276"/>
      <c r="R343" s="276"/>
      <c r="S343" s="276"/>
      <c r="T343" s="312"/>
      <c r="U343" s="312"/>
      <c r="V343" s="312"/>
      <c r="W343" s="312"/>
      <c r="X343" s="312"/>
      <c r="Y343" s="312"/>
      <c r="Z343" s="312"/>
      <c r="AA343" s="312"/>
      <c r="AB343" s="313"/>
    </row>
    <row r="344" spans="1:28" x14ac:dyDescent="0.2">
      <c r="A344" s="287"/>
      <c r="B344" s="308" t="s">
        <v>36</v>
      </c>
      <c r="C344" s="12">
        <v>21284</v>
      </c>
      <c r="D344" s="12" t="s">
        <v>95</v>
      </c>
      <c r="E344" s="309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66">
        <f>SUM(F344, I344, L344, F345, I345, L345)*$O341</f>
        <v>19200</v>
      </c>
      <c r="P344" s="266">
        <f>SUM(G344, J344, M344, G345, J345, M345)</f>
        <v>0</v>
      </c>
      <c r="Q344" s="268">
        <f>IF($O344=0, ,P344/$O344)</f>
        <v>0</v>
      </c>
      <c r="R344" s="266">
        <f>SUM(H344, K344, N344, H345, K345, N345)</f>
        <v>0</v>
      </c>
      <c r="S344" s="268">
        <f>IF($O344=0, ,R344/$O344)</f>
        <v>0</v>
      </c>
      <c r="T344" s="315"/>
      <c r="U344" s="315"/>
      <c r="V344" s="315"/>
      <c r="W344" s="315"/>
      <c r="X344" s="315"/>
      <c r="Y344" s="315"/>
      <c r="Z344" s="315"/>
      <c r="AA344" s="315"/>
      <c r="AB344" s="316"/>
    </row>
    <row r="345" spans="1:28" x14ac:dyDescent="0.2">
      <c r="A345" s="287"/>
      <c r="B345" s="308"/>
      <c r="C345" s="12"/>
      <c r="D345" s="12"/>
      <c r="E345" s="309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67"/>
      <c r="P345" s="267"/>
      <c r="Q345" s="269"/>
      <c r="R345" s="267"/>
      <c r="S345" s="269"/>
      <c r="T345" s="317"/>
      <c r="U345" s="317"/>
      <c r="V345" s="317"/>
      <c r="W345" s="317"/>
      <c r="X345" s="317"/>
      <c r="Y345" s="317"/>
      <c r="Z345" s="317"/>
      <c r="AA345" s="317"/>
      <c r="AB345" s="318"/>
    </row>
    <row r="346" spans="1:28" x14ac:dyDescent="0.2">
      <c r="A346" s="287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87"/>
      <c r="B347" s="321" t="s">
        <v>67</v>
      </c>
      <c r="C347" s="321"/>
      <c r="D347" s="322"/>
      <c r="E347" s="82" t="s">
        <v>68</v>
      </c>
      <c r="F347" s="306" t="s">
        <v>64</v>
      </c>
      <c r="G347" s="306"/>
      <c r="H347" s="306"/>
      <c r="I347" s="306" t="s">
        <v>76</v>
      </c>
      <c r="J347" s="306"/>
      <c r="K347" s="306"/>
      <c r="L347" s="306" t="s">
        <v>65</v>
      </c>
      <c r="M347" s="306"/>
      <c r="N347" s="306"/>
      <c r="O347" s="306" t="s">
        <v>66</v>
      </c>
      <c r="P347" s="306"/>
      <c r="Q347" s="306"/>
      <c r="R347" s="306" t="s">
        <v>73</v>
      </c>
      <c r="S347" s="306"/>
      <c r="T347" s="306"/>
      <c r="U347" s="306" t="s">
        <v>74</v>
      </c>
      <c r="V347" s="306"/>
      <c r="W347" s="306"/>
      <c r="X347" s="306" t="s">
        <v>75</v>
      </c>
      <c r="Y347" s="306"/>
      <c r="Z347" s="306"/>
      <c r="AA347" s="307"/>
      <c r="AB347" s="307"/>
    </row>
    <row r="348" spans="1:28" x14ac:dyDescent="0.2">
      <c r="A348" s="287"/>
      <c r="B348" s="323"/>
      <c r="C348" s="323"/>
      <c r="D348" s="324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307"/>
      <c r="AB348" s="307"/>
    </row>
    <row r="349" spans="1:28" x14ac:dyDescent="0.2">
      <c r="A349" s="287"/>
      <c r="B349" s="325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307"/>
      <c r="AB349" s="307"/>
    </row>
    <row r="350" spans="1:28" x14ac:dyDescent="0.2">
      <c r="A350" s="287"/>
      <c r="B350" s="325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307"/>
      <c r="AB350" s="307"/>
    </row>
    <row r="351" spans="1:28" x14ac:dyDescent="0.2">
      <c r="A351" s="287"/>
      <c r="B351" s="325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307"/>
      <c r="AB351" s="307"/>
    </row>
    <row r="352" spans="1:28" x14ac:dyDescent="0.2">
      <c r="A352" s="287"/>
      <c r="B352" s="325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307"/>
      <c r="AB352" s="307"/>
    </row>
    <row r="354" spans="1:28" x14ac:dyDescent="0.2">
      <c r="A354" s="287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87"/>
      <c r="B355" s="288" t="s">
        <v>10</v>
      </c>
      <c r="C355" s="289" t="s">
        <v>25</v>
      </c>
      <c r="D355" s="289" t="s">
        <v>28</v>
      </c>
      <c r="E355" s="270" t="s">
        <v>12</v>
      </c>
      <c r="F355" s="271" t="s">
        <v>13</v>
      </c>
      <c r="G355" s="272"/>
      <c r="H355" s="272"/>
      <c r="I355" s="272"/>
      <c r="J355" s="273"/>
      <c r="K355" s="271" t="s">
        <v>14</v>
      </c>
      <c r="L355" s="272"/>
      <c r="M355" s="272"/>
      <c r="N355" s="272"/>
      <c r="O355" s="273"/>
      <c r="P355" s="271" t="s">
        <v>15</v>
      </c>
      <c r="Q355" s="272"/>
      <c r="R355" s="272"/>
      <c r="S355" s="272"/>
      <c r="T355" s="273"/>
      <c r="U355" s="320" t="s">
        <v>34</v>
      </c>
      <c r="V355" s="320" t="s">
        <v>48</v>
      </c>
      <c r="W355" s="320" t="s">
        <v>56</v>
      </c>
      <c r="X355" s="320" t="s">
        <v>54</v>
      </c>
      <c r="Y355" s="320" t="s">
        <v>57</v>
      </c>
      <c r="Z355" s="320" t="s">
        <v>55</v>
      </c>
      <c r="AA355" s="320" t="s">
        <v>58</v>
      </c>
      <c r="AB355" s="320" t="s">
        <v>38</v>
      </c>
    </row>
    <row r="356" spans="1:28" ht="38.25" x14ac:dyDescent="0.2">
      <c r="A356" s="287"/>
      <c r="B356" s="288"/>
      <c r="C356" s="289"/>
      <c r="D356" s="289"/>
      <c r="E356" s="270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320"/>
      <c r="V356" s="320"/>
      <c r="W356" s="320"/>
      <c r="X356" s="320"/>
      <c r="Y356" s="320"/>
      <c r="Z356" s="320"/>
      <c r="AA356" s="320"/>
      <c r="AB356" s="320"/>
    </row>
    <row r="357" spans="1:28" x14ac:dyDescent="0.2">
      <c r="A357" s="287"/>
      <c r="B357" s="300" t="s">
        <v>17</v>
      </c>
      <c r="C357" s="12"/>
      <c r="D357" s="12"/>
      <c r="E357" s="302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66">
        <f>SUM(F357, K357, P357, F358, K358, P358)</f>
        <v>0</v>
      </c>
      <c r="V357" s="266">
        <f>SUM(H357, M357, R357, H358, M358, R358)</f>
        <v>0</v>
      </c>
      <c r="W357" s="268">
        <f>IF($U357=0, ,V357/$U357)</f>
        <v>0</v>
      </c>
      <c r="X357" s="266">
        <f>SUM(I357, N357, S357, I358, N358, S358)</f>
        <v>0</v>
      </c>
      <c r="Y357" s="268">
        <f>IF($U357=0, ,X357/$U357)</f>
        <v>0</v>
      </c>
      <c r="Z357" s="266">
        <f>SUM(J357, O357, T357, J358, O358, T358)</f>
        <v>0</v>
      </c>
      <c r="AA357" s="268">
        <f>IF($U357=0, ,Z357/$U357)</f>
        <v>0</v>
      </c>
      <c r="AB357" s="292"/>
    </row>
    <row r="358" spans="1:28" x14ac:dyDescent="0.2">
      <c r="A358" s="287"/>
      <c r="B358" s="319"/>
      <c r="C358" s="12"/>
      <c r="D358" s="12"/>
      <c r="E358" s="304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67"/>
      <c r="V358" s="267"/>
      <c r="W358" s="269"/>
      <c r="X358" s="267"/>
      <c r="Y358" s="269"/>
      <c r="Z358" s="267"/>
      <c r="AA358" s="269"/>
      <c r="AB358" s="293"/>
    </row>
    <row r="359" spans="1:28" x14ac:dyDescent="0.2">
      <c r="A359" s="287"/>
      <c r="B359" s="290" t="s">
        <v>18</v>
      </c>
      <c r="C359" s="10"/>
      <c r="D359" s="10"/>
      <c r="E359" s="279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83">
        <f>SUM(F359, K359, P359, F360, K360, P360)</f>
        <v>0</v>
      </c>
      <c r="V359" s="283">
        <f>SUM(H359, M359, R359, H360, M360, R360)</f>
        <v>0</v>
      </c>
      <c r="W359" s="258">
        <f>IF($U359=0, ,V359/$U359)</f>
        <v>0</v>
      </c>
      <c r="X359" s="283">
        <f>SUM(I359, N359, S359, I360, N360, S360)</f>
        <v>0</v>
      </c>
      <c r="Y359" s="258">
        <f>IF($U359=0, ,X359/$U359)</f>
        <v>0</v>
      </c>
      <c r="Z359" s="283">
        <f>SUM(J359, O359, T359, J360, O360, T360)</f>
        <v>0</v>
      </c>
      <c r="AA359" s="258">
        <f>IF($U359=0, ,Z359/$U359)</f>
        <v>0</v>
      </c>
      <c r="AB359" s="277"/>
    </row>
    <row r="360" spans="1:28" x14ac:dyDescent="0.2">
      <c r="A360" s="287"/>
      <c r="B360" s="291"/>
      <c r="C360" s="10"/>
      <c r="D360" s="10"/>
      <c r="E360" s="280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84"/>
      <c r="V360" s="284"/>
      <c r="W360" s="259"/>
      <c r="X360" s="284"/>
      <c r="Y360" s="259"/>
      <c r="Z360" s="284"/>
      <c r="AA360" s="259"/>
      <c r="AB360" s="278"/>
    </row>
    <row r="361" spans="1:28" x14ac:dyDescent="0.2">
      <c r="A361" s="287"/>
      <c r="B361" s="300" t="s">
        <v>19</v>
      </c>
      <c r="C361" s="9"/>
      <c r="D361" s="9"/>
      <c r="E361" s="264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66">
        <f>SUM(F361, K361, P361, F362, K362, P362)</f>
        <v>0</v>
      </c>
      <c r="V361" s="266">
        <f>SUM(H361, M361, R361, H362, M362, R362)</f>
        <v>0</v>
      </c>
      <c r="W361" s="268">
        <f>IF($U361=0, ,V361/$U361)</f>
        <v>0</v>
      </c>
      <c r="X361" s="266">
        <f>SUM(I361, N361, S361, I362, N362, S362)</f>
        <v>0</v>
      </c>
      <c r="Y361" s="268">
        <f>IF($U361=0, ,X361/$U361)</f>
        <v>0</v>
      </c>
      <c r="Z361" s="266">
        <f>SUM(J361, O361, T361, J362, O362, T362)</f>
        <v>0</v>
      </c>
      <c r="AA361" s="268">
        <f>IF($U361=0, ,Z361/$U361)</f>
        <v>0</v>
      </c>
      <c r="AB361" s="292"/>
    </row>
    <row r="362" spans="1:28" x14ac:dyDescent="0.2">
      <c r="A362" s="287"/>
      <c r="B362" s="319"/>
      <c r="C362" s="9"/>
      <c r="D362" s="9"/>
      <c r="E362" s="265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67"/>
      <c r="V362" s="267"/>
      <c r="W362" s="269"/>
      <c r="X362" s="267"/>
      <c r="Y362" s="269"/>
      <c r="Z362" s="267"/>
      <c r="AA362" s="269"/>
      <c r="AB362" s="293"/>
    </row>
    <row r="363" spans="1:28" x14ac:dyDescent="0.2">
      <c r="A363" s="287"/>
      <c r="B363" s="290" t="s">
        <v>20</v>
      </c>
      <c r="C363" s="10"/>
      <c r="D363" s="10"/>
      <c r="E363" s="279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83">
        <f>SUM(F363, K363, P363, F364, K364, P364)</f>
        <v>0</v>
      </c>
      <c r="V363" s="283">
        <f>SUM(H363, M363, R363, H364, M364, R364)</f>
        <v>0</v>
      </c>
      <c r="W363" s="258">
        <f>IF($U363=0, ,V363/$U363)</f>
        <v>0</v>
      </c>
      <c r="X363" s="283">
        <f>SUM(I363, N363, S363, I364, N364, S364)</f>
        <v>0</v>
      </c>
      <c r="Y363" s="258">
        <f>IF($U363=0, ,X363/$U363)</f>
        <v>0</v>
      </c>
      <c r="Z363" s="283">
        <f>SUM(J363, O363, T363, J364, O364, T364)</f>
        <v>0</v>
      </c>
      <c r="AA363" s="258">
        <f>IF($U363=0, ,Z363/$U363)</f>
        <v>0</v>
      </c>
      <c r="AB363" s="277"/>
    </row>
    <row r="364" spans="1:28" x14ac:dyDescent="0.2">
      <c r="A364" s="287"/>
      <c r="B364" s="291"/>
      <c r="C364" s="10"/>
      <c r="D364" s="10"/>
      <c r="E364" s="280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84"/>
      <c r="V364" s="284"/>
      <c r="W364" s="259"/>
      <c r="X364" s="284"/>
      <c r="Y364" s="259"/>
      <c r="Z364" s="284"/>
      <c r="AA364" s="259"/>
      <c r="AB364" s="278"/>
    </row>
    <row r="365" spans="1:28" x14ac:dyDescent="0.2">
      <c r="A365" s="287"/>
      <c r="B365" s="300" t="s">
        <v>21</v>
      </c>
      <c r="C365" s="9"/>
      <c r="D365" s="9"/>
      <c r="E365" s="264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66">
        <f>SUM(F365, K365, P365, F366, K366, P366)</f>
        <v>0</v>
      </c>
      <c r="V365" s="266">
        <f>SUM(H365, M365, R365, H366, M366, R366)</f>
        <v>0</v>
      </c>
      <c r="W365" s="268">
        <f>IF($U365=0, ,V365/$U365)</f>
        <v>0</v>
      </c>
      <c r="X365" s="266">
        <f>SUM(I365, N365, S365, I366, N366, S366)</f>
        <v>0</v>
      </c>
      <c r="Y365" s="268">
        <f>IF($U365=0, ,X365/$U365)</f>
        <v>0</v>
      </c>
      <c r="Z365" s="266">
        <f>SUM(J365, O365, T365, J366, O366, T366)</f>
        <v>0</v>
      </c>
      <c r="AA365" s="268">
        <f>IF($U365=0, ,Z365/$U365)</f>
        <v>0</v>
      </c>
      <c r="AB365" s="292"/>
    </row>
    <row r="366" spans="1:28" x14ac:dyDescent="0.2">
      <c r="A366" s="287"/>
      <c r="B366" s="319"/>
      <c r="C366" s="9"/>
      <c r="D366" s="9"/>
      <c r="E366" s="265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67"/>
      <c r="V366" s="267"/>
      <c r="W366" s="269"/>
      <c r="X366" s="267"/>
      <c r="Y366" s="269"/>
      <c r="Z366" s="267"/>
      <c r="AA366" s="269"/>
      <c r="AB366" s="293"/>
    </row>
    <row r="367" spans="1:28" x14ac:dyDescent="0.2">
      <c r="A367" s="287"/>
      <c r="B367" s="290" t="s">
        <v>22</v>
      </c>
      <c r="C367" s="11"/>
      <c r="D367" s="11"/>
      <c r="E367" s="296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83">
        <f>SUM(F367, K367, P367, F368, K368, P368)</f>
        <v>0</v>
      </c>
      <c r="V367" s="283">
        <f>SUM(H367, M367, R367, H368, M368, R368)</f>
        <v>0</v>
      </c>
      <c r="W367" s="258">
        <f>IF($U367=0, ,V367/$U367)</f>
        <v>0</v>
      </c>
      <c r="X367" s="283">
        <f>SUM(I367, N367, S367, I368, N368, S368)</f>
        <v>0</v>
      </c>
      <c r="Y367" s="258">
        <f>IF($U367=0, ,X367/$U367)</f>
        <v>0</v>
      </c>
      <c r="Z367" s="283">
        <f>SUM(J367, O367, T367, J368, O368, T368)</f>
        <v>0</v>
      </c>
      <c r="AA367" s="258">
        <f>IF($U367=0, ,Z367/$U367)</f>
        <v>0</v>
      </c>
      <c r="AB367" s="277"/>
    </row>
    <row r="368" spans="1:28" x14ac:dyDescent="0.2">
      <c r="A368" s="287"/>
      <c r="B368" s="291"/>
      <c r="C368" s="11"/>
      <c r="D368" s="11"/>
      <c r="E368" s="297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84"/>
      <c r="V368" s="284"/>
      <c r="W368" s="259"/>
      <c r="X368" s="284"/>
      <c r="Y368" s="259"/>
      <c r="Z368" s="284"/>
      <c r="AA368" s="259"/>
      <c r="AB368" s="278"/>
    </row>
    <row r="369" spans="1:28" ht="13.5" thickBot="1" x14ac:dyDescent="0.25">
      <c r="A369" s="287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87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87"/>
      <c r="B371" s="288" t="s">
        <v>35</v>
      </c>
      <c r="C371" s="289" t="s">
        <v>25</v>
      </c>
      <c r="D371" s="289" t="s">
        <v>28</v>
      </c>
      <c r="E371" s="270" t="s">
        <v>12</v>
      </c>
      <c r="F371" s="314" t="s">
        <v>13</v>
      </c>
      <c r="G371" s="314"/>
      <c r="H371" s="314"/>
      <c r="I371" s="314" t="s">
        <v>14</v>
      </c>
      <c r="J371" s="314"/>
      <c r="K371" s="314"/>
      <c r="L371" s="314" t="s">
        <v>15</v>
      </c>
      <c r="M371" s="314"/>
      <c r="N371" s="314"/>
      <c r="O371" s="274" t="s">
        <v>34</v>
      </c>
      <c r="P371" s="274" t="s">
        <v>48</v>
      </c>
      <c r="Q371" s="274" t="s">
        <v>60</v>
      </c>
      <c r="R371" s="274" t="s">
        <v>49</v>
      </c>
      <c r="S371" s="274" t="s">
        <v>61</v>
      </c>
      <c r="T371" s="310"/>
      <c r="U371" s="310"/>
      <c r="V371" s="310"/>
      <c r="W371" s="310"/>
      <c r="X371" s="310"/>
      <c r="Y371" s="310"/>
      <c r="Z371" s="310"/>
      <c r="AA371" s="310"/>
      <c r="AB371" s="311"/>
    </row>
    <row r="372" spans="1:28" ht="25.5" x14ac:dyDescent="0.2">
      <c r="A372" s="287"/>
      <c r="B372" s="288"/>
      <c r="C372" s="289"/>
      <c r="D372" s="289"/>
      <c r="E372" s="270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76"/>
      <c r="P372" s="276"/>
      <c r="Q372" s="276"/>
      <c r="R372" s="276"/>
      <c r="S372" s="276"/>
      <c r="T372" s="312"/>
      <c r="U372" s="312"/>
      <c r="V372" s="312"/>
      <c r="W372" s="312"/>
      <c r="X372" s="312"/>
      <c r="Y372" s="312"/>
      <c r="Z372" s="312"/>
      <c r="AA372" s="312"/>
      <c r="AB372" s="313"/>
    </row>
    <row r="373" spans="1:28" x14ac:dyDescent="0.2">
      <c r="A373" s="287"/>
      <c r="B373" s="308" t="s">
        <v>36</v>
      </c>
      <c r="C373" s="12">
        <v>21284</v>
      </c>
      <c r="D373" s="12" t="s">
        <v>95</v>
      </c>
      <c r="E373" s="309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66">
        <f>SUM(F373, I373, L373, F374, I374, L374)*$O370</f>
        <v>16640</v>
      </c>
      <c r="P373" s="266">
        <f>SUM(G373, J373, M373, G374, J374, M374)</f>
        <v>0</v>
      </c>
      <c r="Q373" s="268">
        <f>IF($O373=0, ,P373/$O373)</f>
        <v>0</v>
      </c>
      <c r="R373" s="266">
        <f>SUM(H373, K373, N373, H374, K374, N374)</f>
        <v>0</v>
      </c>
      <c r="S373" s="268">
        <f>IF($O373=0, ,R373/$O373)</f>
        <v>0</v>
      </c>
      <c r="T373" s="315"/>
      <c r="U373" s="315"/>
      <c r="V373" s="315"/>
      <c r="W373" s="315"/>
      <c r="X373" s="315"/>
      <c r="Y373" s="315"/>
      <c r="Z373" s="315"/>
      <c r="AA373" s="315"/>
      <c r="AB373" s="316"/>
    </row>
    <row r="374" spans="1:28" x14ac:dyDescent="0.2">
      <c r="A374" s="287"/>
      <c r="B374" s="308"/>
      <c r="C374" s="12"/>
      <c r="D374" s="12"/>
      <c r="E374" s="309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67"/>
      <c r="P374" s="267"/>
      <c r="Q374" s="269"/>
      <c r="R374" s="267"/>
      <c r="S374" s="269"/>
      <c r="T374" s="317"/>
      <c r="U374" s="317"/>
      <c r="V374" s="317"/>
      <c r="W374" s="317"/>
      <c r="X374" s="317"/>
      <c r="Y374" s="317"/>
      <c r="Z374" s="317"/>
      <c r="AA374" s="317"/>
      <c r="AB374" s="318"/>
    </row>
    <row r="375" spans="1:28" x14ac:dyDescent="0.2">
      <c r="A375" s="287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87"/>
      <c r="B376" s="321" t="s">
        <v>67</v>
      </c>
      <c r="C376" s="321"/>
      <c r="D376" s="322"/>
      <c r="E376" s="82" t="s">
        <v>68</v>
      </c>
      <c r="F376" s="306" t="s">
        <v>64</v>
      </c>
      <c r="G376" s="306"/>
      <c r="H376" s="306"/>
      <c r="I376" s="306" t="s">
        <v>76</v>
      </c>
      <c r="J376" s="306"/>
      <c r="K376" s="306"/>
      <c r="L376" s="306" t="s">
        <v>65</v>
      </c>
      <c r="M376" s="306"/>
      <c r="N376" s="306"/>
      <c r="O376" s="306" t="s">
        <v>66</v>
      </c>
      <c r="P376" s="306"/>
      <c r="Q376" s="306"/>
      <c r="R376" s="306" t="s">
        <v>73</v>
      </c>
      <c r="S376" s="306"/>
      <c r="T376" s="306"/>
      <c r="U376" s="306" t="s">
        <v>74</v>
      </c>
      <c r="V376" s="306"/>
      <c r="W376" s="306"/>
      <c r="X376" s="306" t="s">
        <v>75</v>
      </c>
      <c r="Y376" s="306"/>
      <c r="Z376" s="306"/>
      <c r="AA376" s="307"/>
      <c r="AB376" s="307"/>
    </row>
    <row r="377" spans="1:28" x14ac:dyDescent="0.2">
      <c r="A377" s="287"/>
      <c r="B377" s="323"/>
      <c r="C377" s="323"/>
      <c r="D377" s="324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307"/>
      <c r="AB377" s="307"/>
    </row>
    <row r="378" spans="1:28" x14ac:dyDescent="0.2">
      <c r="A378" s="287"/>
      <c r="B378" s="325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307"/>
      <c r="AB378" s="307"/>
    </row>
    <row r="379" spans="1:28" x14ac:dyDescent="0.2">
      <c r="A379" s="287"/>
      <c r="B379" s="325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307"/>
      <c r="AB379" s="307"/>
    </row>
    <row r="380" spans="1:28" x14ac:dyDescent="0.2">
      <c r="A380" s="287"/>
      <c r="B380" s="325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307"/>
      <c r="AB380" s="307"/>
    </row>
    <row r="381" spans="1:28" x14ac:dyDescent="0.2">
      <c r="A381" s="287"/>
      <c r="B381" s="325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307"/>
      <c r="AB381" s="307"/>
    </row>
    <row r="383" spans="1:28" x14ac:dyDescent="0.2">
      <c r="A383" s="287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87"/>
      <c r="B384" s="288" t="s">
        <v>10</v>
      </c>
      <c r="C384" s="289" t="s">
        <v>25</v>
      </c>
      <c r="D384" s="289" t="s">
        <v>28</v>
      </c>
      <c r="E384" s="270" t="s">
        <v>12</v>
      </c>
      <c r="F384" s="271" t="s">
        <v>13</v>
      </c>
      <c r="G384" s="272"/>
      <c r="H384" s="272"/>
      <c r="I384" s="272"/>
      <c r="J384" s="273"/>
      <c r="K384" s="271" t="s">
        <v>14</v>
      </c>
      <c r="L384" s="272"/>
      <c r="M384" s="272"/>
      <c r="N384" s="272"/>
      <c r="O384" s="273"/>
      <c r="P384" s="271" t="s">
        <v>15</v>
      </c>
      <c r="Q384" s="272"/>
      <c r="R384" s="272"/>
      <c r="S384" s="272"/>
      <c r="T384" s="273"/>
      <c r="U384" s="320" t="s">
        <v>34</v>
      </c>
      <c r="V384" s="320" t="s">
        <v>48</v>
      </c>
      <c r="W384" s="320" t="s">
        <v>56</v>
      </c>
      <c r="X384" s="320" t="s">
        <v>54</v>
      </c>
      <c r="Y384" s="320" t="s">
        <v>57</v>
      </c>
      <c r="Z384" s="320" t="s">
        <v>55</v>
      </c>
      <c r="AA384" s="320" t="s">
        <v>58</v>
      </c>
      <c r="AB384" s="320" t="s">
        <v>38</v>
      </c>
    </row>
    <row r="385" spans="1:28" ht="38.25" x14ac:dyDescent="0.2">
      <c r="A385" s="287"/>
      <c r="B385" s="288"/>
      <c r="C385" s="289"/>
      <c r="D385" s="289"/>
      <c r="E385" s="270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320"/>
      <c r="V385" s="320"/>
      <c r="W385" s="320"/>
      <c r="X385" s="320"/>
      <c r="Y385" s="320"/>
      <c r="Z385" s="320"/>
      <c r="AA385" s="320"/>
      <c r="AB385" s="320"/>
    </row>
    <row r="386" spans="1:28" x14ac:dyDescent="0.2">
      <c r="A386" s="287"/>
      <c r="B386" s="300" t="s">
        <v>17</v>
      </c>
      <c r="C386" s="12"/>
      <c r="D386" s="12"/>
      <c r="E386" s="302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66">
        <f>SUM(F386, K386, P386, F387, K387, P387)</f>
        <v>0</v>
      </c>
      <c r="V386" s="266">
        <f>SUM(H386, M386, R386, H387, M387, R387)</f>
        <v>0</v>
      </c>
      <c r="W386" s="268">
        <f>IF($U386=0, ,V386/$U386)</f>
        <v>0</v>
      </c>
      <c r="X386" s="266">
        <f>SUM(I386, N386, S386, I387, N387, S387)</f>
        <v>0</v>
      </c>
      <c r="Y386" s="268">
        <f>IF($U386=0, ,X386/$U386)</f>
        <v>0</v>
      </c>
      <c r="Z386" s="266">
        <f>SUM(J386, O386, T386, J387, O387, T387)</f>
        <v>0</v>
      </c>
      <c r="AA386" s="268">
        <f>IF($U386=0, ,Z386/$U386)</f>
        <v>0</v>
      </c>
      <c r="AB386" s="292"/>
    </row>
    <row r="387" spans="1:28" x14ac:dyDescent="0.2">
      <c r="A387" s="287"/>
      <c r="B387" s="319"/>
      <c r="C387" s="12"/>
      <c r="D387" s="12"/>
      <c r="E387" s="304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67"/>
      <c r="V387" s="267"/>
      <c r="W387" s="269"/>
      <c r="X387" s="267"/>
      <c r="Y387" s="269"/>
      <c r="Z387" s="267"/>
      <c r="AA387" s="269"/>
      <c r="AB387" s="293"/>
    </row>
    <row r="388" spans="1:28" x14ac:dyDescent="0.2">
      <c r="A388" s="287"/>
      <c r="B388" s="290" t="s">
        <v>18</v>
      </c>
      <c r="C388" s="10"/>
      <c r="D388" s="10"/>
      <c r="E388" s="279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83">
        <f>SUM(F388, K388, P388, F389, K389, P389)</f>
        <v>0</v>
      </c>
      <c r="V388" s="283">
        <f>SUM(H388, M388, R388, H389, M389, R389)</f>
        <v>0</v>
      </c>
      <c r="W388" s="258">
        <f>IF($U388=0, ,V388/$U388)</f>
        <v>0</v>
      </c>
      <c r="X388" s="283">
        <f>SUM(I388, N388, S388, I389, N389, S389)</f>
        <v>0</v>
      </c>
      <c r="Y388" s="258">
        <f>IF($U388=0, ,X388/$U388)</f>
        <v>0</v>
      </c>
      <c r="Z388" s="283">
        <f>SUM(J388, O388, T388, J389, O389, T389)</f>
        <v>0</v>
      </c>
      <c r="AA388" s="258">
        <f>IF($U388=0, ,Z388/$U388)</f>
        <v>0</v>
      </c>
      <c r="AB388" s="277"/>
    </row>
    <row r="389" spans="1:28" x14ac:dyDescent="0.2">
      <c r="A389" s="287"/>
      <c r="B389" s="291"/>
      <c r="C389" s="10"/>
      <c r="D389" s="10"/>
      <c r="E389" s="280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84"/>
      <c r="V389" s="284"/>
      <c r="W389" s="259"/>
      <c r="X389" s="284"/>
      <c r="Y389" s="259"/>
      <c r="Z389" s="284"/>
      <c r="AA389" s="259"/>
      <c r="AB389" s="278"/>
    </row>
    <row r="390" spans="1:28" x14ac:dyDescent="0.2">
      <c r="A390" s="287"/>
      <c r="B390" s="300" t="s">
        <v>19</v>
      </c>
      <c r="C390" s="9"/>
      <c r="D390" s="9"/>
      <c r="E390" s="264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66">
        <f>SUM(F390, K390, P390, F391, K391, P391)</f>
        <v>0</v>
      </c>
      <c r="V390" s="266">
        <f>SUM(H390, M390, R390, H391, M391, R391)</f>
        <v>0</v>
      </c>
      <c r="W390" s="268">
        <f>IF($U390=0, ,V390/$U390)</f>
        <v>0</v>
      </c>
      <c r="X390" s="266">
        <f>SUM(I390, N390, S390, I391, N391, S391)</f>
        <v>0</v>
      </c>
      <c r="Y390" s="268">
        <f>IF($U390=0, ,X390/$U390)</f>
        <v>0</v>
      </c>
      <c r="Z390" s="266">
        <f>SUM(J390, O390, T390, J391, O391, T391)</f>
        <v>0</v>
      </c>
      <c r="AA390" s="268">
        <f>IF($U390=0, ,Z390/$U390)</f>
        <v>0</v>
      </c>
      <c r="AB390" s="292"/>
    </row>
    <row r="391" spans="1:28" x14ac:dyDescent="0.2">
      <c r="A391" s="287"/>
      <c r="B391" s="319"/>
      <c r="C391" s="9"/>
      <c r="D391" s="9"/>
      <c r="E391" s="265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67"/>
      <c r="V391" s="267"/>
      <c r="W391" s="269"/>
      <c r="X391" s="267"/>
      <c r="Y391" s="269"/>
      <c r="Z391" s="267"/>
      <c r="AA391" s="269"/>
      <c r="AB391" s="293"/>
    </row>
    <row r="392" spans="1:28" x14ac:dyDescent="0.2">
      <c r="A392" s="287"/>
      <c r="B392" s="290" t="s">
        <v>20</v>
      </c>
      <c r="C392" s="10"/>
      <c r="D392" s="10"/>
      <c r="E392" s="279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83">
        <f>SUM(F392, K392, P392, F393, K393, P393)</f>
        <v>0</v>
      </c>
      <c r="V392" s="283">
        <f>SUM(H392, M392, R392, H393, M393, R393)</f>
        <v>0</v>
      </c>
      <c r="W392" s="258">
        <f>IF($U392=0, ,V392/$U392)</f>
        <v>0</v>
      </c>
      <c r="X392" s="283">
        <f>SUM(I392, N392, S392, I393, N393, S393)</f>
        <v>0</v>
      </c>
      <c r="Y392" s="258">
        <f>IF($U392=0, ,X392/$U392)</f>
        <v>0</v>
      </c>
      <c r="Z392" s="283">
        <f>SUM(J392, O392, T392, J393, O393, T393)</f>
        <v>0</v>
      </c>
      <c r="AA392" s="258">
        <f>IF($U392=0, ,Z392/$U392)</f>
        <v>0</v>
      </c>
      <c r="AB392" s="277"/>
    </row>
    <row r="393" spans="1:28" x14ac:dyDescent="0.2">
      <c r="A393" s="287"/>
      <c r="B393" s="291"/>
      <c r="C393" s="10"/>
      <c r="D393" s="10"/>
      <c r="E393" s="280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84"/>
      <c r="V393" s="284"/>
      <c r="W393" s="259"/>
      <c r="X393" s="284"/>
      <c r="Y393" s="259"/>
      <c r="Z393" s="284"/>
      <c r="AA393" s="259"/>
      <c r="AB393" s="278"/>
    </row>
    <row r="394" spans="1:28" x14ac:dyDescent="0.2">
      <c r="A394" s="287"/>
      <c r="B394" s="300" t="s">
        <v>21</v>
      </c>
      <c r="C394" s="9"/>
      <c r="D394" s="9"/>
      <c r="E394" s="264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66">
        <f>SUM(F394, K394, P394, F395, K395, P395)</f>
        <v>0</v>
      </c>
      <c r="V394" s="266">
        <f>SUM(H394, M394, R394, H395, M395, R395)</f>
        <v>0</v>
      </c>
      <c r="W394" s="268">
        <f>IF($U394=0, ,V394/$U394)</f>
        <v>0</v>
      </c>
      <c r="X394" s="266">
        <f>SUM(I394, N394, S394, I395, N395, S395)</f>
        <v>0</v>
      </c>
      <c r="Y394" s="268">
        <f>IF($U394=0, ,X394/$U394)</f>
        <v>0</v>
      </c>
      <c r="Z394" s="266">
        <f>SUM(J394, O394, T394, J395, O395, T395)</f>
        <v>0</v>
      </c>
      <c r="AA394" s="268">
        <f>IF($U394=0, ,Z394/$U394)</f>
        <v>0</v>
      </c>
      <c r="AB394" s="292"/>
    </row>
    <row r="395" spans="1:28" x14ac:dyDescent="0.2">
      <c r="A395" s="287"/>
      <c r="B395" s="319"/>
      <c r="C395" s="9"/>
      <c r="D395" s="9"/>
      <c r="E395" s="265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67"/>
      <c r="V395" s="267"/>
      <c r="W395" s="269"/>
      <c r="X395" s="267"/>
      <c r="Y395" s="269"/>
      <c r="Z395" s="267"/>
      <c r="AA395" s="269"/>
      <c r="AB395" s="293"/>
    </row>
    <row r="396" spans="1:28" x14ac:dyDescent="0.2">
      <c r="A396" s="287"/>
      <c r="B396" s="290" t="s">
        <v>22</v>
      </c>
      <c r="C396" s="11"/>
      <c r="D396" s="11"/>
      <c r="E396" s="296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83">
        <f>SUM(F396, K396, P396, F397, K397, P397)</f>
        <v>0</v>
      </c>
      <c r="V396" s="283">
        <f>SUM(H396, M396, R396, H397, M397, R397)</f>
        <v>0</v>
      </c>
      <c r="W396" s="258">
        <f>IF($U396=0, ,V396/$U396)</f>
        <v>0</v>
      </c>
      <c r="X396" s="283">
        <f>SUM(I396, N396, S396, I397, N397, S397)</f>
        <v>0</v>
      </c>
      <c r="Y396" s="258">
        <f>IF($U396=0, ,X396/$U396)</f>
        <v>0</v>
      </c>
      <c r="Z396" s="283">
        <f>SUM(J396, O396, T396, J397, O397, T397)</f>
        <v>0</v>
      </c>
      <c r="AA396" s="258">
        <f>IF($U396=0, ,Z396/$U396)</f>
        <v>0</v>
      </c>
      <c r="AB396" s="277"/>
    </row>
    <row r="397" spans="1:28" x14ac:dyDescent="0.2">
      <c r="A397" s="287"/>
      <c r="B397" s="291"/>
      <c r="C397" s="11"/>
      <c r="D397" s="11"/>
      <c r="E397" s="297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84"/>
      <c r="V397" s="284"/>
      <c r="W397" s="259"/>
      <c r="X397" s="284"/>
      <c r="Y397" s="259"/>
      <c r="Z397" s="284"/>
      <c r="AA397" s="259"/>
      <c r="AB397" s="278"/>
    </row>
    <row r="398" spans="1:28" ht="13.5" thickBot="1" x14ac:dyDescent="0.25">
      <c r="A398" s="287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87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87"/>
      <c r="B400" s="288" t="s">
        <v>35</v>
      </c>
      <c r="C400" s="289" t="s">
        <v>25</v>
      </c>
      <c r="D400" s="289" t="s">
        <v>28</v>
      </c>
      <c r="E400" s="270" t="s">
        <v>12</v>
      </c>
      <c r="F400" s="314" t="s">
        <v>13</v>
      </c>
      <c r="G400" s="314"/>
      <c r="H400" s="314"/>
      <c r="I400" s="314" t="s">
        <v>14</v>
      </c>
      <c r="J400" s="314"/>
      <c r="K400" s="314"/>
      <c r="L400" s="314" t="s">
        <v>15</v>
      </c>
      <c r="M400" s="314"/>
      <c r="N400" s="314"/>
      <c r="O400" s="274" t="s">
        <v>34</v>
      </c>
      <c r="P400" s="274" t="s">
        <v>48</v>
      </c>
      <c r="Q400" s="274" t="s">
        <v>60</v>
      </c>
      <c r="R400" s="274" t="s">
        <v>49</v>
      </c>
      <c r="S400" s="274" t="s">
        <v>61</v>
      </c>
      <c r="T400" s="310"/>
      <c r="U400" s="310"/>
      <c r="V400" s="310"/>
      <c r="W400" s="310"/>
      <c r="X400" s="310"/>
      <c r="Y400" s="310"/>
      <c r="Z400" s="310"/>
      <c r="AA400" s="310"/>
      <c r="AB400" s="311"/>
    </row>
    <row r="401" spans="1:28" ht="25.5" x14ac:dyDescent="0.2">
      <c r="A401" s="287"/>
      <c r="B401" s="288"/>
      <c r="C401" s="289"/>
      <c r="D401" s="289"/>
      <c r="E401" s="270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76"/>
      <c r="P401" s="276"/>
      <c r="Q401" s="276"/>
      <c r="R401" s="276"/>
      <c r="S401" s="276"/>
      <c r="T401" s="312"/>
      <c r="U401" s="312"/>
      <c r="V401" s="312"/>
      <c r="W401" s="312"/>
      <c r="X401" s="312"/>
      <c r="Y401" s="312"/>
      <c r="Z401" s="312"/>
      <c r="AA401" s="312"/>
      <c r="AB401" s="313"/>
    </row>
    <row r="402" spans="1:28" x14ac:dyDescent="0.2">
      <c r="A402" s="287"/>
      <c r="B402" s="308" t="s">
        <v>36</v>
      </c>
      <c r="C402" s="12">
        <v>21284</v>
      </c>
      <c r="D402" s="12" t="s">
        <v>95</v>
      </c>
      <c r="E402" s="309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66">
        <f>SUM(F402, I402, L402, F403, I403, L403)*$O399</f>
        <v>13440</v>
      </c>
      <c r="P402" s="266">
        <f>SUM(G402, J402, M402, G403, J403, M403)</f>
        <v>0</v>
      </c>
      <c r="Q402" s="268">
        <f>IF($O402=0, ,P402/$O402)</f>
        <v>0</v>
      </c>
      <c r="R402" s="266">
        <f>SUM(H402, K402, N402, H403, K403, N403)</f>
        <v>0</v>
      </c>
      <c r="S402" s="268">
        <f>IF($O402=0, ,R402/$O402)</f>
        <v>0</v>
      </c>
      <c r="T402" s="315"/>
      <c r="U402" s="315"/>
      <c r="V402" s="315"/>
      <c r="W402" s="315"/>
      <c r="X402" s="315"/>
      <c r="Y402" s="315"/>
      <c r="Z402" s="315"/>
      <c r="AA402" s="315"/>
      <c r="AB402" s="316"/>
    </row>
    <row r="403" spans="1:28" x14ac:dyDescent="0.2">
      <c r="A403" s="287"/>
      <c r="B403" s="308"/>
      <c r="C403" s="12"/>
      <c r="D403" s="12"/>
      <c r="E403" s="309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67"/>
      <c r="P403" s="267"/>
      <c r="Q403" s="269"/>
      <c r="R403" s="267"/>
      <c r="S403" s="269"/>
      <c r="T403" s="317"/>
      <c r="U403" s="317"/>
      <c r="V403" s="317"/>
      <c r="W403" s="317"/>
      <c r="X403" s="317"/>
      <c r="Y403" s="317"/>
      <c r="Z403" s="317"/>
      <c r="AA403" s="317"/>
      <c r="AB403" s="318"/>
    </row>
    <row r="404" spans="1:28" x14ac:dyDescent="0.2">
      <c r="A404" s="287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87"/>
      <c r="B405" s="321" t="s">
        <v>67</v>
      </c>
      <c r="C405" s="321"/>
      <c r="D405" s="322"/>
      <c r="E405" s="82" t="s">
        <v>68</v>
      </c>
      <c r="F405" s="306" t="s">
        <v>64</v>
      </c>
      <c r="G405" s="306"/>
      <c r="H405" s="306"/>
      <c r="I405" s="306" t="s">
        <v>76</v>
      </c>
      <c r="J405" s="306"/>
      <c r="K405" s="306"/>
      <c r="L405" s="306" t="s">
        <v>65</v>
      </c>
      <c r="M405" s="306"/>
      <c r="N405" s="306"/>
      <c r="O405" s="306" t="s">
        <v>66</v>
      </c>
      <c r="P405" s="306"/>
      <c r="Q405" s="306"/>
      <c r="R405" s="306" t="s">
        <v>73</v>
      </c>
      <c r="S405" s="306"/>
      <c r="T405" s="306"/>
      <c r="U405" s="306" t="s">
        <v>74</v>
      </c>
      <c r="V405" s="306"/>
      <c r="W405" s="306"/>
      <c r="X405" s="306" t="s">
        <v>75</v>
      </c>
      <c r="Y405" s="306"/>
      <c r="Z405" s="306"/>
      <c r="AA405" s="307"/>
      <c r="AB405" s="307"/>
    </row>
    <row r="406" spans="1:28" x14ac:dyDescent="0.2">
      <c r="A406" s="287"/>
      <c r="B406" s="323"/>
      <c r="C406" s="323"/>
      <c r="D406" s="324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307"/>
      <c r="AB406" s="307"/>
    </row>
    <row r="407" spans="1:28" x14ac:dyDescent="0.2">
      <c r="A407" s="287"/>
      <c r="B407" s="325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307"/>
      <c r="AB407" s="307"/>
    </row>
    <row r="408" spans="1:28" x14ac:dyDescent="0.2">
      <c r="A408" s="287"/>
      <c r="B408" s="325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307"/>
      <c r="AB408" s="307"/>
    </row>
    <row r="409" spans="1:28" x14ac:dyDescent="0.2">
      <c r="A409" s="287"/>
      <c r="B409" s="325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307"/>
      <c r="AB409" s="307"/>
    </row>
    <row r="410" spans="1:28" x14ac:dyDescent="0.2">
      <c r="A410" s="287"/>
      <c r="B410" s="325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307"/>
      <c r="AB410" s="307"/>
    </row>
    <row r="412" spans="1:28" ht="12.75" customHeight="1" x14ac:dyDescent="0.2">
      <c r="A412" s="287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87"/>
      <c r="B413" s="288" t="s">
        <v>10</v>
      </c>
      <c r="C413" s="289" t="s">
        <v>25</v>
      </c>
      <c r="D413" s="289" t="s">
        <v>28</v>
      </c>
      <c r="E413" s="270" t="s">
        <v>12</v>
      </c>
      <c r="F413" s="271" t="s">
        <v>13</v>
      </c>
      <c r="G413" s="272"/>
      <c r="H413" s="272"/>
      <c r="I413" s="272"/>
      <c r="J413" s="273"/>
      <c r="K413" s="271" t="s">
        <v>14</v>
      </c>
      <c r="L413" s="272"/>
      <c r="M413" s="272"/>
      <c r="N413" s="272"/>
      <c r="O413" s="273"/>
      <c r="P413" s="271" t="s">
        <v>15</v>
      </c>
      <c r="Q413" s="272"/>
      <c r="R413" s="272"/>
      <c r="S413" s="272"/>
      <c r="T413" s="273"/>
      <c r="U413" s="320" t="s">
        <v>34</v>
      </c>
      <c r="V413" s="320" t="s">
        <v>48</v>
      </c>
      <c r="W413" s="320" t="s">
        <v>56</v>
      </c>
      <c r="X413" s="320" t="s">
        <v>54</v>
      </c>
      <c r="Y413" s="320" t="s">
        <v>57</v>
      </c>
      <c r="Z413" s="320" t="s">
        <v>55</v>
      </c>
      <c r="AA413" s="320" t="s">
        <v>58</v>
      </c>
      <c r="AB413" s="320" t="s">
        <v>38</v>
      </c>
    </row>
    <row r="414" spans="1:28" ht="38.25" x14ac:dyDescent="0.2">
      <c r="A414" s="287"/>
      <c r="B414" s="288"/>
      <c r="C414" s="289"/>
      <c r="D414" s="289"/>
      <c r="E414" s="270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320"/>
      <c r="V414" s="320"/>
      <c r="W414" s="320"/>
      <c r="X414" s="320"/>
      <c r="Y414" s="320"/>
      <c r="Z414" s="320"/>
      <c r="AA414" s="320"/>
      <c r="AB414" s="320"/>
    </row>
    <row r="415" spans="1:28" ht="12.75" customHeight="1" x14ac:dyDescent="0.2">
      <c r="A415" s="287"/>
      <c r="B415" s="300" t="s">
        <v>17</v>
      </c>
      <c r="C415" s="12"/>
      <c r="D415" s="12"/>
      <c r="E415" s="302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66">
        <f>SUM(F415, K415, P415, F416, K416, P416)</f>
        <v>0</v>
      </c>
      <c r="V415" s="266">
        <f>SUM(H415, M415, R415, H416, M416, R416)</f>
        <v>0</v>
      </c>
      <c r="W415" s="268">
        <f>IF($U415=0, ,V415/$U415)</f>
        <v>0</v>
      </c>
      <c r="X415" s="266">
        <f>SUM(I415, N415, S415, I416, N416, S416)</f>
        <v>0</v>
      </c>
      <c r="Y415" s="268">
        <f>IF($U415=0, ,X415/$U415)</f>
        <v>0</v>
      </c>
      <c r="Z415" s="266">
        <f>SUM(J415, O415, T415, J416, O416, T416)</f>
        <v>0</v>
      </c>
      <c r="AA415" s="268">
        <f>IF($U415=0, ,Z415/$U415)</f>
        <v>0</v>
      </c>
      <c r="AB415" s="292"/>
    </row>
    <row r="416" spans="1:28" ht="12.75" customHeight="1" x14ac:dyDescent="0.2">
      <c r="A416" s="287"/>
      <c r="B416" s="319"/>
      <c r="C416" s="12"/>
      <c r="D416" s="12"/>
      <c r="E416" s="304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67"/>
      <c r="V416" s="267"/>
      <c r="W416" s="269"/>
      <c r="X416" s="267"/>
      <c r="Y416" s="269"/>
      <c r="Z416" s="267"/>
      <c r="AA416" s="269"/>
      <c r="AB416" s="293"/>
    </row>
    <row r="417" spans="1:28" ht="12.75" customHeight="1" x14ac:dyDescent="0.2">
      <c r="A417" s="287"/>
      <c r="B417" s="290" t="s">
        <v>18</v>
      </c>
      <c r="C417" s="10"/>
      <c r="D417" s="10"/>
      <c r="E417" s="279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83">
        <f>SUM(F417, K417, P417, F418, K418, P418)</f>
        <v>0</v>
      </c>
      <c r="V417" s="283">
        <f>SUM(H417, M417, R417, H418, M418, R418)</f>
        <v>0</v>
      </c>
      <c r="W417" s="258">
        <f>IF($U417=0, ,V417/$U417)</f>
        <v>0</v>
      </c>
      <c r="X417" s="283">
        <f>SUM(I417, N417, S417, I418, N418, S418)</f>
        <v>0</v>
      </c>
      <c r="Y417" s="258">
        <f>IF($U417=0, ,X417/$U417)</f>
        <v>0</v>
      </c>
      <c r="Z417" s="283">
        <f>SUM(J417, O417, T417, J418, O418, T418)</f>
        <v>0</v>
      </c>
      <c r="AA417" s="258">
        <f>IF($U417=0, ,Z417/$U417)</f>
        <v>0</v>
      </c>
      <c r="AB417" s="277"/>
    </row>
    <row r="418" spans="1:28" ht="12.75" customHeight="1" x14ac:dyDescent="0.2">
      <c r="A418" s="287"/>
      <c r="B418" s="291"/>
      <c r="C418" s="10"/>
      <c r="D418" s="10"/>
      <c r="E418" s="280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84"/>
      <c r="V418" s="284"/>
      <c r="W418" s="259"/>
      <c r="X418" s="284"/>
      <c r="Y418" s="259"/>
      <c r="Z418" s="284"/>
      <c r="AA418" s="259"/>
      <c r="AB418" s="278"/>
    </row>
    <row r="419" spans="1:28" ht="12.75" customHeight="1" x14ac:dyDescent="0.2">
      <c r="A419" s="287"/>
      <c r="B419" s="300" t="s">
        <v>19</v>
      </c>
      <c r="C419" s="9"/>
      <c r="D419" s="9"/>
      <c r="E419" s="264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66">
        <f>SUM(F419, K419, P419, F420, K420, P420)</f>
        <v>0</v>
      </c>
      <c r="V419" s="266">
        <f>SUM(H419, M419, R419, H420, M420, R420)</f>
        <v>0</v>
      </c>
      <c r="W419" s="268">
        <f>IF($U419=0, ,V419/$U419)</f>
        <v>0</v>
      </c>
      <c r="X419" s="266">
        <f>SUM(I419, N419, S419, I420, N420, S420)</f>
        <v>0</v>
      </c>
      <c r="Y419" s="268">
        <f>IF($U419=0, ,X419/$U419)</f>
        <v>0</v>
      </c>
      <c r="Z419" s="266">
        <f>SUM(J419, O419, T419, J420, O420, T420)</f>
        <v>0</v>
      </c>
      <c r="AA419" s="268">
        <f>IF($U419=0, ,Z419/$U419)</f>
        <v>0</v>
      </c>
      <c r="AB419" s="292"/>
    </row>
    <row r="420" spans="1:28" ht="12.75" customHeight="1" x14ac:dyDescent="0.2">
      <c r="A420" s="287"/>
      <c r="B420" s="319"/>
      <c r="C420" s="9"/>
      <c r="D420" s="9"/>
      <c r="E420" s="265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67"/>
      <c r="V420" s="267"/>
      <c r="W420" s="269"/>
      <c r="X420" s="267"/>
      <c r="Y420" s="269"/>
      <c r="Z420" s="267"/>
      <c r="AA420" s="269"/>
      <c r="AB420" s="293"/>
    </row>
    <row r="421" spans="1:28" ht="12.75" customHeight="1" x14ac:dyDescent="0.2">
      <c r="A421" s="287"/>
      <c r="B421" s="290" t="s">
        <v>20</v>
      </c>
      <c r="C421" s="10"/>
      <c r="D421" s="10"/>
      <c r="E421" s="279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83">
        <f>SUM(F421, K421, P421, F422, K422, P422)</f>
        <v>0</v>
      </c>
      <c r="V421" s="283">
        <f>SUM(H421, M421, R421, H422, M422, R422)</f>
        <v>0</v>
      </c>
      <c r="W421" s="258">
        <f>IF($U421=0, ,V421/$U421)</f>
        <v>0</v>
      </c>
      <c r="X421" s="283">
        <f>SUM(I421, N421, S421, I422, N422, S422)</f>
        <v>0</v>
      </c>
      <c r="Y421" s="258">
        <f>IF($U421=0, ,X421/$U421)</f>
        <v>0</v>
      </c>
      <c r="Z421" s="283">
        <f>SUM(J421, O421, T421, J422, O422, T422)</f>
        <v>0</v>
      </c>
      <c r="AA421" s="258">
        <f>IF($U421=0, ,Z421/$U421)</f>
        <v>0</v>
      </c>
      <c r="AB421" s="277"/>
    </row>
    <row r="422" spans="1:28" ht="12.75" customHeight="1" x14ac:dyDescent="0.2">
      <c r="A422" s="287"/>
      <c r="B422" s="291"/>
      <c r="C422" s="10"/>
      <c r="D422" s="10"/>
      <c r="E422" s="280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84"/>
      <c r="V422" s="284"/>
      <c r="W422" s="259"/>
      <c r="X422" s="284"/>
      <c r="Y422" s="259"/>
      <c r="Z422" s="284"/>
      <c r="AA422" s="259"/>
      <c r="AB422" s="278"/>
    </row>
    <row r="423" spans="1:28" ht="12.75" customHeight="1" x14ac:dyDescent="0.2">
      <c r="A423" s="287"/>
      <c r="B423" s="300" t="s">
        <v>21</v>
      </c>
      <c r="C423" s="9"/>
      <c r="D423" s="9"/>
      <c r="E423" s="264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66">
        <f>SUM(F423, K423, P423, F424, K424, P424)</f>
        <v>0</v>
      </c>
      <c r="V423" s="266">
        <f>SUM(H423, M423, R423, H424, M424, R424)</f>
        <v>0</v>
      </c>
      <c r="W423" s="268">
        <f>IF($U423=0, ,V423/$U423)</f>
        <v>0</v>
      </c>
      <c r="X423" s="266">
        <f>SUM(I423, N423, S423, I424, N424, S424)</f>
        <v>0</v>
      </c>
      <c r="Y423" s="268">
        <f>IF($U423=0, ,X423/$U423)</f>
        <v>0</v>
      </c>
      <c r="Z423" s="266">
        <f>SUM(J423, O423, T423, J424, O424, T424)</f>
        <v>0</v>
      </c>
      <c r="AA423" s="268">
        <f>IF($U423=0, ,Z423/$U423)</f>
        <v>0</v>
      </c>
      <c r="AB423" s="292"/>
    </row>
    <row r="424" spans="1:28" ht="12.75" customHeight="1" x14ac:dyDescent="0.2">
      <c r="A424" s="287"/>
      <c r="B424" s="319"/>
      <c r="C424" s="9"/>
      <c r="D424" s="9"/>
      <c r="E424" s="265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67"/>
      <c r="V424" s="267"/>
      <c r="W424" s="269"/>
      <c r="X424" s="267"/>
      <c r="Y424" s="269"/>
      <c r="Z424" s="267"/>
      <c r="AA424" s="269"/>
      <c r="AB424" s="293"/>
    </row>
    <row r="425" spans="1:28" ht="12.75" customHeight="1" x14ac:dyDescent="0.2">
      <c r="A425" s="287"/>
      <c r="B425" s="290" t="s">
        <v>22</v>
      </c>
      <c r="C425" s="11"/>
      <c r="D425" s="11"/>
      <c r="E425" s="296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83">
        <f>SUM(F425, K425, P425, F426, K426, P426)</f>
        <v>0</v>
      </c>
      <c r="V425" s="283">
        <f>SUM(H425, M425, R425, H426, M426, R426)</f>
        <v>0</v>
      </c>
      <c r="W425" s="258">
        <f>IF($U425=0, ,V425/$U425)</f>
        <v>0</v>
      </c>
      <c r="X425" s="283">
        <f>SUM(I425, N425, S425, I426, N426, S426)</f>
        <v>0</v>
      </c>
      <c r="Y425" s="258">
        <f>IF($U425=0, ,X425/$U425)</f>
        <v>0</v>
      </c>
      <c r="Z425" s="283">
        <f>SUM(J425, O425, T425, J426, O426, T426)</f>
        <v>0</v>
      </c>
      <c r="AA425" s="258">
        <f>IF($U425=0, ,Z425/$U425)</f>
        <v>0</v>
      </c>
      <c r="AB425" s="277"/>
    </row>
    <row r="426" spans="1:28" ht="12.75" customHeight="1" x14ac:dyDescent="0.2">
      <c r="A426" s="287"/>
      <c r="B426" s="291"/>
      <c r="C426" s="11"/>
      <c r="D426" s="11"/>
      <c r="E426" s="297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84"/>
      <c r="V426" s="284"/>
      <c r="W426" s="259"/>
      <c r="X426" s="284"/>
      <c r="Y426" s="259"/>
      <c r="Z426" s="284"/>
      <c r="AA426" s="259"/>
      <c r="AB426" s="278"/>
    </row>
    <row r="427" spans="1:28" ht="13.5" customHeight="1" thickBot="1" x14ac:dyDescent="0.25">
      <c r="A427" s="287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87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87"/>
      <c r="B429" s="288" t="s">
        <v>35</v>
      </c>
      <c r="C429" s="289" t="s">
        <v>25</v>
      </c>
      <c r="D429" s="289" t="s">
        <v>28</v>
      </c>
      <c r="E429" s="270" t="s">
        <v>12</v>
      </c>
      <c r="F429" s="314" t="s">
        <v>13</v>
      </c>
      <c r="G429" s="314"/>
      <c r="H429" s="314"/>
      <c r="I429" s="314" t="s">
        <v>14</v>
      </c>
      <c r="J429" s="314"/>
      <c r="K429" s="314"/>
      <c r="L429" s="314" t="s">
        <v>15</v>
      </c>
      <c r="M429" s="314"/>
      <c r="N429" s="314"/>
      <c r="O429" s="274" t="s">
        <v>34</v>
      </c>
      <c r="P429" s="274" t="s">
        <v>48</v>
      </c>
      <c r="Q429" s="274" t="s">
        <v>60</v>
      </c>
      <c r="R429" s="274" t="s">
        <v>49</v>
      </c>
      <c r="S429" s="274" t="s">
        <v>61</v>
      </c>
      <c r="T429" s="310"/>
      <c r="U429" s="310"/>
      <c r="V429" s="310"/>
      <c r="W429" s="310"/>
      <c r="X429" s="310"/>
      <c r="Y429" s="310"/>
      <c r="Z429" s="310"/>
      <c r="AA429" s="310"/>
      <c r="AB429" s="311"/>
    </row>
    <row r="430" spans="1:28" ht="25.5" customHeight="1" x14ac:dyDescent="0.2">
      <c r="A430" s="287"/>
      <c r="B430" s="288"/>
      <c r="C430" s="289"/>
      <c r="D430" s="289"/>
      <c r="E430" s="270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76"/>
      <c r="P430" s="276"/>
      <c r="Q430" s="276"/>
      <c r="R430" s="276"/>
      <c r="S430" s="276"/>
      <c r="T430" s="312"/>
      <c r="U430" s="312"/>
      <c r="V430" s="312"/>
      <c r="W430" s="312"/>
      <c r="X430" s="312"/>
      <c r="Y430" s="312"/>
      <c r="Z430" s="312"/>
      <c r="AA430" s="312"/>
      <c r="AB430" s="313"/>
    </row>
    <row r="431" spans="1:28" ht="12.75" customHeight="1" x14ac:dyDescent="0.2">
      <c r="A431" s="287"/>
      <c r="B431" s="308" t="s">
        <v>36</v>
      </c>
      <c r="C431" s="12">
        <v>21284</v>
      </c>
      <c r="D431" s="12" t="s">
        <v>95</v>
      </c>
      <c r="E431" s="309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66">
        <f>SUM(F431, I431, L431, F432, I432, L432)*$O428</f>
        <v>12160</v>
      </c>
      <c r="P431" s="266">
        <f>SUM(G431, J431, M431, G432, J432, M432)</f>
        <v>0</v>
      </c>
      <c r="Q431" s="268">
        <f>IF($O431=0, ,P431/$O431)</f>
        <v>0</v>
      </c>
      <c r="R431" s="266">
        <f>SUM(H431, K431, N431, H432, K432, N432)</f>
        <v>0</v>
      </c>
      <c r="S431" s="268">
        <f>IF($O431=0, ,R431/$O431)</f>
        <v>0</v>
      </c>
      <c r="T431" s="315"/>
      <c r="U431" s="315"/>
      <c r="V431" s="315"/>
      <c r="W431" s="315"/>
      <c r="X431" s="315"/>
      <c r="Y431" s="315"/>
      <c r="Z431" s="315"/>
      <c r="AA431" s="315"/>
      <c r="AB431" s="316"/>
    </row>
    <row r="432" spans="1:28" ht="12.75" customHeight="1" x14ac:dyDescent="0.2">
      <c r="A432" s="287"/>
      <c r="B432" s="308"/>
      <c r="C432" s="12"/>
      <c r="D432" s="12"/>
      <c r="E432" s="309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67"/>
      <c r="P432" s="267"/>
      <c r="Q432" s="269"/>
      <c r="R432" s="267"/>
      <c r="S432" s="269"/>
      <c r="T432" s="317"/>
      <c r="U432" s="317"/>
      <c r="V432" s="317"/>
      <c r="W432" s="317"/>
      <c r="X432" s="317"/>
      <c r="Y432" s="317"/>
      <c r="Z432" s="317"/>
      <c r="AA432" s="317"/>
      <c r="AB432" s="318"/>
    </row>
    <row r="433" spans="1:28" ht="12.75" customHeight="1" x14ac:dyDescent="0.2">
      <c r="A433" s="287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87"/>
      <c r="B434" s="321" t="s">
        <v>67</v>
      </c>
      <c r="C434" s="321"/>
      <c r="D434" s="322"/>
      <c r="E434" s="82" t="s">
        <v>68</v>
      </c>
      <c r="F434" s="306" t="s">
        <v>64</v>
      </c>
      <c r="G434" s="306"/>
      <c r="H434" s="306"/>
      <c r="I434" s="306" t="s">
        <v>76</v>
      </c>
      <c r="J434" s="306"/>
      <c r="K434" s="306"/>
      <c r="L434" s="306" t="s">
        <v>65</v>
      </c>
      <c r="M434" s="306"/>
      <c r="N434" s="306"/>
      <c r="O434" s="306" t="s">
        <v>66</v>
      </c>
      <c r="P434" s="306"/>
      <c r="Q434" s="306"/>
      <c r="R434" s="306" t="s">
        <v>73</v>
      </c>
      <c r="S434" s="306"/>
      <c r="T434" s="306"/>
      <c r="U434" s="306" t="s">
        <v>74</v>
      </c>
      <c r="V434" s="306"/>
      <c r="W434" s="306"/>
      <c r="X434" s="306" t="s">
        <v>75</v>
      </c>
      <c r="Y434" s="306"/>
      <c r="Z434" s="306"/>
      <c r="AA434" s="307"/>
      <c r="AB434" s="307"/>
    </row>
    <row r="435" spans="1:28" ht="12.75" customHeight="1" x14ac:dyDescent="0.2">
      <c r="A435" s="287"/>
      <c r="B435" s="323"/>
      <c r="C435" s="323"/>
      <c r="D435" s="324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307"/>
      <c r="AB435" s="307"/>
    </row>
    <row r="436" spans="1:28" ht="12.75" customHeight="1" x14ac:dyDescent="0.2">
      <c r="A436" s="287"/>
      <c r="B436" s="325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307"/>
      <c r="AB436" s="307"/>
    </row>
    <row r="437" spans="1:28" ht="12.75" customHeight="1" x14ac:dyDescent="0.2">
      <c r="A437" s="287"/>
      <c r="B437" s="325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307"/>
      <c r="AB437" s="307"/>
    </row>
    <row r="438" spans="1:28" ht="12.75" customHeight="1" x14ac:dyDescent="0.2">
      <c r="A438" s="287"/>
      <c r="B438" s="325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307"/>
      <c r="AB438" s="307"/>
    </row>
    <row r="439" spans="1:28" ht="12.75" customHeight="1" x14ac:dyDescent="0.2">
      <c r="A439" s="287"/>
      <c r="B439" s="325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307"/>
      <c r="AB439" s="307"/>
    </row>
    <row r="441" spans="1:28" x14ac:dyDescent="0.2">
      <c r="A441" s="287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87"/>
      <c r="B442" s="288" t="s">
        <v>10</v>
      </c>
      <c r="C442" s="289" t="s">
        <v>25</v>
      </c>
      <c r="D442" s="289" t="s">
        <v>28</v>
      </c>
      <c r="E442" s="270" t="s">
        <v>12</v>
      </c>
      <c r="F442" s="271" t="s">
        <v>13</v>
      </c>
      <c r="G442" s="272"/>
      <c r="H442" s="272"/>
      <c r="I442" s="272"/>
      <c r="J442" s="273"/>
      <c r="K442" s="271" t="s">
        <v>14</v>
      </c>
      <c r="L442" s="272"/>
      <c r="M442" s="272"/>
      <c r="N442" s="272"/>
      <c r="O442" s="273"/>
      <c r="P442" s="271" t="s">
        <v>15</v>
      </c>
      <c r="Q442" s="272"/>
      <c r="R442" s="272"/>
      <c r="S442" s="272"/>
      <c r="T442" s="273"/>
      <c r="U442" s="320" t="s">
        <v>34</v>
      </c>
      <c r="V442" s="320" t="s">
        <v>48</v>
      </c>
      <c r="W442" s="320" t="s">
        <v>56</v>
      </c>
      <c r="X442" s="320" t="s">
        <v>54</v>
      </c>
      <c r="Y442" s="320" t="s">
        <v>57</v>
      </c>
      <c r="Z442" s="320" t="s">
        <v>55</v>
      </c>
      <c r="AA442" s="320" t="s">
        <v>58</v>
      </c>
      <c r="AB442" s="320" t="s">
        <v>38</v>
      </c>
    </row>
    <row r="443" spans="1:28" ht="38.25" x14ac:dyDescent="0.2">
      <c r="A443" s="287"/>
      <c r="B443" s="288"/>
      <c r="C443" s="289"/>
      <c r="D443" s="289"/>
      <c r="E443" s="270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320"/>
      <c r="V443" s="320"/>
      <c r="W443" s="320"/>
      <c r="X443" s="320"/>
      <c r="Y443" s="320"/>
      <c r="Z443" s="320"/>
      <c r="AA443" s="320"/>
      <c r="AB443" s="320"/>
    </row>
    <row r="444" spans="1:28" x14ac:dyDescent="0.2">
      <c r="A444" s="287"/>
      <c r="B444" s="300" t="s">
        <v>17</v>
      </c>
      <c r="C444" s="12"/>
      <c r="D444" s="12"/>
      <c r="E444" s="302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66">
        <f>SUM(F444, K444, P444, F445, K445, P445)</f>
        <v>0</v>
      </c>
      <c r="V444" s="266">
        <f>SUM(H444, M444, R444, H445, M445, R445)</f>
        <v>0</v>
      </c>
      <c r="W444" s="268">
        <f>IF($U444=0, ,V444/$U444)</f>
        <v>0</v>
      </c>
      <c r="X444" s="266">
        <f>SUM(I444, N444, S444, I445, N445, S445)</f>
        <v>0</v>
      </c>
      <c r="Y444" s="268">
        <f>IF($U444=0, ,X444/$U444)</f>
        <v>0</v>
      </c>
      <c r="Z444" s="266">
        <f>SUM(J444, O444, T444, J445, O445, T445)</f>
        <v>0</v>
      </c>
      <c r="AA444" s="268">
        <f>IF($U444=0, ,Z444/$U444)</f>
        <v>0</v>
      </c>
      <c r="AB444" s="292"/>
    </row>
    <row r="445" spans="1:28" x14ac:dyDescent="0.2">
      <c r="A445" s="287"/>
      <c r="B445" s="319"/>
      <c r="C445" s="12"/>
      <c r="D445" s="12"/>
      <c r="E445" s="304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67"/>
      <c r="V445" s="267"/>
      <c r="W445" s="269"/>
      <c r="X445" s="267"/>
      <c r="Y445" s="269"/>
      <c r="Z445" s="267"/>
      <c r="AA445" s="269"/>
      <c r="AB445" s="293"/>
    </row>
    <row r="446" spans="1:28" x14ac:dyDescent="0.2">
      <c r="A446" s="287"/>
      <c r="B446" s="290" t="s">
        <v>18</v>
      </c>
      <c r="C446" s="10"/>
      <c r="D446" s="10"/>
      <c r="E446" s="279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83">
        <f>SUM(F446, K446, P446, F447, K447, P447)</f>
        <v>0</v>
      </c>
      <c r="V446" s="283">
        <f>SUM(H446, M446, R446, H447, M447, R447)</f>
        <v>0</v>
      </c>
      <c r="W446" s="258">
        <f>IF($U446=0, ,V446/$U446)</f>
        <v>0</v>
      </c>
      <c r="X446" s="283">
        <f>SUM(I446, N446, S446, I447, N447, S447)</f>
        <v>0</v>
      </c>
      <c r="Y446" s="258">
        <f>IF($U446=0, ,X446/$U446)</f>
        <v>0</v>
      </c>
      <c r="Z446" s="283">
        <f>SUM(J446, O446, T446, J447, O447, T447)</f>
        <v>0</v>
      </c>
      <c r="AA446" s="258">
        <f>IF($U446=0, ,Z446/$U446)</f>
        <v>0</v>
      </c>
      <c r="AB446" s="277"/>
    </row>
    <row r="447" spans="1:28" x14ac:dyDescent="0.2">
      <c r="A447" s="287"/>
      <c r="B447" s="291"/>
      <c r="C447" s="10"/>
      <c r="D447" s="10"/>
      <c r="E447" s="280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84"/>
      <c r="V447" s="284"/>
      <c r="W447" s="259"/>
      <c r="X447" s="284"/>
      <c r="Y447" s="259"/>
      <c r="Z447" s="284"/>
      <c r="AA447" s="259"/>
      <c r="AB447" s="278"/>
    </row>
    <row r="448" spans="1:28" x14ac:dyDescent="0.2">
      <c r="A448" s="287"/>
      <c r="B448" s="300" t="s">
        <v>19</v>
      </c>
      <c r="C448" s="9"/>
      <c r="D448" s="9"/>
      <c r="E448" s="264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66">
        <f>SUM(F448, K448, P448, F449, K449, P449)</f>
        <v>0</v>
      </c>
      <c r="V448" s="266">
        <f>SUM(H448, M448, R448, H449, M449, R449)</f>
        <v>0</v>
      </c>
      <c r="W448" s="268">
        <f>IF($U448=0, ,V448/$U448)</f>
        <v>0</v>
      </c>
      <c r="X448" s="266">
        <f>SUM(I448, N448, S448, I449, N449, S449)</f>
        <v>0</v>
      </c>
      <c r="Y448" s="268">
        <f>IF($U448=0, ,X448/$U448)</f>
        <v>0</v>
      </c>
      <c r="Z448" s="266">
        <f>SUM(J448, O448, T448, J449, O449, T449)</f>
        <v>0</v>
      </c>
      <c r="AA448" s="268">
        <f>IF($U448=0, ,Z448/$U448)</f>
        <v>0</v>
      </c>
      <c r="AB448" s="292"/>
    </row>
    <row r="449" spans="1:28" x14ac:dyDescent="0.2">
      <c r="A449" s="287"/>
      <c r="B449" s="319"/>
      <c r="C449" s="9"/>
      <c r="D449" s="9"/>
      <c r="E449" s="265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67"/>
      <c r="V449" s="267"/>
      <c r="W449" s="269"/>
      <c r="X449" s="267"/>
      <c r="Y449" s="269"/>
      <c r="Z449" s="267"/>
      <c r="AA449" s="269"/>
      <c r="AB449" s="293"/>
    </row>
    <row r="450" spans="1:28" x14ac:dyDescent="0.2">
      <c r="A450" s="287"/>
      <c r="B450" s="290" t="s">
        <v>20</v>
      </c>
      <c r="C450" s="10"/>
      <c r="D450" s="10"/>
      <c r="E450" s="279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83">
        <f>SUM(F450, K450, P450, F451, K451, P451)</f>
        <v>0</v>
      </c>
      <c r="V450" s="283">
        <f>SUM(H450, M450, R450, H451, M451, R451)</f>
        <v>0</v>
      </c>
      <c r="W450" s="258">
        <f>IF($U450=0, ,V450/$U450)</f>
        <v>0</v>
      </c>
      <c r="X450" s="283">
        <f>SUM(I450, N450, S450, I451, N451, S451)</f>
        <v>0</v>
      </c>
      <c r="Y450" s="258">
        <f>IF($U450=0, ,X450/$U450)</f>
        <v>0</v>
      </c>
      <c r="Z450" s="283">
        <f>SUM(J450, O450, T450, J451, O451, T451)</f>
        <v>0</v>
      </c>
      <c r="AA450" s="258">
        <f>IF($U450=0, ,Z450/$U450)</f>
        <v>0</v>
      </c>
      <c r="AB450" s="277"/>
    </row>
    <row r="451" spans="1:28" x14ac:dyDescent="0.2">
      <c r="A451" s="287"/>
      <c r="B451" s="291"/>
      <c r="C451" s="10"/>
      <c r="D451" s="10"/>
      <c r="E451" s="280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84"/>
      <c r="V451" s="284"/>
      <c r="W451" s="259"/>
      <c r="X451" s="284"/>
      <c r="Y451" s="259"/>
      <c r="Z451" s="284"/>
      <c r="AA451" s="259"/>
      <c r="AB451" s="278"/>
    </row>
    <row r="452" spans="1:28" x14ac:dyDescent="0.2">
      <c r="A452" s="287"/>
      <c r="B452" s="300" t="s">
        <v>21</v>
      </c>
      <c r="C452" s="9"/>
      <c r="D452" s="9"/>
      <c r="E452" s="264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66">
        <f>SUM(F452, K452, P452, F453, K453, P453)</f>
        <v>0</v>
      </c>
      <c r="V452" s="266">
        <f>SUM(H452, M452, R452, H453, M453, R453)</f>
        <v>0</v>
      </c>
      <c r="W452" s="268">
        <f>IF($U452=0, ,V452/$U452)</f>
        <v>0</v>
      </c>
      <c r="X452" s="266">
        <f>SUM(I452, N452, S452, I453, N453, S453)</f>
        <v>0</v>
      </c>
      <c r="Y452" s="268">
        <f>IF($U452=0, ,X452/$U452)</f>
        <v>0</v>
      </c>
      <c r="Z452" s="266">
        <f>SUM(J452, O452, T452, J453, O453, T453)</f>
        <v>0</v>
      </c>
      <c r="AA452" s="268">
        <f>IF($U452=0, ,Z452/$U452)</f>
        <v>0</v>
      </c>
      <c r="AB452" s="292"/>
    </row>
    <row r="453" spans="1:28" x14ac:dyDescent="0.2">
      <c r="A453" s="287"/>
      <c r="B453" s="319"/>
      <c r="C453" s="9"/>
      <c r="D453" s="9"/>
      <c r="E453" s="265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67"/>
      <c r="V453" s="267"/>
      <c r="W453" s="269"/>
      <c r="X453" s="267"/>
      <c r="Y453" s="269"/>
      <c r="Z453" s="267"/>
      <c r="AA453" s="269"/>
      <c r="AB453" s="293"/>
    </row>
    <row r="454" spans="1:28" x14ac:dyDescent="0.2">
      <c r="A454" s="287"/>
      <c r="B454" s="290" t="s">
        <v>22</v>
      </c>
      <c r="C454" s="11"/>
      <c r="D454" s="11"/>
      <c r="E454" s="296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83">
        <f>SUM(F454, K454, P454, F455, K455, P455)</f>
        <v>0</v>
      </c>
      <c r="V454" s="283">
        <f>SUM(H454, M454, R454, H455, M455, R455)</f>
        <v>0</v>
      </c>
      <c r="W454" s="258">
        <f>IF($U454=0, ,V454/$U454)</f>
        <v>0</v>
      </c>
      <c r="X454" s="283">
        <f>SUM(I454, N454, S454, I455, N455, S455)</f>
        <v>0</v>
      </c>
      <c r="Y454" s="258">
        <f>IF($U454=0, ,X454/$U454)</f>
        <v>0</v>
      </c>
      <c r="Z454" s="283">
        <f>SUM(J454, O454, T454, J455, O455, T455)</f>
        <v>0</v>
      </c>
      <c r="AA454" s="258">
        <f>IF($U454=0, ,Z454/$U454)</f>
        <v>0</v>
      </c>
      <c r="AB454" s="277"/>
    </row>
    <row r="455" spans="1:28" x14ac:dyDescent="0.2">
      <c r="A455" s="287"/>
      <c r="B455" s="291"/>
      <c r="C455" s="11"/>
      <c r="D455" s="11"/>
      <c r="E455" s="297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84"/>
      <c r="V455" s="284"/>
      <c r="W455" s="259"/>
      <c r="X455" s="284"/>
      <c r="Y455" s="259"/>
      <c r="Z455" s="284"/>
      <c r="AA455" s="259"/>
      <c r="AB455" s="278"/>
    </row>
    <row r="456" spans="1:28" ht="13.5" thickBot="1" x14ac:dyDescent="0.25">
      <c r="A456" s="287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87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87"/>
      <c r="B458" s="288" t="s">
        <v>35</v>
      </c>
      <c r="C458" s="289" t="s">
        <v>25</v>
      </c>
      <c r="D458" s="289" t="s">
        <v>28</v>
      </c>
      <c r="E458" s="270" t="s">
        <v>12</v>
      </c>
      <c r="F458" s="314" t="s">
        <v>13</v>
      </c>
      <c r="G458" s="314"/>
      <c r="H458" s="314"/>
      <c r="I458" s="314" t="s">
        <v>14</v>
      </c>
      <c r="J458" s="314"/>
      <c r="K458" s="314"/>
      <c r="L458" s="314" t="s">
        <v>15</v>
      </c>
      <c r="M458" s="314"/>
      <c r="N458" s="314"/>
      <c r="O458" s="274" t="s">
        <v>34</v>
      </c>
      <c r="P458" s="274" t="s">
        <v>48</v>
      </c>
      <c r="Q458" s="274" t="s">
        <v>60</v>
      </c>
      <c r="R458" s="274" t="s">
        <v>49</v>
      </c>
      <c r="S458" s="274" t="s">
        <v>61</v>
      </c>
      <c r="T458" s="310"/>
      <c r="U458" s="310"/>
      <c r="V458" s="310"/>
      <c r="W458" s="310"/>
      <c r="X458" s="310"/>
      <c r="Y458" s="310"/>
      <c r="Z458" s="310"/>
      <c r="AA458" s="310"/>
      <c r="AB458" s="311"/>
    </row>
    <row r="459" spans="1:28" ht="25.5" x14ac:dyDescent="0.2">
      <c r="A459" s="287"/>
      <c r="B459" s="288"/>
      <c r="C459" s="289"/>
      <c r="D459" s="289"/>
      <c r="E459" s="270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76"/>
      <c r="P459" s="276"/>
      <c r="Q459" s="276"/>
      <c r="R459" s="276"/>
      <c r="S459" s="276"/>
      <c r="T459" s="312"/>
      <c r="U459" s="312"/>
      <c r="V459" s="312"/>
      <c r="W459" s="312"/>
      <c r="X459" s="312"/>
      <c r="Y459" s="312"/>
      <c r="Z459" s="312"/>
      <c r="AA459" s="312"/>
      <c r="AB459" s="313"/>
    </row>
    <row r="460" spans="1:28" x14ac:dyDescent="0.2">
      <c r="A460" s="287"/>
      <c r="B460" s="308" t="s">
        <v>36</v>
      </c>
      <c r="C460" s="12"/>
      <c r="D460" s="12" t="s">
        <v>95</v>
      </c>
      <c r="E460" s="309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66">
        <f>SUM(F460, I460, L460, F461, I461, L461)*$O457</f>
        <v>0</v>
      </c>
      <c r="P460" s="266">
        <f>SUM(G460, J460, M460, G461, J461, M461)</f>
        <v>0</v>
      </c>
      <c r="Q460" s="268">
        <f>IF($O460=0, ,P460/$O460)</f>
        <v>0</v>
      </c>
      <c r="R460" s="266">
        <f>SUM(H460, K460, N460, H461, K461, N461)</f>
        <v>0</v>
      </c>
      <c r="S460" s="268">
        <f>IF($O460=0, ,R460/$O460)</f>
        <v>0</v>
      </c>
      <c r="T460" s="315"/>
      <c r="U460" s="315"/>
      <c r="V460" s="315"/>
      <c r="W460" s="315"/>
      <c r="X460" s="315"/>
      <c r="Y460" s="315"/>
      <c r="Z460" s="315"/>
      <c r="AA460" s="315"/>
      <c r="AB460" s="316"/>
    </row>
    <row r="461" spans="1:28" x14ac:dyDescent="0.2">
      <c r="A461" s="287"/>
      <c r="B461" s="308"/>
      <c r="C461" s="12"/>
      <c r="D461" s="12"/>
      <c r="E461" s="309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67"/>
      <c r="P461" s="267"/>
      <c r="Q461" s="269"/>
      <c r="R461" s="267"/>
      <c r="S461" s="269"/>
      <c r="T461" s="317"/>
      <c r="U461" s="317"/>
      <c r="V461" s="317"/>
      <c r="W461" s="317"/>
      <c r="X461" s="317"/>
      <c r="Y461" s="317"/>
      <c r="Z461" s="317"/>
      <c r="AA461" s="317"/>
      <c r="AB461" s="318"/>
    </row>
    <row r="462" spans="1:28" x14ac:dyDescent="0.2">
      <c r="A462" s="287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87"/>
      <c r="B463" s="321" t="s">
        <v>67</v>
      </c>
      <c r="C463" s="321"/>
      <c r="D463" s="322"/>
      <c r="E463" s="82" t="s">
        <v>68</v>
      </c>
      <c r="F463" s="306" t="s">
        <v>64</v>
      </c>
      <c r="G463" s="306"/>
      <c r="H463" s="306"/>
      <c r="I463" s="306" t="s">
        <v>76</v>
      </c>
      <c r="J463" s="306"/>
      <c r="K463" s="306"/>
      <c r="L463" s="306" t="s">
        <v>65</v>
      </c>
      <c r="M463" s="306"/>
      <c r="N463" s="306"/>
      <c r="O463" s="306" t="s">
        <v>66</v>
      </c>
      <c r="P463" s="306"/>
      <c r="Q463" s="306"/>
      <c r="R463" s="306" t="s">
        <v>73</v>
      </c>
      <c r="S463" s="306"/>
      <c r="T463" s="306"/>
      <c r="U463" s="306" t="s">
        <v>74</v>
      </c>
      <c r="V463" s="306"/>
      <c r="W463" s="306"/>
      <c r="X463" s="306" t="s">
        <v>75</v>
      </c>
      <c r="Y463" s="306"/>
      <c r="Z463" s="306"/>
      <c r="AA463" s="307"/>
      <c r="AB463" s="307"/>
    </row>
    <row r="464" spans="1:28" x14ac:dyDescent="0.2">
      <c r="A464" s="287"/>
      <c r="B464" s="323"/>
      <c r="C464" s="323"/>
      <c r="D464" s="324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307"/>
      <c r="AB464" s="307"/>
    </row>
    <row r="465" spans="1:28" x14ac:dyDescent="0.2">
      <c r="A465" s="287"/>
      <c r="B465" s="325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307"/>
      <c r="AB465" s="307"/>
    </row>
    <row r="466" spans="1:28" x14ac:dyDescent="0.2">
      <c r="A466" s="287"/>
      <c r="B466" s="325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307"/>
      <c r="AB466" s="307"/>
    </row>
    <row r="467" spans="1:28" x14ac:dyDescent="0.2">
      <c r="A467" s="287"/>
      <c r="B467" s="325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307"/>
      <c r="AB467" s="307"/>
    </row>
    <row r="468" spans="1:28" x14ac:dyDescent="0.2">
      <c r="A468" s="287"/>
      <c r="B468" s="325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307"/>
      <c r="AB468" s="307"/>
    </row>
    <row r="470" spans="1:28" x14ac:dyDescent="0.2">
      <c r="A470" s="287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87"/>
      <c r="B471" s="288" t="s">
        <v>10</v>
      </c>
      <c r="C471" s="289" t="s">
        <v>25</v>
      </c>
      <c r="D471" s="289" t="s">
        <v>28</v>
      </c>
      <c r="E471" s="270" t="s">
        <v>12</v>
      </c>
      <c r="F471" s="271" t="s">
        <v>13</v>
      </c>
      <c r="G471" s="272"/>
      <c r="H471" s="272"/>
      <c r="I471" s="272"/>
      <c r="J471" s="273"/>
      <c r="K471" s="271" t="s">
        <v>14</v>
      </c>
      <c r="L471" s="272"/>
      <c r="M471" s="272"/>
      <c r="N471" s="272"/>
      <c r="O471" s="273"/>
      <c r="P471" s="271" t="s">
        <v>15</v>
      </c>
      <c r="Q471" s="272"/>
      <c r="R471" s="272"/>
      <c r="S471" s="272"/>
      <c r="T471" s="273"/>
      <c r="U471" s="320" t="s">
        <v>34</v>
      </c>
      <c r="V471" s="320" t="s">
        <v>48</v>
      </c>
      <c r="W471" s="320" t="s">
        <v>56</v>
      </c>
      <c r="X471" s="320" t="s">
        <v>54</v>
      </c>
      <c r="Y471" s="320" t="s">
        <v>57</v>
      </c>
      <c r="Z471" s="320" t="s">
        <v>55</v>
      </c>
      <c r="AA471" s="320" t="s">
        <v>58</v>
      </c>
      <c r="AB471" s="320" t="s">
        <v>38</v>
      </c>
    </row>
    <row r="472" spans="1:28" ht="38.25" x14ac:dyDescent="0.2">
      <c r="A472" s="287"/>
      <c r="B472" s="288"/>
      <c r="C472" s="289"/>
      <c r="D472" s="289"/>
      <c r="E472" s="270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320"/>
      <c r="V472" s="320"/>
      <c r="W472" s="320"/>
      <c r="X472" s="320"/>
      <c r="Y472" s="320"/>
      <c r="Z472" s="320"/>
      <c r="AA472" s="320"/>
      <c r="AB472" s="320"/>
    </row>
    <row r="473" spans="1:28" x14ac:dyDescent="0.2">
      <c r="A473" s="287"/>
      <c r="B473" s="300" t="s">
        <v>17</v>
      </c>
      <c r="C473" s="12">
        <v>20591</v>
      </c>
      <c r="D473" s="12"/>
      <c r="E473" s="302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66">
        <f>SUM(F473, K473, P473, F474, K474, P474)</f>
        <v>2453</v>
      </c>
      <c r="V473" s="266">
        <f>SUM(H473, M473, R473, H474, M474, R474)</f>
        <v>0</v>
      </c>
      <c r="W473" s="268">
        <f>IF($U473=0, ,V473/$U473)</f>
        <v>0</v>
      </c>
      <c r="X473" s="266">
        <f>SUM(I473, N473, S473, I474, N474, S474)</f>
        <v>0</v>
      </c>
      <c r="Y473" s="268">
        <f>IF($U473=0, ,X473/$U473)</f>
        <v>0</v>
      </c>
      <c r="Z473" s="266">
        <f>SUM(J473, O473, T473, J474, O474, T474)</f>
        <v>0</v>
      </c>
      <c r="AA473" s="268">
        <f>IF($U473=0, ,Z473/$U473)</f>
        <v>0</v>
      </c>
      <c r="AB473" s="292"/>
    </row>
    <row r="474" spans="1:28" x14ac:dyDescent="0.2">
      <c r="A474" s="287"/>
      <c r="B474" s="319"/>
      <c r="C474" s="12"/>
      <c r="D474" s="12"/>
      <c r="E474" s="304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67"/>
      <c r="V474" s="267"/>
      <c r="W474" s="269"/>
      <c r="X474" s="267"/>
      <c r="Y474" s="269"/>
      <c r="Z474" s="267"/>
      <c r="AA474" s="269"/>
      <c r="AB474" s="293"/>
    </row>
    <row r="475" spans="1:28" x14ac:dyDescent="0.2">
      <c r="A475" s="287"/>
      <c r="B475" s="290" t="s">
        <v>18</v>
      </c>
      <c r="C475" s="10"/>
      <c r="D475" s="10"/>
      <c r="E475" s="279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83">
        <f>SUM(F475, K475, P475, F476, K476, P476)</f>
        <v>0</v>
      </c>
      <c r="V475" s="283">
        <f>SUM(H475, M475, R475, H476, M476, R476)</f>
        <v>0</v>
      </c>
      <c r="W475" s="258">
        <f>IF($U475=0, ,V475/$U475)</f>
        <v>0</v>
      </c>
      <c r="X475" s="283">
        <f>SUM(I475, N475, S475, I476, N476, S476)</f>
        <v>0</v>
      </c>
      <c r="Y475" s="258">
        <f>IF($U475=0, ,X475/$U475)</f>
        <v>0</v>
      </c>
      <c r="Z475" s="283">
        <f>SUM(J475, O475, T475, J476, O476, T476)</f>
        <v>0</v>
      </c>
      <c r="AA475" s="258">
        <f>IF($U475=0, ,Z475/$U475)</f>
        <v>0</v>
      </c>
      <c r="AB475" s="277"/>
    </row>
    <row r="476" spans="1:28" x14ac:dyDescent="0.2">
      <c r="A476" s="287"/>
      <c r="B476" s="291"/>
      <c r="C476" s="10"/>
      <c r="D476" s="10"/>
      <c r="E476" s="280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84"/>
      <c r="V476" s="284"/>
      <c r="W476" s="259"/>
      <c r="X476" s="284"/>
      <c r="Y476" s="259"/>
      <c r="Z476" s="284"/>
      <c r="AA476" s="259"/>
      <c r="AB476" s="278"/>
    </row>
    <row r="477" spans="1:28" x14ac:dyDescent="0.2">
      <c r="A477" s="287"/>
      <c r="B477" s="300" t="s">
        <v>19</v>
      </c>
      <c r="C477" s="9"/>
      <c r="D477" s="9"/>
      <c r="E477" s="264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66">
        <f>SUM(F477, K477, P477, F478, K478, P478)</f>
        <v>0</v>
      </c>
      <c r="V477" s="266">
        <f>SUM(H477, M477, R477, H478, M478, R478)</f>
        <v>0</v>
      </c>
      <c r="W477" s="268">
        <f>IF($U477=0, ,V477/$U477)</f>
        <v>0</v>
      </c>
      <c r="X477" s="266">
        <f>SUM(I477, N477, S477, I478, N478, S478)</f>
        <v>0</v>
      </c>
      <c r="Y477" s="268">
        <f>IF($U477=0, ,X477/$U477)</f>
        <v>0</v>
      </c>
      <c r="Z477" s="266">
        <f>SUM(J477, O477, T477, J478, O478, T478)</f>
        <v>0</v>
      </c>
      <c r="AA477" s="268">
        <f>IF($U477=0, ,Z477/$U477)</f>
        <v>0</v>
      </c>
      <c r="AB477" s="292"/>
    </row>
    <row r="478" spans="1:28" x14ac:dyDescent="0.2">
      <c r="A478" s="287"/>
      <c r="B478" s="319"/>
      <c r="C478" s="9"/>
      <c r="D478" s="9"/>
      <c r="E478" s="265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67"/>
      <c r="V478" s="267"/>
      <c r="W478" s="269"/>
      <c r="X478" s="267"/>
      <c r="Y478" s="269"/>
      <c r="Z478" s="267"/>
      <c r="AA478" s="269"/>
      <c r="AB478" s="293"/>
    </row>
    <row r="479" spans="1:28" x14ac:dyDescent="0.2">
      <c r="A479" s="287"/>
      <c r="B479" s="290" t="s">
        <v>20</v>
      </c>
      <c r="C479" s="10">
        <v>20591</v>
      </c>
      <c r="D479" s="10"/>
      <c r="E479" s="279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83">
        <f>SUM(F479, K479, P479, F480, K480, P480)</f>
        <v>2100</v>
      </c>
      <c r="V479" s="283">
        <f>SUM(H479, M479, R479, H480, M480, R480)</f>
        <v>0</v>
      </c>
      <c r="W479" s="258">
        <f>IF($U479=0, ,V479/$U479)</f>
        <v>0</v>
      </c>
      <c r="X479" s="283">
        <f>SUM(I479, N479, S479, I480, N480, S480)</f>
        <v>0</v>
      </c>
      <c r="Y479" s="258">
        <f>IF($U479=0, ,X479/$U479)</f>
        <v>0</v>
      </c>
      <c r="Z479" s="283">
        <f>SUM(J479, O479, T479, J480, O480, T480)</f>
        <v>0</v>
      </c>
      <c r="AA479" s="258">
        <f>IF($U479=0, ,Z479/$U479)</f>
        <v>0</v>
      </c>
      <c r="AB479" s="277"/>
    </row>
    <row r="480" spans="1:28" x14ac:dyDescent="0.2">
      <c r="A480" s="287"/>
      <c r="B480" s="291"/>
      <c r="C480" s="10"/>
      <c r="D480" s="10"/>
      <c r="E480" s="280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84"/>
      <c r="V480" s="284"/>
      <c r="W480" s="259"/>
      <c r="X480" s="284"/>
      <c r="Y480" s="259"/>
      <c r="Z480" s="284"/>
      <c r="AA480" s="259"/>
      <c r="AB480" s="278"/>
    </row>
    <row r="481" spans="1:28" x14ac:dyDescent="0.2">
      <c r="A481" s="287"/>
      <c r="B481" s="300" t="s">
        <v>21</v>
      </c>
      <c r="C481" s="9">
        <v>20591</v>
      </c>
      <c r="D481" s="9"/>
      <c r="E481" s="264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66">
        <f>SUM(F481, K481, P481, F482, K482, P482)</f>
        <v>2507</v>
      </c>
      <c r="V481" s="266">
        <f>SUM(H481, M481, R481, H482, M482, R482)</f>
        <v>0</v>
      </c>
      <c r="W481" s="268">
        <f>IF($U481=0, ,V481/$U481)</f>
        <v>0</v>
      </c>
      <c r="X481" s="266">
        <f>SUM(I481, N481, S481, I482, N482, S482)</f>
        <v>0</v>
      </c>
      <c r="Y481" s="268">
        <f>IF($U481=0, ,X481/$U481)</f>
        <v>0</v>
      </c>
      <c r="Z481" s="266">
        <f>SUM(J481, O481, T481, J482, O482, T482)</f>
        <v>0</v>
      </c>
      <c r="AA481" s="268">
        <f>IF($U481=0, ,Z481/$U481)</f>
        <v>0</v>
      </c>
      <c r="AB481" s="292"/>
    </row>
    <row r="482" spans="1:28" x14ac:dyDescent="0.2">
      <c r="A482" s="287"/>
      <c r="B482" s="319"/>
      <c r="C482" s="9"/>
      <c r="D482" s="9"/>
      <c r="E482" s="265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67"/>
      <c r="V482" s="267"/>
      <c r="W482" s="269"/>
      <c r="X482" s="267"/>
      <c r="Y482" s="269"/>
      <c r="Z482" s="267"/>
      <c r="AA482" s="269"/>
      <c r="AB482" s="293"/>
    </row>
    <row r="483" spans="1:28" x14ac:dyDescent="0.2">
      <c r="A483" s="287"/>
      <c r="B483" s="290" t="s">
        <v>22</v>
      </c>
      <c r="C483" s="11"/>
      <c r="D483" s="11"/>
      <c r="E483" s="296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83">
        <f>SUM(F483, K483, P483, F484, K484, P484)</f>
        <v>0</v>
      </c>
      <c r="V483" s="283">
        <f>SUM(H483, M483, R483, H484, M484, R484)</f>
        <v>0</v>
      </c>
      <c r="W483" s="258">
        <f>IF($U483=0, ,V483/$U483)</f>
        <v>0</v>
      </c>
      <c r="X483" s="283">
        <f>SUM(I483, N483, S483, I484, N484, S484)</f>
        <v>0</v>
      </c>
      <c r="Y483" s="258">
        <f>IF($U483=0, ,X483/$U483)</f>
        <v>0</v>
      </c>
      <c r="Z483" s="283">
        <f>SUM(J483, O483, T483, J484, O484, T484)</f>
        <v>0</v>
      </c>
      <c r="AA483" s="258">
        <f>IF($U483=0, ,Z483/$U483)</f>
        <v>0</v>
      </c>
      <c r="AB483" s="277"/>
    </row>
    <row r="484" spans="1:28" x14ac:dyDescent="0.2">
      <c r="A484" s="287"/>
      <c r="B484" s="291"/>
      <c r="C484" s="11"/>
      <c r="D484" s="11"/>
      <c r="E484" s="297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84"/>
      <c r="V484" s="284"/>
      <c r="W484" s="259"/>
      <c r="X484" s="284"/>
      <c r="Y484" s="259"/>
      <c r="Z484" s="284"/>
      <c r="AA484" s="259"/>
      <c r="AB484" s="278"/>
    </row>
    <row r="485" spans="1:28" ht="13.5" thickBot="1" x14ac:dyDescent="0.25">
      <c r="A485" s="287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87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87"/>
      <c r="B487" s="288" t="s">
        <v>35</v>
      </c>
      <c r="C487" s="289" t="s">
        <v>25</v>
      </c>
      <c r="D487" s="289" t="s">
        <v>28</v>
      </c>
      <c r="E487" s="270" t="s">
        <v>12</v>
      </c>
      <c r="F487" s="314" t="s">
        <v>13</v>
      </c>
      <c r="G487" s="314"/>
      <c r="H487" s="314"/>
      <c r="I487" s="314" t="s">
        <v>14</v>
      </c>
      <c r="J487" s="314"/>
      <c r="K487" s="314"/>
      <c r="L487" s="314" t="s">
        <v>15</v>
      </c>
      <c r="M487" s="314"/>
      <c r="N487" s="314"/>
      <c r="O487" s="274" t="s">
        <v>34</v>
      </c>
      <c r="P487" s="274" t="s">
        <v>48</v>
      </c>
      <c r="Q487" s="274" t="s">
        <v>60</v>
      </c>
      <c r="R487" s="274" t="s">
        <v>49</v>
      </c>
      <c r="S487" s="274" t="s">
        <v>61</v>
      </c>
      <c r="T487" s="310"/>
      <c r="U487" s="310"/>
      <c r="V487" s="310"/>
      <c r="W487" s="310"/>
      <c r="X487" s="310"/>
      <c r="Y487" s="310"/>
      <c r="Z487" s="310"/>
      <c r="AA487" s="310"/>
      <c r="AB487" s="311"/>
    </row>
    <row r="488" spans="1:28" ht="25.5" x14ac:dyDescent="0.2">
      <c r="A488" s="287"/>
      <c r="B488" s="288"/>
      <c r="C488" s="289"/>
      <c r="D488" s="289"/>
      <c r="E488" s="270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76"/>
      <c r="P488" s="276"/>
      <c r="Q488" s="276"/>
      <c r="R488" s="276"/>
      <c r="S488" s="276"/>
      <c r="T488" s="312"/>
      <c r="U488" s="312"/>
      <c r="V488" s="312"/>
      <c r="W488" s="312"/>
      <c r="X488" s="312"/>
      <c r="Y488" s="312"/>
      <c r="Z488" s="312"/>
      <c r="AA488" s="312"/>
      <c r="AB488" s="313"/>
    </row>
    <row r="489" spans="1:28" x14ac:dyDescent="0.2">
      <c r="A489" s="287"/>
      <c r="B489" s="308" t="s">
        <v>36</v>
      </c>
      <c r="C489" s="12"/>
      <c r="D489" s="12" t="s">
        <v>95</v>
      </c>
      <c r="E489" s="309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66">
        <f>SUM(F489, I489, L489, F490, I490, L490)*$O486</f>
        <v>0</v>
      </c>
      <c r="P489" s="266">
        <f>SUM(G489, J489, M489, G490, J490, M490)</f>
        <v>0</v>
      </c>
      <c r="Q489" s="268">
        <f>IF($O489=0, ,P489/$O489)</f>
        <v>0</v>
      </c>
      <c r="R489" s="266">
        <f>SUM(H489, K489, N489, H490, K490, N490)</f>
        <v>0</v>
      </c>
      <c r="S489" s="268">
        <f>IF($O489=0, ,R489/$O489)</f>
        <v>0</v>
      </c>
      <c r="T489" s="315"/>
      <c r="U489" s="315"/>
      <c r="V489" s="315"/>
      <c r="W489" s="315"/>
      <c r="X489" s="315"/>
      <c r="Y489" s="315"/>
      <c r="Z489" s="315"/>
      <c r="AA489" s="315"/>
      <c r="AB489" s="316"/>
    </row>
    <row r="490" spans="1:28" x14ac:dyDescent="0.2">
      <c r="A490" s="287"/>
      <c r="B490" s="308"/>
      <c r="C490" s="12"/>
      <c r="D490" s="12"/>
      <c r="E490" s="309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67"/>
      <c r="P490" s="267"/>
      <c r="Q490" s="269"/>
      <c r="R490" s="267"/>
      <c r="S490" s="269"/>
      <c r="T490" s="317"/>
      <c r="U490" s="317"/>
      <c r="V490" s="317"/>
      <c r="W490" s="317"/>
      <c r="X490" s="317"/>
      <c r="Y490" s="317"/>
      <c r="Z490" s="317"/>
      <c r="AA490" s="317"/>
      <c r="AB490" s="318"/>
    </row>
    <row r="491" spans="1:28" x14ac:dyDescent="0.2">
      <c r="A491" s="287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87"/>
      <c r="B492" s="321" t="s">
        <v>67</v>
      </c>
      <c r="C492" s="321"/>
      <c r="D492" s="322"/>
      <c r="E492" s="82" t="s">
        <v>68</v>
      </c>
      <c r="F492" s="306" t="s">
        <v>64</v>
      </c>
      <c r="G492" s="306"/>
      <c r="H492" s="306"/>
      <c r="I492" s="306" t="s">
        <v>76</v>
      </c>
      <c r="J492" s="306"/>
      <c r="K492" s="306"/>
      <c r="L492" s="306" t="s">
        <v>65</v>
      </c>
      <c r="M492" s="306"/>
      <c r="N492" s="306"/>
      <c r="O492" s="306" t="s">
        <v>66</v>
      </c>
      <c r="P492" s="306"/>
      <c r="Q492" s="306"/>
      <c r="R492" s="306" t="s">
        <v>73</v>
      </c>
      <c r="S492" s="306"/>
      <c r="T492" s="306"/>
      <c r="U492" s="306" t="s">
        <v>74</v>
      </c>
      <c r="V492" s="306"/>
      <c r="W492" s="306"/>
      <c r="X492" s="306" t="s">
        <v>75</v>
      </c>
      <c r="Y492" s="306"/>
      <c r="Z492" s="306"/>
      <c r="AA492" s="307"/>
      <c r="AB492" s="307"/>
    </row>
    <row r="493" spans="1:28" x14ac:dyDescent="0.2">
      <c r="A493" s="287"/>
      <c r="B493" s="323"/>
      <c r="C493" s="323"/>
      <c r="D493" s="324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307"/>
      <c r="AB493" s="307"/>
    </row>
    <row r="494" spans="1:28" x14ac:dyDescent="0.2">
      <c r="A494" s="287"/>
      <c r="B494" s="325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307"/>
      <c r="AB494" s="307"/>
    </row>
    <row r="495" spans="1:28" x14ac:dyDescent="0.2">
      <c r="A495" s="287"/>
      <c r="B495" s="325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307"/>
      <c r="AB495" s="307"/>
    </row>
    <row r="496" spans="1:28" x14ac:dyDescent="0.2">
      <c r="A496" s="287"/>
      <c r="B496" s="325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307"/>
      <c r="AB496" s="307"/>
    </row>
    <row r="497" spans="1:28" x14ac:dyDescent="0.2">
      <c r="A497" s="287"/>
      <c r="B497" s="325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307"/>
      <c r="AB497" s="307"/>
    </row>
    <row r="499" spans="1:28" x14ac:dyDescent="0.2">
      <c r="A499" s="287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87"/>
      <c r="B500" s="288" t="s">
        <v>10</v>
      </c>
      <c r="C500" s="289" t="s">
        <v>25</v>
      </c>
      <c r="D500" s="289" t="s">
        <v>28</v>
      </c>
      <c r="E500" s="270" t="s">
        <v>12</v>
      </c>
      <c r="F500" s="271" t="s">
        <v>13</v>
      </c>
      <c r="G500" s="272"/>
      <c r="H500" s="272"/>
      <c r="I500" s="272"/>
      <c r="J500" s="273"/>
      <c r="K500" s="271" t="s">
        <v>14</v>
      </c>
      <c r="L500" s="272"/>
      <c r="M500" s="272"/>
      <c r="N500" s="272"/>
      <c r="O500" s="273"/>
      <c r="P500" s="271" t="s">
        <v>15</v>
      </c>
      <c r="Q500" s="272"/>
      <c r="R500" s="272"/>
      <c r="S500" s="272"/>
      <c r="T500" s="273"/>
      <c r="U500" s="320" t="s">
        <v>34</v>
      </c>
      <c r="V500" s="320" t="s">
        <v>48</v>
      </c>
      <c r="W500" s="320" t="s">
        <v>56</v>
      </c>
      <c r="X500" s="320" t="s">
        <v>54</v>
      </c>
      <c r="Y500" s="320" t="s">
        <v>57</v>
      </c>
      <c r="Z500" s="320" t="s">
        <v>55</v>
      </c>
      <c r="AA500" s="320" t="s">
        <v>58</v>
      </c>
      <c r="AB500" s="320" t="s">
        <v>38</v>
      </c>
    </row>
    <row r="501" spans="1:28" ht="38.25" x14ac:dyDescent="0.2">
      <c r="A501" s="287"/>
      <c r="B501" s="288"/>
      <c r="C501" s="289"/>
      <c r="D501" s="289"/>
      <c r="E501" s="270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320"/>
      <c r="V501" s="320"/>
      <c r="W501" s="320"/>
      <c r="X501" s="320"/>
      <c r="Y501" s="320"/>
      <c r="Z501" s="320"/>
      <c r="AA501" s="320"/>
      <c r="AB501" s="320"/>
    </row>
    <row r="502" spans="1:28" x14ac:dyDescent="0.2">
      <c r="A502" s="287"/>
      <c r="B502" s="300" t="s">
        <v>17</v>
      </c>
      <c r="C502" s="12">
        <v>20591</v>
      </c>
      <c r="D502" s="12"/>
      <c r="E502" s="302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66">
        <f>SUM(F502, K502, P502, F503, K503, P503)</f>
        <v>3085</v>
      </c>
      <c r="V502" s="266">
        <f>SUM(H502, M502, R502, H503, M503, R503)</f>
        <v>0</v>
      </c>
      <c r="W502" s="268">
        <f>IF($U502=0, ,V502/$U502)</f>
        <v>0</v>
      </c>
      <c r="X502" s="266">
        <f>SUM(I502, N502, S502, I503, N503, S503)</f>
        <v>0</v>
      </c>
      <c r="Y502" s="268">
        <f>IF($U502=0, ,X502/$U502)</f>
        <v>0</v>
      </c>
      <c r="Z502" s="266">
        <f>SUM(J502, O502, T502, J503, O503, T503)</f>
        <v>0</v>
      </c>
      <c r="AA502" s="268">
        <f>IF($U502=0, ,Z502/$U502)</f>
        <v>0</v>
      </c>
      <c r="AB502" s="292"/>
    </row>
    <row r="503" spans="1:28" x14ac:dyDescent="0.2">
      <c r="A503" s="287"/>
      <c r="B503" s="319"/>
      <c r="C503" s="12"/>
      <c r="D503" s="12"/>
      <c r="E503" s="304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67"/>
      <c r="V503" s="267"/>
      <c r="W503" s="269"/>
      <c r="X503" s="267"/>
      <c r="Y503" s="269"/>
      <c r="Z503" s="267"/>
      <c r="AA503" s="269"/>
      <c r="AB503" s="293"/>
    </row>
    <row r="504" spans="1:28" x14ac:dyDescent="0.2">
      <c r="A504" s="287"/>
      <c r="B504" s="290" t="s">
        <v>18</v>
      </c>
      <c r="C504" s="10"/>
      <c r="D504" s="10"/>
      <c r="E504" s="279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83">
        <f>SUM(F504, K504, P504, F505, K505, P505)</f>
        <v>0</v>
      </c>
      <c r="V504" s="283">
        <f>SUM(H504, M504, R504, H505, M505, R505)</f>
        <v>0</v>
      </c>
      <c r="W504" s="258">
        <f>IF($U504=0, ,V504/$U504)</f>
        <v>0</v>
      </c>
      <c r="X504" s="283">
        <f>SUM(I504, N504, S504, I505, N505, S505)</f>
        <v>0</v>
      </c>
      <c r="Y504" s="258">
        <f>IF($U504=0, ,X504/$U504)</f>
        <v>0</v>
      </c>
      <c r="Z504" s="283">
        <f>SUM(J504, O504, T504, J505, O505, T505)</f>
        <v>0</v>
      </c>
      <c r="AA504" s="258">
        <f>IF($U504=0, ,Z504/$U504)</f>
        <v>0</v>
      </c>
      <c r="AB504" s="277"/>
    </row>
    <row r="505" spans="1:28" x14ac:dyDescent="0.2">
      <c r="A505" s="287"/>
      <c r="B505" s="291"/>
      <c r="C505" s="10"/>
      <c r="D505" s="10"/>
      <c r="E505" s="280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84"/>
      <c r="V505" s="284"/>
      <c r="W505" s="259"/>
      <c r="X505" s="284"/>
      <c r="Y505" s="259"/>
      <c r="Z505" s="284"/>
      <c r="AA505" s="259"/>
      <c r="AB505" s="278"/>
    </row>
    <row r="506" spans="1:28" x14ac:dyDescent="0.2">
      <c r="A506" s="287"/>
      <c r="B506" s="300" t="s">
        <v>19</v>
      </c>
      <c r="C506" s="9"/>
      <c r="D506" s="9"/>
      <c r="E506" s="264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66">
        <f>SUM(F506, K506, P506, F507, K507, P507)</f>
        <v>0</v>
      </c>
      <c r="V506" s="266">
        <f>SUM(H506, M506, R506, H507, M507, R507)</f>
        <v>0</v>
      </c>
      <c r="W506" s="268">
        <f>IF($U506=0, ,V506/$U506)</f>
        <v>0</v>
      </c>
      <c r="X506" s="266">
        <f>SUM(I506, N506, S506, I507, N507, S507)</f>
        <v>0</v>
      </c>
      <c r="Y506" s="268">
        <f>IF($U506=0, ,X506/$U506)</f>
        <v>0</v>
      </c>
      <c r="Z506" s="266">
        <f>SUM(J506, O506, T506, J507, O507, T507)</f>
        <v>0</v>
      </c>
      <c r="AA506" s="268">
        <f>IF($U506=0, ,Z506/$U506)</f>
        <v>0</v>
      </c>
      <c r="AB506" s="292"/>
    </row>
    <row r="507" spans="1:28" x14ac:dyDescent="0.2">
      <c r="A507" s="287"/>
      <c r="B507" s="319"/>
      <c r="C507" s="9"/>
      <c r="D507" s="9"/>
      <c r="E507" s="265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67"/>
      <c r="V507" s="267"/>
      <c r="W507" s="269"/>
      <c r="X507" s="267"/>
      <c r="Y507" s="269"/>
      <c r="Z507" s="267"/>
      <c r="AA507" s="269"/>
      <c r="AB507" s="293"/>
    </row>
    <row r="508" spans="1:28" x14ac:dyDescent="0.2">
      <c r="A508" s="287"/>
      <c r="B508" s="290" t="s">
        <v>20</v>
      </c>
      <c r="C508" s="10">
        <v>20591</v>
      </c>
      <c r="D508" s="10"/>
      <c r="E508" s="279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83">
        <f>SUM(F508, K508, P508, F509, K509, P509)</f>
        <v>2882</v>
      </c>
      <c r="V508" s="283">
        <f>SUM(H508, M508, R508, H509, M509, R509)</f>
        <v>0</v>
      </c>
      <c r="W508" s="258">
        <f>IF($U508=0, ,V508/$U508)</f>
        <v>0</v>
      </c>
      <c r="X508" s="283">
        <f>SUM(I508, N508, S508, I509, N509, S509)</f>
        <v>0</v>
      </c>
      <c r="Y508" s="258">
        <f>IF($U508=0, ,X508/$U508)</f>
        <v>0</v>
      </c>
      <c r="Z508" s="283">
        <f>SUM(J508, O508, T508, J509, O509, T509)</f>
        <v>0</v>
      </c>
      <c r="AA508" s="258">
        <f>IF($U508=0, ,Z508/$U508)</f>
        <v>0</v>
      </c>
      <c r="AB508" s="277"/>
    </row>
    <row r="509" spans="1:28" x14ac:dyDescent="0.2">
      <c r="A509" s="287"/>
      <c r="B509" s="291"/>
      <c r="C509" s="10"/>
      <c r="D509" s="10"/>
      <c r="E509" s="280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84"/>
      <c r="V509" s="284"/>
      <c r="W509" s="259"/>
      <c r="X509" s="284"/>
      <c r="Y509" s="259"/>
      <c r="Z509" s="284"/>
      <c r="AA509" s="259"/>
      <c r="AB509" s="278"/>
    </row>
    <row r="510" spans="1:28" x14ac:dyDescent="0.2">
      <c r="A510" s="287"/>
      <c r="B510" s="300" t="s">
        <v>21</v>
      </c>
      <c r="C510" s="9">
        <v>20591</v>
      </c>
      <c r="D510" s="9"/>
      <c r="E510" s="264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66">
        <f>SUM(F510, K510, P510, F511, K511, P511)</f>
        <v>3053</v>
      </c>
      <c r="V510" s="266">
        <f>SUM(H510, M510, R510, H511, M511, R511)</f>
        <v>0</v>
      </c>
      <c r="W510" s="268">
        <f>IF($U510=0, ,V510/$U510)</f>
        <v>0</v>
      </c>
      <c r="X510" s="266">
        <f>SUM(I510, N510, S510, I511, N511, S511)</f>
        <v>0</v>
      </c>
      <c r="Y510" s="268">
        <f>IF($U510=0, ,X510/$U510)</f>
        <v>0</v>
      </c>
      <c r="Z510" s="266">
        <f>SUM(J510, O510, T510, J511, O511, T511)</f>
        <v>0</v>
      </c>
      <c r="AA510" s="268">
        <f>IF($U510=0, ,Z510/$U510)</f>
        <v>0</v>
      </c>
      <c r="AB510" s="292"/>
    </row>
    <row r="511" spans="1:28" x14ac:dyDescent="0.2">
      <c r="A511" s="287"/>
      <c r="B511" s="319"/>
      <c r="C511" s="9"/>
      <c r="D511" s="9"/>
      <c r="E511" s="265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67"/>
      <c r="V511" s="267"/>
      <c r="W511" s="269"/>
      <c r="X511" s="267"/>
      <c r="Y511" s="269"/>
      <c r="Z511" s="267"/>
      <c r="AA511" s="269"/>
      <c r="AB511" s="293"/>
    </row>
    <row r="512" spans="1:28" x14ac:dyDescent="0.2">
      <c r="A512" s="287"/>
      <c r="B512" s="290" t="s">
        <v>22</v>
      </c>
      <c r="C512" s="11">
        <v>20591</v>
      </c>
      <c r="D512" s="11"/>
      <c r="E512" s="296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83">
        <f>SUM(F512, K512, P512, F513, K513, P513)</f>
        <v>2433</v>
      </c>
      <c r="V512" s="283">
        <f>SUM(H512, M512, R512, H513, M513, R513)</f>
        <v>0</v>
      </c>
      <c r="W512" s="258">
        <f>IF($U512=0, ,V512/$U512)</f>
        <v>0</v>
      </c>
      <c r="X512" s="283">
        <f>SUM(I512, N512, S512, I513, N513, S513)</f>
        <v>0</v>
      </c>
      <c r="Y512" s="258">
        <f>IF($U512=0, ,X512/$U512)</f>
        <v>0</v>
      </c>
      <c r="Z512" s="283">
        <f>SUM(J512, O512, T512, J513, O513, T513)</f>
        <v>0</v>
      </c>
      <c r="AA512" s="258">
        <f>IF($U512=0, ,Z512/$U512)</f>
        <v>0</v>
      </c>
      <c r="AB512" s="277"/>
    </row>
    <row r="513" spans="1:28" x14ac:dyDescent="0.2">
      <c r="A513" s="287"/>
      <c r="B513" s="291"/>
      <c r="C513" s="11"/>
      <c r="D513" s="11"/>
      <c r="E513" s="297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84"/>
      <c r="V513" s="284"/>
      <c r="W513" s="259"/>
      <c r="X513" s="284"/>
      <c r="Y513" s="259"/>
      <c r="Z513" s="284"/>
      <c r="AA513" s="259"/>
      <c r="AB513" s="278"/>
    </row>
    <row r="514" spans="1:28" ht="13.5" thickBot="1" x14ac:dyDescent="0.25">
      <c r="A514" s="287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87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87"/>
      <c r="B516" s="288" t="s">
        <v>35</v>
      </c>
      <c r="C516" s="289" t="s">
        <v>25</v>
      </c>
      <c r="D516" s="289" t="s">
        <v>28</v>
      </c>
      <c r="E516" s="270" t="s">
        <v>12</v>
      </c>
      <c r="F516" s="314" t="s">
        <v>13</v>
      </c>
      <c r="G516" s="314"/>
      <c r="H516" s="314"/>
      <c r="I516" s="314" t="s">
        <v>14</v>
      </c>
      <c r="J516" s="314"/>
      <c r="K516" s="314"/>
      <c r="L516" s="314" t="s">
        <v>15</v>
      </c>
      <c r="M516" s="314"/>
      <c r="N516" s="314"/>
      <c r="O516" s="274" t="s">
        <v>34</v>
      </c>
      <c r="P516" s="274" t="s">
        <v>48</v>
      </c>
      <c r="Q516" s="274" t="s">
        <v>60</v>
      </c>
      <c r="R516" s="274" t="s">
        <v>49</v>
      </c>
      <c r="S516" s="274" t="s">
        <v>61</v>
      </c>
      <c r="T516" s="310"/>
      <c r="U516" s="310"/>
      <c r="V516" s="310"/>
      <c r="W516" s="310"/>
      <c r="X516" s="310"/>
      <c r="Y516" s="310"/>
      <c r="Z516" s="310"/>
      <c r="AA516" s="310"/>
      <c r="AB516" s="311"/>
    </row>
    <row r="517" spans="1:28" ht="25.5" x14ac:dyDescent="0.2">
      <c r="A517" s="287"/>
      <c r="B517" s="288"/>
      <c r="C517" s="289"/>
      <c r="D517" s="289"/>
      <c r="E517" s="270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76"/>
      <c r="P517" s="276"/>
      <c r="Q517" s="276"/>
      <c r="R517" s="276"/>
      <c r="S517" s="276"/>
      <c r="T517" s="312"/>
      <c r="U517" s="312"/>
      <c r="V517" s="312"/>
      <c r="W517" s="312"/>
      <c r="X517" s="312"/>
      <c r="Y517" s="312"/>
      <c r="Z517" s="312"/>
      <c r="AA517" s="312"/>
      <c r="AB517" s="313"/>
    </row>
    <row r="518" spans="1:28" x14ac:dyDescent="0.2">
      <c r="A518" s="287"/>
      <c r="B518" s="308" t="s">
        <v>36</v>
      </c>
      <c r="C518" s="12"/>
      <c r="D518" s="12" t="s">
        <v>95</v>
      </c>
      <c r="E518" s="309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66">
        <f>SUM(F518, I518, L518, F519, I519, L519)*$O515</f>
        <v>0</v>
      </c>
      <c r="P518" s="266">
        <f>SUM(G518, J518, M518, G519, J519, M519)</f>
        <v>0</v>
      </c>
      <c r="Q518" s="268">
        <f>IF($O518=0, ,P518/$O518)</f>
        <v>0</v>
      </c>
      <c r="R518" s="266">
        <f>SUM(H518, K518, N518, H519, K519, N519)</f>
        <v>0</v>
      </c>
      <c r="S518" s="268">
        <f>IF($O518=0, ,R518/$O518)</f>
        <v>0</v>
      </c>
      <c r="T518" s="315"/>
      <c r="U518" s="315"/>
      <c r="V518" s="315"/>
      <c r="W518" s="315"/>
      <c r="X518" s="315"/>
      <c r="Y518" s="315"/>
      <c r="Z518" s="315"/>
      <c r="AA518" s="315"/>
      <c r="AB518" s="316"/>
    </row>
    <row r="519" spans="1:28" x14ac:dyDescent="0.2">
      <c r="A519" s="287"/>
      <c r="B519" s="308"/>
      <c r="C519" s="12"/>
      <c r="D519" s="12"/>
      <c r="E519" s="309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67"/>
      <c r="P519" s="267"/>
      <c r="Q519" s="269"/>
      <c r="R519" s="267"/>
      <c r="S519" s="269"/>
      <c r="T519" s="317"/>
      <c r="U519" s="317"/>
      <c r="V519" s="317"/>
      <c r="W519" s="317"/>
      <c r="X519" s="317"/>
      <c r="Y519" s="317"/>
      <c r="Z519" s="317"/>
      <c r="AA519" s="317"/>
      <c r="AB519" s="318"/>
    </row>
    <row r="520" spans="1:28" x14ac:dyDescent="0.2">
      <c r="A520" s="287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87"/>
      <c r="B521" s="321" t="s">
        <v>67</v>
      </c>
      <c r="C521" s="321"/>
      <c r="D521" s="322"/>
      <c r="E521" s="82" t="s">
        <v>68</v>
      </c>
      <c r="F521" s="306" t="s">
        <v>64</v>
      </c>
      <c r="G521" s="306"/>
      <c r="H521" s="306"/>
      <c r="I521" s="306" t="s">
        <v>76</v>
      </c>
      <c r="J521" s="306"/>
      <c r="K521" s="306"/>
      <c r="L521" s="306" t="s">
        <v>65</v>
      </c>
      <c r="M521" s="306"/>
      <c r="N521" s="306"/>
      <c r="O521" s="306" t="s">
        <v>66</v>
      </c>
      <c r="P521" s="306"/>
      <c r="Q521" s="306"/>
      <c r="R521" s="306" t="s">
        <v>73</v>
      </c>
      <c r="S521" s="306"/>
      <c r="T521" s="306"/>
      <c r="U521" s="306" t="s">
        <v>74</v>
      </c>
      <c r="V521" s="306"/>
      <c r="W521" s="306"/>
      <c r="X521" s="306" t="s">
        <v>75</v>
      </c>
      <c r="Y521" s="306"/>
      <c r="Z521" s="306"/>
      <c r="AA521" s="307"/>
      <c r="AB521" s="307"/>
    </row>
    <row r="522" spans="1:28" x14ac:dyDescent="0.2">
      <c r="A522" s="287"/>
      <c r="B522" s="323"/>
      <c r="C522" s="323"/>
      <c r="D522" s="324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307"/>
      <c r="AB522" s="307"/>
    </row>
    <row r="523" spans="1:28" x14ac:dyDescent="0.2">
      <c r="A523" s="287"/>
      <c r="B523" s="325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307"/>
      <c r="AB523" s="307"/>
    </row>
    <row r="524" spans="1:28" x14ac:dyDescent="0.2">
      <c r="A524" s="287"/>
      <c r="B524" s="325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307"/>
      <c r="AB524" s="307"/>
    </row>
    <row r="525" spans="1:28" x14ac:dyDescent="0.2">
      <c r="A525" s="287"/>
      <c r="B525" s="325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307"/>
      <c r="AB525" s="307"/>
    </row>
    <row r="526" spans="1:28" x14ac:dyDescent="0.2">
      <c r="A526" s="287"/>
      <c r="B526" s="325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307"/>
      <c r="AB526" s="307"/>
    </row>
    <row r="528" spans="1:28" x14ac:dyDescent="0.2">
      <c r="A528" s="287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87"/>
      <c r="B529" s="288" t="s">
        <v>10</v>
      </c>
      <c r="C529" s="289" t="s">
        <v>25</v>
      </c>
      <c r="D529" s="289" t="s">
        <v>28</v>
      </c>
      <c r="E529" s="270" t="s">
        <v>12</v>
      </c>
      <c r="F529" s="271" t="s">
        <v>13</v>
      </c>
      <c r="G529" s="272"/>
      <c r="H529" s="272"/>
      <c r="I529" s="272"/>
      <c r="J529" s="273"/>
      <c r="K529" s="271" t="s">
        <v>14</v>
      </c>
      <c r="L529" s="272"/>
      <c r="M529" s="272"/>
      <c r="N529" s="272"/>
      <c r="O529" s="273"/>
      <c r="P529" s="271" t="s">
        <v>15</v>
      </c>
      <c r="Q529" s="272"/>
      <c r="R529" s="272"/>
      <c r="S529" s="272"/>
      <c r="T529" s="273"/>
      <c r="U529" s="320" t="s">
        <v>34</v>
      </c>
      <c r="V529" s="320" t="s">
        <v>48</v>
      </c>
      <c r="W529" s="320" t="s">
        <v>56</v>
      </c>
      <c r="X529" s="320" t="s">
        <v>54</v>
      </c>
      <c r="Y529" s="320" t="s">
        <v>57</v>
      </c>
      <c r="Z529" s="320" t="s">
        <v>55</v>
      </c>
      <c r="AA529" s="320" t="s">
        <v>58</v>
      </c>
      <c r="AB529" s="320" t="s">
        <v>38</v>
      </c>
    </row>
    <row r="530" spans="1:28" ht="38.25" x14ac:dyDescent="0.2">
      <c r="A530" s="287"/>
      <c r="B530" s="288"/>
      <c r="C530" s="289"/>
      <c r="D530" s="289"/>
      <c r="E530" s="270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320"/>
      <c r="V530" s="320"/>
      <c r="W530" s="320"/>
      <c r="X530" s="320"/>
      <c r="Y530" s="320"/>
      <c r="Z530" s="320"/>
      <c r="AA530" s="320"/>
      <c r="AB530" s="320"/>
    </row>
    <row r="531" spans="1:28" x14ac:dyDescent="0.2">
      <c r="A531" s="287"/>
      <c r="B531" s="300" t="s">
        <v>17</v>
      </c>
      <c r="C531" s="12">
        <v>20591</v>
      </c>
      <c r="D531" s="12"/>
      <c r="E531" s="302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66">
        <f>SUM(F531, K531, P531, F532, K532, P532)</f>
        <v>3244</v>
      </c>
      <c r="V531" s="266">
        <f>SUM(H531, M531, R531, H532, M532, R532)</f>
        <v>0</v>
      </c>
      <c r="W531" s="268">
        <f>IF($U531=0, ,V531/$U531)</f>
        <v>0</v>
      </c>
      <c r="X531" s="266">
        <f>SUM(I531, N531, S531, I532, N532, S532)</f>
        <v>0</v>
      </c>
      <c r="Y531" s="268">
        <f>IF($U531=0, ,X531/$U531)</f>
        <v>0</v>
      </c>
      <c r="Z531" s="266">
        <f>SUM(J531, O531, T531, J532, O532, T532)</f>
        <v>0</v>
      </c>
      <c r="AA531" s="268">
        <f>IF($U531=0, ,Z531/$U531)</f>
        <v>0</v>
      </c>
      <c r="AB531" s="292"/>
    </row>
    <row r="532" spans="1:28" x14ac:dyDescent="0.2">
      <c r="A532" s="287"/>
      <c r="B532" s="319"/>
      <c r="C532" s="12"/>
      <c r="D532" s="12"/>
      <c r="E532" s="304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67"/>
      <c r="V532" s="267"/>
      <c r="W532" s="269"/>
      <c r="X532" s="267"/>
      <c r="Y532" s="269"/>
      <c r="Z532" s="267"/>
      <c r="AA532" s="269"/>
      <c r="AB532" s="293"/>
    </row>
    <row r="533" spans="1:28" x14ac:dyDescent="0.2">
      <c r="A533" s="287"/>
      <c r="B533" s="290" t="s">
        <v>18</v>
      </c>
      <c r="C533" s="10"/>
      <c r="D533" s="10"/>
      <c r="E533" s="279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83">
        <f>SUM(F533, K533, P533, F534, K534, P534)</f>
        <v>0</v>
      </c>
      <c r="V533" s="283">
        <f>SUM(H533, M533, R533, H534, M534, R534)</f>
        <v>0</v>
      </c>
      <c r="W533" s="258">
        <f>IF($U533=0, ,V533/$U533)</f>
        <v>0</v>
      </c>
      <c r="X533" s="283">
        <f>SUM(I533, N533, S533, I534, N534, S534)</f>
        <v>0</v>
      </c>
      <c r="Y533" s="258">
        <f>IF($U533=0, ,X533/$U533)</f>
        <v>0</v>
      </c>
      <c r="Z533" s="283">
        <f>SUM(J533, O533, T533, J534, O534, T534)</f>
        <v>0</v>
      </c>
      <c r="AA533" s="258">
        <f>IF($U533=0, ,Z533/$U533)</f>
        <v>0</v>
      </c>
      <c r="AB533" s="277"/>
    </row>
    <row r="534" spans="1:28" x14ac:dyDescent="0.2">
      <c r="A534" s="287"/>
      <c r="B534" s="291"/>
      <c r="C534" s="10"/>
      <c r="D534" s="10"/>
      <c r="E534" s="280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84"/>
      <c r="V534" s="284"/>
      <c r="W534" s="259"/>
      <c r="X534" s="284"/>
      <c r="Y534" s="259"/>
      <c r="Z534" s="284"/>
      <c r="AA534" s="259"/>
      <c r="AB534" s="278"/>
    </row>
    <row r="535" spans="1:28" x14ac:dyDescent="0.2">
      <c r="A535" s="287"/>
      <c r="B535" s="300" t="s">
        <v>19</v>
      </c>
      <c r="C535" s="9"/>
      <c r="D535" s="9"/>
      <c r="E535" s="264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66">
        <f>SUM(F535, K535, P535, F536, K536, P536)</f>
        <v>0</v>
      </c>
      <c r="V535" s="266">
        <f>SUM(H535, M535, R535, H536, M536, R536)</f>
        <v>0</v>
      </c>
      <c r="W535" s="268">
        <f>IF($U535=0, ,V535/$U535)</f>
        <v>0</v>
      </c>
      <c r="X535" s="266">
        <f>SUM(I535, N535, S535, I536, N536, S536)</f>
        <v>0</v>
      </c>
      <c r="Y535" s="268">
        <f>IF($U535=0, ,X535/$U535)</f>
        <v>0</v>
      </c>
      <c r="Z535" s="266">
        <f>SUM(J535, O535, T535, J536, O536, T536)</f>
        <v>0</v>
      </c>
      <c r="AA535" s="268">
        <f>IF($U535=0, ,Z535/$U535)</f>
        <v>0</v>
      </c>
      <c r="AB535" s="292"/>
    </row>
    <row r="536" spans="1:28" x14ac:dyDescent="0.2">
      <c r="A536" s="287"/>
      <c r="B536" s="319"/>
      <c r="C536" s="9"/>
      <c r="D536" s="9"/>
      <c r="E536" s="265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67"/>
      <c r="V536" s="267"/>
      <c r="W536" s="269"/>
      <c r="X536" s="267"/>
      <c r="Y536" s="269"/>
      <c r="Z536" s="267"/>
      <c r="AA536" s="269"/>
      <c r="AB536" s="293"/>
    </row>
    <row r="537" spans="1:28" x14ac:dyDescent="0.2">
      <c r="A537" s="287"/>
      <c r="B537" s="290" t="s">
        <v>20</v>
      </c>
      <c r="C537" s="10">
        <v>20591</v>
      </c>
      <c r="D537" s="10"/>
      <c r="E537" s="279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83">
        <f>SUM(F537, K537, P537, F538, K538, P538)</f>
        <v>2925</v>
      </c>
      <c r="V537" s="283">
        <f>SUM(H537, M537, R537, H538, M538, R538)</f>
        <v>0</v>
      </c>
      <c r="W537" s="258">
        <f>IF($U537=0, ,V537/$U537)</f>
        <v>0</v>
      </c>
      <c r="X537" s="283">
        <f>SUM(I537, N537, S537, I538, N538, S538)</f>
        <v>0</v>
      </c>
      <c r="Y537" s="258">
        <f>IF($U537=0, ,X537/$U537)</f>
        <v>0</v>
      </c>
      <c r="Z537" s="283">
        <f>SUM(J537, O537, T537, J538, O538, T538)</f>
        <v>0</v>
      </c>
      <c r="AA537" s="258">
        <f>IF($U537=0, ,Z537/$U537)</f>
        <v>0</v>
      </c>
      <c r="AB537" s="277"/>
    </row>
    <row r="538" spans="1:28" x14ac:dyDescent="0.2">
      <c r="A538" s="287"/>
      <c r="B538" s="291"/>
      <c r="C538" s="10"/>
      <c r="D538" s="10"/>
      <c r="E538" s="280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84"/>
      <c r="V538" s="284"/>
      <c r="W538" s="259"/>
      <c r="X538" s="284"/>
      <c r="Y538" s="259"/>
      <c r="Z538" s="284"/>
      <c r="AA538" s="259"/>
      <c r="AB538" s="278"/>
    </row>
    <row r="539" spans="1:28" x14ac:dyDescent="0.2">
      <c r="A539" s="287"/>
      <c r="B539" s="300" t="s">
        <v>21</v>
      </c>
      <c r="C539" s="9">
        <v>20591</v>
      </c>
      <c r="D539" s="9"/>
      <c r="E539" s="264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66">
        <f>SUM(F539, K539, P539, F540, K540, P540)</f>
        <v>1726</v>
      </c>
      <c r="V539" s="266">
        <f>SUM(H539, M539, R539, H540, M540, R540)</f>
        <v>0</v>
      </c>
      <c r="W539" s="268">
        <f>IF($U539=0, ,V539/$U539)</f>
        <v>0</v>
      </c>
      <c r="X539" s="266">
        <f>SUM(I539, N539, S539, I540, N540, S540)</f>
        <v>0</v>
      </c>
      <c r="Y539" s="268">
        <f>IF($U539=0, ,X539/$U539)</f>
        <v>0</v>
      </c>
      <c r="Z539" s="266">
        <f>SUM(J539, O539, T539, J540, O540, T540)</f>
        <v>0</v>
      </c>
      <c r="AA539" s="268">
        <f>IF($U539=0, ,Z539/$U539)</f>
        <v>0</v>
      </c>
      <c r="AB539" s="292"/>
    </row>
    <row r="540" spans="1:28" x14ac:dyDescent="0.2">
      <c r="A540" s="287"/>
      <c r="B540" s="319"/>
      <c r="C540" s="9"/>
      <c r="D540" s="9"/>
      <c r="E540" s="265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67"/>
      <c r="V540" s="267"/>
      <c r="W540" s="269"/>
      <c r="X540" s="267"/>
      <c r="Y540" s="269"/>
      <c r="Z540" s="267"/>
      <c r="AA540" s="269"/>
      <c r="AB540" s="293"/>
    </row>
    <row r="541" spans="1:28" x14ac:dyDescent="0.2">
      <c r="A541" s="287"/>
      <c r="B541" s="290" t="s">
        <v>22</v>
      </c>
      <c r="C541" s="11">
        <v>20591</v>
      </c>
      <c r="D541" s="11"/>
      <c r="E541" s="296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83">
        <f>SUM(F541, K541, P541, F542, K542, P542)</f>
        <v>2386</v>
      </c>
      <c r="V541" s="283">
        <f>SUM(H541, M541, R541, H542, M542, R542)</f>
        <v>0</v>
      </c>
      <c r="W541" s="258">
        <f>IF($U541=0, ,V541/$U541)</f>
        <v>0</v>
      </c>
      <c r="X541" s="283">
        <f>SUM(I541, N541, S541, I542, N542, S542)</f>
        <v>0</v>
      </c>
      <c r="Y541" s="258">
        <f>IF($U541=0, ,X541/$U541)</f>
        <v>0</v>
      </c>
      <c r="Z541" s="283">
        <f>SUM(J541, O541, T541, J542, O542, T542)</f>
        <v>0</v>
      </c>
      <c r="AA541" s="258">
        <f>IF($U541=0, ,Z541/$U541)</f>
        <v>0</v>
      </c>
      <c r="AB541" s="277"/>
    </row>
    <row r="542" spans="1:28" x14ac:dyDescent="0.2">
      <c r="A542" s="287"/>
      <c r="B542" s="291"/>
      <c r="C542" s="11"/>
      <c r="D542" s="11"/>
      <c r="E542" s="297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84"/>
      <c r="V542" s="284"/>
      <c r="W542" s="259"/>
      <c r="X542" s="284"/>
      <c r="Y542" s="259"/>
      <c r="Z542" s="284"/>
      <c r="AA542" s="259"/>
      <c r="AB542" s="278"/>
    </row>
    <row r="543" spans="1:28" ht="13.5" thickBot="1" x14ac:dyDescent="0.25">
      <c r="A543" s="287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87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87"/>
      <c r="B545" s="288" t="s">
        <v>35</v>
      </c>
      <c r="C545" s="289" t="s">
        <v>25</v>
      </c>
      <c r="D545" s="289" t="s">
        <v>28</v>
      </c>
      <c r="E545" s="270" t="s">
        <v>12</v>
      </c>
      <c r="F545" s="314" t="s">
        <v>13</v>
      </c>
      <c r="G545" s="314"/>
      <c r="H545" s="314"/>
      <c r="I545" s="314" t="s">
        <v>14</v>
      </c>
      <c r="J545" s="314"/>
      <c r="K545" s="314"/>
      <c r="L545" s="314" t="s">
        <v>15</v>
      </c>
      <c r="M545" s="314"/>
      <c r="N545" s="314"/>
      <c r="O545" s="274" t="s">
        <v>34</v>
      </c>
      <c r="P545" s="274" t="s">
        <v>48</v>
      </c>
      <c r="Q545" s="274" t="s">
        <v>60</v>
      </c>
      <c r="R545" s="274" t="s">
        <v>49</v>
      </c>
      <c r="S545" s="274" t="s">
        <v>61</v>
      </c>
      <c r="T545" s="310"/>
      <c r="U545" s="310"/>
      <c r="V545" s="310"/>
      <c r="W545" s="310"/>
      <c r="X545" s="310"/>
      <c r="Y545" s="310"/>
      <c r="Z545" s="310"/>
      <c r="AA545" s="310"/>
      <c r="AB545" s="311"/>
    </row>
    <row r="546" spans="1:28" ht="25.5" x14ac:dyDescent="0.2">
      <c r="A546" s="287"/>
      <c r="B546" s="288"/>
      <c r="C546" s="289"/>
      <c r="D546" s="289"/>
      <c r="E546" s="270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76"/>
      <c r="P546" s="276"/>
      <c r="Q546" s="276"/>
      <c r="R546" s="276"/>
      <c r="S546" s="276"/>
      <c r="T546" s="312"/>
      <c r="U546" s="312"/>
      <c r="V546" s="312"/>
      <c r="W546" s="312"/>
      <c r="X546" s="312"/>
      <c r="Y546" s="312"/>
      <c r="Z546" s="312"/>
      <c r="AA546" s="312"/>
      <c r="AB546" s="313"/>
    </row>
    <row r="547" spans="1:28" x14ac:dyDescent="0.2">
      <c r="A547" s="287"/>
      <c r="B547" s="308" t="s">
        <v>36</v>
      </c>
      <c r="C547" s="12"/>
      <c r="D547" s="12" t="s">
        <v>95</v>
      </c>
      <c r="E547" s="309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66">
        <f>SUM(F547, I547, L547, F548, I548, L548)*$O544</f>
        <v>0</v>
      </c>
      <c r="P547" s="266">
        <f>SUM(G547, J547, M547, G548, J548, M548)</f>
        <v>0</v>
      </c>
      <c r="Q547" s="268">
        <f>IF($O547=0, ,P547/$O547)</f>
        <v>0</v>
      </c>
      <c r="R547" s="266">
        <f>SUM(H547, K547, N547, H548, K548, N548)</f>
        <v>0</v>
      </c>
      <c r="S547" s="268">
        <f>IF($O547=0, ,R547/$O547)</f>
        <v>0</v>
      </c>
      <c r="T547" s="315"/>
      <c r="U547" s="315"/>
      <c r="V547" s="315"/>
      <c r="W547" s="315"/>
      <c r="X547" s="315"/>
      <c r="Y547" s="315"/>
      <c r="Z547" s="315"/>
      <c r="AA547" s="315"/>
      <c r="AB547" s="316"/>
    </row>
    <row r="548" spans="1:28" x14ac:dyDescent="0.2">
      <c r="A548" s="287"/>
      <c r="B548" s="308"/>
      <c r="C548" s="12"/>
      <c r="D548" s="12"/>
      <c r="E548" s="309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67"/>
      <c r="P548" s="267"/>
      <c r="Q548" s="269"/>
      <c r="R548" s="267"/>
      <c r="S548" s="269"/>
      <c r="T548" s="317"/>
      <c r="U548" s="317"/>
      <c r="V548" s="317"/>
      <c r="W548" s="317"/>
      <c r="X548" s="317"/>
      <c r="Y548" s="317"/>
      <c r="Z548" s="317"/>
      <c r="AA548" s="317"/>
      <c r="AB548" s="318"/>
    </row>
    <row r="549" spans="1:28" x14ac:dyDescent="0.2">
      <c r="A549" s="287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87"/>
      <c r="B550" s="321" t="s">
        <v>67</v>
      </c>
      <c r="C550" s="321"/>
      <c r="D550" s="322"/>
      <c r="E550" s="82" t="s">
        <v>68</v>
      </c>
      <c r="F550" s="306" t="s">
        <v>64</v>
      </c>
      <c r="G550" s="306"/>
      <c r="H550" s="306"/>
      <c r="I550" s="306" t="s">
        <v>76</v>
      </c>
      <c r="J550" s="306"/>
      <c r="K550" s="306"/>
      <c r="L550" s="306" t="s">
        <v>65</v>
      </c>
      <c r="M550" s="306"/>
      <c r="N550" s="306"/>
      <c r="O550" s="306" t="s">
        <v>66</v>
      </c>
      <c r="P550" s="306"/>
      <c r="Q550" s="306"/>
      <c r="R550" s="306" t="s">
        <v>73</v>
      </c>
      <c r="S550" s="306"/>
      <c r="T550" s="306"/>
      <c r="U550" s="306" t="s">
        <v>74</v>
      </c>
      <c r="V550" s="306"/>
      <c r="W550" s="306"/>
      <c r="X550" s="306" t="s">
        <v>75</v>
      </c>
      <c r="Y550" s="306"/>
      <c r="Z550" s="306"/>
      <c r="AA550" s="307"/>
      <c r="AB550" s="307"/>
    </row>
    <row r="551" spans="1:28" x14ac:dyDescent="0.2">
      <c r="A551" s="287"/>
      <c r="B551" s="323"/>
      <c r="C551" s="323"/>
      <c r="D551" s="324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307"/>
      <c r="AB551" s="307"/>
    </row>
    <row r="552" spans="1:28" x14ac:dyDescent="0.2">
      <c r="A552" s="287"/>
      <c r="B552" s="325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307"/>
      <c r="AB552" s="307"/>
    </row>
    <row r="553" spans="1:28" x14ac:dyDescent="0.2">
      <c r="A553" s="287"/>
      <c r="B553" s="325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307"/>
      <c r="AB553" s="307"/>
    </row>
    <row r="554" spans="1:28" x14ac:dyDescent="0.2">
      <c r="A554" s="287"/>
      <c r="B554" s="325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307"/>
      <c r="AB554" s="307"/>
    </row>
    <row r="555" spans="1:28" x14ac:dyDescent="0.2">
      <c r="A555" s="287"/>
      <c r="B555" s="325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307"/>
      <c r="AB555" s="307"/>
    </row>
    <row r="557" spans="1:28" x14ac:dyDescent="0.2">
      <c r="A557" s="287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87"/>
      <c r="B558" s="288" t="s">
        <v>10</v>
      </c>
      <c r="C558" s="289" t="s">
        <v>25</v>
      </c>
      <c r="D558" s="289" t="s">
        <v>28</v>
      </c>
      <c r="E558" s="270" t="s">
        <v>12</v>
      </c>
      <c r="F558" s="271" t="s">
        <v>13</v>
      </c>
      <c r="G558" s="272"/>
      <c r="H558" s="272"/>
      <c r="I558" s="272"/>
      <c r="J558" s="273"/>
      <c r="K558" s="271" t="s">
        <v>14</v>
      </c>
      <c r="L558" s="272"/>
      <c r="M558" s="272"/>
      <c r="N558" s="272"/>
      <c r="O558" s="273"/>
      <c r="P558" s="271" t="s">
        <v>15</v>
      </c>
      <c r="Q558" s="272"/>
      <c r="R558" s="272"/>
      <c r="S558" s="272"/>
      <c r="T558" s="273"/>
      <c r="U558" s="320" t="s">
        <v>34</v>
      </c>
      <c r="V558" s="320" t="s">
        <v>48</v>
      </c>
      <c r="W558" s="320" t="s">
        <v>56</v>
      </c>
      <c r="X558" s="320" t="s">
        <v>54</v>
      </c>
      <c r="Y558" s="320" t="s">
        <v>57</v>
      </c>
      <c r="Z558" s="320" t="s">
        <v>55</v>
      </c>
      <c r="AA558" s="320" t="s">
        <v>58</v>
      </c>
      <c r="AB558" s="320" t="s">
        <v>38</v>
      </c>
    </row>
    <row r="559" spans="1:28" ht="38.25" x14ac:dyDescent="0.2">
      <c r="A559" s="287"/>
      <c r="B559" s="288"/>
      <c r="C559" s="289"/>
      <c r="D559" s="289"/>
      <c r="E559" s="270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320"/>
      <c r="V559" s="320"/>
      <c r="W559" s="320"/>
      <c r="X559" s="320"/>
      <c r="Y559" s="320"/>
      <c r="Z559" s="320"/>
      <c r="AA559" s="320"/>
      <c r="AB559" s="320"/>
    </row>
    <row r="560" spans="1:28" x14ac:dyDescent="0.2">
      <c r="A560" s="287"/>
      <c r="B560" s="300" t="s">
        <v>17</v>
      </c>
      <c r="C560" s="12">
        <v>20591</v>
      </c>
      <c r="D560" s="12"/>
      <c r="E560" s="302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66">
        <f>SUM(F560, K560, P560, F561, K561, P561)</f>
        <v>1220</v>
      </c>
      <c r="V560" s="266">
        <f>SUM(H560, M560, R560, H561, M561, R561)</f>
        <v>0</v>
      </c>
      <c r="W560" s="268">
        <f>IF($U560=0, ,V560/$U560)</f>
        <v>0</v>
      </c>
      <c r="X560" s="266">
        <f>SUM(I560, N560, S560, I561, N561, S561)</f>
        <v>0</v>
      </c>
      <c r="Y560" s="268">
        <f>IF($U560=0, ,X560/$U560)</f>
        <v>0</v>
      </c>
      <c r="Z560" s="266">
        <f>SUM(J560, O560, T560, J561, O561, T561)</f>
        <v>0</v>
      </c>
      <c r="AA560" s="268">
        <f>IF($U560=0, ,Z560/$U560)</f>
        <v>0</v>
      </c>
      <c r="AB560" s="292"/>
    </row>
    <row r="561" spans="1:28" x14ac:dyDescent="0.2">
      <c r="A561" s="287"/>
      <c r="B561" s="319"/>
      <c r="C561" s="12"/>
      <c r="D561" s="12"/>
      <c r="E561" s="304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67"/>
      <c r="V561" s="267"/>
      <c r="W561" s="269"/>
      <c r="X561" s="267"/>
      <c r="Y561" s="269"/>
      <c r="Z561" s="267"/>
      <c r="AA561" s="269"/>
      <c r="AB561" s="293"/>
    </row>
    <row r="562" spans="1:28" x14ac:dyDescent="0.2">
      <c r="A562" s="287"/>
      <c r="B562" s="290" t="s">
        <v>18</v>
      </c>
      <c r="C562" s="10"/>
      <c r="D562" s="10"/>
      <c r="E562" s="279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83">
        <f>SUM(F562, K562, P562, F563, K563, P563)</f>
        <v>0</v>
      </c>
      <c r="V562" s="283">
        <f>SUM(H562, M562, R562, H563, M563, R563)</f>
        <v>0</v>
      </c>
      <c r="W562" s="258">
        <f>IF($U562=0, ,V562/$U562)</f>
        <v>0</v>
      </c>
      <c r="X562" s="283">
        <f>SUM(I562, N562, S562, I563, N563, S563)</f>
        <v>0</v>
      </c>
      <c r="Y562" s="258">
        <f>IF($U562=0, ,X562/$U562)</f>
        <v>0</v>
      </c>
      <c r="Z562" s="283">
        <f>SUM(J562, O562, T562, J563, O563, T563)</f>
        <v>0</v>
      </c>
      <c r="AA562" s="258">
        <f>IF($U562=0, ,Z562/$U562)</f>
        <v>0</v>
      </c>
      <c r="AB562" s="277"/>
    </row>
    <row r="563" spans="1:28" x14ac:dyDescent="0.2">
      <c r="A563" s="287"/>
      <c r="B563" s="291"/>
      <c r="C563" s="10"/>
      <c r="D563" s="10"/>
      <c r="E563" s="280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84"/>
      <c r="V563" s="284"/>
      <c r="W563" s="259"/>
      <c r="X563" s="284"/>
      <c r="Y563" s="259"/>
      <c r="Z563" s="284"/>
      <c r="AA563" s="259"/>
      <c r="AB563" s="278"/>
    </row>
    <row r="564" spans="1:28" x14ac:dyDescent="0.2">
      <c r="A564" s="287"/>
      <c r="B564" s="300" t="s">
        <v>19</v>
      </c>
      <c r="C564" s="9"/>
      <c r="D564" s="9"/>
      <c r="E564" s="264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66">
        <f>SUM(F564, K564, P564, F565, K565, P565)</f>
        <v>0</v>
      </c>
      <c r="V564" s="266">
        <f>SUM(H564, M564, R564, H565, M565, R565)</f>
        <v>0</v>
      </c>
      <c r="W564" s="268">
        <f>IF($U564=0, ,V564/$U564)</f>
        <v>0</v>
      </c>
      <c r="X564" s="266">
        <f>SUM(I564, N564, S564, I565, N565, S565)</f>
        <v>0</v>
      </c>
      <c r="Y564" s="268">
        <f>IF($U564=0, ,X564/$U564)</f>
        <v>0</v>
      </c>
      <c r="Z564" s="266">
        <f>SUM(J564, O564, T564, J565, O565, T565)</f>
        <v>0</v>
      </c>
      <c r="AA564" s="268">
        <f>IF($U564=0, ,Z564/$U564)</f>
        <v>0</v>
      </c>
      <c r="AB564" s="292"/>
    </row>
    <row r="565" spans="1:28" x14ac:dyDescent="0.2">
      <c r="A565" s="287"/>
      <c r="B565" s="319"/>
      <c r="C565" s="9"/>
      <c r="D565" s="9"/>
      <c r="E565" s="265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67"/>
      <c r="V565" s="267"/>
      <c r="W565" s="269"/>
      <c r="X565" s="267"/>
      <c r="Y565" s="269"/>
      <c r="Z565" s="267"/>
      <c r="AA565" s="269"/>
      <c r="AB565" s="293"/>
    </row>
    <row r="566" spans="1:28" x14ac:dyDescent="0.2">
      <c r="A566" s="287"/>
      <c r="B566" s="290" t="s">
        <v>20</v>
      </c>
      <c r="C566" s="10">
        <v>20591</v>
      </c>
      <c r="D566" s="10"/>
      <c r="E566" s="279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83">
        <f>SUM(F566, K566, P566, F567, K567, P567)</f>
        <v>1507</v>
      </c>
      <c r="V566" s="283">
        <f>SUM(H566, M566, R566, H567, M567, R567)</f>
        <v>0</v>
      </c>
      <c r="W566" s="258">
        <f>IF($U566=0, ,V566/$U566)</f>
        <v>0</v>
      </c>
      <c r="X566" s="283">
        <f>SUM(I566, N566, S566, I567, N567, S567)</f>
        <v>0</v>
      </c>
      <c r="Y566" s="258">
        <f>IF($U566=0, ,X566/$U566)</f>
        <v>0</v>
      </c>
      <c r="Z566" s="283">
        <f>SUM(J566, O566, T566, J567, O567, T567)</f>
        <v>0</v>
      </c>
      <c r="AA566" s="258">
        <f>IF($U566=0, ,Z566/$U566)</f>
        <v>0</v>
      </c>
      <c r="AB566" s="277"/>
    </row>
    <row r="567" spans="1:28" x14ac:dyDescent="0.2">
      <c r="A567" s="287"/>
      <c r="B567" s="291"/>
      <c r="C567" s="10"/>
      <c r="D567" s="10"/>
      <c r="E567" s="280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84"/>
      <c r="V567" s="284"/>
      <c r="W567" s="259"/>
      <c r="X567" s="284"/>
      <c r="Y567" s="259"/>
      <c r="Z567" s="284"/>
      <c r="AA567" s="259"/>
      <c r="AB567" s="278"/>
    </row>
    <row r="568" spans="1:28" x14ac:dyDescent="0.2">
      <c r="A568" s="287"/>
      <c r="B568" s="300" t="s">
        <v>21</v>
      </c>
      <c r="C568" s="9">
        <v>20591</v>
      </c>
      <c r="D568" s="9"/>
      <c r="E568" s="264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66">
        <f>SUM(F568, K568, P568, F569, K569, P569)</f>
        <v>860</v>
      </c>
      <c r="V568" s="266">
        <f>SUM(H568, M568, R568, H569, M569, R569)</f>
        <v>0</v>
      </c>
      <c r="W568" s="268">
        <f>IF($U568=0, ,V568/$U568)</f>
        <v>0</v>
      </c>
      <c r="X568" s="266">
        <f>SUM(I568, N568, S568, I569, N569, S569)</f>
        <v>0</v>
      </c>
      <c r="Y568" s="268">
        <f>IF($U568=0, ,X568/$U568)</f>
        <v>0</v>
      </c>
      <c r="Z568" s="266">
        <f>SUM(J568, O568, T568, J569, O569, T569)</f>
        <v>0</v>
      </c>
      <c r="AA568" s="268">
        <f>IF($U568=0, ,Z568/$U568)</f>
        <v>0</v>
      </c>
      <c r="AB568" s="292"/>
    </row>
    <row r="569" spans="1:28" x14ac:dyDescent="0.2">
      <c r="A569" s="287"/>
      <c r="B569" s="319"/>
      <c r="C569" s="9"/>
      <c r="D569" s="9"/>
      <c r="E569" s="265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67"/>
      <c r="V569" s="267"/>
      <c r="W569" s="269"/>
      <c r="X569" s="267"/>
      <c r="Y569" s="269"/>
      <c r="Z569" s="267"/>
      <c r="AA569" s="269"/>
      <c r="AB569" s="293"/>
    </row>
    <row r="570" spans="1:28" x14ac:dyDescent="0.2">
      <c r="A570" s="287"/>
      <c r="B570" s="290" t="s">
        <v>22</v>
      </c>
      <c r="C570" s="11">
        <v>20591</v>
      </c>
      <c r="D570" s="11"/>
      <c r="E570" s="296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83">
        <f>SUM(F570, K570, P570, F571, K571, P571)</f>
        <v>845</v>
      </c>
      <c r="V570" s="283">
        <f>SUM(H570, M570, R570, H571, M571, R571)</f>
        <v>0</v>
      </c>
      <c r="W570" s="258">
        <f>IF($U570=0, ,V570/$U570)</f>
        <v>0</v>
      </c>
      <c r="X570" s="283">
        <f>SUM(I570, N570, S570, I571, N571, S571)</f>
        <v>0</v>
      </c>
      <c r="Y570" s="258">
        <f>IF($U570=0, ,X570/$U570)</f>
        <v>0</v>
      </c>
      <c r="Z570" s="283">
        <f>SUM(J570, O570, T570, J571, O571, T571)</f>
        <v>0</v>
      </c>
      <c r="AA570" s="258">
        <f>IF($U570=0, ,Z570/$U570)</f>
        <v>0</v>
      </c>
      <c r="AB570" s="277"/>
    </row>
    <row r="571" spans="1:28" x14ac:dyDescent="0.2">
      <c r="A571" s="287"/>
      <c r="B571" s="291"/>
      <c r="C571" s="11"/>
      <c r="D571" s="11"/>
      <c r="E571" s="297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84"/>
      <c r="V571" s="284"/>
      <c r="W571" s="259"/>
      <c r="X571" s="284"/>
      <c r="Y571" s="259"/>
      <c r="Z571" s="284"/>
      <c r="AA571" s="259"/>
      <c r="AB571" s="278"/>
    </row>
    <row r="572" spans="1:28" ht="13.5" thickBot="1" x14ac:dyDescent="0.25">
      <c r="A572" s="287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87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87"/>
      <c r="B574" s="288" t="s">
        <v>35</v>
      </c>
      <c r="C574" s="289" t="s">
        <v>25</v>
      </c>
      <c r="D574" s="289" t="s">
        <v>28</v>
      </c>
      <c r="E574" s="270" t="s">
        <v>12</v>
      </c>
      <c r="F574" s="314" t="s">
        <v>13</v>
      </c>
      <c r="G574" s="314"/>
      <c r="H574" s="314"/>
      <c r="I574" s="314" t="s">
        <v>14</v>
      </c>
      <c r="J574" s="314"/>
      <c r="K574" s="314"/>
      <c r="L574" s="314" t="s">
        <v>15</v>
      </c>
      <c r="M574" s="314"/>
      <c r="N574" s="314"/>
      <c r="O574" s="274" t="s">
        <v>34</v>
      </c>
      <c r="P574" s="274" t="s">
        <v>48</v>
      </c>
      <c r="Q574" s="274" t="s">
        <v>60</v>
      </c>
      <c r="R574" s="274" t="s">
        <v>49</v>
      </c>
      <c r="S574" s="274" t="s">
        <v>61</v>
      </c>
      <c r="T574" s="310"/>
      <c r="U574" s="310"/>
      <c r="V574" s="310"/>
      <c r="W574" s="310"/>
      <c r="X574" s="310"/>
      <c r="Y574" s="310"/>
      <c r="Z574" s="310"/>
      <c r="AA574" s="310"/>
      <c r="AB574" s="311"/>
    </row>
    <row r="575" spans="1:28" ht="25.5" x14ac:dyDescent="0.2">
      <c r="A575" s="287"/>
      <c r="B575" s="288"/>
      <c r="C575" s="289"/>
      <c r="D575" s="289"/>
      <c r="E575" s="270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76"/>
      <c r="P575" s="276"/>
      <c r="Q575" s="276"/>
      <c r="R575" s="276"/>
      <c r="S575" s="276"/>
      <c r="T575" s="312"/>
      <c r="U575" s="312"/>
      <c r="V575" s="312"/>
      <c r="W575" s="312"/>
      <c r="X575" s="312"/>
      <c r="Y575" s="312"/>
      <c r="Z575" s="312"/>
      <c r="AA575" s="312"/>
      <c r="AB575" s="313"/>
    </row>
    <row r="576" spans="1:28" x14ac:dyDescent="0.2">
      <c r="A576" s="287"/>
      <c r="B576" s="308" t="s">
        <v>36</v>
      </c>
      <c r="C576" s="12"/>
      <c r="D576" s="12" t="s">
        <v>95</v>
      </c>
      <c r="E576" s="309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66">
        <f>SUM(F576, I576, L576, F577, I577, L577)*$O573</f>
        <v>0</v>
      </c>
      <c r="P576" s="266">
        <f>SUM(G576, J576, M576, G577, J577, M577)</f>
        <v>0</v>
      </c>
      <c r="Q576" s="268">
        <f>IF($O576=0, ,P576/$O576)</f>
        <v>0</v>
      </c>
      <c r="R576" s="266">
        <f>SUM(H576, K576, N576, H577, K577, N577)</f>
        <v>0</v>
      </c>
      <c r="S576" s="268">
        <f>IF($O576=0, ,R576/$O576)</f>
        <v>0</v>
      </c>
      <c r="T576" s="315"/>
      <c r="U576" s="315"/>
      <c r="V576" s="315"/>
      <c r="W576" s="315"/>
      <c r="X576" s="315"/>
      <c r="Y576" s="315"/>
      <c r="Z576" s="315"/>
      <c r="AA576" s="315"/>
      <c r="AB576" s="316"/>
    </row>
    <row r="577" spans="1:28" x14ac:dyDescent="0.2">
      <c r="A577" s="287"/>
      <c r="B577" s="308"/>
      <c r="C577" s="12"/>
      <c r="D577" s="12"/>
      <c r="E577" s="309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67"/>
      <c r="P577" s="267"/>
      <c r="Q577" s="269"/>
      <c r="R577" s="267"/>
      <c r="S577" s="269"/>
      <c r="T577" s="317"/>
      <c r="U577" s="317"/>
      <c r="V577" s="317"/>
      <c r="W577" s="317"/>
      <c r="X577" s="317"/>
      <c r="Y577" s="317"/>
      <c r="Z577" s="317"/>
      <c r="AA577" s="317"/>
      <c r="AB577" s="318"/>
    </row>
    <row r="578" spans="1:28" x14ac:dyDescent="0.2">
      <c r="A578" s="287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87"/>
      <c r="B579" s="321" t="s">
        <v>67</v>
      </c>
      <c r="C579" s="321"/>
      <c r="D579" s="322"/>
      <c r="E579" s="82" t="s">
        <v>68</v>
      </c>
      <c r="F579" s="306" t="s">
        <v>64</v>
      </c>
      <c r="G579" s="306"/>
      <c r="H579" s="306"/>
      <c r="I579" s="306" t="s">
        <v>76</v>
      </c>
      <c r="J579" s="306"/>
      <c r="K579" s="306"/>
      <c r="L579" s="306" t="s">
        <v>65</v>
      </c>
      <c r="M579" s="306"/>
      <c r="N579" s="306"/>
      <c r="O579" s="306" t="s">
        <v>66</v>
      </c>
      <c r="P579" s="306"/>
      <c r="Q579" s="306"/>
      <c r="R579" s="306" t="s">
        <v>73</v>
      </c>
      <c r="S579" s="306"/>
      <c r="T579" s="306"/>
      <c r="U579" s="306" t="s">
        <v>74</v>
      </c>
      <c r="V579" s="306"/>
      <c r="W579" s="306"/>
      <c r="X579" s="306" t="s">
        <v>75</v>
      </c>
      <c r="Y579" s="306"/>
      <c r="Z579" s="306"/>
      <c r="AA579" s="307"/>
      <c r="AB579" s="307"/>
    </row>
    <row r="580" spans="1:28" x14ac:dyDescent="0.2">
      <c r="A580" s="287"/>
      <c r="B580" s="323"/>
      <c r="C580" s="323"/>
      <c r="D580" s="324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307"/>
      <c r="AB580" s="307"/>
    </row>
    <row r="581" spans="1:28" x14ac:dyDescent="0.2">
      <c r="A581" s="287"/>
      <c r="B581" s="325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307"/>
      <c r="AB581" s="307"/>
    </row>
    <row r="582" spans="1:28" x14ac:dyDescent="0.2">
      <c r="A582" s="287"/>
      <c r="B582" s="325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307"/>
      <c r="AB582" s="307"/>
    </row>
    <row r="583" spans="1:28" x14ac:dyDescent="0.2">
      <c r="A583" s="287"/>
      <c r="B583" s="325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307"/>
      <c r="AB583" s="307"/>
    </row>
    <row r="584" spans="1:28" x14ac:dyDescent="0.2">
      <c r="A584" s="287"/>
      <c r="B584" s="325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307"/>
      <c r="AB584" s="307"/>
    </row>
    <row r="586" spans="1:28" x14ac:dyDescent="0.2">
      <c r="A586" s="287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87"/>
      <c r="B587" s="288" t="s">
        <v>10</v>
      </c>
      <c r="C587" s="289" t="s">
        <v>25</v>
      </c>
      <c r="D587" s="289" t="s">
        <v>28</v>
      </c>
      <c r="E587" s="270" t="s">
        <v>12</v>
      </c>
      <c r="F587" s="271" t="s">
        <v>13</v>
      </c>
      <c r="G587" s="272"/>
      <c r="H587" s="272"/>
      <c r="I587" s="272"/>
      <c r="J587" s="273"/>
      <c r="K587" s="271" t="s">
        <v>14</v>
      </c>
      <c r="L587" s="272"/>
      <c r="M587" s="272"/>
      <c r="N587" s="272"/>
      <c r="O587" s="273"/>
      <c r="P587" s="271" t="s">
        <v>15</v>
      </c>
      <c r="Q587" s="272"/>
      <c r="R587" s="272"/>
      <c r="S587" s="272"/>
      <c r="T587" s="273"/>
      <c r="U587" s="320" t="s">
        <v>34</v>
      </c>
      <c r="V587" s="320" t="s">
        <v>48</v>
      </c>
      <c r="W587" s="320" t="s">
        <v>56</v>
      </c>
      <c r="X587" s="320" t="s">
        <v>54</v>
      </c>
      <c r="Y587" s="320" t="s">
        <v>57</v>
      </c>
      <c r="Z587" s="320" t="s">
        <v>55</v>
      </c>
      <c r="AA587" s="320" t="s">
        <v>58</v>
      </c>
      <c r="AB587" s="320" t="s">
        <v>38</v>
      </c>
    </row>
    <row r="588" spans="1:28" ht="38.25" x14ac:dyDescent="0.2">
      <c r="A588" s="287"/>
      <c r="B588" s="288"/>
      <c r="C588" s="289"/>
      <c r="D588" s="289"/>
      <c r="E588" s="270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320"/>
      <c r="V588" s="320"/>
      <c r="W588" s="320"/>
      <c r="X588" s="320"/>
      <c r="Y588" s="320"/>
      <c r="Z588" s="320"/>
      <c r="AA588" s="320"/>
      <c r="AB588" s="320"/>
    </row>
    <row r="589" spans="1:28" x14ac:dyDescent="0.2">
      <c r="A589" s="287"/>
      <c r="B589" s="300" t="s">
        <v>17</v>
      </c>
      <c r="C589" s="12"/>
      <c r="D589" s="12"/>
      <c r="E589" s="302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66">
        <f>SUM(F589, K589, P589, F590, K590, P590)</f>
        <v>0</v>
      </c>
      <c r="V589" s="266">
        <f>SUM(H589, M589, R589, H590, M590, R590)</f>
        <v>0</v>
      </c>
      <c r="W589" s="268">
        <f>IF($U589=0, ,V589/$U589)</f>
        <v>0</v>
      </c>
      <c r="X589" s="266">
        <f>SUM(I589, N589, S589, I590, N590, S590)</f>
        <v>0</v>
      </c>
      <c r="Y589" s="268">
        <f>IF($U589=0, ,X589/$U589)</f>
        <v>0</v>
      </c>
      <c r="Z589" s="266">
        <f>SUM(J589, O589, T589, J590, O590, T590)</f>
        <v>0</v>
      </c>
      <c r="AA589" s="268">
        <f>IF($U589=0, ,Z589/$U589)</f>
        <v>0</v>
      </c>
      <c r="AB589" s="292"/>
    </row>
    <row r="590" spans="1:28" x14ac:dyDescent="0.2">
      <c r="A590" s="287"/>
      <c r="B590" s="319"/>
      <c r="C590" s="12"/>
      <c r="D590" s="12"/>
      <c r="E590" s="304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67"/>
      <c r="V590" s="267"/>
      <c r="W590" s="269"/>
      <c r="X590" s="267"/>
      <c r="Y590" s="269"/>
      <c r="Z590" s="267"/>
      <c r="AA590" s="269"/>
      <c r="AB590" s="293"/>
    </row>
    <row r="591" spans="1:28" x14ac:dyDescent="0.2">
      <c r="A591" s="287"/>
      <c r="B591" s="290" t="s">
        <v>18</v>
      </c>
      <c r="C591" s="10"/>
      <c r="D591" s="10"/>
      <c r="E591" s="279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83">
        <f>SUM(F591, K591, P591, F592, K592, P592)</f>
        <v>0</v>
      </c>
      <c r="V591" s="283">
        <f>SUM(H591, M591, R591, H592, M592, R592)</f>
        <v>0</v>
      </c>
      <c r="W591" s="258">
        <f>IF($U591=0, ,V591/$U591)</f>
        <v>0</v>
      </c>
      <c r="X591" s="283">
        <f>SUM(I591, N591, S591, I592, N592, S592)</f>
        <v>0</v>
      </c>
      <c r="Y591" s="258">
        <f>IF($U591=0, ,X591/$U591)</f>
        <v>0</v>
      </c>
      <c r="Z591" s="283">
        <f>SUM(J591, O591, T591, J592, O592, T592)</f>
        <v>0</v>
      </c>
      <c r="AA591" s="258">
        <f>IF($U591=0, ,Z591/$U591)</f>
        <v>0</v>
      </c>
      <c r="AB591" s="277"/>
    </row>
    <row r="592" spans="1:28" x14ac:dyDescent="0.2">
      <c r="A592" s="287"/>
      <c r="B592" s="291"/>
      <c r="C592" s="10"/>
      <c r="D592" s="10"/>
      <c r="E592" s="280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84"/>
      <c r="V592" s="284"/>
      <c r="W592" s="259"/>
      <c r="X592" s="284"/>
      <c r="Y592" s="259"/>
      <c r="Z592" s="284"/>
      <c r="AA592" s="259"/>
      <c r="AB592" s="278"/>
    </row>
    <row r="593" spans="1:28" x14ac:dyDescent="0.2">
      <c r="A593" s="287"/>
      <c r="B593" s="300" t="s">
        <v>19</v>
      </c>
      <c r="C593" s="9"/>
      <c r="D593" s="9"/>
      <c r="E593" s="264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66">
        <f>SUM(F593, K593, P593, F594, K594, P594)</f>
        <v>0</v>
      </c>
      <c r="V593" s="266">
        <f>SUM(H593, M593, R593, H594, M594, R594)</f>
        <v>0</v>
      </c>
      <c r="W593" s="268">
        <f>IF($U593=0, ,V593/$U593)</f>
        <v>0</v>
      </c>
      <c r="X593" s="266">
        <f>SUM(I593, N593, S593, I594, N594, S594)</f>
        <v>0</v>
      </c>
      <c r="Y593" s="268">
        <f>IF($U593=0, ,X593/$U593)</f>
        <v>0</v>
      </c>
      <c r="Z593" s="266">
        <f>SUM(J593, O593, T593, J594, O594, T594)</f>
        <v>0</v>
      </c>
      <c r="AA593" s="268">
        <f>IF($U593=0, ,Z593/$U593)</f>
        <v>0</v>
      </c>
      <c r="AB593" s="292"/>
    </row>
    <row r="594" spans="1:28" x14ac:dyDescent="0.2">
      <c r="A594" s="287"/>
      <c r="B594" s="319"/>
      <c r="C594" s="9"/>
      <c r="D594" s="9"/>
      <c r="E594" s="265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67"/>
      <c r="V594" s="267"/>
      <c r="W594" s="269"/>
      <c r="X594" s="267"/>
      <c r="Y594" s="269"/>
      <c r="Z594" s="267"/>
      <c r="AA594" s="269"/>
      <c r="AB594" s="293"/>
    </row>
    <row r="595" spans="1:28" x14ac:dyDescent="0.2">
      <c r="A595" s="287"/>
      <c r="B595" s="290" t="s">
        <v>20</v>
      </c>
      <c r="C595" s="10"/>
      <c r="D595" s="10"/>
      <c r="E595" s="279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83">
        <f>SUM(F595, K595, P595, F596, K596, P596)</f>
        <v>0</v>
      </c>
      <c r="V595" s="283">
        <f>SUM(H595, M595, R595, H596, M596, R596)</f>
        <v>0</v>
      </c>
      <c r="W595" s="258">
        <f>IF($U595=0, ,V595/$U595)</f>
        <v>0</v>
      </c>
      <c r="X595" s="283">
        <f>SUM(I595, N595, S595, I596, N596, S596)</f>
        <v>0</v>
      </c>
      <c r="Y595" s="258">
        <f>IF($U595=0, ,X595/$U595)</f>
        <v>0</v>
      </c>
      <c r="Z595" s="283">
        <f>SUM(J595, O595, T595, J596, O596, T596)</f>
        <v>0</v>
      </c>
      <c r="AA595" s="258">
        <f>IF($U595=0, ,Z595/$U595)</f>
        <v>0</v>
      </c>
      <c r="AB595" s="277"/>
    </row>
    <row r="596" spans="1:28" x14ac:dyDescent="0.2">
      <c r="A596" s="287"/>
      <c r="B596" s="291"/>
      <c r="C596" s="10"/>
      <c r="D596" s="10"/>
      <c r="E596" s="280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84"/>
      <c r="V596" s="284"/>
      <c r="W596" s="259"/>
      <c r="X596" s="284"/>
      <c r="Y596" s="259"/>
      <c r="Z596" s="284"/>
      <c r="AA596" s="259"/>
      <c r="AB596" s="278"/>
    </row>
    <row r="597" spans="1:28" x14ac:dyDescent="0.2">
      <c r="A597" s="287"/>
      <c r="B597" s="300" t="s">
        <v>21</v>
      </c>
      <c r="C597" s="9"/>
      <c r="D597" s="9"/>
      <c r="E597" s="264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66">
        <f>SUM(F597, K597, P597, F598, K598, P598)</f>
        <v>0</v>
      </c>
      <c r="V597" s="266">
        <f>SUM(H597, M597, R597, H598, M598, R598)</f>
        <v>0</v>
      </c>
      <c r="W597" s="268">
        <f>IF($U597=0, ,V597/$U597)</f>
        <v>0</v>
      </c>
      <c r="X597" s="266">
        <f>SUM(I597, N597, S597, I598, N598, S598)</f>
        <v>0</v>
      </c>
      <c r="Y597" s="268">
        <f>IF($U597=0, ,X597/$U597)</f>
        <v>0</v>
      </c>
      <c r="Z597" s="266">
        <f>SUM(J597, O597, T597, J598, O598, T598)</f>
        <v>0</v>
      </c>
      <c r="AA597" s="268">
        <f>IF($U597=0, ,Z597/$U597)</f>
        <v>0</v>
      </c>
      <c r="AB597" s="292"/>
    </row>
    <row r="598" spans="1:28" x14ac:dyDescent="0.2">
      <c r="A598" s="287"/>
      <c r="B598" s="319"/>
      <c r="C598" s="9"/>
      <c r="D598" s="9"/>
      <c r="E598" s="265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67"/>
      <c r="V598" s="267"/>
      <c r="W598" s="269"/>
      <c r="X598" s="267"/>
      <c r="Y598" s="269"/>
      <c r="Z598" s="267"/>
      <c r="AA598" s="269"/>
      <c r="AB598" s="293"/>
    </row>
    <row r="599" spans="1:28" x14ac:dyDescent="0.2">
      <c r="A599" s="287"/>
      <c r="B599" s="290" t="s">
        <v>22</v>
      </c>
      <c r="C599" s="11"/>
      <c r="D599" s="11"/>
      <c r="E599" s="296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83">
        <f>SUM(F599, K599, P599, F600, K600, P600)</f>
        <v>0</v>
      </c>
      <c r="V599" s="283">
        <f>SUM(H599, M599, R599, H600, M600, R600)</f>
        <v>0</v>
      </c>
      <c r="W599" s="258">
        <f>IF($U599=0, ,V599/$U599)</f>
        <v>0</v>
      </c>
      <c r="X599" s="283">
        <f>SUM(I599, N599, S599, I600, N600, S600)</f>
        <v>0</v>
      </c>
      <c r="Y599" s="258">
        <f>IF($U599=0, ,X599/$U599)</f>
        <v>0</v>
      </c>
      <c r="Z599" s="283">
        <f>SUM(J599, O599, T599, J600, O600, T600)</f>
        <v>0</v>
      </c>
      <c r="AA599" s="258">
        <f>IF($U599=0, ,Z599/$U599)</f>
        <v>0</v>
      </c>
      <c r="AB599" s="277"/>
    </row>
    <row r="600" spans="1:28" x14ac:dyDescent="0.2">
      <c r="A600" s="287"/>
      <c r="B600" s="291"/>
      <c r="C600" s="11"/>
      <c r="D600" s="11"/>
      <c r="E600" s="297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84"/>
      <c r="V600" s="284"/>
      <c r="W600" s="259"/>
      <c r="X600" s="284"/>
      <c r="Y600" s="259"/>
      <c r="Z600" s="284"/>
      <c r="AA600" s="259"/>
      <c r="AB600" s="278"/>
    </row>
    <row r="601" spans="1:28" ht="13.5" thickBot="1" x14ac:dyDescent="0.25">
      <c r="A601" s="287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87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87"/>
      <c r="B603" s="288" t="s">
        <v>35</v>
      </c>
      <c r="C603" s="289" t="s">
        <v>25</v>
      </c>
      <c r="D603" s="289" t="s">
        <v>28</v>
      </c>
      <c r="E603" s="270" t="s">
        <v>12</v>
      </c>
      <c r="F603" s="314" t="s">
        <v>13</v>
      </c>
      <c r="G603" s="314"/>
      <c r="H603" s="314"/>
      <c r="I603" s="314" t="s">
        <v>14</v>
      </c>
      <c r="J603" s="314"/>
      <c r="K603" s="314"/>
      <c r="L603" s="314" t="s">
        <v>15</v>
      </c>
      <c r="M603" s="314"/>
      <c r="N603" s="314"/>
      <c r="O603" s="274" t="s">
        <v>34</v>
      </c>
      <c r="P603" s="274" t="s">
        <v>48</v>
      </c>
      <c r="Q603" s="274" t="s">
        <v>60</v>
      </c>
      <c r="R603" s="274" t="s">
        <v>49</v>
      </c>
      <c r="S603" s="274" t="s">
        <v>61</v>
      </c>
      <c r="T603" s="310"/>
      <c r="U603" s="310"/>
      <c r="V603" s="310"/>
      <c r="W603" s="310"/>
      <c r="X603" s="310"/>
      <c r="Y603" s="310"/>
      <c r="Z603" s="310"/>
      <c r="AA603" s="310"/>
      <c r="AB603" s="311"/>
    </row>
    <row r="604" spans="1:28" ht="25.5" x14ac:dyDescent="0.2">
      <c r="A604" s="287"/>
      <c r="B604" s="288"/>
      <c r="C604" s="289"/>
      <c r="D604" s="289"/>
      <c r="E604" s="270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76"/>
      <c r="P604" s="276"/>
      <c r="Q604" s="276"/>
      <c r="R604" s="276"/>
      <c r="S604" s="276"/>
      <c r="T604" s="312"/>
      <c r="U604" s="312"/>
      <c r="V604" s="312"/>
      <c r="W604" s="312"/>
      <c r="X604" s="312"/>
      <c r="Y604" s="312"/>
      <c r="Z604" s="312"/>
      <c r="AA604" s="312"/>
      <c r="AB604" s="313"/>
    </row>
    <row r="605" spans="1:28" x14ac:dyDescent="0.2">
      <c r="A605" s="287"/>
      <c r="B605" s="308" t="s">
        <v>36</v>
      </c>
      <c r="C605" s="12"/>
      <c r="D605" s="12" t="s">
        <v>95</v>
      </c>
      <c r="E605" s="309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66">
        <f>SUM(F605, I605, L605, F606, I606, L606)*$O602</f>
        <v>0</v>
      </c>
      <c r="P605" s="266">
        <f>SUM(G605, J605, M605, G606, J606, M606)</f>
        <v>0</v>
      </c>
      <c r="Q605" s="268">
        <f>IF($O605=0, ,P605/$O605)</f>
        <v>0</v>
      </c>
      <c r="R605" s="266">
        <f>SUM(H605, K605, N605, H606, K606, N606)</f>
        <v>0</v>
      </c>
      <c r="S605" s="268">
        <f>IF($O605=0, ,R605/$O605)</f>
        <v>0</v>
      </c>
      <c r="T605" s="315"/>
      <c r="U605" s="315"/>
      <c r="V605" s="315"/>
      <c r="W605" s="315"/>
      <c r="X605" s="315"/>
      <c r="Y605" s="315"/>
      <c r="Z605" s="315"/>
      <c r="AA605" s="315"/>
      <c r="AB605" s="316"/>
    </row>
    <row r="606" spans="1:28" x14ac:dyDescent="0.2">
      <c r="A606" s="287"/>
      <c r="B606" s="308"/>
      <c r="C606" s="12"/>
      <c r="D606" s="12"/>
      <c r="E606" s="309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67"/>
      <c r="P606" s="267"/>
      <c r="Q606" s="269"/>
      <c r="R606" s="267"/>
      <c r="S606" s="269"/>
      <c r="T606" s="317"/>
      <c r="U606" s="317"/>
      <c r="V606" s="317"/>
      <c r="W606" s="317"/>
      <c r="X606" s="317"/>
      <c r="Y606" s="317"/>
      <c r="Z606" s="317"/>
      <c r="AA606" s="317"/>
      <c r="AB606" s="318"/>
    </row>
    <row r="607" spans="1:28" x14ac:dyDescent="0.2">
      <c r="A607" s="287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87"/>
      <c r="B608" s="321" t="s">
        <v>67</v>
      </c>
      <c r="C608" s="321"/>
      <c r="D608" s="322"/>
      <c r="E608" s="82" t="s">
        <v>68</v>
      </c>
      <c r="F608" s="306" t="s">
        <v>64</v>
      </c>
      <c r="G608" s="306"/>
      <c r="H608" s="306"/>
      <c r="I608" s="306" t="s">
        <v>76</v>
      </c>
      <c r="J608" s="306"/>
      <c r="K608" s="306"/>
      <c r="L608" s="306" t="s">
        <v>65</v>
      </c>
      <c r="M608" s="306"/>
      <c r="N608" s="306"/>
      <c r="O608" s="306" t="s">
        <v>66</v>
      </c>
      <c r="P608" s="306"/>
      <c r="Q608" s="306"/>
      <c r="R608" s="306" t="s">
        <v>73</v>
      </c>
      <c r="S608" s="306"/>
      <c r="T608" s="306"/>
      <c r="U608" s="306" t="s">
        <v>74</v>
      </c>
      <c r="V608" s="306"/>
      <c r="W608" s="306"/>
      <c r="X608" s="306" t="s">
        <v>75</v>
      </c>
      <c r="Y608" s="306"/>
      <c r="Z608" s="306"/>
      <c r="AA608" s="307"/>
      <c r="AB608" s="307"/>
    </row>
    <row r="609" spans="1:28" x14ac:dyDescent="0.2">
      <c r="A609" s="287"/>
      <c r="B609" s="323"/>
      <c r="C609" s="323"/>
      <c r="D609" s="324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307"/>
      <c r="AB609" s="307"/>
    </row>
    <row r="610" spans="1:28" x14ac:dyDescent="0.2">
      <c r="A610" s="287"/>
      <c r="B610" s="325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307"/>
      <c r="AB610" s="307"/>
    </row>
    <row r="611" spans="1:28" x14ac:dyDescent="0.2">
      <c r="A611" s="287"/>
      <c r="B611" s="325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307"/>
      <c r="AB611" s="307"/>
    </row>
    <row r="612" spans="1:28" x14ac:dyDescent="0.2">
      <c r="A612" s="287"/>
      <c r="B612" s="325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307"/>
      <c r="AB612" s="307"/>
    </row>
    <row r="613" spans="1:28" x14ac:dyDescent="0.2">
      <c r="A613" s="287"/>
      <c r="B613" s="325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307"/>
      <c r="AB613" s="307"/>
    </row>
    <row r="615" spans="1:28" x14ac:dyDescent="0.2">
      <c r="A615" s="287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87"/>
      <c r="B616" s="288" t="s">
        <v>10</v>
      </c>
      <c r="C616" s="289" t="s">
        <v>25</v>
      </c>
      <c r="D616" s="289" t="s">
        <v>28</v>
      </c>
      <c r="E616" s="270" t="s">
        <v>12</v>
      </c>
      <c r="F616" s="271" t="s">
        <v>13</v>
      </c>
      <c r="G616" s="272"/>
      <c r="H616" s="272"/>
      <c r="I616" s="272"/>
      <c r="J616" s="273"/>
      <c r="K616" s="271" t="s">
        <v>14</v>
      </c>
      <c r="L616" s="272"/>
      <c r="M616" s="272"/>
      <c r="N616" s="272"/>
      <c r="O616" s="273"/>
      <c r="P616" s="271" t="s">
        <v>15</v>
      </c>
      <c r="Q616" s="272"/>
      <c r="R616" s="272"/>
      <c r="S616" s="272"/>
      <c r="T616" s="273"/>
      <c r="U616" s="320" t="s">
        <v>34</v>
      </c>
      <c r="V616" s="320" t="s">
        <v>48</v>
      </c>
      <c r="W616" s="320" t="s">
        <v>56</v>
      </c>
      <c r="X616" s="320" t="s">
        <v>54</v>
      </c>
      <c r="Y616" s="320" t="s">
        <v>57</v>
      </c>
      <c r="Z616" s="320" t="s">
        <v>55</v>
      </c>
      <c r="AA616" s="320" t="s">
        <v>58</v>
      </c>
      <c r="AB616" s="320" t="s">
        <v>38</v>
      </c>
    </row>
    <row r="617" spans="1:28" ht="38.25" x14ac:dyDescent="0.2">
      <c r="A617" s="287"/>
      <c r="B617" s="288"/>
      <c r="C617" s="289"/>
      <c r="D617" s="289"/>
      <c r="E617" s="270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320"/>
      <c r="V617" s="320"/>
      <c r="W617" s="320"/>
      <c r="X617" s="320"/>
      <c r="Y617" s="320"/>
      <c r="Z617" s="320"/>
      <c r="AA617" s="320"/>
      <c r="AB617" s="320"/>
    </row>
    <row r="618" spans="1:28" x14ac:dyDescent="0.2">
      <c r="A618" s="287"/>
      <c r="B618" s="300" t="s">
        <v>17</v>
      </c>
      <c r="C618" s="12"/>
      <c r="D618" s="12"/>
      <c r="E618" s="302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66">
        <f>SUM(F618, K618, P618, F619, K619, P619)</f>
        <v>0</v>
      </c>
      <c r="V618" s="266">
        <f>SUM(H618, M618, R618, H619, M619, R619)</f>
        <v>0</v>
      </c>
      <c r="W618" s="268">
        <f>IF($U618=0, ,V618/$U618)</f>
        <v>0</v>
      </c>
      <c r="X618" s="266">
        <f>SUM(I618, N618, S618, I619, N619, S619)</f>
        <v>0</v>
      </c>
      <c r="Y618" s="268">
        <f>IF($U618=0, ,X618/$U618)</f>
        <v>0</v>
      </c>
      <c r="Z618" s="266">
        <f>SUM(J618, O618, T618, J619, O619, T619)</f>
        <v>0</v>
      </c>
      <c r="AA618" s="268">
        <f>IF($U618=0, ,Z618/$U618)</f>
        <v>0</v>
      </c>
      <c r="AB618" s="292"/>
    </row>
    <row r="619" spans="1:28" x14ac:dyDescent="0.2">
      <c r="A619" s="287"/>
      <c r="B619" s="319"/>
      <c r="C619" s="12"/>
      <c r="D619" s="12"/>
      <c r="E619" s="304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67"/>
      <c r="V619" s="267"/>
      <c r="W619" s="269"/>
      <c r="X619" s="267"/>
      <c r="Y619" s="269"/>
      <c r="Z619" s="267"/>
      <c r="AA619" s="269"/>
      <c r="AB619" s="293"/>
    </row>
    <row r="620" spans="1:28" x14ac:dyDescent="0.2">
      <c r="A620" s="287"/>
      <c r="B620" s="290" t="s">
        <v>18</v>
      </c>
      <c r="C620" s="10"/>
      <c r="D620" s="10"/>
      <c r="E620" s="279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83">
        <f>SUM(F620, K620, P620, F621, K621, P621)</f>
        <v>0</v>
      </c>
      <c r="V620" s="283">
        <f>SUM(H620, M620, R620, H621, M621, R621)</f>
        <v>0</v>
      </c>
      <c r="W620" s="258">
        <f>IF($U620=0, ,V620/$U620)</f>
        <v>0</v>
      </c>
      <c r="X620" s="283">
        <f>SUM(I620, N620, S620, I621, N621, S621)</f>
        <v>0</v>
      </c>
      <c r="Y620" s="258">
        <f>IF($U620=0, ,X620/$U620)</f>
        <v>0</v>
      </c>
      <c r="Z620" s="283">
        <f>SUM(J620, O620, T620, J621, O621, T621)</f>
        <v>0</v>
      </c>
      <c r="AA620" s="258">
        <f>IF($U620=0, ,Z620/$U620)</f>
        <v>0</v>
      </c>
      <c r="AB620" s="277"/>
    </row>
    <row r="621" spans="1:28" x14ac:dyDescent="0.2">
      <c r="A621" s="287"/>
      <c r="B621" s="291"/>
      <c r="C621" s="10"/>
      <c r="D621" s="10"/>
      <c r="E621" s="280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84"/>
      <c r="V621" s="284"/>
      <c r="W621" s="259"/>
      <c r="X621" s="284"/>
      <c r="Y621" s="259"/>
      <c r="Z621" s="284"/>
      <c r="AA621" s="259"/>
      <c r="AB621" s="278"/>
    </row>
    <row r="622" spans="1:28" x14ac:dyDescent="0.2">
      <c r="A622" s="287"/>
      <c r="B622" s="300" t="s">
        <v>19</v>
      </c>
      <c r="C622" s="9"/>
      <c r="D622" s="9"/>
      <c r="E622" s="264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66">
        <f>SUM(F622, K622, P622, F623, K623, P623)</f>
        <v>0</v>
      </c>
      <c r="V622" s="266">
        <f>SUM(H622, M622, R622, H623, M623, R623)</f>
        <v>0</v>
      </c>
      <c r="W622" s="268">
        <f>IF($U622=0, ,V622/$U622)</f>
        <v>0</v>
      </c>
      <c r="X622" s="266">
        <f>SUM(I622, N622, S622, I623, N623, S623)</f>
        <v>0</v>
      </c>
      <c r="Y622" s="268">
        <f>IF($U622=0, ,X622/$U622)</f>
        <v>0</v>
      </c>
      <c r="Z622" s="266">
        <f>SUM(J622, O622, T622, J623, O623, T623)</f>
        <v>0</v>
      </c>
      <c r="AA622" s="268">
        <f>IF($U622=0, ,Z622/$U622)</f>
        <v>0</v>
      </c>
      <c r="AB622" s="292"/>
    </row>
    <row r="623" spans="1:28" x14ac:dyDescent="0.2">
      <c r="A623" s="287"/>
      <c r="B623" s="319"/>
      <c r="C623" s="9"/>
      <c r="D623" s="9"/>
      <c r="E623" s="265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67"/>
      <c r="V623" s="267"/>
      <c r="W623" s="269"/>
      <c r="X623" s="267"/>
      <c r="Y623" s="269"/>
      <c r="Z623" s="267"/>
      <c r="AA623" s="269"/>
      <c r="AB623" s="293"/>
    </row>
    <row r="624" spans="1:28" x14ac:dyDescent="0.2">
      <c r="A624" s="287"/>
      <c r="B624" s="290" t="s">
        <v>20</v>
      </c>
      <c r="C624" s="10"/>
      <c r="D624" s="10"/>
      <c r="E624" s="279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83">
        <f>SUM(F624, K624, P624, F625, K625, P625)</f>
        <v>0</v>
      </c>
      <c r="V624" s="283">
        <f>SUM(H624, M624, R624, H625, M625, R625)</f>
        <v>0</v>
      </c>
      <c r="W624" s="258">
        <f>IF($U624=0, ,V624/$U624)</f>
        <v>0</v>
      </c>
      <c r="X624" s="283">
        <f>SUM(I624, N624, S624, I625, N625, S625)</f>
        <v>0</v>
      </c>
      <c r="Y624" s="258">
        <f>IF($U624=0, ,X624/$U624)</f>
        <v>0</v>
      </c>
      <c r="Z624" s="283">
        <f>SUM(J624, O624, T624, J625, O625, T625)</f>
        <v>0</v>
      </c>
      <c r="AA624" s="258">
        <f>IF($U624=0, ,Z624/$U624)</f>
        <v>0</v>
      </c>
      <c r="AB624" s="277"/>
    </row>
    <row r="625" spans="1:28" x14ac:dyDescent="0.2">
      <c r="A625" s="287"/>
      <c r="B625" s="291"/>
      <c r="C625" s="10"/>
      <c r="D625" s="10"/>
      <c r="E625" s="280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84"/>
      <c r="V625" s="284"/>
      <c r="W625" s="259"/>
      <c r="X625" s="284"/>
      <c r="Y625" s="259"/>
      <c r="Z625" s="284"/>
      <c r="AA625" s="259"/>
      <c r="AB625" s="278"/>
    </row>
    <row r="626" spans="1:28" x14ac:dyDescent="0.2">
      <c r="A626" s="287"/>
      <c r="B626" s="300" t="s">
        <v>21</v>
      </c>
      <c r="C626" s="9"/>
      <c r="D626" s="9"/>
      <c r="E626" s="264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66">
        <f>SUM(F626, K626, P626, F627, K627, P627)</f>
        <v>0</v>
      </c>
      <c r="V626" s="266">
        <f>SUM(H626, M626, R626, H627, M627, R627)</f>
        <v>0</v>
      </c>
      <c r="W626" s="268">
        <f>IF($U626=0, ,V626/$U626)</f>
        <v>0</v>
      </c>
      <c r="X626" s="266">
        <f>SUM(I626, N626, S626, I627, N627, S627)</f>
        <v>0</v>
      </c>
      <c r="Y626" s="268">
        <f>IF($U626=0, ,X626/$U626)</f>
        <v>0</v>
      </c>
      <c r="Z626" s="266">
        <f>SUM(J626, O626, T626, J627, O627, T627)</f>
        <v>0</v>
      </c>
      <c r="AA626" s="268">
        <f>IF($U626=0, ,Z626/$U626)</f>
        <v>0</v>
      </c>
      <c r="AB626" s="292"/>
    </row>
    <row r="627" spans="1:28" x14ac:dyDescent="0.2">
      <c r="A627" s="287"/>
      <c r="B627" s="319"/>
      <c r="C627" s="9"/>
      <c r="D627" s="9"/>
      <c r="E627" s="265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67"/>
      <c r="V627" s="267"/>
      <c r="W627" s="269"/>
      <c r="X627" s="267"/>
      <c r="Y627" s="269"/>
      <c r="Z627" s="267"/>
      <c r="AA627" s="269"/>
      <c r="AB627" s="293"/>
    </row>
    <row r="628" spans="1:28" x14ac:dyDescent="0.2">
      <c r="A628" s="287"/>
      <c r="B628" s="290" t="s">
        <v>22</v>
      </c>
      <c r="C628" s="11"/>
      <c r="D628" s="11"/>
      <c r="E628" s="296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83">
        <f>SUM(F628, K628, P628, F629, K629, P629)</f>
        <v>0</v>
      </c>
      <c r="V628" s="283">
        <f>SUM(H628, M628, R628, H629, M629, R629)</f>
        <v>0</v>
      </c>
      <c r="W628" s="258">
        <f>IF($U628=0, ,V628/$U628)</f>
        <v>0</v>
      </c>
      <c r="X628" s="283">
        <f>SUM(I628, N628, S628, I629, N629, S629)</f>
        <v>0</v>
      </c>
      <c r="Y628" s="258">
        <f>IF($U628=0, ,X628/$U628)</f>
        <v>0</v>
      </c>
      <c r="Z628" s="283">
        <f>SUM(J628, O628, T628, J629, O629, T629)</f>
        <v>0</v>
      </c>
      <c r="AA628" s="258">
        <f>IF($U628=0, ,Z628/$U628)</f>
        <v>0</v>
      </c>
      <c r="AB628" s="277"/>
    </row>
    <row r="629" spans="1:28" x14ac:dyDescent="0.2">
      <c r="A629" s="287"/>
      <c r="B629" s="291"/>
      <c r="C629" s="11"/>
      <c r="D629" s="11"/>
      <c r="E629" s="297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84"/>
      <c r="V629" s="284"/>
      <c r="W629" s="259"/>
      <c r="X629" s="284"/>
      <c r="Y629" s="259"/>
      <c r="Z629" s="284"/>
      <c r="AA629" s="259"/>
      <c r="AB629" s="278"/>
    </row>
    <row r="630" spans="1:28" ht="13.5" thickBot="1" x14ac:dyDescent="0.25">
      <c r="A630" s="287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87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87"/>
      <c r="B632" s="288" t="s">
        <v>35</v>
      </c>
      <c r="C632" s="289" t="s">
        <v>25</v>
      </c>
      <c r="D632" s="289" t="s">
        <v>28</v>
      </c>
      <c r="E632" s="270" t="s">
        <v>12</v>
      </c>
      <c r="F632" s="314" t="s">
        <v>13</v>
      </c>
      <c r="G632" s="314"/>
      <c r="H632" s="314"/>
      <c r="I632" s="314" t="s">
        <v>14</v>
      </c>
      <c r="J632" s="314"/>
      <c r="K632" s="314"/>
      <c r="L632" s="314" t="s">
        <v>15</v>
      </c>
      <c r="M632" s="314"/>
      <c r="N632" s="314"/>
      <c r="O632" s="274" t="s">
        <v>34</v>
      </c>
      <c r="P632" s="274" t="s">
        <v>48</v>
      </c>
      <c r="Q632" s="274" t="s">
        <v>60</v>
      </c>
      <c r="R632" s="274" t="s">
        <v>49</v>
      </c>
      <c r="S632" s="274" t="s">
        <v>61</v>
      </c>
      <c r="T632" s="310"/>
      <c r="U632" s="310"/>
      <c r="V632" s="310"/>
      <c r="W632" s="310"/>
      <c r="X632" s="310"/>
      <c r="Y632" s="310"/>
      <c r="Z632" s="310"/>
      <c r="AA632" s="310"/>
      <c r="AB632" s="311"/>
    </row>
    <row r="633" spans="1:28" ht="25.5" x14ac:dyDescent="0.2">
      <c r="A633" s="287"/>
      <c r="B633" s="288"/>
      <c r="C633" s="289"/>
      <c r="D633" s="289"/>
      <c r="E633" s="270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76"/>
      <c r="P633" s="276"/>
      <c r="Q633" s="276"/>
      <c r="R633" s="276"/>
      <c r="S633" s="276"/>
      <c r="T633" s="312"/>
      <c r="U633" s="312"/>
      <c r="V633" s="312"/>
      <c r="W633" s="312"/>
      <c r="X633" s="312"/>
      <c r="Y633" s="312"/>
      <c r="Z633" s="312"/>
      <c r="AA633" s="312"/>
      <c r="AB633" s="313"/>
    </row>
    <row r="634" spans="1:28" x14ac:dyDescent="0.2">
      <c r="A634" s="287"/>
      <c r="B634" s="308" t="s">
        <v>36</v>
      </c>
      <c r="C634" s="12"/>
      <c r="D634" s="12" t="s">
        <v>95</v>
      </c>
      <c r="E634" s="309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66">
        <f>SUM(F634, I634, L634, F635, I635, L635)*$O631</f>
        <v>0</v>
      </c>
      <c r="P634" s="266">
        <f>SUM(G634, J634, M634, G635, J635, M635)</f>
        <v>0</v>
      </c>
      <c r="Q634" s="268">
        <f>IF($O634=0, ,P634/$O634)</f>
        <v>0</v>
      </c>
      <c r="R634" s="266">
        <f>SUM(H634, K634, N634, H635, K635, N635)</f>
        <v>0</v>
      </c>
      <c r="S634" s="268">
        <f>IF($O634=0, ,R634/$O634)</f>
        <v>0</v>
      </c>
      <c r="T634" s="315"/>
      <c r="U634" s="315"/>
      <c r="V634" s="315"/>
      <c r="W634" s="315"/>
      <c r="X634" s="315"/>
      <c r="Y634" s="315"/>
      <c r="Z634" s="315"/>
      <c r="AA634" s="315"/>
      <c r="AB634" s="316"/>
    </row>
    <row r="635" spans="1:28" x14ac:dyDescent="0.2">
      <c r="A635" s="287"/>
      <c r="B635" s="308"/>
      <c r="C635" s="12"/>
      <c r="D635" s="12"/>
      <c r="E635" s="309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67"/>
      <c r="P635" s="267"/>
      <c r="Q635" s="269"/>
      <c r="R635" s="267"/>
      <c r="S635" s="269"/>
      <c r="T635" s="317"/>
      <c r="U635" s="317"/>
      <c r="V635" s="317"/>
      <c r="W635" s="317"/>
      <c r="X635" s="317"/>
      <c r="Y635" s="317"/>
      <c r="Z635" s="317"/>
      <c r="AA635" s="317"/>
      <c r="AB635" s="318"/>
    </row>
    <row r="636" spans="1:28" x14ac:dyDescent="0.2">
      <c r="A636" s="287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87"/>
      <c r="B637" s="321" t="s">
        <v>67</v>
      </c>
      <c r="C637" s="321"/>
      <c r="D637" s="322"/>
      <c r="E637" s="82" t="s">
        <v>68</v>
      </c>
      <c r="F637" s="306" t="s">
        <v>64</v>
      </c>
      <c r="G637" s="306"/>
      <c r="H637" s="306"/>
      <c r="I637" s="306" t="s">
        <v>76</v>
      </c>
      <c r="J637" s="306"/>
      <c r="K637" s="306"/>
      <c r="L637" s="306" t="s">
        <v>65</v>
      </c>
      <c r="M637" s="306"/>
      <c r="N637" s="306"/>
      <c r="O637" s="306" t="s">
        <v>66</v>
      </c>
      <c r="P637" s="306"/>
      <c r="Q637" s="306"/>
      <c r="R637" s="306" t="s">
        <v>73</v>
      </c>
      <c r="S637" s="306"/>
      <c r="T637" s="306"/>
      <c r="U637" s="306" t="s">
        <v>74</v>
      </c>
      <c r="V637" s="306"/>
      <c r="W637" s="306"/>
      <c r="X637" s="306" t="s">
        <v>75</v>
      </c>
      <c r="Y637" s="306"/>
      <c r="Z637" s="306"/>
      <c r="AA637" s="307"/>
      <c r="AB637" s="307"/>
    </row>
    <row r="638" spans="1:28" x14ac:dyDescent="0.2">
      <c r="A638" s="287"/>
      <c r="B638" s="323"/>
      <c r="C638" s="323"/>
      <c r="D638" s="324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307"/>
      <c r="AB638" s="307"/>
    </row>
    <row r="639" spans="1:28" x14ac:dyDescent="0.2">
      <c r="A639" s="287"/>
      <c r="B639" s="325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307"/>
      <c r="AB639" s="307"/>
    </row>
    <row r="640" spans="1:28" x14ac:dyDescent="0.2">
      <c r="A640" s="287"/>
      <c r="B640" s="325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307"/>
      <c r="AB640" s="307"/>
    </row>
    <row r="641" spans="1:28" x14ac:dyDescent="0.2">
      <c r="A641" s="287"/>
      <c r="B641" s="325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307"/>
      <c r="AB641" s="307"/>
    </row>
    <row r="642" spans="1:28" x14ac:dyDescent="0.2">
      <c r="A642" s="287"/>
      <c r="B642" s="325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307"/>
      <c r="AB642" s="307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7"/>
  <sheetViews>
    <sheetView workbookViewId="0">
      <selection activeCell="E17" sqref="E17"/>
    </sheetView>
  </sheetViews>
  <sheetFormatPr defaultRowHeight="12.75" x14ac:dyDescent="0.2"/>
  <cols>
    <col min="1" max="1" width="13.85546875" bestFit="1" customWidth="1"/>
    <col min="2" max="2" width="14.42578125" customWidth="1"/>
    <col min="3" max="3" width="16" bestFit="1" customWidth="1"/>
    <col min="4" max="4" width="15.140625" customWidth="1"/>
    <col min="5" max="5" width="17.28515625" bestFit="1" customWidth="1"/>
    <col min="6" max="6" width="13.42578125" bestFit="1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71" t="s">
        <v>177</v>
      </c>
      <c r="B3" t="s">
        <v>181</v>
      </c>
      <c r="C3" t="s">
        <v>178</v>
      </c>
      <c r="D3" t="s">
        <v>179</v>
      </c>
      <c r="E3" t="s">
        <v>180</v>
      </c>
      <c r="F3" t="s">
        <v>183</v>
      </c>
      <c r="G3" t="s">
        <v>182</v>
      </c>
      <c r="H3" t="s">
        <v>189</v>
      </c>
      <c r="I3" s="177" t="s">
        <v>188</v>
      </c>
      <c r="J3" s="177" t="s">
        <v>184</v>
      </c>
    </row>
    <row r="4" spans="1:10" x14ac:dyDescent="0.2">
      <c r="A4" s="176" t="s">
        <v>163</v>
      </c>
      <c r="B4" s="180">
        <v>100.5</v>
      </c>
      <c r="C4" s="180">
        <v>1</v>
      </c>
      <c r="D4" s="180">
        <v>6.5</v>
      </c>
      <c r="E4" s="180">
        <v>0</v>
      </c>
      <c r="F4" s="173">
        <v>8</v>
      </c>
      <c r="G4" s="180">
        <v>288.76</v>
      </c>
      <c r="H4" s="173">
        <v>13</v>
      </c>
      <c r="I4" s="179">
        <f>G4/H4</f>
        <v>22.212307692307693</v>
      </c>
      <c r="J4" s="178">
        <f>3600*F4/I4</f>
        <v>1296.5784734727802</v>
      </c>
    </row>
    <row r="5" spans="1:10" x14ac:dyDescent="0.2">
      <c r="A5" s="176" t="s">
        <v>81</v>
      </c>
      <c r="B5" s="180">
        <v>473.25</v>
      </c>
      <c r="C5" s="180">
        <v>1.5</v>
      </c>
      <c r="D5" s="180">
        <v>0</v>
      </c>
      <c r="E5" s="180">
        <v>2</v>
      </c>
      <c r="F5" s="173">
        <v>8</v>
      </c>
      <c r="G5" s="180">
        <v>1461.5399999999997</v>
      </c>
      <c r="H5" s="173">
        <v>67</v>
      </c>
      <c r="I5" s="179">
        <f>G5/H5</f>
        <v>21.814029850746266</v>
      </c>
      <c r="J5" s="178">
        <f>3600*F5/I5</f>
        <v>1320.2512418407982</v>
      </c>
    </row>
    <row r="6" spans="1:10" x14ac:dyDescent="0.2">
      <c r="A6" s="176" t="s">
        <v>172</v>
      </c>
      <c r="B6" s="180">
        <v>462.00000000000006</v>
      </c>
      <c r="C6" s="180">
        <v>8.5</v>
      </c>
      <c r="D6" s="180">
        <v>0.66666666666666663</v>
      </c>
      <c r="E6" s="180">
        <v>6</v>
      </c>
      <c r="F6" s="173">
        <v>8</v>
      </c>
      <c r="G6" s="180">
        <v>1435.4700000000003</v>
      </c>
      <c r="H6" s="173">
        <v>69</v>
      </c>
      <c r="I6" s="179">
        <f>G6/H6</f>
        <v>20.803913043478264</v>
      </c>
      <c r="J6" s="178">
        <f>3600*F6/I6</f>
        <v>1384.3549499467072</v>
      </c>
    </row>
    <row r="7" spans="1:10" x14ac:dyDescent="0.2">
      <c r="A7" s="176" t="s">
        <v>167</v>
      </c>
      <c r="B7" s="180">
        <v>1035.75</v>
      </c>
      <c r="C7" s="180">
        <v>11</v>
      </c>
      <c r="D7" s="180">
        <v>7.166666666666667</v>
      </c>
      <c r="E7" s="180">
        <v>8</v>
      </c>
      <c r="F7" s="173">
        <v>8</v>
      </c>
      <c r="G7" s="180">
        <v>3185.7699999999986</v>
      </c>
      <c r="H7" s="173">
        <v>149</v>
      </c>
    </row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E486"/>
  <sheetViews>
    <sheetView tabSelected="1" zoomScaleNormal="100" workbookViewId="0">
      <pane xSplit="4" ySplit="5" topLeftCell="E318" activePane="bottomRight" state="frozen"/>
      <selection pane="topRight" activeCell="E1" sqref="E1"/>
      <selection pane="bottomLeft" activeCell="A6" sqref="A6"/>
      <selection pane="bottomRight" activeCell="I336" sqref="I336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10.7109375" customWidth="1"/>
    <col min="8" max="8" width="11.7109375" style="54" customWidth="1"/>
    <col min="9" max="9" width="9.5703125" style="70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  <col min="52" max="57" width="9.140625" hidden="1" customWidth="1"/>
  </cols>
  <sheetData>
    <row r="2" spans="1:57" ht="27.75" thickBot="1" x14ac:dyDescent="0.4">
      <c r="A2" s="328" t="s">
        <v>24</v>
      </c>
      <c r="B2" s="328"/>
      <c r="C2" s="328"/>
      <c r="D2" s="328"/>
      <c r="E2" s="328"/>
      <c r="F2" s="328"/>
      <c r="G2" s="328"/>
      <c r="H2" s="328"/>
      <c r="I2" s="64"/>
      <c r="J2" s="72"/>
      <c r="K2" s="5"/>
      <c r="L2" s="111" t="s">
        <v>40</v>
      </c>
      <c r="M2" s="327">
        <f>$A$6</f>
        <v>45444</v>
      </c>
      <c r="N2" s="327"/>
      <c r="O2" s="327"/>
      <c r="P2" s="327"/>
      <c r="Q2" s="327"/>
      <c r="R2" s="327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197</v>
      </c>
      <c r="AX2" t="s">
        <v>198</v>
      </c>
    </row>
    <row r="3" spans="1:57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152</v>
      </c>
      <c r="AV3" s="133">
        <f>SUM(Prod[S1Hrs], Prod[S2Hrs], Prod[S3Hrs])</f>
        <v>4462.3</v>
      </c>
      <c r="AW3" s="133">
        <f>SUMIF(Prod[B/C],TRUE,Prod[S1Hrs])+SUMIF(Prod[B/C],TRUE,Prod[S2Hrs])+SUMIF(Prod[B/C],TRUE,Prod[S3Hrs])</f>
        <v>2003.8</v>
      </c>
      <c r="AX3" s="133">
        <f>SUMIF(Prod[JAC],TRUE,Prod[S1Hrs])+SUMIF(Prod[JAC],TRUE,Prod[S2Hrs])+SUMIF(Prod[JAC],TRUE,Prod[S3Hrs])</f>
        <v>497.5</v>
      </c>
    </row>
    <row r="5" spans="1:57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74" t="s">
        <v>147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148</v>
      </c>
      <c r="AT5" t="s">
        <v>149</v>
      </c>
      <c r="AU5" t="s">
        <v>150</v>
      </c>
      <c r="AV5" t="s">
        <v>151</v>
      </c>
      <c r="AW5" t="s">
        <v>157</v>
      </c>
      <c r="AX5" t="s">
        <v>158</v>
      </c>
      <c r="AY5" t="s">
        <v>159</v>
      </c>
      <c r="AZ5" t="s">
        <v>185</v>
      </c>
      <c r="BA5" t="s">
        <v>186</v>
      </c>
      <c r="BB5" t="s">
        <v>187</v>
      </c>
      <c r="BC5" t="s">
        <v>44</v>
      </c>
      <c r="BD5" t="s">
        <v>197</v>
      </c>
      <c r="BE5" t="s">
        <v>198</v>
      </c>
    </row>
    <row r="6" spans="1:57" x14ac:dyDescent="0.2">
      <c r="A6" s="117">
        <v>45444</v>
      </c>
      <c r="B6" s="120" t="s">
        <v>190</v>
      </c>
      <c r="C6" s="119" t="s">
        <v>153</v>
      </c>
      <c r="D6" s="119">
        <v>27422</v>
      </c>
      <c r="E6" s="131" t="s">
        <v>199</v>
      </c>
      <c r="F6" s="119">
        <v>6331</v>
      </c>
      <c r="G6" s="119" t="str">
        <f>IF(OR(Prod[[#This Row],[S1Hrs]]&gt;0,Prod[[#This Row],[S2Hrs]]&gt;0,Prod[[#This Row],[S3Hrs]]&gt;0),"Running","Down")</f>
        <v>Running</v>
      </c>
      <c r="H6" s="187">
        <v>14.36</v>
      </c>
      <c r="I6" s="141">
        <v>8</v>
      </c>
      <c r="J6" s="120">
        <v>1250</v>
      </c>
      <c r="K6" s="130">
        <v>4</v>
      </c>
      <c r="L6" s="120">
        <f>Prod[[#This Row],[S1Shot]]*Prod[[#This Row],[S1Cavity]]-Prod[[#This Row],[S1Dft]]</f>
        <v>4994</v>
      </c>
      <c r="M6" s="136">
        <f>SUM(Prod[[#This Row],[S1Mold]],Prod[[#This Row],[S1Print]],Prod[[#This Row],[S1Ovlp]],Prod[[#This Row],[S1Seam]],Prod[[#This Row],[S1Dmg]])</f>
        <v>6</v>
      </c>
      <c r="N6" s="187">
        <v>14.36</v>
      </c>
      <c r="O6" s="141">
        <v>8</v>
      </c>
      <c r="P6" s="120">
        <v>1310</v>
      </c>
      <c r="Q6" s="130">
        <v>4</v>
      </c>
      <c r="R6" s="120">
        <f>Prod[[#This Row],[S2Shot]]*Prod[[#This Row],[S2Cavity]]-Prod[[#This Row],[S2Dft]]</f>
        <v>5235</v>
      </c>
      <c r="S6" s="136">
        <f>SUM(Prod[[#This Row],[S2Mold]],Prod[[#This Row],[S2Print]],Prod[[#This Row],[S2Ovlp]],Prod[[#This Row],[S2Seam]],Prod[[#This Row],[S2Dmg]])</f>
        <v>5</v>
      </c>
      <c r="T6" s="187">
        <v>22.66</v>
      </c>
      <c r="U6" s="141">
        <v>8</v>
      </c>
      <c r="V6" s="120">
        <v>1261</v>
      </c>
      <c r="W6" s="130">
        <v>4</v>
      </c>
      <c r="X6" s="120">
        <f>Prod[[#This Row],[S3Shot]]*Prod[[#This Row],[S3Cavity]]-Prod[[#This Row],[S3Dft]]</f>
        <v>5037</v>
      </c>
      <c r="Y6" s="120">
        <f>SUM(Prod[[#This Row],[S3Mold]],Prod[[#This Row],[S3Print]],Prod[[#This Row],[S3Ovlp]],Prod[[#This Row],[S3Seam]],Prod[[#This Row],[S3Dmg]])</f>
        <v>7</v>
      </c>
      <c r="Z6" s="120">
        <f>SUM(Prod[[#This Row],[S1Qty]],Prod[[#This Row],[S2Qty]],Prod[[#This Row],[S3Qty]])</f>
        <v>15266</v>
      </c>
      <c r="AA6" s="120">
        <f>SUM(Prod[[#This Row],[S1Dft]],Prod[[#This Row],[S2Dft]],Prod[[#This Row],[S3Dft]])</f>
        <v>18</v>
      </c>
      <c r="AB6" s="121">
        <f>IF(Prod[[#This Row],[Total]]=0,0,Prod[[#This Row],[TotalDft]]/Prod[[#This Row],[Total]])</f>
        <v>1.1790907899908293E-3</v>
      </c>
      <c r="AC6" s="118"/>
      <c r="AD6" s="120">
        <v>6</v>
      </c>
      <c r="AE6" s="120">
        <v>5</v>
      </c>
      <c r="AF6" s="120">
        <v>7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32">
        <f>IF(Prod[[#This Row],[S1Hrs]]=0,0,Prod[[#This Row],[S1Shot]]*Prod[[#This Row],[S1Cycle]]/(Prod[[#This Row],[S1Hrs]]*60*60))</f>
        <v>0.62326388888888884</v>
      </c>
      <c r="AT6" s="132">
        <f>IF(Prod[[#This Row],[S2Hrs]]=0,0,Prod[[#This Row],[S2Shot]]*Prod[[#This Row],[S2Cycle]]/(Prod[[#This Row],[S2Hrs]]*60*60))</f>
        <v>0.65318055555555554</v>
      </c>
      <c r="AU6" s="132">
        <f>IF(Prod[[#This Row],[S3Hrs]]=0,0,Prod[[#This Row],[S3Shot]]*Prod[[#This Row],[S3Cycle]]/(Prod[[#This Row],[S3Hrs]]*60*60))</f>
        <v>0.99216180555555555</v>
      </c>
      <c r="AV6" s="132">
        <f>IFERROR(AVERAGEIF(Prod[[#This Row],[S1%]:[S3%]], "&lt;&gt;0"),0)</f>
        <v>0.75620208333333327</v>
      </c>
      <c r="AW6" s="132">
        <v>0</v>
      </c>
      <c r="AX6" s="132">
        <v>0</v>
      </c>
      <c r="AY6" s="132">
        <v>0</v>
      </c>
      <c r="AZ6" s="175">
        <f>IF(Prod[[#This Row],[S1Cycle]]&lt;&gt;0,1,0)</f>
        <v>1</v>
      </c>
      <c r="BA6" s="175">
        <f>IF(Prod[[#This Row],[S2Cycle]]&lt;&gt;0,1,0)</f>
        <v>1</v>
      </c>
      <c r="BB6" s="175">
        <f>IF(Prod[[#This Row],[S3Cycle]]&lt;&gt;0,1,0)</f>
        <v>1</v>
      </c>
      <c r="BC6" s="175">
        <f>MAX(Prod[[#This Row],[S1Cavity]],Prod[[#This Row],[S2Cavity]],Prod[[#This Row],[S3Cavity]])</f>
        <v>4</v>
      </c>
      <c r="BD6" s="175" t="b">
        <f>RegExpMatch(Prod[[#This Row],[MoldNo]], "^DEO-(B|C)")</f>
        <v>0</v>
      </c>
      <c r="BE6" s="175" t="b">
        <f>RegExpMatch(Prod[[#This Row],[MoldNo]], "^JAC")</f>
        <v>1</v>
      </c>
    </row>
    <row r="7" spans="1:57" x14ac:dyDescent="0.2">
      <c r="A7" s="117">
        <v>45444</v>
      </c>
      <c r="B7" s="130" t="s">
        <v>6</v>
      </c>
      <c r="C7" s="131" t="s">
        <v>8</v>
      </c>
      <c r="D7" s="119">
        <v>27711</v>
      </c>
      <c r="E7" s="131" t="s">
        <v>199</v>
      </c>
      <c r="F7" s="119">
        <v>814</v>
      </c>
      <c r="G7" s="119" t="str">
        <f>IF(OR(Prod[[#This Row],[S1Hrs]]&gt;0,Prod[[#This Row],[S2Hrs]]&gt;0,Prod[[#This Row],[S3Hrs]]&gt;0),"Running","Down")</f>
        <v>Running</v>
      </c>
      <c r="H7" s="187">
        <v>16.89</v>
      </c>
      <c r="I7" s="141">
        <v>8</v>
      </c>
      <c r="J7" s="120">
        <v>1701</v>
      </c>
      <c r="K7" s="130">
        <v>8</v>
      </c>
      <c r="L7" s="120">
        <f>Prod[[#This Row],[S1Shot]]*Prod[[#This Row],[S1Cavity]]-Prod[[#This Row],[S1Dft]]</f>
        <v>13458</v>
      </c>
      <c r="M7" s="136">
        <f>SUM(Prod[[#This Row],[S1Mold]],Prod[[#This Row],[S1Print]],Prod[[#This Row],[S1Ovlp]],Prod[[#This Row],[S1Seam]],Prod[[#This Row],[S1Dmg]])</f>
        <v>150</v>
      </c>
      <c r="N7" s="187">
        <v>16.89</v>
      </c>
      <c r="O7" s="141">
        <v>8</v>
      </c>
      <c r="P7" s="120">
        <v>1735</v>
      </c>
      <c r="Q7" s="130">
        <v>8</v>
      </c>
      <c r="R7" s="120">
        <f>Prod[[#This Row],[S2Shot]]*Prod[[#This Row],[S2Cavity]]-Prod[[#This Row],[S2Dft]]</f>
        <v>13735</v>
      </c>
      <c r="S7" s="136">
        <f>SUM(Prod[[#This Row],[S2Mold]],Prod[[#This Row],[S2Print]],Prod[[#This Row],[S2Ovlp]],Prod[[#This Row],[S2Seam]],Prod[[#This Row],[S2Dmg]])</f>
        <v>145</v>
      </c>
      <c r="T7" s="187">
        <v>16.899999999999999</v>
      </c>
      <c r="U7" s="141">
        <v>8</v>
      </c>
      <c r="V7" s="120">
        <v>1614</v>
      </c>
      <c r="W7" s="130">
        <v>8</v>
      </c>
      <c r="X7" s="120">
        <f>Prod[[#This Row],[S3Shot]]*Prod[[#This Row],[S3Cavity]]-Prod[[#This Row],[S3Dft]]</f>
        <v>12767</v>
      </c>
      <c r="Y7" s="120">
        <f>SUM(Prod[[#This Row],[S3Mold]],Prod[[#This Row],[S3Print]],Prod[[#This Row],[S3Ovlp]],Prod[[#This Row],[S3Seam]],Prod[[#This Row],[S3Dmg]])</f>
        <v>145</v>
      </c>
      <c r="Z7" s="120">
        <f>SUM(Prod[[#This Row],[S1Qty]],Prod[[#This Row],[S2Qty]],Prod[[#This Row],[S3Qty]])</f>
        <v>39960</v>
      </c>
      <c r="AA7" s="120">
        <f>SUM(Prod[[#This Row],[S1Dft]],Prod[[#This Row],[S2Dft]],Prod[[#This Row],[S3Dft]])</f>
        <v>440</v>
      </c>
      <c r="AB7" s="121">
        <f>IF(Prod[[#This Row],[Total]]=0,0,Prod[[#This Row],[TotalDft]]/Prod[[#This Row],[Total]])</f>
        <v>1.1011011011011011E-2</v>
      </c>
      <c r="AC7" s="131"/>
      <c r="AD7" s="120">
        <v>25</v>
      </c>
      <c r="AE7" s="120">
        <v>25</v>
      </c>
      <c r="AF7" s="120">
        <v>20</v>
      </c>
      <c r="AG7" s="120">
        <v>125</v>
      </c>
      <c r="AH7" s="120">
        <v>120</v>
      </c>
      <c r="AI7" s="120">
        <v>125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32">
        <f>IF(Prod[[#This Row],[S1Hrs]]=0,0,Prod[[#This Row],[S1Shot]]*Prod[[#This Row],[S1Cycle]]/(Prod[[#This Row],[S1Hrs]]*60*60))</f>
        <v>0.99756562500000001</v>
      </c>
      <c r="AT7" s="132">
        <f>IF(Prod[[#This Row],[S2Hrs]]=0,0,Prod[[#This Row],[S2Shot]]*Prod[[#This Row],[S2Cycle]]/(Prod[[#This Row],[S2Hrs]]*60*60))</f>
        <v>1.0175052083333334</v>
      </c>
      <c r="AU7" s="132">
        <f>IF(Prod[[#This Row],[S3Hrs]]=0,0,Prod[[#This Row],[S3Shot]]*Prod[[#This Row],[S3Cycle]]/(Prod[[#This Row],[S3Hrs]]*60*60))</f>
        <v>0.94710416666666664</v>
      </c>
      <c r="AV7" s="132">
        <f>IFERROR(AVERAGEIF(Prod[[#This Row],[S1%]:[S3%]], "&lt;&gt;0"),0)</f>
        <v>0.98739166666666678</v>
      </c>
      <c r="AW7" s="132">
        <v>0</v>
      </c>
      <c r="AX7" s="132">
        <v>0</v>
      </c>
      <c r="AY7" s="132">
        <v>0</v>
      </c>
      <c r="AZ7" s="175">
        <f>IF(Prod[[#This Row],[S1Cycle]]&lt;&gt;0,1,0)</f>
        <v>1</v>
      </c>
      <c r="BA7" s="175">
        <f>IF(Prod[[#This Row],[S2Cycle]]&lt;&gt;0,1,0)</f>
        <v>1</v>
      </c>
      <c r="BB7" s="175">
        <f>IF(Prod[[#This Row],[S3Cycle]]&lt;&gt;0,1,0)</f>
        <v>1</v>
      </c>
      <c r="BC7" s="175">
        <f>MAX(Prod[[#This Row],[S1Cavity]],Prod[[#This Row],[S2Cavity]],Prod[[#This Row],[S3Cavity]])</f>
        <v>8</v>
      </c>
      <c r="BD7" s="175" t="b">
        <f>RegExpMatch(Prod[[#This Row],[MoldNo]], "^DEO-(B|C)")</f>
        <v>1</v>
      </c>
      <c r="BE7" s="175" t="b">
        <f>RegExpMatch(Prod[[#This Row],[MoldNo]], "^JAC")</f>
        <v>0</v>
      </c>
    </row>
    <row r="8" spans="1:57" x14ac:dyDescent="0.2">
      <c r="A8" s="117">
        <v>45444</v>
      </c>
      <c r="B8" s="120" t="s">
        <v>7</v>
      </c>
      <c r="C8" s="119" t="s">
        <v>172</v>
      </c>
      <c r="D8" s="119">
        <v>27711</v>
      </c>
      <c r="E8" s="131" t="s">
        <v>199</v>
      </c>
      <c r="F8" s="119">
        <v>814</v>
      </c>
      <c r="G8" s="119" t="str">
        <f>IF(OR(Prod[[#This Row],[S1Hrs]]&gt;0,Prod[[#This Row],[S2Hrs]]&gt;0,Prod[[#This Row],[S3Hrs]]&gt;0),"Running","Down")</f>
        <v>Running</v>
      </c>
      <c r="H8" s="187">
        <v>20.8</v>
      </c>
      <c r="I8" s="141">
        <v>8</v>
      </c>
      <c r="J8" s="120">
        <v>1414</v>
      </c>
      <c r="K8" s="130">
        <v>8</v>
      </c>
      <c r="L8" s="120">
        <f>Prod[[#This Row],[S1Shot]]*Prod[[#This Row],[S1Cavity]]-Prod[[#This Row],[S1Dft]]</f>
        <v>11182</v>
      </c>
      <c r="M8" s="136">
        <f>SUM(Prod[[#This Row],[S1Mold]],Prod[[#This Row],[S1Print]],Prod[[#This Row],[S1Ovlp]],Prod[[#This Row],[S1Seam]],Prod[[#This Row],[S1Dmg]])</f>
        <v>130</v>
      </c>
      <c r="N8" s="187">
        <v>20.8</v>
      </c>
      <c r="O8" s="141">
        <v>8</v>
      </c>
      <c r="P8" s="120">
        <v>1434</v>
      </c>
      <c r="Q8" s="130">
        <v>8</v>
      </c>
      <c r="R8" s="120">
        <f>Prod[[#This Row],[S2Shot]]*Prod[[#This Row],[S2Cavity]]-Prod[[#This Row],[S2Dft]]</f>
        <v>11352</v>
      </c>
      <c r="S8" s="136">
        <f>SUM(Prod[[#This Row],[S2Mold]],Prod[[#This Row],[S2Print]],Prod[[#This Row],[S2Ovlp]],Prod[[#This Row],[S2Seam]],Prod[[#This Row],[S2Dmg]])</f>
        <v>120</v>
      </c>
      <c r="T8" s="187">
        <v>20.8</v>
      </c>
      <c r="U8" s="141">
        <v>8</v>
      </c>
      <c r="V8" s="120">
        <v>1312</v>
      </c>
      <c r="W8" s="130">
        <v>8</v>
      </c>
      <c r="X8" s="120">
        <f>Prod[[#This Row],[S3Shot]]*Prod[[#This Row],[S3Cavity]]-Prod[[#This Row],[S3Dft]]</f>
        <v>10371</v>
      </c>
      <c r="Y8" s="120">
        <f>SUM(Prod[[#This Row],[S3Mold]],Prod[[#This Row],[S3Print]],Prod[[#This Row],[S3Ovlp]],Prod[[#This Row],[S3Seam]],Prod[[#This Row],[S3Dmg]])</f>
        <v>125</v>
      </c>
      <c r="Z8" s="120">
        <f>SUM(Prod[[#This Row],[S1Qty]],Prod[[#This Row],[S2Qty]],Prod[[#This Row],[S3Qty]])</f>
        <v>32905</v>
      </c>
      <c r="AA8" s="120">
        <f>SUM(Prod[[#This Row],[S1Dft]],Prod[[#This Row],[S2Dft]],Prod[[#This Row],[S3Dft]])</f>
        <v>375</v>
      </c>
      <c r="AB8" s="121">
        <f>IF(Prod[[#This Row],[Total]]=0,0,Prod[[#This Row],[TotalDft]]/Prod[[#This Row],[Total]])</f>
        <v>1.1396444309375475E-2</v>
      </c>
      <c r="AC8" s="131"/>
      <c r="AD8" s="120">
        <v>25</v>
      </c>
      <c r="AE8" s="120">
        <v>20</v>
      </c>
      <c r="AF8" s="120">
        <v>20</v>
      </c>
      <c r="AG8" s="120">
        <v>105</v>
      </c>
      <c r="AH8" s="120">
        <v>100</v>
      </c>
      <c r="AI8" s="120">
        <v>105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2">
        <f>IF(Prod[[#This Row],[S1Hrs]]=0,0,Prod[[#This Row],[S1Shot]]*Prod[[#This Row],[S1Cycle]]/(Prod[[#This Row],[S1Hrs]]*60*60))</f>
        <v>1.0212222222222223</v>
      </c>
      <c r="AT8" s="132">
        <f>IF(Prod[[#This Row],[S2Hrs]]=0,0,Prod[[#This Row],[S2Shot]]*Prod[[#This Row],[S2Cycle]]/(Prod[[#This Row],[S2Hrs]]*60*60))</f>
        <v>1.0356666666666667</v>
      </c>
      <c r="AU8" s="132">
        <f>IF(Prod[[#This Row],[S3Hrs]]=0,0,Prod[[#This Row],[S3Shot]]*Prod[[#This Row],[S3Cycle]]/(Prod[[#This Row],[S3Hrs]]*60*60))</f>
        <v>0.9475555555555556</v>
      </c>
      <c r="AV8" s="132">
        <f>IFERROR(AVERAGEIF(Prod[[#This Row],[S1%]:[S3%]], "&lt;&gt;0"),0)</f>
        <v>1.0014814814814816</v>
      </c>
      <c r="AW8" s="132">
        <v>0</v>
      </c>
      <c r="AX8" s="132">
        <v>0</v>
      </c>
      <c r="AY8" s="132">
        <v>0</v>
      </c>
      <c r="AZ8" s="175">
        <f>IF(Prod[[#This Row],[S1Cycle]]&lt;&gt;0,1,0)</f>
        <v>1</v>
      </c>
      <c r="BA8" s="175">
        <f>IF(Prod[[#This Row],[S2Cycle]]&lt;&gt;0,1,0)</f>
        <v>1</v>
      </c>
      <c r="BB8" s="175">
        <f>IF(Prod[[#This Row],[S3Cycle]]&lt;&gt;0,1,0)</f>
        <v>1</v>
      </c>
      <c r="BC8" s="175">
        <f>MAX(Prod[[#This Row],[S1Cavity]],Prod[[#This Row],[S2Cavity]],Prod[[#This Row],[S3Cavity]])</f>
        <v>8</v>
      </c>
      <c r="BD8" s="175" t="b">
        <f>RegExpMatch(Prod[[#This Row],[MoldNo]], "^DEO-(B|C)")</f>
        <v>1</v>
      </c>
      <c r="BE8" s="175" t="b">
        <f>RegExpMatch(Prod[[#This Row],[MoldNo]], "^JAC")</f>
        <v>0</v>
      </c>
    </row>
    <row r="9" spans="1:57" x14ac:dyDescent="0.2">
      <c r="A9" s="117">
        <v>45444</v>
      </c>
      <c r="B9" s="120" t="s">
        <v>85</v>
      </c>
      <c r="C9" s="119" t="s">
        <v>165</v>
      </c>
      <c r="D9" s="119">
        <v>27136</v>
      </c>
      <c r="E9" s="131" t="s">
        <v>199</v>
      </c>
      <c r="F9" s="119">
        <v>814</v>
      </c>
      <c r="G9" s="119" t="str">
        <f>IF(OR(Prod[[#This Row],[S1Hrs]]&gt;0,Prod[[#This Row],[S2Hrs]]&gt;0,Prod[[#This Row],[S3Hrs]]&gt;0),"Running","Down")</f>
        <v>Running</v>
      </c>
      <c r="H9" s="187">
        <v>20.43</v>
      </c>
      <c r="I9" s="141">
        <v>8</v>
      </c>
      <c r="J9" s="120">
        <v>1452</v>
      </c>
      <c r="K9" s="130">
        <v>16</v>
      </c>
      <c r="L9" s="120">
        <f>Prod[[#This Row],[S1Shot]]*Prod[[#This Row],[S1Cavity]]-Prod[[#This Row],[S1Dft]]</f>
        <v>23232</v>
      </c>
      <c r="M9" s="134"/>
      <c r="N9" s="187">
        <v>20.43</v>
      </c>
      <c r="O9" s="141">
        <v>8</v>
      </c>
      <c r="P9" s="120">
        <v>1437</v>
      </c>
      <c r="Q9" s="130">
        <v>16</v>
      </c>
      <c r="R9" s="120">
        <f>Prod[[#This Row],[S2Shot]]*Prod[[#This Row],[S2Cavity]]-Prod[[#This Row],[S2Dft]]</f>
        <v>22992</v>
      </c>
      <c r="S9" s="134"/>
      <c r="T9" s="187">
        <v>20.420000000000002</v>
      </c>
      <c r="U9" s="141">
        <v>8</v>
      </c>
      <c r="V9" s="120">
        <v>1351</v>
      </c>
      <c r="W9" s="130">
        <v>16</v>
      </c>
      <c r="X9" s="120">
        <f>Prod[[#This Row],[S3Shot]]*Prod[[#This Row],[S3Cavity]]-Prod[[#This Row],[S3Dft]]</f>
        <v>21616</v>
      </c>
      <c r="Y9" s="134"/>
      <c r="Z9" s="120">
        <f>SUM(Prod[[#This Row],[S1Qty]],Prod[[#This Row],[S2Qty]],Prod[[#This Row],[S3Qty]])</f>
        <v>67840</v>
      </c>
      <c r="AA9" s="134"/>
      <c r="AB9" s="135"/>
      <c r="AC9" s="118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2">
        <f>IF(Prod[[#This Row],[S1Hrs]]=0,0,Prod[[#This Row],[S1Shot]]*Prod[[#This Row],[S1Cycle]]/(Prod[[#This Row],[S1Hrs]]*60*60))</f>
        <v>1.0300125</v>
      </c>
      <c r="AT9" s="132">
        <f>IF(Prod[[#This Row],[S2Hrs]]=0,0,Prod[[#This Row],[S2Shot]]*Prod[[#This Row],[S2Cycle]]/(Prod[[#This Row],[S2Hrs]]*60*60))</f>
        <v>1.019371875</v>
      </c>
      <c r="AU9" s="132">
        <f>IF(Prod[[#This Row],[S3Hrs]]=0,0,Prod[[#This Row],[S3Shot]]*Prod[[#This Row],[S3Cycle]]/(Prod[[#This Row],[S3Hrs]]*60*60))</f>
        <v>0.9578965277777779</v>
      </c>
      <c r="AV9" s="132">
        <f>IFERROR(AVERAGEIF(Prod[[#This Row],[S1%]:[S3%]], "&lt;&gt;0"),0)</f>
        <v>1.0024269675925925</v>
      </c>
      <c r="AW9" s="132">
        <v>0</v>
      </c>
      <c r="AX9" s="132">
        <v>0</v>
      </c>
      <c r="AY9" s="132">
        <v>0</v>
      </c>
      <c r="AZ9" s="175">
        <f>IF(Prod[[#This Row],[S1Cycle]]&lt;&gt;0,1,0)</f>
        <v>1</v>
      </c>
      <c r="BA9" s="175">
        <f>IF(Prod[[#This Row],[S2Cycle]]&lt;&gt;0,1,0)</f>
        <v>1</v>
      </c>
      <c r="BB9" s="175">
        <f>IF(Prod[[#This Row],[S3Cycle]]&lt;&gt;0,1,0)</f>
        <v>1</v>
      </c>
      <c r="BC9" s="175">
        <f>MAX(Prod[[#This Row],[S1Cavity]],Prod[[#This Row],[S2Cavity]],Prod[[#This Row],[S3Cavity]])</f>
        <v>16</v>
      </c>
      <c r="BD9" s="175" t="b">
        <f>RegExpMatch(Prod[[#This Row],[MoldNo]], "^DEO-(B|C)")</f>
        <v>0</v>
      </c>
      <c r="BE9" s="175" t="b">
        <f>RegExpMatch(Prod[[#This Row],[MoldNo]], "^JAC")</f>
        <v>0</v>
      </c>
    </row>
    <row r="10" spans="1:57" x14ac:dyDescent="0.2">
      <c r="A10" s="117">
        <v>45444</v>
      </c>
      <c r="B10" s="120" t="s">
        <v>196</v>
      </c>
      <c r="C10" s="119" t="s">
        <v>82</v>
      </c>
      <c r="D10" s="119"/>
      <c r="E10" s="131"/>
      <c r="F10" s="119"/>
      <c r="G10" s="119" t="str">
        <f>IF(OR(Prod[[#This Row],[S1Hrs]]&gt;0,Prod[[#This Row],[S2Hrs]]&gt;0,Prod[[#This Row],[S3Hrs]]&gt;0),"Running","Down")</f>
        <v>Down</v>
      </c>
      <c r="H10" s="187">
        <v>0</v>
      </c>
      <c r="I10" s="141">
        <v>0</v>
      </c>
      <c r="J10" s="120">
        <v>0</v>
      </c>
      <c r="K10" s="130">
        <v>0</v>
      </c>
      <c r="L10" s="120">
        <f>Prod[[#This Row],[S1Shot]]*Prod[[#This Row],[S1Cavity]]-Prod[[#This Row],[S1Dft]]</f>
        <v>0</v>
      </c>
      <c r="M10" s="134"/>
      <c r="N10" s="187">
        <v>0</v>
      </c>
      <c r="O10" s="141">
        <v>0</v>
      </c>
      <c r="P10" s="120">
        <v>0</v>
      </c>
      <c r="Q10" s="130">
        <v>0</v>
      </c>
      <c r="R10" s="120">
        <f>Prod[[#This Row],[S2Shot]]*Prod[[#This Row],[S2Cavity]]-Prod[[#This Row],[S2Dft]]</f>
        <v>0</v>
      </c>
      <c r="S10" s="134"/>
      <c r="T10" s="187">
        <v>0</v>
      </c>
      <c r="U10" s="141">
        <v>0</v>
      </c>
      <c r="V10" s="120">
        <v>0</v>
      </c>
      <c r="W10" s="130">
        <v>0</v>
      </c>
      <c r="X10" s="120">
        <f>Prod[[#This Row],[S3Shot]]*Prod[[#This Row],[S3Cavity]]-Prod[[#This Row],[S3Dft]]</f>
        <v>0</v>
      </c>
      <c r="Y10" s="134"/>
      <c r="Z10" s="120">
        <f>SUM(Prod[[#This Row],[S1Qty]],Prod[[#This Row],[S2Qty]],Prod[[#This Row],[S3Qty]])</f>
        <v>0</v>
      </c>
      <c r="AA10" s="134"/>
      <c r="AB10" s="135"/>
      <c r="AC10" s="118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2">
        <f>IF(Prod[[#This Row],[S1Hrs]]=0,0,Prod[[#This Row],[S1Shot]]*Prod[[#This Row],[S1Cycle]]/(Prod[[#This Row],[S1Hrs]]*60*60))</f>
        <v>0</v>
      </c>
      <c r="AT10" s="132">
        <f>IF(Prod[[#This Row],[S2Hrs]]=0,0,Prod[[#This Row],[S2Shot]]*Prod[[#This Row],[S2Cycle]]/(Prod[[#This Row],[S2Hrs]]*60*60))</f>
        <v>0</v>
      </c>
      <c r="AU10" s="132">
        <f>IF(Prod[[#This Row],[S3Hrs]]=0,0,Prod[[#This Row],[S3Shot]]*Prod[[#This Row],[S3Cycle]]/(Prod[[#This Row],[S3Hrs]]*60*60))</f>
        <v>0</v>
      </c>
      <c r="AV10" s="132">
        <f>IFERROR(AVERAGEIF(Prod[[#This Row],[S1%]:[S3%]], "&lt;&gt;0"),0)</f>
        <v>0</v>
      </c>
      <c r="AW10" s="132">
        <v>0</v>
      </c>
      <c r="AX10" s="132">
        <v>0</v>
      </c>
      <c r="AY10" s="132">
        <v>0</v>
      </c>
      <c r="AZ10" s="175">
        <f>IF(Prod[[#This Row],[S1Cycle]]&lt;&gt;0,1,0)</f>
        <v>0</v>
      </c>
      <c r="BA10" s="175">
        <f>IF(Prod[[#This Row],[S2Cycle]]&lt;&gt;0,1,0)</f>
        <v>0</v>
      </c>
      <c r="BB10" s="175">
        <f>IF(Prod[[#This Row],[S3Cycle]]&lt;&gt;0,1,0)</f>
        <v>0</v>
      </c>
      <c r="BC10" s="175">
        <f>MAX(Prod[[#This Row],[S1Cavity]],Prod[[#This Row],[S2Cavity]],Prod[[#This Row],[S3Cavity]])</f>
        <v>0</v>
      </c>
      <c r="BD10" s="175" t="b">
        <f>RegExpMatch(Prod[[#This Row],[MoldNo]], "^DEO-(B|C)")</f>
        <v>0</v>
      </c>
      <c r="BE10" s="175" t="b">
        <f>RegExpMatch(Prod[[#This Row],[MoldNo]], "^JAC")</f>
        <v>0</v>
      </c>
    </row>
    <row r="11" spans="1:57" x14ac:dyDescent="0.2">
      <c r="A11" s="117">
        <v>45444</v>
      </c>
      <c r="B11" s="120" t="s">
        <v>192</v>
      </c>
      <c r="C11" s="131" t="s">
        <v>193</v>
      </c>
      <c r="D11" s="119">
        <v>27031</v>
      </c>
      <c r="E11" s="131" t="s">
        <v>199</v>
      </c>
      <c r="F11" s="119">
        <v>814</v>
      </c>
      <c r="G11" s="119" t="str">
        <f>IF(OR(Prod[[#This Row],[S1Hrs]]&gt;0,Prod[[#This Row],[S2Hrs]]&gt;0,Prod[[#This Row],[S3Hrs]]&gt;0),"Running","Down")</f>
        <v>Running</v>
      </c>
      <c r="H11" s="187">
        <v>17.25</v>
      </c>
      <c r="I11" s="141">
        <v>8</v>
      </c>
      <c r="J11" s="120">
        <v>1570</v>
      </c>
      <c r="K11" s="130">
        <v>24</v>
      </c>
      <c r="L11" s="120">
        <f>Prod[[#This Row],[S1Shot]]*Prod[[#This Row],[S1Cavity]]-Prod[[#This Row],[S1Dft]]</f>
        <v>37680</v>
      </c>
      <c r="M11" s="134"/>
      <c r="N11" s="187">
        <v>17.25</v>
      </c>
      <c r="O11" s="141">
        <v>8</v>
      </c>
      <c r="P11" s="120">
        <v>1669</v>
      </c>
      <c r="Q11" s="130">
        <v>24</v>
      </c>
      <c r="R11" s="120">
        <f>Prod[[#This Row],[S2Shot]]*Prod[[#This Row],[S2Cavity]]-Prod[[#This Row],[S2Dft]]</f>
        <v>40056</v>
      </c>
      <c r="S11" s="134"/>
      <c r="T11" s="187">
        <v>17.25</v>
      </c>
      <c r="U11" s="141">
        <v>8</v>
      </c>
      <c r="V11" s="120">
        <v>1811</v>
      </c>
      <c r="W11" s="130">
        <v>24</v>
      </c>
      <c r="X11" s="120">
        <f>Prod[[#This Row],[S3Shot]]*Prod[[#This Row],[S3Cavity]]-Prod[[#This Row],[S3Dft]]</f>
        <v>43464</v>
      </c>
      <c r="Y11" s="134"/>
      <c r="Z11" s="120">
        <f>SUM(Prod[[#This Row],[S1Qty]],Prod[[#This Row],[S2Qty]],Prod[[#This Row],[S3Qty]])</f>
        <v>121200</v>
      </c>
      <c r="AA11" s="134"/>
      <c r="AB11" s="135"/>
      <c r="AC11" s="118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2">
        <f>IF(Prod[[#This Row],[S1Hrs]]=0,0,Prod[[#This Row],[S1Shot]]*Prod[[#This Row],[S1Cycle]]/(Prod[[#This Row],[S1Hrs]]*60*60))</f>
        <v>0.94036458333333328</v>
      </c>
      <c r="AT11" s="132">
        <f>IF(Prod[[#This Row],[S2Hrs]]=0,0,Prod[[#This Row],[S2Shot]]*Prod[[#This Row],[S2Cycle]]/(Prod[[#This Row],[S2Hrs]]*60*60))</f>
        <v>0.99966145833333331</v>
      </c>
      <c r="AU11" s="132">
        <f>IF(Prod[[#This Row],[S3Hrs]]=0,0,Prod[[#This Row],[S3Shot]]*Prod[[#This Row],[S3Cycle]]/(Prod[[#This Row],[S3Hrs]]*60*60))</f>
        <v>1.0847135416666667</v>
      </c>
      <c r="AV11" s="132">
        <f>IFERROR(AVERAGEIF(Prod[[#This Row],[S1%]:[S3%]], "&lt;&gt;0"),0)</f>
        <v>1.0082465277777777</v>
      </c>
      <c r="AW11" s="132">
        <v>0</v>
      </c>
      <c r="AX11" s="132">
        <v>0</v>
      </c>
      <c r="AY11" s="132">
        <v>0</v>
      </c>
      <c r="AZ11" s="175">
        <f>IF(Prod[[#This Row],[S1Cycle]]&lt;&gt;0,1,0)</f>
        <v>1</v>
      </c>
      <c r="BA11" s="175">
        <f>IF(Prod[[#This Row],[S2Cycle]]&lt;&gt;0,1,0)</f>
        <v>1</v>
      </c>
      <c r="BB11" s="175">
        <f>IF(Prod[[#This Row],[S3Cycle]]&lt;&gt;0,1,0)</f>
        <v>1</v>
      </c>
      <c r="BC11" s="175">
        <f>MAX(Prod[[#This Row],[S1Cavity]],Prod[[#This Row],[S2Cavity]],Prod[[#This Row],[S3Cavity]])</f>
        <v>24</v>
      </c>
      <c r="BD11" s="175" t="b">
        <f>RegExpMatch(Prod[[#This Row],[MoldNo]], "^DEO-(B|C)")</f>
        <v>0</v>
      </c>
      <c r="BE11" s="175" t="b">
        <f>RegExpMatch(Prod[[#This Row],[MoldNo]], "^JAC")</f>
        <v>0</v>
      </c>
    </row>
    <row r="12" spans="1:57" x14ac:dyDescent="0.2">
      <c r="A12" s="117">
        <v>45444</v>
      </c>
      <c r="B12" s="120" t="s">
        <v>168</v>
      </c>
      <c r="C12" s="119" t="s">
        <v>169</v>
      </c>
      <c r="D12" s="119">
        <v>26684</v>
      </c>
      <c r="E12" s="131" t="s">
        <v>199</v>
      </c>
      <c r="F12" s="119">
        <v>814</v>
      </c>
      <c r="G12" s="119" t="str">
        <f>IF(OR(Prod[[#This Row],[S1Hrs]]&gt;0,Prod[[#This Row],[S2Hrs]]&gt;0,Prod[[#This Row],[S3Hrs]]&gt;0),"Running","Down")</f>
        <v>Running</v>
      </c>
      <c r="H12" s="187">
        <v>16.399999999999999</v>
      </c>
      <c r="I12" s="141">
        <v>8</v>
      </c>
      <c r="J12" s="120">
        <v>1657</v>
      </c>
      <c r="K12" s="130">
        <v>15</v>
      </c>
      <c r="L12" s="120">
        <f>Prod[[#This Row],[S1Shot]]*Prod[[#This Row],[S1Cavity]]-Prod[[#This Row],[S1Dft]]</f>
        <v>24855</v>
      </c>
      <c r="M12" s="134"/>
      <c r="N12" s="187">
        <v>16.399999999999999</v>
      </c>
      <c r="O12" s="141">
        <v>8</v>
      </c>
      <c r="P12" s="120">
        <v>174</v>
      </c>
      <c r="Q12" s="130">
        <v>15</v>
      </c>
      <c r="R12" s="120">
        <f>Prod[[#This Row],[S2Shot]]*Prod[[#This Row],[S2Cavity]]-Prod[[#This Row],[S2Dft]]</f>
        <v>2610</v>
      </c>
      <c r="S12" s="134"/>
      <c r="T12" s="187">
        <v>16.47</v>
      </c>
      <c r="U12" s="141">
        <v>8</v>
      </c>
      <c r="V12" s="120">
        <v>1822</v>
      </c>
      <c r="W12" s="130">
        <v>15</v>
      </c>
      <c r="X12" s="120">
        <f>Prod[[#This Row],[S3Shot]]*Prod[[#This Row],[S3Cavity]]-Prod[[#This Row],[S3Dft]]</f>
        <v>27330</v>
      </c>
      <c r="Y12" s="134"/>
      <c r="Z12" s="120">
        <f>SUM(Prod[[#This Row],[S1Qty]],Prod[[#This Row],[S2Qty]],Prod[[#This Row],[S3Qty]])</f>
        <v>54795</v>
      </c>
      <c r="AA12" s="134"/>
      <c r="AB12" s="135"/>
      <c r="AC12" s="118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2">
        <f>IF(Prod[[#This Row],[S1Hrs]]=0,0,Prod[[#This Row],[S1Shot]]*Prod[[#This Row],[S1Cycle]]/(Prod[[#This Row],[S1Hrs]]*60*60))</f>
        <v>0.94356944444444446</v>
      </c>
      <c r="AT12" s="132">
        <f>IF(Prod[[#This Row],[S2Hrs]]=0,0,Prod[[#This Row],[S2Shot]]*Prod[[#This Row],[S2Cycle]]/(Prod[[#This Row],[S2Hrs]]*60*60))</f>
        <v>9.9083333333333329E-2</v>
      </c>
      <c r="AU12" s="132">
        <f>IF(Prod[[#This Row],[S3Hrs]]=0,0,Prod[[#This Row],[S3Shot]]*Prod[[#This Row],[S3Cycle]]/(Prod[[#This Row],[S3Hrs]]*60*60))</f>
        <v>1.0419562499999999</v>
      </c>
      <c r="AV12" s="132">
        <f>IFERROR(AVERAGEIF(Prod[[#This Row],[S1%]:[S3%]], "&lt;&gt;0"),0)</f>
        <v>0.69486967592592597</v>
      </c>
      <c r="AW12" s="132">
        <v>0</v>
      </c>
      <c r="AX12" s="132">
        <v>0</v>
      </c>
      <c r="AY12" s="132">
        <v>0</v>
      </c>
      <c r="AZ12" s="175">
        <f>IF(Prod[[#This Row],[S1Cycle]]&lt;&gt;0,1,0)</f>
        <v>1</v>
      </c>
      <c r="BA12" s="175">
        <f>IF(Prod[[#This Row],[S2Cycle]]&lt;&gt;0,1,0)</f>
        <v>1</v>
      </c>
      <c r="BB12" s="175">
        <f>IF(Prod[[#This Row],[S3Cycle]]&lt;&gt;0,1,0)</f>
        <v>1</v>
      </c>
      <c r="BC12" s="175">
        <f>MAX(Prod[[#This Row],[S1Cavity]],Prod[[#This Row],[S2Cavity]],Prod[[#This Row],[S3Cavity]])</f>
        <v>15</v>
      </c>
      <c r="BD12" s="175" t="b">
        <f>RegExpMatch(Prod[[#This Row],[MoldNo]], "^DEO-(B|C)")</f>
        <v>0</v>
      </c>
      <c r="BE12" s="175" t="b">
        <f>RegExpMatch(Prod[[#This Row],[MoldNo]], "^JAC")</f>
        <v>0</v>
      </c>
    </row>
    <row r="13" spans="1:57" x14ac:dyDescent="0.2">
      <c r="A13" s="117">
        <v>45444</v>
      </c>
      <c r="B13" s="120" t="s">
        <v>146</v>
      </c>
      <c r="C13" s="119" t="s">
        <v>84</v>
      </c>
      <c r="D13" s="119"/>
      <c r="E13" s="131"/>
      <c r="F13" s="119"/>
      <c r="G13" s="119" t="str">
        <f>IF(OR(Prod[[#This Row],[S1Hrs]]&gt;0,Prod[[#This Row],[S2Hrs]]&gt;0,Prod[[#This Row],[S3Hrs]]&gt;0),"Running","Down")</f>
        <v>Down</v>
      </c>
      <c r="H13" s="187">
        <v>0</v>
      </c>
      <c r="I13" s="141">
        <v>0</v>
      </c>
      <c r="J13" s="120">
        <v>0</v>
      </c>
      <c r="K13" s="130">
        <v>0</v>
      </c>
      <c r="L13" s="120">
        <f>Prod[[#This Row],[S1Shot]]*Prod[[#This Row],[S1Cavity]]-Prod[[#This Row],[S1Dft]]</f>
        <v>0</v>
      </c>
      <c r="M13" s="134"/>
      <c r="N13" s="187">
        <v>0</v>
      </c>
      <c r="O13" s="141">
        <v>0</v>
      </c>
      <c r="P13" s="120">
        <v>0</v>
      </c>
      <c r="Q13" s="130">
        <v>0</v>
      </c>
      <c r="R13" s="120">
        <f>Prod[[#This Row],[S2Shot]]*Prod[[#This Row],[S2Cavity]]-Prod[[#This Row],[S2Dft]]</f>
        <v>0</v>
      </c>
      <c r="S13" s="134"/>
      <c r="T13" s="187">
        <v>0</v>
      </c>
      <c r="U13" s="141">
        <v>0</v>
      </c>
      <c r="V13" s="120">
        <v>0</v>
      </c>
      <c r="W13" s="130">
        <v>0</v>
      </c>
      <c r="X13" s="120">
        <f>Prod[[#This Row],[S3Shot]]*Prod[[#This Row],[S3Cavity]]-Prod[[#This Row],[S3Dft]]</f>
        <v>0</v>
      </c>
      <c r="Y13" s="134"/>
      <c r="Z13" s="120">
        <f>SUM(Prod[[#This Row],[S1Qty]],Prod[[#This Row],[S2Qty]],Prod[[#This Row],[S3Qty]])</f>
        <v>0</v>
      </c>
      <c r="AA13" s="134"/>
      <c r="AB13" s="135"/>
      <c r="AC13" s="118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2">
        <f>IF(Prod[[#This Row],[S1Hrs]]=0,0,Prod[[#This Row],[S1Shot]]*Prod[[#This Row],[S1Cycle]]/(Prod[[#This Row],[S1Hrs]]*60*60))</f>
        <v>0</v>
      </c>
      <c r="AT13" s="132">
        <f>IF(Prod[[#This Row],[S2Hrs]]=0,0,Prod[[#This Row],[S2Shot]]*Prod[[#This Row],[S2Cycle]]/(Prod[[#This Row],[S2Hrs]]*60*60))</f>
        <v>0</v>
      </c>
      <c r="AU13" s="132">
        <f>IF(Prod[[#This Row],[S3Hrs]]=0,0,Prod[[#This Row],[S3Shot]]*Prod[[#This Row],[S3Cycle]]/(Prod[[#This Row],[S3Hrs]]*60*60))</f>
        <v>0</v>
      </c>
      <c r="AV13" s="132">
        <f>IFERROR(AVERAGEIF(Prod[[#This Row],[S1%]:[S3%]], "&lt;&gt;0"),0)</f>
        <v>0</v>
      </c>
      <c r="AW13" s="132">
        <v>0</v>
      </c>
      <c r="AX13" s="132">
        <v>0</v>
      </c>
      <c r="AY13" s="132">
        <v>0</v>
      </c>
      <c r="AZ13" s="175">
        <f>IF(Prod[[#This Row],[S1Cycle]]&lt;&gt;0,1,0)</f>
        <v>0</v>
      </c>
      <c r="BA13" s="175">
        <f>IF(Prod[[#This Row],[S2Cycle]]&lt;&gt;0,1,0)</f>
        <v>0</v>
      </c>
      <c r="BB13" s="175">
        <f>IF(Prod[[#This Row],[S3Cycle]]&lt;&gt;0,1,0)</f>
        <v>0</v>
      </c>
      <c r="BC13" s="175">
        <f>MAX(Prod[[#This Row],[S1Cavity]],Prod[[#This Row],[S2Cavity]],Prod[[#This Row],[S3Cavity]])</f>
        <v>0</v>
      </c>
      <c r="BD13" s="175" t="b">
        <f>RegExpMatch(Prod[[#This Row],[MoldNo]], "^DEO-(B|C)")</f>
        <v>0</v>
      </c>
      <c r="BE13" s="175" t="b">
        <f>RegExpMatch(Prod[[#This Row],[MoldNo]], "^JAC")</f>
        <v>0</v>
      </c>
    </row>
    <row r="14" spans="1:57" x14ac:dyDescent="0.2">
      <c r="A14" s="117">
        <v>45444</v>
      </c>
      <c r="B14" s="130" t="s">
        <v>194</v>
      </c>
      <c r="C14" s="131" t="s">
        <v>9</v>
      </c>
      <c r="D14" s="119"/>
      <c r="E14" s="131"/>
      <c r="F14" s="119"/>
      <c r="G14" s="119" t="str">
        <f>IF(OR(Prod[[#This Row],[S1Hrs]]&gt;0,Prod[[#This Row],[S2Hrs]]&gt;0,Prod[[#This Row],[S3Hrs]]&gt;0),"Running","Down")</f>
        <v>Down</v>
      </c>
      <c r="H14" s="187">
        <v>0</v>
      </c>
      <c r="I14" s="141">
        <v>0</v>
      </c>
      <c r="J14" s="120">
        <v>0</v>
      </c>
      <c r="K14" s="130">
        <v>0</v>
      </c>
      <c r="L14" s="120">
        <f>Prod[[#This Row],[S1Shot]]*Prod[[#This Row],[S1Cavity]]-Prod[[#This Row],[S1Dft]]</f>
        <v>0</v>
      </c>
      <c r="M14" s="134"/>
      <c r="N14" s="187">
        <v>0</v>
      </c>
      <c r="O14" s="141">
        <v>0</v>
      </c>
      <c r="P14" s="120">
        <v>0</v>
      </c>
      <c r="Q14" s="130">
        <v>0</v>
      </c>
      <c r="R14" s="120">
        <f>Prod[[#This Row],[S2Shot]]*Prod[[#This Row],[S2Cavity]]-Prod[[#This Row],[S2Dft]]</f>
        <v>0</v>
      </c>
      <c r="S14" s="134"/>
      <c r="T14" s="187">
        <v>0</v>
      </c>
      <c r="U14" s="141">
        <v>0</v>
      </c>
      <c r="V14" s="120">
        <v>0</v>
      </c>
      <c r="W14" s="130">
        <v>0</v>
      </c>
      <c r="X14" s="120">
        <f>Prod[[#This Row],[S3Shot]]*Prod[[#This Row],[S3Cavity]]-Prod[[#This Row],[S3Dft]]</f>
        <v>0</v>
      </c>
      <c r="Y14" s="134"/>
      <c r="Z14" s="120">
        <f>SUM(Prod[[#This Row],[S1Qty]],Prod[[#This Row],[S2Qty]],Prod[[#This Row],[S3Qty]])</f>
        <v>0</v>
      </c>
      <c r="AA14" s="134"/>
      <c r="AB14" s="135"/>
      <c r="AC14" s="118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2">
        <f>IF(Prod[[#This Row],[S1Hrs]]=0,0,Prod[[#This Row],[S1Shot]]*Prod[[#This Row],[S1Cycle]]/(Prod[[#This Row],[S1Hrs]]*60*60))</f>
        <v>0</v>
      </c>
      <c r="AT14" s="132">
        <f>IF(Prod[[#This Row],[S2Hrs]]=0,0,Prod[[#This Row],[S2Shot]]*Prod[[#This Row],[S2Cycle]]/(Prod[[#This Row],[S2Hrs]]*60*60))</f>
        <v>0</v>
      </c>
      <c r="AU14" s="132">
        <f>IF(Prod[[#This Row],[S3Hrs]]=0,0,Prod[[#This Row],[S3Shot]]*Prod[[#This Row],[S3Cycle]]/(Prod[[#This Row],[S3Hrs]]*60*60))</f>
        <v>0</v>
      </c>
      <c r="AV14" s="132">
        <f>IFERROR(AVERAGEIF(Prod[[#This Row],[S1%]:[S3%]], "&lt;&gt;0"),0)</f>
        <v>0</v>
      </c>
      <c r="AW14" s="132">
        <v>0</v>
      </c>
      <c r="AX14" s="132">
        <v>0</v>
      </c>
      <c r="AY14" s="132">
        <v>0</v>
      </c>
      <c r="AZ14" s="175">
        <f>IF(Prod[[#This Row],[S1Cycle]]&lt;&gt;0,1,0)</f>
        <v>0</v>
      </c>
      <c r="BA14" s="175">
        <f>IF(Prod[[#This Row],[S2Cycle]]&lt;&gt;0,1,0)</f>
        <v>0</v>
      </c>
      <c r="BB14" s="175">
        <f>IF(Prod[[#This Row],[S3Cycle]]&lt;&gt;0,1,0)</f>
        <v>0</v>
      </c>
      <c r="BC14" s="175">
        <f>MAX(Prod[[#This Row],[S1Cavity]],Prod[[#This Row],[S2Cavity]],Prod[[#This Row],[S3Cavity]])</f>
        <v>0</v>
      </c>
      <c r="BD14" s="175" t="b">
        <f>RegExpMatch(Prod[[#This Row],[MoldNo]], "^DEO-(B|C)")</f>
        <v>0</v>
      </c>
      <c r="BE14" s="175" t="b">
        <f>RegExpMatch(Prod[[#This Row],[MoldNo]], "^JAC")</f>
        <v>0</v>
      </c>
    </row>
    <row r="15" spans="1:57" x14ac:dyDescent="0.2">
      <c r="A15" s="117">
        <v>45444</v>
      </c>
      <c r="B15" s="130" t="s">
        <v>164</v>
      </c>
      <c r="C15" s="131" t="s">
        <v>144</v>
      </c>
      <c r="D15" s="119">
        <v>27136</v>
      </c>
      <c r="E15" s="131" t="s">
        <v>199</v>
      </c>
      <c r="F15" s="119">
        <v>814</v>
      </c>
      <c r="G15" s="119" t="str">
        <f>IF(OR(Prod[[#This Row],[S1Hrs]]&gt;0,Prod[[#This Row],[S2Hrs]]&gt;0,Prod[[#This Row],[S3Hrs]]&gt;0),"Running","Down")</f>
        <v>Running</v>
      </c>
      <c r="H15" s="187">
        <v>19.190000000000001</v>
      </c>
      <c r="I15" s="141">
        <v>5</v>
      </c>
      <c r="J15" s="120">
        <v>974</v>
      </c>
      <c r="K15" s="130">
        <v>8</v>
      </c>
      <c r="L15" s="120">
        <f>Prod[[#This Row],[S1Shot]]*Prod[[#This Row],[S1Cavity]]-Prod[[#This Row],[S1Dft]]</f>
        <v>7707</v>
      </c>
      <c r="M15" s="136">
        <f>SUM(Prod[[#This Row],[S1Mold]],Prod[[#This Row],[S1Print]],Prod[[#This Row],[S1Ovlp]],Prod[[#This Row],[S1Seam]],Prod[[#This Row],[S1Dmg]])</f>
        <v>85</v>
      </c>
      <c r="N15" s="187">
        <v>0</v>
      </c>
      <c r="O15" s="141">
        <v>0</v>
      </c>
      <c r="P15" s="120">
        <v>0</v>
      </c>
      <c r="Q15" s="130">
        <v>0</v>
      </c>
      <c r="R15" s="120">
        <f>Prod[[#This Row],[S2Shot]]*Prod[[#This Row],[S2Cavity]]-Prod[[#This Row],[S2Dft]]</f>
        <v>0</v>
      </c>
      <c r="S15" s="136">
        <f>SUM(Prod[[#This Row],[S2Mold]],Prod[[#This Row],[S2Print]],Prod[[#This Row],[S2Ovlp]],Prod[[#This Row],[S2Seam]],Prod[[#This Row],[S2Dmg]])</f>
        <v>0</v>
      </c>
      <c r="T15" s="187">
        <v>0</v>
      </c>
      <c r="U15" s="141">
        <v>0</v>
      </c>
      <c r="V15" s="120">
        <v>0</v>
      </c>
      <c r="W15" s="130">
        <v>0</v>
      </c>
      <c r="X15" s="120">
        <f>Prod[[#This Row],[S3Shot]]*Prod[[#This Row],[S3Cavity]]-Prod[[#This Row],[S3Dft]]</f>
        <v>0</v>
      </c>
      <c r="Y15" s="120">
        <f>SUM(Prod[[#This Row],[S3Mold]],Prod[[#This Row],[S3Print]],Prod[[#This Row],[S3Ovlp]],Prod[[#This Row],[S3Seam]],Prod[[#This Row],[S3Dmg]])</f>
        <v>0</v>
      </c>
      <c r="Z15" s="120">
        <f>SUM(Prod[[#This Row],[S1Qty]],Prod[[#This Row],[S2Qty]],Prod[[#This Row],[S3Qty]])</f>
        <v>7707</v>
      </c>
      <c r="AA15" s="120">
        <f>SUM(Prod[[#This Row],[S1Dft]],Prod[[#This Row],[S2Dft]],Prod[[#This Row],[S3Dft]])</f>
        <v>85</v>
      </c>
      <c r="AB15" s="121">
        <f>IF(Prod[[#This Row],[Total]]=0,0,Prod[[#This Row],[TotalDft]]/Prod[[#This Row],[Total]])</f>
        <v>1.1028934734656805E-2</v>
      </c>
      <c r="AC15" s="118"/>
      <c r="AD15" s="120">
        <v>15</v>
      </c>
      <c r="AE15" s="120">
        <v>0</v>
      </c>
      <c r="AF15" s="120">
        <v>0</v>
      </c>
      <c r="AG15" s="120">
        <v>70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2">
        <f>IF(Prod[[#This Row],[S1Hrs]]=0,0,Prod[[#This Row],[S1Shot]]*Prod[[#This Row],[S1Cycle]]/(Prod[[#This Row],[S1Hrs]]*60*60))</f>
        <v>1.0383922222222224</v>
      </c>
      <c r="AT15" s="132">
        <f>IF(Prod[[#This Row],[S2Hrs]]=0,0,Prod[[#This Row],[S2Shot]]*Prod[[#This Row],[S2Cycle]]/(Prod[[#This Row],[S2Hrs]]*60*60))</f>
        <v>0</v>
      </c>
      <c r="AU15" s="132">
        <f>IF(Prod[[#This Row],[S3Hrs]]=0,0,Prod[[#This Row],[S3Shot]]*Prod[[#This Row],[S3Cycle]]/(Prod[[#This Row],[S3Hrs]]*60*60))</f>
        <v>0</v>
      </c>
      <c r="AV15" s="132">
        <f>IFERROR(AVERAGEIF(Prod[[#This Row],[S1%]:[S3%]], "&lt;&gt;0"),0)</f>
        <v>1.0383922222222224</v>
      </c>
      <c r="AW15" s="132">
        <v>0.5</v>
      </c>
      <c r="AX15" s="132">
        <v>0</v>
      </c>
      <c r="AY15" s="132">
        <v>0</v>
      </c>
      <c r="AZ15" s="175">
        <f>IF(Prod[[#This Row],[S1Cycle]]&lt;&gt;0,1,0)</f>
        <v>1</v>
      </c>
      <c r="BA15" s="175">
        <f>IF(Prod[[#This Row],[S2Cycle]]&lt;&gt;0,1,0)</f>
        <v>0</v>
      </c>
      <c r="BB15" s="175">
        <f>IF(Prod[[#This Row],[S3Cycle]]&lt;&gt;0,1,0)</f>
        <v>0</v>
      </c>
      <c r="BC15" s="175">
        <f>MAX(Prod[[#This Row],[S1Cavity]],Prod[[#This Row],[S2Cavity]],Prod[[#This Row],[S3Cavity]])</f>
        <v>8</v>
      </c>
      <c r="BD15" s="175" t="b">
        <f>RegExpMatch(Prod[[#This Row],[MoldNo]], "^DEO-(B|C)")</f>
        <v>1</v>
      </c>
      <c r="BE15" s="175" t="b">
        <f>RegExpMatch(Prod[[#This Row],[MoldNo]], "^JAC")</f>
        <v>0</v>
      </c>
    </row>
    <row r="16" spans="1:57" x14ac:dyDescent="0.2">
      <c r="A16" s="117">
        <v>45444</v>
      </c>
      <c r="B16" s="130" t="s">
        <v>164</v>
      </c>
      <c r="C16" s="131" t="s">
        <v>144</v>
      </c>
      <c r="D16" s="119">
        <v>27712</v>
      </c>
      <c r="E16" s="131" t="s">
        <v>199</v>
      </c>
      <c r="F16" s="119">
        <v>814</v>
      </c>
      <c r="G16" s="119" t="str">
        <f>IF(OR(Prod[[#This Row],[S1Hrs]]&gt;0,Prod[[#This Row],[S2Hrs]]&gt;0,Prod[[#This Row],[S3Hrs]]&gt;0),"Running","Down")</f>
        <v>Running</v>
      </c>
      <c r="H16" s="187">
        <v>19.21</v>
      </c>
      <c r="I16" s="141">
        <v>2</v>
      </c>
      <c r="J16" s="120">
        <v>328</v>
      </c>
      <c r="K16" s="130">
        <v>8</v>
      </c>
      <c r="L16" s="120">
        <f>Prod[[#This Row],[S1Shot]]*Prod[[#This Row],[S1Cavity]]-Prod[[#This Row],[S1Dft]]</f>
        <v>2579</v>
      </c>
      <c r="M16" s="136">
        <f>SUM(Prod[[#This Row],[S1Mold]],Prod[[#This Row],[S1Print]],Prod[[#This Row],[S1Ovlp]],Prod[[#This Row],[S1Seam]],Prod[[#This Row],[S1Dmg]])</f>
        <v>45</v>
      </c>
      <c r="N16" s="187">
        <v>19.28</v>
      </c>
      <c r="O16" s="141">
        <v>8</v>
      </c>
      <c r="P16" s="120">
        <v>1586</v>
      </c>
      <c r="Q16" s="130">
        <v>8</v>
      </c>
      <c r="R16" s="120">
        <f>Prod[[#This Row],[S2Shot]]*Prod[[#This Row],[S2Cavity]]-Prod[[#This Row],[S2Dft]]</f>
        <v>12563</v>
      </c>
      <c r="S16" s="136">
        <f>SUM(Prod[[#This Row],[S2Mold]],Prod[[#This Row],[S2Print]],Prod[[#This Row],[S2Ovlp]],Prod[[#This Row],[S2Seam]],Prod[[#This Row],[S2Dmg]])</f>
        <v>125</v>
      </c>
      <c r="T16" s="187">
        <v>19.190000000000001</v>
      </c>
      <c r="U16" s="141">
        <v>8</v>
      </c>
      <c r="V16" s="120">
        <v>1479</v>
      </c>
      <c r="W16" s="130">
        <v>8</v>
      </c>
      <c r="X16" s="120">
        <f>Prod[[#This Row],[S3Shot]]*Prod[[#This Row],[S3Cavity]]-Prod[[#This Row],[S3Dft]]</f>
        <v>11707</v>
      </c>
      <c r="Y16" s="120">
        <f>SUM(Prod[[#This Row],[S3Mold]],Prod[[#This Row],[S3Print]],Prod[[#This Row],[S3Ovlp]],Prod[[#This Row],[S3Seam]],Prod[[#This Row],[S3Dmg]])</f>
        <v>125</v>
      </c>
      <c r="Z16" s="120">
        <f>SUM(Prod[[#This Row],[S1Qty]],Prod[[#This Row],[S2Qty]],Prod[[#This Row],[S3Qty]])</f>
        <v>26849</v>
      </c>
      <c r="AA16" s="120">
        <f>SUM(Prod[[#This Row],[S1Dft]],Prod[[#This Row],[S2Dft]],Prod[[#This Row],[S3Dft]])</f>
        <v>295</v>
      </c>
      <c r="AB16" s="121">
        <f>IF(Prod[[#This Row],[Total]]=0,0,Prod[[#This Row],[TotalDft]]/Prod[[#This Row],[Total]])</f>
        <v>1.0987373831427614E-2</v>
      </c>
      <c r="AC16" s="118"/>
      <c r="AD16" s="120">
        <v>10</v>
      </c>
      <c r="AE16" s="120">
        <v>20</v>
      </c>
      <c r="AF16" s="120">
        <v>20</v>
      </c>
      <c r="AG16" s="120">
        <v>35</v>
      </c>
      <c r="AH16" s="120">
        <v>105</v>
      </c>
      <c r="AI16" s="120">
        <v>105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2">
        <f>IF(Prod[[#This Row],[S1Hrs]]=0,0,Prod[[#This Row],[S1Shot]]*Prod[[#This Row],[S1Cycle]]/(Prod[[#This Row],[S1Hrs]]*60*60))</f>
        <v>0.87512222222222225</v>
      </c>
      <c r="AT16" s="132">
        <f>IF(Prod[[#This Row],[S2Hrs]]=0,0,Prod[[#This Row],[S2Shot]]*Prod[[#This Row],[S2Cycle]]/(Prod[[#This Row],[S2Hrs]]*60*60))</f>
        <v>1.061738888888889</v>
      </c>
      <c r="AU16" s="132">
        <f>IF(Prod[[#This Row],[S3Hrs]]=0,0,Prod[[#This Row],[S3Shot]]*Prod[[#This Row],[S3Cycle]]/(Prod[[#This Row],[S3Hrs]]*60*60))</f>
        <v>0.98548645833333337</v>
      </c>
      <c r="AV16" s="132">
        <f>IFERROR(AVERAGEIF(Prod[[#This Row],[S1%]:[S3%]], "&lt;&gt;0"),0)</f>
        <v>0.97411585648148158</v>
      </c>
      <c r="AW16" s="132">
        <v>0.5</v>
      </c>
      <c r="AX16" s="132">
        <v>0</v>
      </c>
      <c r="AY16" s="132">
        <v>0</v>
      </c>
      <c r="AZ16" s="175">
        <f>IF(Prod[[#This Row],[S1Cycle]]&lt;&gt;0,1,0)</f>
        <v>1</v>
      </c>
      <c r="BA16" s="175">
        <f>IF(Prod[[#This Row],[S2Cycle]]&lt;&gt;0,1,0)</f>
        <v>1</v>
      </c>
      <c r="BB16" s="175">
        <f>IF(Prod[[#This Row],[S3Cycle]]&lt;&gt;0,1,0)</f>
        <v>1</v>
      </c>
      <c r="BC16" s="175">
        <f>MAX(Prod[[#This Row],[S1Cavity]],Prod[[#This Row],[S2Cavity]],Prod[[#This Row],[S3Cavity]])</f>
        <v>8</v>
      </c>
      <c r="BD16" s="175" t="b">
        <f>RegExpMatch(Prod[[#This Row],[MoldNo]], "^DEO-(B|C)")</f>
        <v>1</v>
      </c>
      <c r="BE16" s="175" t="b">
        <f>RegExpMatch(Prod[[#This Row],[MoldNo]], "^JAC")</f>
        <v>0</v>
      </c>
    </row>
    <row r="17" spans="1:57" x14ac:dyDescent="0.2">
      <c r="A17" s="117">
        <v>45444</v>
      </c>
      <c r="B17" s="130" t="s">
        <v>162</v>
      </c>
      <c r="C17" s="131" t="s">
        <v>163</v>
      </c>
      <c r="D17" s="119">
        <v>27136</v>
      </c>
      <c r="E17" s="131" t="s">
        <v>199</v>
      </c>
      <c r="F17" s="119">
        <v>814</v>
      </c>
      <c r="G17" s="119" t="str">
        <f>IF(OR(Prod[[#This Row],[S1Hrs]]&gt;0,Prod[[#This Row],[S2Hrs]]&gt;0,Prod[[#This Row],[S3Hrs]]&gt;0),"Running","Down")</f>
        <v>Running</v>
      </c>
      <c r="H17" s="187">
        <v>22.29</v>
      </c>
      <c r="I17" s="141">
        <v>1.5</v>
      </c>
      <c r="J17" s="120">
        <v>238</v>
      </c>
      <c r="K17" s="130">
        <v>8</v>
      </c>
      <c r="L17" s="120">
        <f>Prod[[#This Row],[S1Shot]]*Prod[[#This Row],[S1Cavity]]-Prod[[#This Row],[S1Dft]]</f>
        <v>1879</v>
      </c>
      <c r="M17" s="136">
        <f>SUM(Prod[[#This Row],[S1Mold]],Prod[[#This Row],[S1Print]],Prod[[#This Row],[S1Ovlp]],Prod[[#This Row],[S1Seam]],Prod[[#This Row],[S1Dmg]])</f>
        <v>25</v>
      </c>
      <c r="N17" s="187">
        <v>22.29</v>
      </c>
      <c r="O17" s="141">
        <v>8</v>
      </c>
      <c r="P17" s="120">
        <v>1331</v>
      </c>
      <c r="Q17" s="130">
        <v>8</v>
      </c>
      <c r="R17" s="120">
        <f>Prod[[#This Row],[S2Shot]]*Prod[[#This Row],[S2Cavity]]-Prod[[#This Row],[S2Dft]]</f>
        <v>10533</v>
      </c>
      <c r="S17" s="136">
        <f>SUM(Prod[[#This Row],[S2Mold]],Prod[[#This Row],[S2Print]],Prod[[#This Row],[S2Ovlp]],Prod[[#This Row],[S2Seam]],Prod[[#This Row],[S2Dmg]])</f>
        <v>115</v>
      </c>
      <c r="T17" s="187">
        <v>0</v>
      </c>
      <c r="U17" s="141">
        <v>0</v>
      </c>
      <c r="V17" s="120">
        <v>0</v>
      </c>
      <c r="W17" s="130">
        <v>0</v>
      </c>
      <c r="X17" s="120">
        <f>Prod[[#This Row],[S3Shot]]*Prod[[#This Row],[S3Cavity]]-Prod[[#This Row],[S3Dft]]</f>
        <v>0</v>
      </c>
      <c r="Y17" s="120">
        <f>SUM(Prod[[#This Row],[S3Mold]],Prod[[#This Row],[S3Print]],Prod[[#This Row],[S3Ovlp]],Prod[[#This Row],[S3Seam]],Prod[[#This Row],[S3Dmg]])</f>
        <v>0</v>
      </c>
      <c r="Z17" s="120">
        <f>SUM(Prod[[#This Row],[S1Qty]],Prod[[#This Row],[S2Qty]],Prod[[#This Row],[S3Qty]])</f>
        <v>12412</v>
      </c>
      <c r="AA17" s="120">
        <f>SUM(Prod[[#This Row],[S1Dft]],Prod[[#This Row],[S2Dft]],Prod[[#This Row],[S3Dft]])</f>
        <v>140</v>
      </c>
      <c r="AB17" s="121">
        <f>IF(Prod[[#This Row],[Total]]=0,0,Prod[[#This Row],[TotalDft]]/Prod[[#This Row],[Total]])</f>
        <v>1.1279407025459234E-2</v>
      </c>
      <c r="AC17" s="131" t="s">
        <v>201</v>
      </c>
      <c r="AD17" s="120">
        <v>10</v>
      </c>
      <c r="AE17" s="120">
        <v>20</v>
      </c>
      <c r="AF17" s="120">
        <v>0</v>
      </c>
      <c r="AG17" s="120">
        <v>15</v>
      </c>
      <c r="AH17" s="120">
        <v>95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32">
        <f>IF(Prod[[#This Row],[S1Hrs]]=0,0,Prod[[#This Row],[S1Shot]]*Prod[[#This Row],[S1Cycle]]/(Prod[[#This Row],[S1Hrs]]*60*60))</f>
        <v>0.98241111111111101</v>
      </c>
      <c r="AT17" s="132">
        <f>IF(Prod[[#This Row],[S2Hrs]]=0,0,Prod[[#This Row],[S2Shot]]*Prod[[#This Row],[S2Cycle]]/(Prod[[#This Row],[S2Hrs]]*60*60))</f>
        <v>1.0301385416666666</v>
      </c>
      <c r="AU17" s="132">
        <f>IF(Prod[[#This Row],[S3Hrs]]=0,0,Prod[[#This Row],[S3Shot]]*Prod[[#This Row],[S3Cycle]]/(Prod[[#This Row],[S3Hrs]]*60*60))</f>
        <v>0</v>
      </c>
      <c r="AV17" s="132">
        <f>IFERROR(AVERAGEIF(Prod[[#This Row],[S1%]:[S3%]], "&lt;&gt;0"),0)</f>
        <v>1.0062748263888888</v>
      </c>
      <c r="AW17" s="132">
        <v>0</v>
      </c>
      <c r="AX17" s="132">
        <v>6.5</v>
      </c>
      <c r="AY17" s="132">
        <v>0</v>
      </c>
      <c r="AZ17" s="175">
        <f>IF(Prod[[#This Row],[S1Cycle]]&lt;&gt;0,1,0)</f>
        <v>1</v>
      </c>
      <c r="BA17" s="175">
        <f>IF(Prod[[#This Row],[S2Cycle]]&lt;&gt;0,1,0)</f>
        <v>1</v>
      </c>
      <c r="BB17" s="175">
        <f>IF(Prod[[#This Row],[S3Cycle]]&lt;&gt;0,1,0)</f>
        <v>0</v>
      </c>
      <c r="BC17" s="175">
        <f>MAX(Prod[[#This Row],[S1Cavity]],Prod[[#This Row],[S2Cavity]],Prod[[#This Row],[S3Cavity]])</f>
        <v>8</v>
      </c>
      <c r="BD17" s="175" t="b">
        <f>RegExpMatch(Prod[[#This Row],[MoldNo]], "^DEO-(B|C)")</f>
        <v>1</v>
      </c>
      <c r="BE17" s="175" t="b">
        <f>RegExpMatch(Prod[[#This Row],[MoldNo]], "^JAC")</f>
        <v>0</v>
      </c>
    </row>
    <row r="18" spans="1:57" x14ac:dyDescent="0.2">
      <c r="A18" s="117">
        <v>45444</v>
      </c>
      <c r="B18" s="130" t="s">
        <v>162</v>
      </c>
      <c r="C18" s="131" t="s">
        <v>163</v>
      </c>
      <c r="D18" s="119">
        <v>27712</v>
      </c>
      <c r="E18" s="131" t="s">
        <v>199</v>
      </c>
      <c r="F18" s="119">
        <v>814</v>
      </c>
      <c r="G18" s="119" t="str">
        <f>IF(OR(Prod[[#This Row],[S1Hrs]]&gt;0,Prod[[#This Row],[S2Hrs]]&gt;0,Prod[[#This Row],[S3Hrs]]&gt;0),"Running","Down")</f>
        <v>Running</v>
      </c>
      <c r="H18" s="187">
        <v>0</v>
      </c>
      <c r="I18" s="141">
        <v>0</v>
      </c>
      <c r="J18" s="120">
        <v>0</v>
      </c>
      <c r="K18" s="130">
        <v>0</v>
      </c>
      <c r="L18" s="120">
        <f>Prod[[#This Row],[S1Shot]]*Prod[[#This Row],[S1Cavity]]-Prod[[#This Row],[S1Dft]]</f>
        <v>0</v>
      </c>
      <c r="M18" s="136">
        <f>SUM(Prod[[#This Row],[S1Mold]],Prod[[#This Row],[S1Print]],Prod[[#This Row],[S1Ovlp]],Prod[[#This Row],[S1Seam]],Prod[[#This Row],[S1Dmg]])</f>
        <v>0</v>
      </c>
      <c r="N18" s="187">
        <v>0</v>
      </c>
      <c r="O18" s="141">
        <v>0</v>
      </c>
      <c r="P18" s="120">
        <v>0</v>
      </c>
      <c r="Q18" s="130">
        <v>0</v>
      </c>
      <c r="R18" s="120">
        <f>Prod[[#This Row],[S2Shot]]*Prod[[#This Row],[S2Cavity]]-Prod[[#This Row],[S2Dft]]</f>
        <v>0</v>
      </c>
      <c r="S18" s="136">
        <f>SUM(Prod[[#This Row],[S2Mold]],Prod[[#This Row],[S2Print]],Prod[[#This Row],[S2Ovlp]],Prod[[#This Row],[S2Seam]],Prod[[#This Row],[S2Dmg]])</f>
        <v>0</v>
      </c>
      <c r="T18" s="187">
        <v>22.29</v>
      </c>
      <c r="U18" s="141">
        <v>8</v>
      </c>
      <c r="V18" s="120">
        <v>1309</v>
      </c>
      <c r="W18" s="130">
        <v>8</v>
      </c>
      <c r="X18" s="120">
        <f>Prod[[#This Row],[S3Shot]]*Prod[[#This Row],[S3Cavity]]-Prod[[#This Row],[S3Dft]]</f>
        <v>10352</v>
      </c>
      <c r="Y18" s="120">
        <f>SUM(Prod[[#This Row],[S3Mold]],Prod[[#This Row],[S3Print]],Prod[[#This Row],[S3Ovlp]],Prod[[#This Row],[S3Seam]],Prod[[#This Row],[S3Dmg]])</f>
        <v>120</v>
      </c>
      <c r="Z18" s="120">
        <f>SUM(Prod[[#This Row],[S1Qty]],Prod[[#This Row],[S2Qty]],Prod[[#This Row],[S3Qty]])</f>
        <v>10352</v>
      </c>
      <c r="AA18" s="120">
        <f>SUM(Prod[[#This Row],[S1Dft]],Prod[[#This Row],[S2Dft]],Prod[[#This Row],[S3Dft]])</f>
        <v>120</v>
      </c>
      <c r="AB18" s="121">
        <f>IF(Prod[[#This Row],[Total]]=0,0,Prod[[#This Row],[TotalDft]]/Prod[[#This Row],[Total]])</f>
        <v>1.1591962905718702E-2</v>
      </c>
      <c r="AC18" s="118"/>
      <c r="AD18" s="120">
        <v>0</v>
      </c>
      <c r="AE18" s="120">
        <v>0</v>
      </c>
      <c r="AF18" s="120">
        <v>25</v>
      </c>
      <c r="AG18" s="120">
        <v>0</v>
      </c>
      <c r="AH18" s="120">
        <v>0</v>
      </c>
      <c r="AI18" s="120">
        <v>95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32">
        <f>IF(Prod[[#This Row],[S1Hrs]]=0,0,Prod[[#This Row],[S1Shot]]*Prod[[#This Row],[S1Cycle]]/(Prod[[#This Row],[S1Hrs]]*60*60))</f>
        <v>0</v>
      </c>
      <c r="AT18" s="132">
        <f>IF(Prod[[#This Row],[S2Hrs]]=0,0,Prod[[#This Row],[S2Shot]]*Prod[[#This Row],[S2Cycle]]/(Prod[[#This Row],[S2Hrs]]*60*60))</f>
        <v>0</v>
      </c>
      <c r="AU18" s="132">
        <f>IF(Prod[[#This Row],[S3Hrs]]=0,0,Prod[[#This Row],[S3Shot]]*Prod[[#This Row],[S3Cycle]]/(Prod[[#This Row],[S3Hrs]]*60*60))</f>
        <v>1.0131114583333334</v>
      </c>
      <c r="AV18" s="132">
        <f>IFERROR(AVERAGEIF(Prod[[#This Row],[S1%]:[S3%]], "&lt;&gt;0"),0)</f>
        <v>1.0131114583333334</v>
      </c>
      <c r="AW18" s="132">
        <v>0</v>
      </c>
      <c r="AX18" s="132">
        <v>0</v>
      </c>
      <c r="AY18" s="132">
        <v>0</v>
      </c>
      <c r="AZ18" s="175">
        <f>IF(Prod[[#This Row],[S1Cycle]]&lt;&gt;0,1,0)</f>
        <v>0</v>
      </c>
      <c r="BA18" s="175">
        <f>IF(Prod[[#This Row],[S2Cycle]]&lt;&gt;0,1,0)</f>
        <v>0</v>
      </c>
      <c r="BB18" s="175">
        <f>IF(Prod[[#This Row],[S3Cycle]]&lt;&gt;0,1,0)</f>
        <v>1</v>
      </c>
      <c r="BC18" s="175">
        <f>MAX(Prod[[#This Row],[S1Cavity]],Prod[[#This Row],[S2Cavity]],Prod[[#This Row],[S3Cavity]])</f>
        <v>8</v>
      </c>
      <c r="BD18" s="175" t="b">
        <f>RegExpMatch(Prod[[#This Row],[MoldNo]], "^DEO-(B|C)")</f>
        <v>1</v>
      </c>
      <c r="BE18" s="175" t="b">
        <f>RegExpMatch(Prod[[#This Row],[MoldNo]], "^JAC")</f>
        <v>0</v>
      </c>
    </row>
    <row r="19" spans="1:57" x14ac:dyDescent="0.2">
      <c r="A19" s="117">
        <v>45444</v>
      </c>
      <c r="B19" s="130" t="s">
        <v>174</v>
      </c>
      <c r="C19" s="131" t="s">
        <v>175</v>
      </c>
      <c r="D19" s="119">
        <v>27248</v>
      </c>
      <c r="E19" s="131" t="s">
        <v>199</v>
      </c>
      <c r="F19" s="119">
        <v>814</v>
      </c>
      <c r="G19" s="119" t="str">
        <f>IF(OR(Prod[[#This Row],[S1Hrs]]&gt;0,Prod[[#This Row],[S2Hrs]]&gt;0,Prod[[#This Row],[S3Hrs]]&gt;0),"Running","Down")</f>
        <v>Running</v>
      </c>
      <c r="H19" s="187">
        <v>20.79</v>
      </c>
      <c r="I19" s="141">
        <v>7</v>
      </c>
      <c r="J19" s="120">
        <v>1257</v>
      </c>
      <c r="K19" s="130">
        <v>8</v>
      </c>
      <c r="L19" s="120">
        <f>Prod[[#This Row],[S1Shot]]*Prod[[#This Row],[S1Cavity]]-Prod[[#This Row],[S1Dft]]</f>
        <v>9941</v>
      </c>
      <c r="M19" s="136">
        <f>SUM(Prod[[#This Row],[S1Mold]],Prod[[#This Row],[S1Print]],Prod[[#This Row],[S1Ovlp]],Prod[[#This Row],[S1Seam]],Prod[[#This Row],[S1Dmg]])</f>
        <v>115</v>
      </c>
      <c r="N19" s="187">
        <v>20.78</v>
      </c>
      <c r="O19" s="141">
        <v>8</v>
      </c>
      <c r="P19" s="120">
        <v>1476</v>
      </c>
      <c r="Q19" s="130">
        <v>8</v>
      </c>
      <c r="R19" s="120">
        <f>Prod[[#This Row],[S2Shot]]*Prod[[#This Row],[S2Cavity]]-Prod[[#This Row],[S2Dft]]</f>
        <v>11683</v>
      </c>
      <c r="S19" s="136">
        <f>SUM(Prod[[#This Row],[S2Mold]],Prod[[#This Row],[S2Print]],Prod[[#This Row],[S2Ovlp]],Prod[[#This Row],[S2Seam]],Prod[[#This Row],[S2Dmg]])</f>
        <v>125</v>
      </c>
      <c r="T19" s="187">
        <v>20.75</v>
      </c>
      <c r="U19" s="141">
        <v>4</v>
      </c>
      <c r="V19" s="120">
        <v>696</v>
      </c>
      <c r="W19" s="130">
        <v>8</v>
      </c>
      <c r="X19" s="120">
        <f>Prod[[#This Row],[S3Shot]]*Prod[[#This Row],[S3Cavity]]-Prod[[#This Row],[S3Dft]]</f>
        <v>5503</v>
      </c>
      <c r="Y19" s="120">
        <f>SUM(Prod[[#This Row],[S3Mold]],Prod[[#This Row],[S3Print]],Prod[[#This Row],[S3Ovlp]],Prod[[#This Row],[S3Seam]],Prod[[#This Row],[S3Dmg]])</f>
        <v>65</v>
      </c>
      <c r="Z19" s="120">
        <f>SUM(Prod[[#This Row],[S1Qty]],Prod[[#This Row],[S2Qty]],Prod[[#This Row],[S3Qty]])</f>
        <v>27127</v>
      </c>
      <c r="AA19" s="120">
        <f>SUM(Prod[[#This Row],[S1Dft]],Prod[[#This Row],[S2Dft]],Prod[[#This Row],[S3Dft]])</f>
        <v>305</v>
      </c>
      <c r="AB19" s="121">
        <f>IF(Prod[[#This Row],[Total]]=0,0,Prod[[#This Row],[TotalDft]]/Prod[[#This Row],[Total]])</f>
        <v>1.1243410624101448E-2</v>
      </c>
      <c r="AC19" s="131" t="s">
        <v>200</v>
      </c>
      <c r="AD19" s="120">
        <v>15</v>
      </c>
      <c r="AE19" s="120">
        <v>20</v>
      </c>
      <c r="AF19" s="120">
        <v>10</v>
      </c>
      <c r="AG19" s="120">
        <v>100</v>
      </c>
      <c r="AH19" s="120">
        <v>105</v>
      </c>
      <c r="AI19" s="120">
        <v>55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32">
        <f>IF(Prod[[#This Row],[S1Hrs]]=0,0,Prod[[#This Row],[S1Shot]]*Prod[[#This Row],[S1Cycle]]/(Prod[[#This Row],[S1Hrs]]*60*60))</f>
        <v>1.0370249999999999</v>
      </c>
      <c r="AT19" s="132">
        <f>IF(Prod[[#This Row],[S2Hrs]]=0,0,Prod[[#This Row],[S2Shot]]*Prod[[#This Row],[S2Cycle]]/(Prod[[#This Row],[S2Hrs]]*60*60))</f>
        <v>1.064975</v>
      </c>
      <c r="AU19" s="132">
        <f>IF(Prod[[#This Row],[S3Hrs]]=0,0,Prod[[#This Row],[S3Shot]]*Prod[[#This Row],[S3Cycle]]/(Prod[[#This Row],[S3Hrs]]*60*60))</f>
        <v>1.0029166666666667</v>
      </c>
      <c r="AV19" s="132">
        <f>IFERROR(AVERAGEIF(Prod[[#This Row],[S1%]:[S3%]], "&lt;&gt;0"),0)</f>
        <v>1.0349722222222222</v>
      </c>
      <c r="AW19" s="132">
        <v>0</v>
      </c>
      <c r="AX19" s="132">
        <v>1</v>
      </c>
      <c r="AY19" s="132">
        <v>0</v>
      </c>
      <c r="AZ19" s="175">
        <f>IF(Prod[[#This Row],[S1Cycle]]&lt;&gt;0,1,0)</f>
        <v>1</v>
      </c>
      <c r="BA19" s="175">
        <f>IF(Prod[[#This Row],[S2Cycle]]&lt;&gt;0,1,0)</f>
        <v>1</v>
      </c>
      <c r="BB19" s="175">
        <f>IF(Prod[[#This Row],[S3Cycle]]&lt;&gt;0,1,0)</f>
        <v>1</v>
      </c>
      <c r="BC19" s="175">
        <f>MAX(Prod[[#This Row],[S1Cavity]],Prod[[#This Row],[S2Cavity]],Prod[[#This Row],[S3Cavity]])</f>
        <v>8</v>
      </c>
      <c r="BD19" s="175" t="b">
        <f>RegExpMatch(Prod[[#This Row],[MoldNo]], "^DEO-(B|C)")</f>
        <v>1</v>
      </c>
      <c r="BE19" s="175" t="b">
        <f>RegExpMatch(Prod[[#This Row],[MoldNo]], "^JAC")</f>
        <v>0</v>
      </c>
    </row>
    <row r="20" spans="1:57" x14ac:dyDescent="0.2">
      <c r="A20" s="117">
        <v>45444</v>
      </c>
      <c r="B20" s="130" t="s">
        <v>174</v>
      </c>
      <c r="C20" s="131" t="s">
        <v>175</v>
      </c>
      <c r="D20" s="119">
        <v>27713</v>
      </c>
      <c r="E20" s="131" t="s">
        <v>199</v>
      </c>
      <c r="F20" s="119">
        <v>814</v>
      </c>
      <c r="G20" s="119" t="str">
        <f>IF(OR(Prod[[#This Row],[S1Hrs]]&gt;0,Prod[[#This Row],[S2Hrs]]&gt;0,Prod[[#This Row],[S3Hrs]]&gt;0),"Running","Down")</f>
        <v>Running</v>
      </c>
      <c r="H20" s="187">
        <v>0</v>
      </c>
      <c r="I20" s="141">
        <v>0</v>
      </c>
      <c r="J20" s="120">
        <v>0</v>
      </c>
      <c r="K20" s="130">
        <v>0</v>
      </c>
      <c r="L20" s="120">
        <f>Prod[[#This Row],[S1Shot]]*Prod[[#This Row],[S1Cavity]]-Prod[[#This Row],[S1Dft]]</f>
        <v>0</v>
      </c>
      <c r="M20" s="136">
        <f>SUM(Prod[[#This Row],[S1Mold]],Prod[[#This Row],[S1Print]],Prod[[#This Row],[S1Ovlp]],Prod[[#This Row],[S1Seam]],Prod[[#This Row],[S1Dmg]])</f>
        <v>0</v>
      </c>
      <c r="N20" s="187">
        <v>0</v>
      </c>
      <c r="O20" s="141">
        <v>0</v>
      </c>
      <c r="P20" s="120">
        <v>0</v>
      </c>
      <c r="Q20" s="130">
        <v>0</v>
      </c>
      <c r="R20" s="120">
        <f>Prod[[#This Row],[S2Shot]]*Prod[[#This Row],[S2Cavity]]-Prod[[#This Row],[S2Dft]]</f>
        <v>0</v>
      </c>
      <c r="S20" s="136">
        <f>SUM(Prod[[#This Row],[S2Mold]],Prod[[#This Row],[S2Print]],Prod[[#This Row],[S2Ovlp]],Prod[[#This Row],[S2Seam]],Prod[[#This Row],[S2Dmg]])</f>
        <v>0</v>
      </c>
      <c r="T20" s="187">
        <v>20.75</v>
      </c>
      <c r="U20" s="141">
        <v>4</v>
      </c>
      <c r="V20" s="120">
        <v>578</v>
      </c>
      <c r="W20" s="130">
        <v>8</v>
      </c>
      <c r="X20" s="120">
        <f>Prod[[#This Row],[S3Shot]]*Prod[[#This Row],[S3Cavity]]-Prod[[#This Row],[S3Dft]]</f>
        <v>4574</v>
      </c>
      <c r="Y20" s="120">
        <f>SUM(Prod[[#This Row],[S3Mold]],Prod[[#This Row],[S3Print]],Prod[[#This Row],[S3Ovlp]],Prod[[#This Row],[S3Seam]],Prod[[#This Row],[S3Dmg]])</f>
        <v>50</v>
      </c>
      <c r="Z20" s="120">
        <f>SUM(Prod[[#This Row],[S1Qty]],Prod[[#This Row],[S2Qty]],Prod[[#This Row],[S3Qty]])</f>
        <v>4574</v>
      </c>
      <c r="AA20" s="120">
        <f>SUM(Prod[[#This Row],[S1Dft]],Prod[[#This Row],[S2Dft]],Prod[[#This Row],[S3Dft]])</f>
        <v>50</v>
      </c>
      <c r="AB20" s="121">
        <f>IF(Prod[[#This Row],[Total]]=0,0,Prod[[#This Row],[TotalDft]]/Prod[[#This Row],[Total]])</f>
        <v>1.0931351114997814E-2</v>
      </c>
      <c r="AC20" s="131"/>
      <c r="AD20" s="120">
        <v>0</v>
      </c>
      <c r="AE20" s="120">
        <v>0</v>
      </c>
      <c r="AF20" s="120">
        <v>5</v>
      </c>
      <c r="AG20" s="120">
        <v>0</v>
      </c>
      <c r="AH20" s="120">
        <v>0</v>
      </c>
      <c r="AI20" s="120">
        <v>45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32">
        <f>IF(Prod[[#This Row],[S1Hrs]]=0,0,Prod[[#This Row],[S1Shot]]*Prod[[#This Row],[S1Cycle]]/(Prod[[#This Row],[S1Hrs]]*60*60))</f>
        <v>0</v>
      </c>
      <c r="AT20" s="132">
        <f>IF(Prod[[#This Row],[S2Hrs]]=0,0,Prod[[#This Row],[S2Shot]]*Prod[[#This Row],[S2Cycle]]/(Prod[[#This Row],[S2Hrs]]*60*60))</f>
        <v>0</v>
      </c>
      <c r="AU20" s="132">
        <f>IF(Prod[[#This Row],[S3Hrs]]=0,0,Prod[[#This Row],[S3Shot]]*Prod[[#This Row],[S3Cycle]]/(Prod[[#This Row],[S3Hrs]]*60*60))</f>
        <v>0.83288194444444441</v>
      </c>
      <c r="AV20" s="132">
        <f>IFERROR(AVERAGEIF(Prod[[#This Row],[S1%]:[S3%]], "&lt;&gt;0"),0)</f>
        <v>0.83288194444444441</v>
      </c>
      <c r="AW20" s="132">
        <v>0</v>
      </c>
      <c r="AX20" s="132">
        <v>0</v>
      </c>
      <c r="AY20" s="132">
        <v>0</v>
      </c>
      <c r="AZ20" s="175">
        <f>IF(Prod[[#This Row],[S1Cycle]]&lt;&gt;0,1,0)</f>
        <v>0</v>
      </c>
      <c r="BA20" s="175">
        <f>IF(Prod[[#This Row],[S2Cycle]]&lt;&gt;0,1,0)</f>
        <v>0</v>
      </c>
      <c r="BB20" s="175">
        <f>IF(Prod[[#This Row],[S3Cycle]]&lt;&gt;0,1,0)</f>
        <v>1</v>
      </c>
      <c r="BC20" s="175">
        <f>MAX(Prod[[#This Row],[S1Cavity]],Prod[[#This Row],[S2Cavity]],Prod[[#This Row],[S3Cavity]])</f>
        <v>8</v>
      </c>
      <c r="BD20" s="175" t="b">
        <f>RegExpMatch(Prod[[#This Row],[MoldNo]], "^DEO-(B|C)")</f>
        <v>1</v>
      </c>
      <c r="BE20" s="175" t="b">
        <f>RegExpMatch(Prod[[#This Row],[MoldNo]], "^JAC")</f>
        <v>0</v>
      </c>
    </row>
    <row r="21" spans="1:57" x14ac:dyDescent="0.2">
      <c r="A21" s="117">
        <v>45444</v>
      </c>
      <c r="B21" s="130" t="s">
        <v>176</v>
      </c>
      <c r="C21" s="131" t="s">
        <v>81</v>
      </c>
      <c r="D21" s="119">
        <v>27134</v>
      </c>
      <c r="E21" s="119" t="s">
        <v>199</v>
      </c>
      <c r="F21" s="119">
        <v>814</v>
      </c>
      <c r="G21" s="119" t="str">
        <f>IF(OR(Prod[[#This Row],[S1Hrs]]&gt;0,Prod[[#This Row],[S2Hrs]]&gt;0,Prod[[#This Row],[S3Hrs]]&gt;0),"Running","Down")</f>
        <v>Running</v>
      </c>
      <c r="H21" s="187">
        <v>21.79</v>
      </c>
      <c r="I21" s="141">
        <v>8</v>
      </c>
      <c r="J21" s="120">
        <v>1316</v>
      </c>
      <c r="K21" s="130">
        <v>8</v>
      </c>
      <c r="L21" s="120">
        <f>Prod[[#This Row],[S1Shot]]*Prod[[#This Row],[S1Cavity]]-Prod[[#This Row],[S1Dft]]</f>
        <v>10403</v>
      </c>
      <c r="M21" s="136">
        <f>SUM(Prod[[#This Row],[S1Mold]],Prod[[#This Row],[S1Print]],Prod[[#This Row],[S1Ovlp]],Prod[[#This Row],[S1Seam]],Prod[[#This Row],[S1Dmg]])</f>
        <v>125</v>
      </c>
      <c r="N21" s="187">
        <v>21.79</v>
      </c>
      <c r="O21" s="141">
        <v>8</v>
      </c>
      <c r="P21" s="120">
        <v>1404</v>
      </c>
      <c r="Q21" s="130">
        <v>8</v>
      </c>
      <c r="R21" s="120">
        <f>Prod[[#This Row],[S2Shot]]*Prod[[#This Row],[S2Cavity]]-Prod[[#This Row],[S2Dft]]</f>
        <v>11112</v>
      </c>
      <c r="S21" s="136">
        <f>SUM(Prod[[#This Row],[S2Mold]],Prod[[#This Row],[S2Print]],Prod[[#This Row],[S2Ovlp]],Prod[[#This Row],[S2Seam]],Prod[[#This Row],[S2Dmg]])</f>
        <v>120</v>
      </c>
      <c r="T21" s="187">
        <v>0</v>
      </c>
      <c r="U21" s="141">
        <v>0</v>
      </c>
      <c r="V21" s="120">
        <v>0</v>
      </c>
      <c r="W21" s="130">
        <v>0</v>
      </c>
      <c r="X21" s="120">
        <f>Prod[[#This Row],[S3Shot]]*Prod[[#This Row],[S3Cavity]]-Prod[[#This Row],[S3Dft]]</f>
        <v>0</v>
      </c>
      <c r="Y21" s="120">
        <f>SUM(Prod[[#This Row],[S3Mold]],Prod[[#This Row],[S3Print]],Prod[[#This Row],[S3Ovlp]],Prod[[#This Row],[S3Seam]],Prod[[#This Row],[S3Dmg]])</f>
        <v>0</v>
      </c>
      <c r="Z21" s="120">
        <f>SUM(Prod[[#This Row],[S1Qty]],Prod[[#This Row],[S2Qty]],Prod[[#This Row],[S3Qty]])</f>
        <v>21515</v>
      </c>
      <c r="AA21" s="120">
        <f>SUM(Prod[[#This Row],[S1Dft]],Prod[[#This Row],[S2Dft]],Prod[[#This Row],[S3Dft]])</f>
        <v>245</v>
      </c>
      <c r="AB21" s="121">
        <f>IF(Prod[[#This Row],[Total]]=0,0,Prod[[#This Row],[TotalDft]]/Prod[[#This Row],[Total]])</f>
        <v>1.138740413664885E-2</v>
      </c>
      <c r="AC21" s="131"/>
      <c r="AD21" s="120">
        <v>20</v>
      </c>
      <c r="AE21" s="120">
        <v>20</v>
      </c>
      <c r="AF21" s="120">
        <v>0</v>
      </c>
      <c r="AG21" s="120">
        <v>105</v>
      </c>
      <c r="AH21" s="120">
        <v>100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2">
        <f>IF(Prod[[#This Row],[S1Hrs]]=0,0,Prod[[#This Row],[S1Shot]]*Prod[[#This Row],[S1Cycle]]/(Prod[[#This Row],[S1Hrs]]*60*60))</f>
        <v>0.99568194444444447</v>
      </c>
      <c r="AT21" s="132">
        <f>IF(Prod[[#This Row],[S2Hrs]]=0,0,Prod[[#This Row],[S2Shot]]*Prod[[#This Row],[S2Cycle]]/(Prod[[#This Row],[S2Hrs]]*60*60))</f>
        <v>1.0622624999999999</v>
      </c>
      <c r="AU21" s="132">
        <f>IF(Prod[[#This Row],[S3Hrs]]=0,0,Prod[[#This Row],[S3Shot]]*Prod[[#This Row],[S3Cycle]]/(Prod[[#This Row],[S3Hrs]]*60*60))</f>
        <v>0</v>
      </c>
      <c r="AV21" s="132">
        <f>IFERROR(AVERAGEIF(Prod[[#This Row],[S1%]:[S3%]], "&lt;&gt;0"),0)</f>
        <v>1.0289722222222222</v>
      </c>
      <c r="AW21" s="132">
        <v>0</v>
      </c>
      <c r="AX21" s="132">
        <v>0</v>
      </c>
      <c r="AY21" s="132">
        <v>0</v>
      </c>
      <c r="AZ21" s="175">
        <f>IF(Prod[[#This Row],[S1Cycle]]&lt;&gt;0,1,0)</f>
        <v>1</v>
      </c>
      <c r="BA21" s="175">
        <f>IF(Prod[[#This Row],[S2Cycle]]&lt;&gt;0,1,0)</f>
        <v>1</v>
      </c>
      <c r="BB21" s="175">
        <f>IF(Prod[[#This Row],[S3Cycle]]&lt;&gt;0,1,0)</f>
        <v>0</v>
      </c>
      <c r="BC21" s="175">
        <f>MAX(Prod[[#This Row],[S1Cavity]],Prod[[#This Row],[S2Cavity]],Prod[[#This Row],[S3Cavity]])</f>
        <v>8</v>
      </c>
      <c r="BD21" s="175" t="b">
        <f>RegExpMatch(Prod[[#This Row],[MoldNo]], "^DEO-(B|C)")</f>
        <v>1</v>
      </c>
      <c r="BE21" s="175" t="b">
        <f>RegExpMatch(Prod[[#This Row],[MoldNo]], "^JAC")</f>
        <v>0</v>
      </c>
    </row>
    <row r="22" spans="1:57" x14ac:dyDescent="0.2">
      <c r="A22" s="117">
        <v>45444</v>
      </c>
      <c r="B22" s="130" t="s">
        <v>176</v>
      </c>
      <c r="C22" s="131" t="s">
        <v>81</v>
      </c>
      <c r="D22" s="119">
        <v>27713</v>
      </c>
      <c r="E22" s="119" t="s">
        <v>199</v>
      </c>
      <c r="F22" s="119">
        <v>814</v>
      </c>
      <c r="G22" s="119" t="str">
        <f>IF(OR(Prod[[#This Row],[S1Hrs]]&gt;0,Prod[[#This Row],[S2Hrs]]&gt;0,Prod[[#This Row],[S3Hrs]]&gt;0),"Running","Down")</f>
        <v>Running</v>
      </c>
      <c r="H22" s="187">
        <v>0</v>
      </c>
      <c r="I22" s="141">
        <v>0</v>
      </c>
      <c r="J22" s="120">
        <v>0</v>
      </c>
      <c r="K22" s="130">
        <v>0</v>
      </c>
      <c r="L22" s="120">
        <f>Prod[[#This Row],[S1Shot]]*Prod[[#This Row],[S1Cavity]]-Prod[[#This Row],[S1Dft]]</f>
        <v>0</v>
      </c>
      <c r="M22" s="136">
        <f>SUM(Prod[[#This Row],[S1Mold]],Prod[[#This Row],[S1Print]],Prod[[#This Row],[S1Ovlp]],Prod[[#This Row],[S1Seam]],Prod[[#This Row],[S1Dmg]])</f>
        <v>0</v>
      </c>
      <c r="N22" s="187">
        <v>0</v>
      </c>
      <c r="O22" s="141">
        <v>0</v>
      </c>
      <c r="P22" s="120">
        <v>0</v>
      </c>
      <c r="Q22" s="130">
        <v>0</v>
      </c>
      <c r="R22" s="120">
        <f>Prod[[#This Row],[S2Shot]]*Prod[[#This Row],[S2Cavity]]-Prod[[#This Row],[S2Dft]]</f>
        <v>0</v>
      </c>
      <c r="S22" s="136">
        <f>SUM(Prod[[#This Row],[S2Mold]],Prod[[#This Row],[S2Print]],Prod[[#This Row],[S2Ovlp]],Prod[[#This Row],[S2Seam]],Prod[[#This Row],[S2Dmg]])</f>
        <v>0</v>
      </c>
      <c r="T22" s="187">
        <v>21.84</v>
      </c>
      <c r="U22" s="141">
        <v>8</v>
      </c>
      <c r="V22" s="120">
        <v>1203</v>
      </c>
      <c r="W22" s="130">
        <v>8</v>
      </c>
      <c r="X22" s="120">
        <f>Prod[[#This Row],[S3Shot]]*Prod[[#This Row],[S3Cavity]]-Prod[[#This Row],[S3Dft]]</f>
        <v>9514</v>
      </c>
      <c r="Y22" s="120">
        <f>SUM(Prod[[#This Row],[S3Mold]],Prod[[#This Row],[S3Print]],Prod[[#This Row],[S3Ovlp]],Prod[[#This Row],[S3Seam]],Prod[[#This Row],[S3Dmg]])</f>
        <v>110</v>
      </c>
      <c r="Z22" s="120">
        <f>SUM(Prod[[#This Row],[S1Qty]],Prod[[#This Row],[S2Qty]],Prod[[#This Row],[S3Qty]])</f>
        <v>9514</v>
      </c>
      <c r="AA22" s="120">
        <f>SUM(Prod[[#This Row],[S1Dft]],Prod[[#This Row],[S2Dft]],Prod[[#This Row],[S3Dft]])</f>
        <v>110</v>
      </c>
      <c r="AB22" s="121">
        <f>IF(Prod[[#This Row],[Total]]=0,0,Prod[[#This Row],[TotalDft]]/Prod[[#This Row],[Total]])</f>
        <v>1.156190876602901E-2</v>
      </c>
      <c r="AC22" s="131"/>
      <c r="AD22" s="120">
        <v>0</v>
      </c>
      <c r="AE22" s="120">
        <v>0</v>
      </c>
      <c r="AF22" s="120">
        <v>15</v>
      </c>
      <c r="AG22" s="120">
        <v>0</v>
      </c>
      <c r="AH22" s="120">
        <v>0</v>
      </c>
      <c r="AI22" s="120">
        <v>95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2">
        <f>IF(Prod[[#This Row],[S1Hrs]]=0,0,Prod[[#This Row],[S1Shot]]*Prod[[#This Row],[S1Cycle]]/(Prod[[#This Row],[S1Hrs]]*60*60))</f>
        <v>0</v>
      </c>
      <c r="AT22" s="132">
        <f>IF(Prod[[#This Row],[S2Hrs]]=0,0,Prod[[#This Row],[S2Shot]]*Prod[[#This Row],[S2Cycle]]/(Prod[[#This Row],[S2Hrs]]*60*60))</f>
        <v>0</v>
      </c>
      <c r="AU22" s="132">
        <f>IF(Prod[[#This Row],[S3Hrs]]=0,0,Prod[[#This Row],[S3Shot]]*Prod[[#This Row],[S3Cycle]]/(Prod[[#This Row],[S3Hrs]]*60*60))</f>
        <v>0.91227500000000006</v>
      </c>
      <c r="AV22" s="132">
        <f>IFERROR(AVERAGEIF(Prod[[#This Row],[S1%]:[S3%]], "&lt;&gt;0"),0)</f>
        <v>0.91227500000000006</v>
      </c>
      <c r="AW22" s="132">
        <v>0</v>
      </c>
      <c r="AX22" s="132">
        <v>0</v>
      </c>
      <c r="AY22" s="132">
        <v>0</v>
      </c>
      <c r="AZ22" s="175">
        <f>IF(Prod[[#This Row],[S1Cycle]]&lt;&gt;0,1,0)</f>
        <v>0</v>
      </c>
      <c r="BA22" s="175">
        <f>IF(Prod[[#This Row],[S2Cycle]]&lt;&gt;0,1,0)</f>
        <v>0</v>
      </c>
      <c r="BB22" s="175">
        <f>IF(Prod[[#This Row],[S3Cycle]]&lt;&gt;0,1,0)</f>
        <v>1</v>
      </c>
      <c r="BC22" s="175">
        <f>MAX(Prod[[#This Row],[S1Cavity]],Prod[[#This Row],[S2Cavity]],Prod[[#This Row],[S3Cavity]])</f>
        <v>8</v>
      </c>
      <c r="BD22" s="175" t="b">
        <f>RegExpMatch(Prod[[#This Row],[MoldNo]], "^DEO-(B|C)")</f>
        <v>1</v>
      </c>
      <c r="BE22" s="175" t="b">
        <f>RegExpMatch(Prod[[#This Row],[MoldNo]], "^JAC")</f>
        <v>0</v>
      </c>
    </row>
    <row r="23" spans="1:57" x14ac:dyDescent="0.2">
      <c r="A23" s="117">
        <v>45444</v>
      </c>
      <c r="B23" s="130" t="s">
        <v>195</v>
      </c>
      <c r="C23" s="119" t="s">
        <v>145</v>
      </c>
      <c r="D23" s="119"/>
      <c r="E23" s="131"/>
      <c r="F23" s="119"/>
      <c r="G23" s="119" t="str">
        <f>IF(OR(Prod[[#This Row],[S1Hrs]]&gt;0,Prod[[#This Row],[S2Hrs]]&gt;0,Prod[[#This Row],[S3Hrs]]&gt;0),"Running","Down")</f>
        <v>Down</v>
      </c>
      <c r="H23" s="187">
        <v>0</v>
      </c>
      <c r="I23" s="141">
        <v>0</v>
      </c>
      <c r="J23" s="120">
        <v>0</v>
      </c>
      <c r="K23" s="130">
        <v>0</v>
      </c>
      <c r="L23" s="120">
        <f>Prod[[#This Row],[S1Shot]]*Prod[[#This Row],[S1Cavity]]-Prod[[#This Row],[S1Dft]]</f>
        <v>0</v>
      </c>
      <c r="M23" s="134"/>
      <c r="N23" s="187">
        <v>0</v>
      </c>
      <c r="O23" s="141">
        <v>0</v>
      </c>
      <c r="P23" s="120">
        <v>0</v>
      </c>
      <c r="Q23" s="130">
        <v>0</v>
      </c>
      <c r="R23" s="120">
        <f>Prod[[#This Row],[S2Shot]]*Prod[[#This Row],[S2Cavity]]-Prod[[#This Row],[S2Dft]]</f>
        <v>0</v>
      </c>
      <c r="S23" s="134"/>
      <c r="T23" s="187">
        <v>0</v>
      </c>
      <c r="U23" s="141">
        <v>0</v>
      </c>
      <c r="V23" s="120">
        <v>0</v>
      </c>
      <c r="W23" s="130">
        <v>0</v>
      </c>
      <c r="X23" s="120">
        <f>Prod[[#This Row],[S3Shot]]*Prod[[#This Row],[S3Cavity]]-Prod[[#This Row],[S3Dft]]</f>
        <v>0</v>
      </c>
      <c r="Y23" s="134"/>
      <c r="Z23" s="120">
        <f>SUM(Prod[[#This Row],[S1Qty]],Prod[[#This Row],[S2Qty]],Prod[[#This Row],[S3Qty]])</f>
        <v>0</v>
      </c>
      <c r="AA23" s="134"/>
      <c r="AB23" s="135"/>
      <c r="AC23" s="118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2">
        <f>IF(Prod[[#This Row],[S1Hrs]]=0,0,Prod[[#This Row],[S1Shot]]*Prod[[#This Row],[S1Cycle]]/(Prod[[#This Row],[S1Hrs]]*60*60))</f>
        <v>0</v>
      </c>
      <c r="AT23" s="132">
        <f>IF(Prod[[#This Row],[S2Hrs]]=0,0,Prod[[#This Row],[S2Shot]]*Prod[[#This Row],[S2Cycle]]/(Prod[[#This Row],[S2Hrs]]*60*60))</f>
        <v>0</v>
      </c>
      <c r="AU23" s="132">
        <f>IF(Prod[[#This Row],[S3Hrs]]=0,0,Prod[[#This Row],[S3Shot]]*Prod[[#This Row],[S3Cycle]]/(Prod[[#This Row],[S3Hrs]]*60*60))</f>
        <v>0</v>
      </c>
      <c r="AV23" s="132">
        <f>IFERROR(AVERAGEIF(Prod[[#This Row],[S1%]:[S3%]], "&lt;&gt;0"),0)</f>
        <v>0</v>
      </c>
      <c r="AW23" s="132">
        <v>0</v>
      </c>
      <c r="AX23" s="132">
        <v>0</v>
      </c>
      <c r="AY23" s="132">
        <v>0</v>
      </c>
      <c r="AZ23" s="175">
        <f>IF(Prod[[#This Row],[S1Cycle]]&lt;&gt;0,1,0)</f>
        <v>0</v>
      </c>
      <c r="BA23" s="175">
        <f>IF(Prod[[#This Row],[S2Cycle]]&lt;&gt;0,1,0)</f>
        <v>0</v>
      </c>
      <c r="BB23" s="175">
        <f>IF(Prod[[#This Row],[S3Cycle]]&lt;&gt;0,1,0)</f>
        <v>0</v>
      </c>
      <c r="BC23" s="175">
        <f>MAX(Prod[[#This Row],[S1Cavity]],Prod[[#This Row],[S2Cavity]],Prod[[#This Row],[S3Cavity]])</f>
        <v>0</v>
      </c>
      <c r="BD23" s="175" t="b">
        <f>RegExpMatch(Prod[[#This Row],[MoldNo]], "^DEO-(B|C)")</f>
        <v>0</v>
      </c>
      <c r="BE23" s="175" t="b">
        <f>RegExpMatch(Prod[[#This Row],[MoldNo]], "^JAC")</f>
        <v>0</v>
      </c>
    </row>
    <row r="24" spans="1:57" x14ac:dyDescent="0.2">
      <c r="A24" s="195">
        <v>45445</v>
      </c>
      <c r="B24" s="196" t="s">
        <v>190</v>
      </c>
      <c r="C24" s="197" t="s">
        <v>153</v>
      </c>
      <c r="D24" s="197">
        <v>27647</v>
      </c>
      <c r="E24" s="198" t="s">
        <v>199</v>
      </c>
      <c r="F24" s="197">
        <v>6331</v>
      </c>
      <c r="G24" s="197" t="str">
        <f>IF(OR(Prod[[#This Row],[S1Hrs]]&gt;0,Prod[[#This Row],[S2Hrs]]&gt;0,Prod[[#This Row],[S3Hrs]]&gt;0),"Running","Down")</f>
        <v>Running</v>
      </c>
      <c r="H24" s="209">
        <v>22.68</v>
      </c>
      <c r="I24" s="210">
        <v>8</v>
      </c>
      <c r="J24" s="201">
        <v>1244</v>
      </c>
      <c r="K24" s="201">
        <v>4</v>
      </c>
      <c r="L24" s="196">
        <f>Prod[[#This Row],[S1Shot]]*Prod[[#This Row],[S1Cavity]]-Prod[[#This Row],[S1Dft]]</f>
        <v>4969</v>
      </c>
      <c r="M24" s="202">
        <f>SUM(Prod[[#This Row],[S1Mold]],Prod[[#This Row],[S1Print]],Prod[[#This Row],[S1Ovlp]],Prod[[#This Row],[S1Seam]],Prod[[#This Row],[S1Dmg]])</f>
        <v>7</v>
      </c>
      <c r="N24" s="209">
        <v>22.68</v>
      </c>
      <c r="O24" s="210">
        <v>8</v>
      </c>
      <c r="P24" s="201">
        <v>1177</v>
      </c>
      <c r="Q24" s="201">
        <v>4</v>
      </c>
      <c r="R24" s="196">
        <f>Prod[[#This Row],[S2Shot]]*Prod[[#This Row],[S2Cavity]]-Prod[[#This Row],[S2Dft]]</f>
        <v>4702</v>
      </c>
      <c r="S24" s="202">
        <f>SUM(Prod[[#This Row],[S2Mold]],Prod[[#This Row],[S2Print]],Prod[[#This Row],[S2Ovlp]],Prod[[#This Row],[S2Seam]],Prod[[#This Row],[S2Dmg]])</f>
        <v>6</v>
      </c>
      <c r="T24" s="209">
        <v>22.65</v>
      </c>
      <c r="U24" s="210">
        <v>8</v>
      </c>
      <c r="V24" s="201">
        <v>1194</v>
      </c>
      <c r="W24" s="201">
        <v>4</v>
      </c>
      <c r="X24" s="196">
        <f>Prod[[#This Row],[S3Shot]]*Prod[[#This Row],[S3Cavity]]-Prod[[#This Row],[S3Dft]]</f>
        <v>4770</v>
      </c>
      <c r="Y24" s="196">
        <f>SUM(Prod[[#This Row],[S3Mold]],Prod[[#This Row],[S3Print]],Prod[[#This Row],[S3Ovlp]],Prod[[#This Row],[S3Seam]],Prod[[#This Row],[S3Dmg]])</f>
        <v>6</v>
      </c>
      <c r="Z24" s="196">
        <f>SUM(Prod[[#This Row],[S1Qty]],Prod[[#This Row],[S2Qty]],Prod[[#This Row],[S3Qty]])</f>
        <v>14441</v>
      </c>
      <c r="AA24" s="196">
        <f>SUM(Prod[[#This Row],[S1Dft]],Prod[[#This Row],[S2Dft]],Prod[[#This Row],[S3Dft]])</f>
        <v>19</v>
      </c>
      <c r="AB24" s="203">
        <f>IF(Prod[[#This Row],[Total]]=0,0,Prod[[#This Row],[TotalDft]]/Prod[[#This Row],[Total]])</f>
        <v>1.3156983588394156E-3</v>
      </c>
      <c r="AC24" s="204"/>
      <c r="AD24" s="196">
        <v>7</v>
      </c>
      <c r="AE24" s="196">
        <v>6</v>
      </c>
      <c r="AF24" s="196">
        <v>6</v>
      </c>
      <c r="AG24" s="196">
        <v>0</v>
      </c>
      <c r="AH24" s="196">
        <v>0</v>
      </c>
      <c r="AI24" s="196">
        <v>0</v>
      </c>
      <c r="AJ24" s="196">
        <v>0</v>
      </c>
      <c r="AK24" s="196">
        <v>0</v>
      </c>
      <c r="AL24" s="196">
        <v>0</v>
      </c>
      <c r="AM24" s="196">
        <v>0</v>
      </c>
      <c r="AN24" s="196">
        <v>0</v>
      </c>
      <c r="AO24" s="196">
        <v>0</v>
      </c>
      <c r="AP24" s="196">
        <v>0</v>
      </c>
      <c r="AQ24" s="196">
        <v>0</v>
      </c>
      <c r="AR24" s="196">
        <v>0</v>
      </c>
      <c r="AS24" s="205">
        <f>IF(Prod[[#This Row],[S1Hrs]]=0,0,Prod[[#This Row],[S1Shot]]*Prod[[#This Row],[S1Cycle]]/(Prod[[#This Row],[S1Hrs]]*60*60))</f>
        <v>0.97964999999999991</v>
      </c>
      <c r="AT24" s="205">
        <f>IF(Prod[[#This Row],[S2Hrs]]=0,0,Prod[[#This Row],[S2Shot]]*Prod[[#This Row],[S2Cycle]]/(Prod[[#This Row],[S2Hrs]]*60*60))</f>
        <v>0.92688749999999998</v>
      </c>
      <c r="AU24" s="205">
        <f>IF(Prod[[#This Row],[S3Hrs]]=0,0,Prod[[#This Row],[S3Shot]]*Prod[[#This Row],[S3Cycle]]/(Prod[[#This Row],[S3Hrs]]*60*60))</f>
        <v>0.93903124999999998</v>
      </c>
      <c r="AV24" s="205">
        <f>IFERROR(AVERAGEIF(Prod[[#This Row],[S1%]:[S3%]], "&lt;&gt;0"),0)</f>
        <v>0.94852291666666666</v>
      </c>
      <c r="AW24" s="205">
        <v>0</v>
      </c>
      <c r="AX24" s="205">
        <v>0</v>
      </c>
      <c r="AY24" s="205">
        <v>0</v>
      </c>
      <c r="AZ24" s="206">
        <f>IF(Prod[[#This Row],[S1Cycle]]&lt;&gt;0,1,0)</f>
        <v>1</v>
      </c>
      <c r="BA24" s="206">
        <f>IF(Prod[[#This Row],[S2Cycle]]&lt;&gt;0,1,0)</f>
        <v>1</v>
      </c>
      <c r="BB24" s="206">
        <f>IF(Prod[[#This Row],[S3Cycle]]&lt;&gt;0,1,0)</f>
        <v>1</v>
      </c>
      <c r="BC24" s="206">
        <f>MAX(Prod[[#This Row],[S1Cavity]],Prod[[#This Row],[S2Cavity]],Prod[[#This Row],[S3Cavity]])</f>
        <v>4</v>
      </c>
      <c r="BD24" s="206" t="b">
        <f>RegExpMatch(Prod[[#This Row],[MoldNo]], "^DEO-(B|C)")</f>
        <v>0</v>
      </c>
      <c r="BE24" s="206" t="b">
        <f>RegExpMatch(Prod[[#This Row],[MoldNo]], "^JAC")</f>
        <v>1</v>
      </c>
    </row>
    <row r="25" spans="1:57" x14ac:dyDescent="0.2">
      <c r="A25" s="195">
        <v>45445</v>
      </c>
      <c r="B25" s="201" t="s">
        <v>6</v>
      </c>
      <c r="C25" s="198" t="s">
        <v>8</v>
      </c>
      <c r="D25" s="197">
        <v>27711</v>
      </c>
      <c r="E25" s="198" t="s">
        <v>199</v>
      </c>
      <c r="F25" s="197">
        <v>814</v>
      </c>
      <c r="G25" s="197" t="str">
        <f>IF(OR(Prod[[#This Row],[S1Hrs]]&gt;0,Prod[[#This Row],[S2Hrs]]&gt;0,Prod[[#This Row],[S3Hrs]]&gt;0),"Running","Down")</f>
        <v>Running</v>
      </c>
      <c r="H25" s="209">
        <v>16.899999999999999</v>
      </c>
      <c r="I25" s="210">
        <v>5.3</v>
      </c>
      <c r="J25" s="201">
        <v>1181</v>
      </c>
      <c r="K25" s="201">
        <v>8</v>
      </c>
      <c r="L25" s="196">
        <f>Prod[[#This Row],[S1Shot]]*Prod[[#This Row],[S1Cavity]]-Prod[[#This Row],[S1Dft]]</f>
        <v>9386</v>
      </c>
      <c r="M25" s="202">
        <f>SUM(Prod[[#This Row],[S1Mold]],Prod[[#This Row],[S1Print]],Prod[[#This Row],[S1Ovlp]],Prod[[#This Row],[S1Seam]],Prod[[#This Row],[S1Dmg]])</f>
        <v>62</v>
      </c>
      <c r="N25" s="209">
        <v>0</v>
      </c>
      <c r="O25" s="210">
        <v>0</v>
      </c>
      <c r="P25" s="201">
        <v>0</v>
      </c>
      <c r="Q25" s="201">
        <v>0</v>
      </c>
      <c r="R25" s="196">
        <f>Prod[[#This Row],[S2Shot]]*Prod[[#This Row],[S2Cavity]]-Prod[[#This Row],[S2Dft]]</f>
        <v>0</v>
      </c>
      <c r="S25" s="202">
        <f>SUM(Prod[[#This Row],[S2Mold]],Prod[[#This Row],[S2Print]],Prod[[#This Row],[S2Ovlp]],Prod[[#This Row],[S2Seam]],Prod[[#This Row],[S2Dmg]])</f>
        <v>0</v>
      </c>
      <c r="T25" s="209">
        <v>0</v>
      </c>
      <c r="U25" s="210">
        <v>0</v>
      </c>
      <c r="V25" s="201">
        <v>0</v>
      </c>
      <c r="W25" s="201">
        <v>0</v>
      </c>
      <c r="X25" s="196">
        <f>Prod[[#This Row],[S3Shot]]*Prod[[#This Row],[S3Cavity]]-Prod[[#This Row],[S3Dft]]</f>
        <v>0</v>
      </c>
      <c r="Y25" s="196">
        <f>SUM(Prod[[#This Row],[S3Mold]],Prod[[#This Row],[S3Print]],Prod[[#This Row],[S3Ovlp]],Prod[[#This Row],[S3Seam]],Prod[[#This Row],[S3Dmg]])</f>
        <v>0</v>
      </c>
      <c r="Z25" s="196">
        <f>SUM(Prod[[#This Row],[S1Qty]],Prod[[#This Row],[S2Qty]],Prod[[#This Row],[S3Qty]])</f>
        <v>9386</v>
      </c>
      <c r="AA25" s="196">
        <f>SUM(Prod[[#This Row],[S1Dft]],Prod[[#This Row],[S2Dft]],Prod[[#This Row],[S3Dft]])</f>
        <v>62</v>
      </c>
      <c r="AB25" s="203">
        <f>IF(Prod[[#This Row],[Total]]=0,0,Prod[[#This Row],[TotalDft]]/Prod[[#This Row],[Total]])</f>
        <v>6.6055827828681015E-3</v>
      </c>
      <c r="AC25" s="198"/>
      <c r="AD25" s="196">
        <v>10</v>
      </c>
      <c r="AE25" s="196">
        <v>0</v>
      </c>
      <c r="AF25" s="196">
        <v>0</v>
      </c>
      <c r="AG25" s="196">
        <v>52</v>
      </c>
      <c r="AH25" s="196">
        <v>0</v>
      </c>
      <c r="AI25" s="196">
        <v>0</v>
      </c>
      <c r="AJ25" s="196">
        <v>0</v>
      </c>
      <c r="AK25" s="196">
        <v>0</v>
      </c>
      <c r="AL25" s="196">
        <v>0</v>
      </c>
      <c r="AM25" s="196">
        <v>0</v>
      </c>
      <c r="AN25" s="196">
        <v>0</v>
      </c>
      <c r="AO25" s="196">
        <v>0</v>
      </c>
      <c r="AP25" s="196">
        <v>0</v>
      </c>
      <c r="AQ25" s="196">
        <v>0</v>
      </c>
      <c r="AR25" s="196">
        <v>0</v>
      </c>
      <c r="AS25" s="205">
        <f>IF(Prod[[#This Row],[S1Hrs]]=0,0,Prod[[#This Row],[S1Shot]]*Prod[[#This Row],[S1Cycle]]/(Prod[[#This Row],[S1Hrs]]*60*60))</f>
        <v>1.0460639412997903</v>
      </c>
      <c r="AT25" s="205">
        <f>IF(Prod[[#This Row],[S2Hrs]]=0,0,Prod[[#This Row],[S2Shot]]*Prod[[#This Row],[S2Cycle]]/(Prod[[#This Row],[S2Hrs]]*60*60))</f>
        <v>0</v>
      </c>
      <c r="AU25" s="205">
        <f>IF(Prod[[#This Row],[S3Hrs]]=0,0,Prod[[#This Row],[S3Shot]]*Prod[[#This Row],[S3Cycle]]/(Prod[[#This Row],[S3Hrs]]*60*60))</f>
        <v>0</v>
      </c>
      <c r="AV25" s="205">
        <f>IFERROR(AVERAGEIF(Prod[[#This Row],[S1%]:[S3%]], "&lt;&gt;0"),0)</f>
        <v>1.0460639412997903</v>
      </c>
      <c r="AW25" s="205">
        <v>0</v>
      </c>
      <c r="AX25" s="205">
        <v>0</v>
      </c>
      <c r="AY25" s="205">
        <v>0</v>
      </c>
      <c r="AZ25" s="206">
        <f>IF(Prod[[#This Row],[S1Cycle]]&lt;&gt;0,1,0)</f>
        <v>1</v>
      </c>
      <c r="BA25" s="206">
        <f>IF(Prod[[#This Row],[S2Cycle]]&lt;&gt;0,1,0)</f>
        <v>0</v>
      </c>
      <c r="BB25" s="206">
        <f>IF(Prod[[#This Row],[S3Cycle]]&lt;&gt;0,1,0)</f>
        <v>0</v>
      </c>
      <c r="BC25" s="206">
        <f>MAX(Prod[[#This Row],[S1Cavity]],Prod[[#This Row],[S2Cavity]],Prod[[#This Row],[S3Cavity]])</f>
        <v>8</v>
      </c>
      <c r="BD25" s="206" t="b">
        <f>RegExpMatch(Prod[[#This Row],[MoldNo]], "^DEO-(B|C)")</f>
        <v>1</v>
      </c>
      <c r="BE25" s="206" t="b">
        <f>RegExpMatch(Prod[[#This Row],[MoldNo]], "^JAC")</f>
        <v>0</v>
      </c>
    </row>
    <row r="26" spans="1:57" x14ac:dyDescent="0.2">
      <c r="A26" s="195">
        <v>45445</v>
      </c>
      <c r="B26" s="201" t="s">
        <v>6</v>
      </c>
      <c r="C26" s="198" t="s">
        <v>8</v>
      </c>
      <c r="D26" s="197">
        <v>27713</v>
      </c>
      <c r="E26" s="198" t="s">
        <v>199</v>
      </c>
      <c r="F26" s="197">
        <v>814</v>
      </c>
      <c r="G26" s="197" t="str">
        <f>IF(OR(Prod[[#This Row],[S1Hrs]]&gt;0,Prod[[#This Row],[S2Hrs]]&gt;0,Prod[[#This Row],[S3Hrs]]&gt;0),"Running","Down")</f>
        <v>Running</v>
      </c>
      <c r="H26" s="209">
        <v>16.899999999999999</v>
      </c>
      <c r="I26" s="210">
        <v>2.7</v>
      </c>
      <c r="J26" s="201">
        <v>530</v>
      </c>
      <c r="K26" s="201">
        <v>8</v>
      </c>
      <c r="L26" s="196">
        <f>Prod[[#This Row],[S1Shot]]*Prod[[#This Row],[S1Cavity]]-Prod[[#This Row],[S1Dft]]</f>
        <v>4202</v>
      </c>
      <c r="M26" s="202">
        <f>SUM(Prod[[#This Row],[S1Mold]],Prod[[#This Row],[S1Print]],Prod[[#This Row],[S1Ovlp]],Prod[[#This Row],[S1Seam]],Prod[[#This Row],[S1Dmg]])</f>
        <v>38</v>
      </c>
      <c r="N26" s="209">
        <v>16.899999999999999</v>
      </c>
      <c r="O26" s="210">
        <v>8</v>
      </c>
      <c r="P26" s="201">
        <v>1605</v>
      </c>
      <c r="Q26" s="201">
        <v>8</v>
      </c>
      <c r="R26" s="196">
        <f>Prod[[#This Row],[S2Shot]]*Prod[[#This Row],[S2Cavity]]-Prod[[#This Row],[S2Dft]]</f>
        <v>12725</v>
      </c>
      <c r="S26" s="202">
        <f>SUM(Prod[[#This Row],[S2Mold]],Prod[[#This Row],[S2Print]],Prod[[#This Row],[S2Ovlp]],Prod[[#This Row],[S2Seam]],Prod[[#This Row],[S2Dmg]])</f>
        <v>115</v>
      </c>
      <c r="T26" s="209">
        <v>16.91</v>
      </c>
      <c r="U26" s="210">
        <v>8</v>
      </c>
      <c r="V26" s="201">
        <v>1585</v>
      </c>
      <c r="W26" s="201">
        <v>8</v>
      </c>
      <c r="X26" s="196">
        <f>Prod[[#This Row],[S3Shot]]*Prod[[#This Row],[S3Cavity]]-Prod[[#This Row],[S3Dft]]</f>
        <v>12555</v>
      </c>
      <c r="Y26" s="196">
        <f>SUM(Prod[[#This Row],[S3Mold]],Prod[[#This Row],[S3Print]],Prod[[#This Row],[S3Ovlp]],Prod[[#This Row],[S3Seam]],Prod[[#This Row],[S3Dmg]])</f>
        <v>125</v>
      </c>
      <c r="Z26" s="196">
        <f>SUM(Prod[[#This Row],[S1Qty]],Prod[[#This Row],[S2Qty]],Prod[[#This Row],[S3Qty]])</f>
        <v>29482</v>
      </c>
      <c r="AA26" s="196">
        <f>SUM(Prod[[#This Row],[S1Dft]],Prod[[#This Row],[S2Dft]],Prod[[#This Row],[S3Dft]])</f>
        <v>278</v>
      </c>
      <c r="AB26" s="203">
        <f>IF(Prod[[#This Row],[Total]]=0,0,Prod[[#This Row],[TotalDft]]/Prod[[#This Row],[Total]])</f>
        <v>9.4294823960382607E-3</v>
      </c>
      <c r="AC26" s="198" t="s">
        <v>205</v>
      </c>
      <c r="AD26" s="196">
        <v>8</v>
      </c>
      <c r="AE26" s="196">
        <v>15</v>
      </c>
      <c r="AF26" s="196">
        <v>20</v>
      </c>
      <c r="AG26" s="196">
        <v>30</v>
      </c>
      <c r="AH26" s="196">
        <v>100</v>
      </c>
      <c r="AI26" s="196">
        <v>105</v>
      </c>
      <c r="AJ26" s="196">
        <v>0</v>
      </c>
      <c r="AK26" s="196">
        <v>0</v>
      </c>
      <c r="AL26" s="196">
        <v>0</v>
      </c>
      <c r="AM26" s="196">
        <v>0</v>
      </c>
      <c r="AN26" s="196">
        <v>0</v>
      </c>
      <c r="AO26" s="196">
        <v>0</v>
      </c>
      <c r="AP26" s="196">
        <v>0</v>
      </c>
      <c r="AQ26" s="196">
        <v>0</v>
      </c>
      <c r="AR26" s="196">
        <v>0</v>
      </c>
      <c r="AS26" s="205">
        <f>IF(Prod[[#This Row],[S1Hrs]]=0,0,Prod[[#This Row],[S1Shot]]*Prod[[#This Row],[S1Cycle]]/(Prod[[#This Row],[S1Hrs]]*60*60))</f>
        <v>0.92150205761316872</v>
      </c>
      <c r="AT26" s="205">
        <f>IF(Prod[[#This Row],[S2Hrs]]=0,0,Prod[[#This Row],[S2Shot]]*Prod[[#This Row],[S2Cycle]]/(Prod[[#This Row],[S2Hrs]]*60*60))</f>
        <v>0.94182291666666651</v>
      </c>
      <c r="AU26" s="205">
        <f>IF(Prod[[#This Row],[S3Hrs]]=0,0,Prod[[#This Row],[S3Shot]]*Prod[[#This Row],[S3Cycle]]/(Prod[[#This Row],[S3Hrs]]*60*60))</f>
        <v>0.9306371527777777</v>
      </c>
      <c r="AV26" s="205">
        <f>IFERROR(AVERAGEIF(Prod[[#This Row],[S1%]:[S3%]], "&lt;&gt;0"),0)</f>
        <v>0.93132070901920427</v>
      </c>
      <c r="AW26" s="205">
        <v>0</v>
      </c>
      <c r="AX26" s="205">
        <v>0</v>
      </c>
      <c r="AY26" s="205">
        <v>0</v>
      </c>
      <c r="AZ26" s="206">
        <f>IF(Prod[[#This Row],[S1Cycle]]&lt;&gt;0,1,0)</f>
        <v>1</v>
      </c>
      <c r="BA26" s="206">
        <f>IF(Prod[[#This Row],[S2Cycle]]&lt;&gt;0,1,0)</f>
        <v>1</v>
      </c>
      <c r="BB26" s="206">
        <f>IF(Prod[[#This Row],[S3Cycle]]&lt;&gt;0,1,0)</f>
        <v>1</v>
      </c>
      <c r="BC26" s="206">
        <f>MAX(Prod[[#This Row],[S1Cavity]],Prod[[#This Row],[S2Cavity]],Prod[[#This Row],[S3Cavity]])</f>
        <v>8</v>
      </c>
      <c r="BD26" s="206" t="b">
        <f>RegExpMatch(Prod[[#This Row],[MoldNo]], "^DEO-(B|C)")</f>
        <v>1</v>
      </c>
      <c r="BE26" s="206" t="b">
        <f>RegExpMatch(Prod[[#This Row],[MoldNo]], "^JAC")</f>
        <v>0</v>
      </c>
    </row>
    <row r="27" spans="1:57" x14ac:dyDescent="0.2">
      <c r="A27" s="195">
        <v>45445</v>
      </c>
      <c r="B27" s="196" t="s">
        <v>7</v>
      </c>
      <c r="C27" s="197" t="s">
        <v>172</v>
      </c>
      <c r="D27" s="197">
        <v>27711</v>
      </c>
      <c r="E27" s="198" t="s">
        <v>199</v>
      </c>
      <c r="F27" s="197">
        <v>814</v>
      </c>
      <c r="G27" s="197" t="str">
        <f>IF(OR(Prod[[#This Row],[S1Hrs]]&gt;0,Prod[[#This Row],[S2Hrs]]&gt;0,Prod[[#This Row],[S3Hrs]]&gt;0),"Running","Down")</f>
        <v>Running</v>
      </c>
      <c r="H27" s="209">
        <v>20.75</v>
      </c>
      <c r="I27" s="210">
        <v>8</v>
      </c>
      <c r="J27" s="201">
        <v>1417</v>
      </c>
      <c r="K27" s="201">
        <v>8</v>
      </c>
      <c r="L27" s="196">
        <f>Prod[[#This Row],[S1Shot]]*Prod[[#This Row],[S1Cavity]]-Prod[[#This Row],[S1Dft]]</f>
        <v>11201</v>
      </c>
      <c r="M27" s="202">
        <f>SUM(Prod[[#This Row],[S1Mold]],Prod[[#This Row],[S1Print]],Prod[[#This Row],[S1Ovlp]],Prod[[#This Row],[S1Seam]],Prod[[#This Row],[S1Dmg]])</f>
        <v>135</v>
      </c>
      <c r="N27" s="209">
        <v>20.75</v>
      </c>
      <c r="O27" s="210">
        <v>6</v>
      </c>
      <c r="P27" s="201">
        <v>1016</v>
      </c>
      <c r="Q27" s="201">
        <v>8</v>
      </c>
      <c r="R27" s="196">
        <f>Prod[[#This Row],[S2Shot]]*Prod[[#This Row],[S2Cavity]]-Prod[[#This Row],[S2Dft]]</f>
        <v>8028</v>
      </c>
      <c r="S27" s="202">
        <f>SUM(Prod[[#This Row],[S2Mold]],Prod[[#This Row],[S2Print]],Prod[[#This Row],[S2Ovlp]],Prod[[#This Row],[S2Seam]],Prod[[#This Row],[S2Dmg]])</f>
        <v>100</v>
      </c>
      <c r="T27" s="209">
        <v>0</v>
      </c>
      <c r="U27" s="210">
        <v>0</v>
      </c>
      <c r="V27" s="201">
        <v>0</v>
      </c>
      <c r="W27" s="201">
        <v>0</v>
      </c>
      <c r="X27" s="196">
        <f>Prod[[#This Row],[S3Shot]]*Prod[[#This Row],[S3Cavity]]-Prod[[#This Row],[S3Dft]]</f>
        <v>0</v>
      </c>
      <c r="Y27" s="196">
        <f>SUM(Prod[[#This Row],[S3Mold]],Prod[[#This Row],[S3Print]],Prod[[#This Row],[S3Ovlp]],Prod[[#This Row],[S3Seam]],Prod[[#This Row],[S3Dmg]])</f>
        <v>0</v>
      </c>
      <c r="Z27" s="196">
        <f>SUM(Prod[[#This Row],[S1Qty]],Prod[[#This Row],[S2Qty]],Prod[[#This Row],[S3Qty]])</f>
        <v>19229</v>
      </c>
      <c r="AA27" s="196">
        <f>SUM(Prod[[#This Row],[S1Dft]],Prod[[#This Row],[S2Dft]],Prod[[#This Row],[S3Dft]])</f>
        <v>235</v>
      </c>
      <c r="AB27" s="203">
        <f>IF(Prod[[#This Row],[Total]]=0,0,Prod[[#This Row],[TotalDft]]/Prod[[#This Row],[Total]])</f>
        <v>1.2221124343439596E-2</v>
      </c>
      <c r="AC27" s="198"/>
      <c r="AD27" s="196">
        <v>20</v>
      </c>
      <c r="AE27" s="196">
        <v>15</v>
      </c>
      <c r="AF27" s="196">
        <v>0</v>
      </c>
      <c r="AG27" s="196">
        <v>115</v>
      </c>
      <c r="AH27" s="196">
        <v>85</v>
      </c>
      <c r="AI27" s="196">
        <v>0</v>
      </c>
      <c r="AJ27" s="196">
        <v>0</v>
      </c>
      <c r="AK27" s="196">
        <v>0</v>
      </c>
      <c r="AL27" s="196">
        <v>0</v>
      </c>
      <c r="AM27" s="196">
        <v>0</v>
      </c>
      <c r="AN27" s="196">
        <v>0</v>
      </c>
      <c r="AO27" s="196">
        <v>0</v>
      </c>
      <c r="AP27" s="196">
        <v>0</v>
      </c>
      <c r="AQ27" s="196">
        <v>0</v>
      </c>
      <c r="AR27" s="196">
        <v>0</v>
      </c>
      <c r="AS27" s="205">
        <f>IF(Prod[[#This Row],[S1Hrs]]=0,0,Prod[[#This Row],[S1Shot]]*Prod[[#This Row],[S1Cycle]]/(Prod[[#This Row],[S1Hrs]]*60*60))</f>
        <v>1.0209288194444444</v>
      </c>
      <c r="AT27" s="205">
        <f>IF(Prod[[#This Row],[S2Hrs]]=0,0,Prod[[#This Row],[S2Shot]]*Prod[[#This Row],[S2Cycle]]/(Prod[[#This Row],[S2Hrs]]*60*60))</f>
        <v>0.97601851851851851</v>
      </c>
      <c r="AU27" s="205">
        <f>IF(Prod[[#This Row],[S3Hrs]]=0,0,Prod[[#This Row],[S3Shot]]*Prod[[#This Row],[S3Cycle]]/(Prod[[#This Row],[S3Hrs]]*60*60))</f>
        <v>0</v>
      </c>
      <c r="AV27" s="205">
        <f>IFERROR(AVERAGEIF(Prod[[#This Row],[S1%]:[S3%]], "&lt;&gt;0"),0)</f>
        <v>0.99847366898148149</v>
      </c>
      <c r="AW27" s="205">
        <v>0</v>
      </c>
      <c r="AX27" s="205">
        <v>0</v>
      </c>
      <c r="AY27" s="205">
        <v>0</v>
      </c>
      <c r="AZ27" s="206">
        <f>IF(Prod[[#This Row],[S1Cycle]]&lt;&gt;0,1,0)</f>
        <v>1</v>
      </c>
      <c r="BA27" s="206">
        <f>IF(Prod[[#This Row],[S2Cycle]]&lt;&gt;0,1,0)</f>
        <v>1</v>
      </c>
      <c r="BB27" s="206">
        <f>IF(Prod[[#This Row],[S3Cycle]]&lt;&gt;0,1,0)</f>
        <v>0</v>
      </c>
      <c r="BC27" s="206">
        <f>MAX(Prod[[#This Row],[S1Cavity]],Prod[[#This Row],[S2Cavity]],Prod[[#This Row],[S3Cavity]])</f>
        <v>8</v>
      </c>
      <c r="BD27" s="206" t="b">
        <f>RegExpMatch(Prod[[#This Row],[MoldNo]], "^DEO-(B|C)")</f>
        <v>1</v>
      </c>
      <c r="BE27" s="206" t="b">
        <f>RegExpMatch(Prod[[#This Row],[MoldNo]], "^JAC")</f>
        <v>0</v>
      </c>
    </row>
    <row r="28" spans="1:57" x14ac:dyDescent="0.2">
      <c r="A28" s="195">
        <v>45445</v>
      </c>
      <c r="B28" s="196" t="s">
        <v>7</v>
      </c>
      <c r="C28" s="197" t="s">
        <v>172</v>
      </c>
      <c r="D28" s="197">
        <v>27713</v>
      </c>
      <c r="E28" s="198" t="s">
        <v>199</v>
      </c>
      <c r="F28" s="197">
        <v>814</v>
      </c>
      <c r="G28" s="197" t="str">
        <f>IF(OR(Prod[[#This Row],[S1Hrs]]&gt;0,Prod[[#This Row],[S2Hrs]]&gt;0,Prod[[#This Row],[S3Hrs]]&gt;0),"Running","Down")</f>
        <v>Running</v>
      </c>
      <c r="H28" s="209">
        <v>0</v>
      </c>
      <c r="I28" s="210">
        <v>0</v>
      </c>
      <c r="J28" s="201">
        <v>0</v>
      </c>
      <c r="K28" s="201">
        <v>0</v>
      </c>
      <c r="L28" s="196">
        <f>Prod[[#This Row],[S1Shot]]*Prod[[#This Row],[S1Cavity]]-Prod[[#This Row],[S1Dft]]</f>
        <v>0</v>
      </c>
      <c r="M28" s="202">
        <f>SUM(Prod[[#This Row],[S1Mold]],Prod[[#This Row],[S1Print]],Prod[[#This Row],[S1Ovlp]],Prod[[#This Row],[S1Seam]],Prod[[#This Row],[S1Dmg]])</f>
        <v>0</v>
      </c>
      <c r="N28" s="209">
        <v>20.75</v>
      </c>
      <c r="O28" s="210">
        <v>2</v>
      </c>
      <c r="P28" s="201">
        <v>327</v>
      </c>
      <c r="Q28" s="201">
        <v>8</v>
      </c>
      <c r="R28" s="196">
        <f>Prod[[#This Row],[S2Shot]]*Prod[[#This Row],[S2Cavity]]-Prod[[#This Row],[S2Dft]]</f>
        <v>2576</v>
      </c>
      <c r="S28" s="202">
        <f>SUM(Prod[[#This Row],[S2Mold]],Prod[[#This Row],[S2Print]],Prod[[#This Row],[S2Ovlp]],Prod[[#This Row],[S2Seam]],Prod[[#This Row],[S2Dmg]])</f>
        <v>40</v>
      </c>
      <c r="T28" s="209">
        <v>20.85</v>
      </c>
      <c r="U28" s="210">
        <v>8</v>
      </c>
      <c r="V28" s="201">
        <v>1213</v>
      </c>
      <c r="W28" s="201">
        <v>8</v>
      </c>
      <c r="X28" s="196">
        <f>Prod[[#This Row],[S3Shot]]*Prod[[#This Row],[S3Cavity]]-Prod[[#This Row],[S3Dft]]</f>
        <v>9559</v>
      </c>
      <c r="Y28" s="196">
        <f>SUM(Prod[[#This Row],[S3Mold]],Prod[[#This Row],[S3Print]],Prod[[#This Row],[S3Ovlp]],Prod[[#This Row],[S3Seam]],Prod[[#This Row],[S3Dmg]])</f>
        <v>145</v>
      </c>
      <c r="Z28" s="196">
        <f>SUM(Prod[[#This Row],[S1Qty]],Prod[[#This Row],[S2Qty]],Prod[[#This Row],[S3Qty]])</f>
        <v>12135</v>
      </c>
      <c r="AA28" s="196">
        <f>SUM(Prod[[#This Row],[S1Dft]],Prod[[#This Row],[S2Dft]],Prod[[#This Row],[S3Dft]])</f>
        <v>185</v>
      </c>
      <c r="AB28" s="203">
        <f>IF(Prod[[#This Row],[Total]]=0,0,Prod[[#This Row],[TotalDft]]/Prod[[#This Row],[Total]])</f>
        <v>1.5245158632056036E-2</v>
      </c>
      <c r="AC28" s="198" t="s">
        <v>206</v>
      </c>
      <c r="AD28" s="196">
        <v>0</v>
      </c>
      <c r="AE28" s="196">
        <v>5</v>
      </c>
      <c r="AF28" s="196">
        <v>25</v>
      </c>
      <c r="AG28" s="196">
        <v>0</v>
      </c>
      <c r="AH28" s="196">
        <v>35</v>
      </c>
      <c r="AI28" s="196">
        <v>120</v>
      </c>
      <c r="AJ28" s="196">
        <v>0</v>
      </c>
      <c r="AK28" s="196">
        <v>0</v>
      </c>
      <c r="AL28" s="196">
        <v>0</v>
      </c>
      <c r="AM28" s="196">
        <v>0</v>
      </c>
      <c r="AN28" s="196">
        <v>0</v>
      </c>
      <c r="AO28" s="196">
        <v>0</v>
      </c>
      <c r="AP28" s="196">
        <v>0</v>
      </c>
      <c r="AQ28" s="196">
        <v>0</v>
      </c>
      <c r="AR28" s="196">
        <v>0</v>
      </c>
      <c r="AS28" s="205">
        <f>IF(Prod[[#This Row],[S1Hrs]]=0,0,Prod[[#This Row],[S1Shot]]*Prod[[#This Row],[S1Cycle]]/(Prod[[#This Row],[S1Hrs]]*60*60))</f>
        <v>0</v>
      </c>
      <c r="AT28" s="205">
        <f>IF(Prod[[#This Row],[S2Hrs]]=0,0,Prod[[#This Row],[S2Shot]]*Prod[[#This Row],[S2Cycle]]/(Prod[[#This Row],[S2Hrs]]*60*60))</f>
        <v>0.94239583333333332</v>
      </c>
      <c r="AU28" s="205">
        <f>IF(Prod[[#This Row],[S3Hrs]]=0,0,Prod[[#This Row],[S3Shot]]*Prod[[#This Row],[S3Cycle]]/(Prod[[#This Row],[S3Hrs]]*60*60))</f>
        <v>0.87816145833333348</v>
      </c>
      <c r="AV28" s="205">
        <f>IFERROR(AVERAGEIF(Prod[[#This Row],[S1%]:[S3%]], "&lt;&gt;0"),0)</f>
        <v>0.9102786458333334</v>
      </c>
      <c r="AW28" s="205">
        <v>0</v>
      </c>
      <c r="AX28" s="205">
        <v>0</v>
      </c>
      <c r="AY28" s="205">
        <v>0</v>
      </c>
      <c r="AZ28" s="206">
        <f>IF(Prod[[#This Row],[S1Cycle]]&lt;&gt;0,1,0)</f>
        <v>0</v>
      </c>
      <c r="BA28" s="206">
        <f>IF(Prod[[#This Row],[S2Cycle]]&lt;&gt;0,1,0)</f>
        <v>1</v>
      </c>
      <c r="BB28" s="206">
        <f>IF(Prod[[#This Row],[S3Cycle]]&lt;&gt;0,1,0)</f>
        <v>1</v>
      </c>
      <c r="BC28" s="206">
        <f>MAX(Prod[[#This Row],[S1Cavity]],Prod[[#This Row],[S2Cavity]],Prod[[#This Row],[S3Cavity]])</f>
        <v>8</v>
      </c>
      <c r="BD28" s="206" t="b">
        <f>RegExpMatch(Prod[[#This Row],[MoldNo]], "^DEO-(B|C)")</f>
        <v>1</v>
      </c>
      <c r="BE28" s="206" t="b">
        <f>RegExpMatch(Prod[[#This Row],[MoldNo]], "^JAC")</f>
        <v>0</v>
      </c>
    </row>
    <row r="29" spans="1:57" x14ac:dyDescent="0.2">
      <c r="A29" s="195">
        <v>45445</v>
      </c>
      <c r="B29" s="196" t="s">
        <v>85</v>
      </c>
      <c r="C29" s="197" t="s">
        <v>165</v>
      </c>
      <c r="D29" s="197">
        <v>27136</v>
      </c>
      <c r="E29" s="198" t="s">
        <v>199</v>
      </c>
      <c r="F29" s="197">
        <v>814</v>
      </c>
      <c r="G29" s="197" t="str">
        <f>IF(OR(Prod[[#This Row],[S1Hrs]]&gt;0,Prod[[#This Row],[S2Hrs]]&gt;0,Prod[[#This Row],[S3Hrs]]&gt;0),"Running","Down")</f>
        <v>Running</v>
      </c>
      <c r="H29" s="209">
        <v>20.43</v>
      </c>
      <c r="I29" s="210">
        <v>8</v>
      </c>
      <c r="J29" s="201">
        <v>1449</v>
      </c>
      <c r="K29" s="201">
        <v>16</v>
      </c>
      <c r="L29" s="196">
        <f>Prod[[#This Row],[S1Shot]]*Prod[[#This Row],[S1Cavity]]-Prod[[#This Row],[S1Dft]]</f>
        <v>23184</v>
      </c>
      <c r="M29" s="207"/>
      <c r="N29" s="209">
        <v>20.43</v>
      </c>
      <c r="O29" s="210">
        <v>8</v>
      </c>
      <c r="P29" s="201">
        <v>1431</v>
      </c>
      <c r="Q29" s="201">
        <v>16</v>
      </c>
      <c r="R29" s="196">
        <f>Prod[[#This Row],[S2Shot]]*Prod[[#This Row],[S2Cavity]]-Prod[[#This Row],[S2Dft]]</f>
        <v>22896</v>
      </c>
      <c r="S29" s="207"/>
      <c r="T29" s="209">
        <v>20.420000000000002</v>
      </c>
      <c r="U29" s="210">
        <v>8</v>
      </c>
      <c r="V29" s="201">
        <v>1376</v>
      </c>
      <c r="W29" s="201">
        <v>16</v>
      </c>
      <c r="X29" s="196">
        <f>Prod[[#This Row],[S3Shot]]*Prod[[#This Row],[S3Cavity]]-Prod[[#This Row],[S3Dft]]</f>
        <v>22016</v>
      </c>
      <c r="Y29" s="207"/>
      <c r="Z29" s="196">
        <f>SUM(Prod[[#This Row],[S1Qty]],Prod[[#This Row],[S2Qty]],Prod[[#This Row],[S3Qty]])</f>
        <v>68096</v>
      </c>
      <c r="AA29" s="207"/>
      <c r="AB29" s="208"/>
      <c r="AC29" s="204"/>
      <c r="AD29" s="207"/>
      <c r="AE29" s="207"/>
      <c r="AF29" s="207"/>
      <c r="AG29" s="207"/>
      <c r="AH29" s="207"/>
      <c r="AI29" s="207"/>
      <c r="AJ29" s="207"/>
      <c r="AK29" s="207"/>
      <c r="AL29" s="207"/>
      <c r="AM29" s="207"/>
      <c r="AN29" s="207"/>
      <c r="AO29" s="207"/>
      <c r="AP29" s="207"/>
      <c r="AQ29" s="207"/>
      <c r="AR29" s="207"/>
      <c r="AS29" s="205">
        <f>IF(Prod[[#This Row],[S1Hrs]]=0,0,Prod[[#This Row],[S1Shot]]*Prod[[#This Row],[S1Cycle]]/(Prod[[#This Row],[S1Hrs]]*60*60))</f>
        <v>1.027884375</v>
      </c>
      <c r="AT29" s="205">
        <f>IF(Prod[[#This Row],[S2Hrs]]=0,0,Prod[[#This Row],[S2Shot]]*Prod[[#This Row],[S2Cycle]]/(Prod[[#This Row],[S2Hrs]]*60*60))</f>
        <v>1.015115625</v>
      </c>
      <c r="AU29" s="205">
        <f>IF(Prod[[#This Row],[S3Hrs]]=0,0,Prod[[#This Row],[S3Shot]]*Prod[[#This Row],[S3Cycle]]/(Prod[[#This Row],[S3Hrs]]*60*60))</f>
        <v>0.97562222222222228</v>
      </c>
      <c r="AV29" s="205">
        <f>IFERROR(AVERAGEIF(Prod[[#This Row],[S1%]:[S3%]], "&lt;&gt;0"),0)</f>
        <v>1.0062074074074074</v>
      </c>
      <c r="AW29" s="205">
        <v>0</v>
      </c>
      <c r="AX29" s="205">
        <v>0</v>
      </c>
      <c r="AY29" s="205">
        <v>0</v>
      </c>
      <c r="AZ29" s="206">
        <f>IF(Prod[[#This Row],[S1Cycle]]&lt;&gt;0,1,0)</f>
        <v>1</v>
      </c>
      <c r="BA29" s="206">
        <f>IF(Prod[[#This Row],[S2Cycle]]&lt;&gt;0,1,0)</f>
        <v>1</v>
      </c>
      <c r="BB29" s="206">
        <f>IF(Prod[[#This Row],[S3Cycle]]&lt;&gt;0,1,0)</f>
        <v>1</v>
      </c>
      <c r="BC29" s="206">
        <f>MAX(Prod[[#This Row],[S1Cavity]],Prod[[#This Row],[S2Cavity]],Prod[[#This Row],[S3Cavity]])</f>
        <v>16</v>
      </c>
      <c r="BD29" s="206" t="b">
        <f>RegExpMatch(Prod[[#This Row],[MoldNo]], "^DEO-(B|C)")</f>
        <v>0</v>
      </c>
      <c r="BE29" s="206" t="b">
        <f>RegExpMatch(Prod[[#This Row],[MoldNo]], "^JAC")</f>
        <v>0</v>
      </c>
    </row>
    <row r="30" spans="1:57" x14ac:dyDescent="0.2">
      <c r="A30" s="195">
        <v>45445</v>
      </c>
      <c r="B30" s="196" t="s">
        <v>196</v>
      </c>
      <c r="C30" s="197" t="s">
        <v>82</v>
      </c>
      <c r="D30" s="197">
        <v>27438</v>
      </c>
      <c r="E30" s="198" t="s">
        <v>199</v>
      </c>
      <c r="F30" s="197">
        <v>814</v>
      </c>
      <c r="G30" s="197" t="str">
        <f>IF(OR(Prod[[#This Row],[S1Hrs]]&gt;0,Prod[[#This Row],[S2Hrs]]&gt;0,Prod[[#This Row],[S3Hrs]]&gt;0),"Running","Down")</f>
        <v>Running</v>
      </c>
      <c r="H30" s="209">
        <v>18.59</v>
      </c>
      <c r="I30" s="210">
        <v>8</v>
      </c>
      <c r="J30" s="201">
        <v>1530</v>
      </c>
      <c r="K30" s="201">
        <v>16</v>
      </c>
      <c r="L30" s="196">
        <f>Prod[[#This Row],[S1Shot]]*Prod[[#This Row],[S1Cavity]]-Prod[[#This Row],[S1Dft]]</f>
        <v>24480</v>
      </c>
      <c r="M30" s="207"/>
      <c r="N30" s="209">
        <v>18.59</v>
      </c>
      <c r="O30" s="210">
        <v>8</v>
      </c>
      <c r="P30" s="201">
        <v>1548</v>
      </c>
      <c r="Q30" s="201">
        <v>16</v>
      </c>
      <c r="R30" s="196">
        <f>Prod[[#This Row],[S2Shot]]*Prod[[#This Row],[S2Cavity]]-Prod[[#This Row],[S2Dft]]</f>
        <v>24768</v>
      </c>
      <c r="S30" s="207"/>
      <c r="T30" s="209">
        <v>18.54</v>
      </c>
      <c r="U30" s="210">
        <v>8</v>
      </c>
      <c r="V30" s="201">
        <v>1474</v>
      </c>
      <c r="W30" s="201">
        <v>15</v>
      </c>
      <c r="X30" s="196">
        <f>Prod[[#This Row],[S3Shot]]*Prod[[#This Row],[S3Cavity]]-Prod[[#This Row],[S3Dft]]</f>
        <v>22110</v>
      </c>
      <c r="Y30" s="207"/>
      <c r="Z30" s="196">
        <f>SUM(Prod[[#This Row],[S1Qty]],Prod[[#This Row],[S2Qty]],Prod[[#This Row],[S3Qty]])</f>
        <v>71358</v>
      </c>
      <c r="AA30" s="207"/>
      <c r="AB30" s="208"/>
      <c r="AC30" s="204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 s="207"/>
      <c r="AP30" s="207"/>
      <c r="AQ30" s="207"/>
      <c r="AR30" s="207"/>
      <c r="AS30" s="205">
        <f>IF(Prod[[#This Row],[S1Hrs]]=0,0,Prod[[#This Row],[S1Shot]]*Prod[[#This Row],[S1Cycle]]/(Prod[[#This Row],[S1Hrs]]*60*60))</f>
        <v>0.98759375000000005</v>
      </c>
      <c r="AT30" s="205">
        <f>IF(Prod[[#This Row],[S2Hrs]]=0,0,Prod[[#This Row],[S2Shot]]*Prod[[#This Row],[S2Cycle]]/(Prod[[#This Row],[S2Hrs]]*60*60))</f>
        <v>0.99921249999999995</v>
      </c>
      <c r="AU30" s="205">
        <f>IF(Prod[[#This Row],[S3Hrs]]=0,0,Prod[[#This Row],[S3Shot]]*Prod[[#This Row],[S3Cycle]]/(Prod[[#This Row],[S3Hrs]]*60*60))</f>
        <v>0.94888749999999999</v>
      </c>
      <c r="AV30" s="205">
        <f>IFERROR(AVERAGEIF(Prod[[#This Row],[S1%]:[S3%]], "&lt;&gt;0"),0)</f>
        <v>0.97856458333333329</v>
      </c>
      <c r="AW30" s="205">
        <v>0</v>
      </c>
      <c r="AX30" s="205">
        <v>0</v>
      </c>
      <c r="AY30" s="205">
        <v>0</v>
      </c>
      <c r="AZ30" s="206">
        <f>IF(Prod[[#This Row],[S1Cycle]]&lt;&gt;0,1,0)</f>
        <v>1</v>
      </c>
      <c r="BA30" s="206">
        <f>IF(Prod[[#This Row],[S2Cycle]]&lt;&gt;0,1,0)</f>
        <v>1</v>
      </c>
      <c r="BB30" s="206">
        <f>IF(Prod[[#This Row],[S3Cycle]]&lt;&gt;0,1,0)</f>
        <v>1</v>
      </c>
      <c r="BC30" s="206">
        <f>MAX(Prod[[#This Row],[S1Cavity]],Prod[[#This Row],[S2Cavity]],Prod[[#This Row],[S3Cavity]])</f>
        <v>16</v>
      </c>
      <c r="BD30" s="206" t="b">
        <f>RegExpMatch(Prod[[#This Row],[MoldNo]], "^DEO-(B|C)")</f>
        <v>0</v>
      </c>
      <c r="BE30" s="206" t="b">
        <f>RegExpMatch(Prod[[#This Row],[MoldNo]], "^JAC")</f>
        <v>0</v>
      </c>
    </row>
    <row r="31" spans="1:57" x14ac:dyDescent="0.2">
      <c r="A31" s="195">
        <v>45445</v>
      </c>
      <c r="B31" s="196" t="s">
        <v>192</v>
      </c>
      <c r="C31" s="198" t="s">
        <v>193</v>
      </c>
      <c r="D31" s="197">
        <v>27031</v>
      </c>
      <c r="E31" s="198" t="s">
        <v>199</v>
      </c>
      <c r="F31" s="197">
        <v>814</v>
      </c>
      <c r="G31" s="197" t="str">
        <f>IF(OR(Prod[[#This Row],[S1Hrs]]&gt;0,Prod[[#This Row],[S2Hrs]]&gt;0,Prod[[#This Row],[S3Hrs]]&gt;0),"Running","Down")</f>
        <v>Running</v>
      </c>
      <c r="H31" s="209">
        <v>17.25</v>
      </c>
      <c r="I31" s="210">
        <v>8</v>
      </c>
      <c r="J31" s="201">
        <v>1545</v>
      </c>
      <c r="K31" s="201">
        <v>24</v>
      </c>
      <c r="L31" s="196">
        <f>Prod[[#This Row],[S1Shot]]*Prod[[#This Row],[S1Cavity]]-Prod[[#This Row],[S1Dft]]</f>
        <v>37080</v>
      </c>
      <c r="M31" s="207"/>
      <c r="N31" s="209">
        <v>17.25</v>
      </c>
      <c r="O31" s="210">
        <v>8</v>
      </c>
      <c r="P31" s="201">
        <v>1167</v>
      </c>
      <c r="Q31" s="201">
        <v>24</v>
      </c>
      <c r="R31" s="196">
        <f>Prod[[#This Row],[S2Shot]]*Prod[[#This Row],[S2Cavity]]-Prod[[#This Row],[S2Dft]]</f>
        <v>28008</v>
      </c>
      <c r="S31" s="207"/>
      <c r="T31" s="209">
        <v>17.25</v>
      </c>
      <c r="U31" s="210">
        <v>8</v>
      </c>
      <c r="V31" s="201">
        <v>1578</v>
      </c>
      <c r="W31" s="201">
        <v>24</v>
      </c>
      <c r="X31" s="196">
        <f>Prod[[#This Row],[S3Shot]]*Prod[[#This Row],[S3Cavity]]-Prod[[#This Row],[S3Dft]]</f>
        <v>37872</v>
      </c>
      <c r="Y31" s="207"/>
      <c r="Z31" s="196">
        <f>SUM(Prod[[#This Row],[S1Qty]],Prod[[#This Row],[S2Qty]],Prod[[#This Row],[S3Qty]])</f>
        <v>102960</v>
      </c>
      <c r="AA31" s="207"/>
      <c r="AB31" s="208"/>
      <c r="AC31" s="204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7"/>
      <c r="AP31" s="207"/>
      <c r="AQ31" s="207"/>
      <c r="AR31" s="207"/>
      <c r="AS31" s="205">
        <f>IF(Prod[[#This Row],[S1Hrs]]=0,0,Prod[[#This Row],[S1Shot]]*Prod[[#This Row],[S1Cycle]]/(Prod[[#This Row],[S1Hrs]]*60*60))</f>
        <v>0.92539062500000002</v>
      </c>
      <c r="AT31" s="205">
        <f>IF(Prod[[#This Row],[S2Hrs]]=0,0,Prod[[#This Row],[S2Shot]]*Prod[[#This Row],[S2Cycle]]/(Prod[[#This Row],[S2Hrs]]*60*60))</f>
        <v>0.69898437499999999</v>
      </c>
      <c r="AU31" s="205">
        <f>IF(Prod[[#This Row],[S3Hrs]]=0,0,Prod[[#This Row],[S3Shot]]*Prod[[#This Row],[S3Cycle]]/(Prod[[#This Row],[S3Hrs]]*60*60))</f>
        <v>0.94515625000000003</v>
      </c>
      <c r="AV31" s="205">
        <f>IFERROR(AVERAGEIF(Prod[[#This Row],[S1%]:[S3%]], "&lt;&gt;0"),0)</f>
        <v>0.85651041666666672</v>
      </c>
      <c r="AW31" s="205">
        <v>0</v>
      </c>
      <c r="AX31" s="205">
        <v>0</v>
      </c>
      <c r="AY31" s="205">
        <v>0</v>
      </c>
      <c r="AZ31" s="206">
        <f>IF(Prod[[#This Row],[S1Cycle]]&lt;&gt;0,1,0)</f>
        <v>1</v>
      </c>
      <c r="BA31" s="206">
        <f>IF(Prod[[#This Row],[S2Cycle]]&lt;&gt;0,1,0)</f>
        <v>1</v>
      </c>
      <c r="BB31" s="206">
        <f>IF(Prod[[#This Row],[S3Cycle]]&lt;&gt;0,1,0)</f>
        <v>1</v>
      </c>
      <c r="BC31" s="206">
        <f>MAX(Prod[[#This Row],[S1Cavity]],Prod[[#This Row],[S2Cavity]],Prod[[#This Row],[S3Cavity]])</f>
        <v>24</v>
      </c>
      <c r="BD31" s="206" t="b">
        <f>RegExpMatch(Prod[[#This Row],[MoldNo]], "^DEO-(B|C)")</f>
        <v>0</v>
      </c>
      <c r="BE31" s="206" t="b">
        <f>RegExpMatch(Prod[[#This Row],[MoldNo]], "^JAC")</f>
        <v>0</v>
      </c>
    </row>
    <row r="32" spans="1:57" x14ac:dyDescent="0.2">
      <c r="A32" s="195">
        <v>45445</v>
      </c>
      <c r="B32" s="196" t="s">
        <v>168</v>
      </c>
      <c r="C32" s="197" t="s">
        <v>169</v>
      </c>
      <c r="D32" s="197">
        <v>26684</v>
      </c>
      <c r="E32" s="198" t="s">
        <v>199</v>
      </c>
      <c r="F32" s="197">
        <v>814</v>
      </c>
      <c r="G32" s="197" t="str">
        <f>IF(OR(Prod[[#This Row],[S1Hrs]]&gt;0,Prod[[#This Row],[S2Hrs]]&gt;0,Prod[[#This Row],[S3Hrs]]&gt;0),"Running","Down")</f>
        <v>Running</v>
      </c>
      <c r="H32" s="209">
        <v>16.489999999999998</v>
      </c>
      <c r="I32" s="210">
        <v>8</v>
      </c>
      <c r="J32" s="201">
        <v>1694</v>
      </c>
      <c r="K32" s="201">
        <v>15</v>
      </c>
      <c r="L32" s="196">
        <f>Prod[[#This Row],[S1Shot]]*Prod[[#This Row],[S1Cavity]]-Prod[[#This Row],[S1Dft]]</f>
        <v>25410</v>
      </c>
      <c r="M32" s="207"/>
      <c r="N32" s="209">
        <v>16.489999999999998</v>
      </c>
      <c r="O32" s="210">
        <v>8</v>
      </c>
      <c r="P32" s="201">
        <v>1741</v>
      </c>
      <c r="Q32" s="201">
        <v>15</v>
      </c>
      <c r="R32" s="196">
        <f>Prod[[#This Row],[S2Shot]]*Prod[[#This Row],[S2Cavity]]-Prod[[#This Row],[S2Dft]]</f>
        <v>26115</v>
      </c>
      <c r="S32" s="207"/>
      <c r="T32" s="209">
        <v>16.46</v>
      </c>
      <c r="U32" s="210">
        <v>8</v>
      </c>
      <c r="V32" s="201">
        <v>1665</v>
      </c>
      <c r="W32" s="201">
        <v>15</v>
      </c>
      <c r="X32" s="196">
        <f>Prod[[#This Row],[S3Shot]]*Prod[[#This Row],[S3Cavity]]-Prod[[#This Row],[S3Dft]]</f>
        <v>24975</v>
      </c>
      <c r="Y32" s="207"/>
      <c r="Z32" s="196">
        <f>SUM(Prod[[#This Row],[S1Qty]],Prod[[#This Row],[S2Qty]],Prod[[#This Row],[S3Qty]])</f>
        <v>76500</v>
      </c>
      <c r="AA32" s="207"/>
      <c r="AB32" s="208"/>
      <c r="AC32" s="204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5">
        <f>IF(Prod[[#This Row],[S1Hrs]]=0,0,Prod[[#This Row],[S1Shot]]*Prod[[#This Row],[S1Cycle]]/(Prod[[#This Row],[S1Hrs]]*60*60))</f>
        <v>0.96993263888888881</v>
      </c>
      <c r="AT32" s="205">
        <f>IF(Prod[[#This Row],[S2Hrs]]=0,0,Prod[[#This Row],[S2Shot]]*Prod[[#This Row],[S2Cycle]]/(Prod[[#This Row],[S2Hrs]]*60*60))</f>
        <v>0.99684340277777761</v>
      </c>
      <c r="AU32" s="205">
        <f>IF(Prod[[#This Row],[S3Hrs]]=0,0,Prod[[#This Row],[S3Shot]]*Prod[[#This Row],[S3Cycle]]/(Prod[[#This Row],[S3Hrs]]*60*60))</f>
        <v>0.95159375000000002</v>
      </c>
      <c r="AV32" s="205">
        <f>IFERROR(AVERAGEIF(Prod[[#This Row],[S1%]:[S3%]], "&lt;&gt;0"),0)</f>
        <v>0.97278993055555552</v>
      </c>
      <c r="AW32" s="205">
        <v>0</v>
      </c>
      <c r="AX32" s="205">
        <v>0</v>
      </c>
      <c r="AY32" s="205">
        <v>0</v>
      </c>
      <c r="AZ32" s="206">
        <f>IF(Prod[[#This Row],[S1Cycle]]&lt;&gt;0,1,0)</f>
        <v>1</v>
      </c>
      <c r="BA32" s="206">
        <f>IF(Prod[[#This Row],[S2Cycle]]&lt;&gt;0,1,0)</f>
        <v>1</v>
      </c>
      <c r="BB32" s="206">
        <f>IF(Prod[[#This Row],[S3Cycle]]&lt;&gt;0,1,0)</f>
        <v>1</v>
      </c>
      <c r="BC32" s="206">
        <f>MAX(Prod[[#This Row],[S1Cavity]],Prod[[#This Row],[S2Cavity]],Prod[[#This Row],[S3Cavity]])</f>
        <v>15</v>
      </c>
      <c r="BD32" s="206" t="b">
        <f>RegExpMatch(Prod[[#This Row],[MoldNo]], "^DEO-(B|C)")</f>
        <v>0</v>
      </c>
      <c r="BE32" s="206" t="b">
        <f>RegExpMatch(Prod[[#This Row],[MoldNo]], "^JAC")</f>
        <v>0</v>
      </c>
    </row>
    <row r="33" spans="1:57" x14ac:dyDescent="0.2">
      <c r="A33" s="195">
        <v>45445</v>
      </c>
      <c r="B33" s="196" t="s">
        <v>146</v>
      </c>
      <c r="C33" s="197" t="s">
        <v>84</v>
      </c>
      <c r="D33" s="197"/>
      <c r="E33" s="198"/>
      <c r="F33" s="197"/>
      <c r="G33" s="197" t="str">
        <f>IF(OR(Prod[[#This Row],[S1Hrs]]&gt;0,Prod[[#This Row],[S2Hrs]]&gt;0,Prod[[#This Row],[S3Hrs]]&gt;0),"Running","Down")</f>
        <v>Down</v>
      </c>
      <c r="H33" s="209">
        <v>0</v>
      </c>
      <c r="I33" s="210">
        <v>0</v>
      </c>
      <c r="J33" s="201">
        <v>0</v>
      </c>
      <c r="K33" s="201">
        <v>0</v>
      </c>
      <c r="L33" s="196">
        <f>Prod[[#This Row],[S1Shot]]*Prod[[#This Row],[S1Cavity]]-Prod[[#This Row],[S1Dft]]</f>
        <v>0</v>
      </c>
      <c r="M33" s="207"/>
      <c r="N33" s="209">
        <v>0</v>
      </c>
      <c r="O33" s="210">
        <v>0</v>
      </c>
      <c r="P33" s="201">
        <v>0</v>
      </c>
      <c r="Q33" s="201">
        <v>0</v>
      </c>
      <c r="R33" s="196">
        <f>Prod[[#This Row],[S2Shot]]*Prod[[#This Row],[S2Cavity]]-Prod[[#This Row],[S2Dft]]</f>
        <v>0</v>
      </c>
      <c r="S33" s="207"/>
      <c r="T33" s="209">
        <v>0</v>
      </c>
      <c r="U33" s="210">
        <v>0</v>
      </c>
      <c r="V33" s="201">
        <v>0</v>
      </c>
      <c r="W33" s="201">
        <v>0</v>
      </c>
      <c r="X33" s="196">
        <f>Prod[[#This Row],[S3Shot]]*Prod[[#This Row],[S3Cavity]]-Prod[[#This Row],[S3Dft]]</f>
        <v>0</v>
      </c>
      <c r="Y33" s="207"/>
      <c r="Z33" s="196">
        <f>SUM(Prod[[#This Row],[S1Qty]],Prod[[#This Row],[S2Qty]],Prod[[#This Row],[S3Qty]])</f>
        <v>0</v>
      </c>
      <c r="AA33" s="207"/>
      <c r="AB33" s="208"/>
      <c r="AC33" s="204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7"/>
      <c r="AP33" s="207"/>
      <c r="AQ33" s="207"/>
      <c r="AR33" s="207"/>
      <c r="AS33" s="205">
        <f>IF(Prod[[#This Row],[S1Hrs]]=0,0,Prod[[#This Row],[S1Shot]]*Prod[[#This Row],[S1Cycle]]/(Prod[[#This Row],[S1Hrs]]*60*60))</f>
        <v>0</v>
      </c>
      <c r="AT33" s="205">
        <f>IF(Prod[[#This Row],[S2Hrs]]=0,0,Prod[[#This Row],[S2Shot]]*Prod[[#This Row],[S2Cycle]]/(Prod[[#This Row],[S2Hrs]]*60*60))</f>
        <v>0</v>
      </c>
      <c r="AU33" s="205">
        <f>IF(Prod[[#This Row],[S3Hrs]]=0,0,Prod[[#This Row],[S3Shot]]*Prod[[#This Row],[S3Cycle]]/(Prod[[#This Row],[S3Hrs]]*60*60))</f>
        <v>0</v>
      </c>
      <c r="AV33" s="205">
        <f>IFERROR(AVERAGEIF(Prod[[#This Row],[S1%]:[S3%]], "&lt;&gt;0"),0)</f>
        <v>0</v>
      </c>
      <c r="AW33" s="205">
        <v>0</v>
      </c>
      <c r="AX33" s="205">
        <v>0</v>
      </c>
      <c r="AY33" s="205">
        <v>0</v>
      </c>
      <c r="AZ33" s="206">
        <f>IF(Prod[[#This Row],[S1Cycle]]&lt;&gt;0,1,0)</f>
        <v>0</v>
      </c>
      <c r="BA33" s="206">
        <f>IF(Prod[[#This Row],[S2Cycle]]&lt;&gt;0,1,0)</f>
        <v>0</v>
      </c>
      <c r="BB33" s="206">
        <f>IF(Prod[[#This Row],[S3Cycle]]&lt;&gt;0,1,0)</f>
        <v>0</v>
      </c>
      <c r="BC33" s="206">
        <f>MAX(Prod[[#This Row],[S1Cavity]],Prod[[#This Row],[S2Cavity]],Prod[[#This Row],[S3Cavity]])</f>
        <v>0</v>
      </c>
      <c r="BD33" s="206" t="b">
        <f>RegExpMatch(Prod[[#This Row],[MoldNo]], "^DEO-(B|C)")</f>
        <v>0</v>
      </c>
      <c r="BE33" s="206" t="b">
        <f>RegExpMatch(Prod[[#This Row],[MoldNo]], "^JAC")</f>
        <v>0</v>
      </c>
    </row>
    <row r="34" spans="1:57" x14ac:dyDescent="0.2">
      <c r="A34" s="195">
        <v>45445</v>
      </c>
      <c r="B34" s="201" t="s">
        <v>194</v>
      </c>
      <c r="C34" s="198" t="s">
        <v>9</v>
      </c>
      <c r="D34" s="197"/>
      <c r="E34" s="198"/>
      <c r="F34" s="197"/>
      <c r="G34" s="197" t="str">
        <f>IF(OR(Prod[[#This Row],[S1Hrs]]&gt;0,Prod[[#This Row],[S2Hrs]]&gt;0,Prod[[#This Row],[S3Hrs]]&gt;0),"Running","Down")</f>
        <v>Down</v>
      </c>
      <c r="H34" s="209">
        <v>0</v>
      </c>
      <c r="I34" s="210">
        <v>0</v>
      </c>
      <c r="J34" s="201">
        <v>0</v>
      </c>
      <c r="K34" s="201">
        <v>0</v>
      </c>
      <c r="L34" s="196">
        <f>Prod[[#This Row],[S1Shot]]*Prod[[#This Row],[S1Cavity]]-Prod[[#This Row],[S1Dft]]</f>
        <v>0</v>
      </c>
      <c r="M34" s="207"/>
      <c r="N34" s="209">
        <v>0</v>
      </c>
      <c r="O34" s="210">
        <v>0</v>
      </c>
      <c r="P34" s="201">
        <v>0</v>
      </c>
      <c r="Q34" s="201">
        <v>0</v>
      </c>
      <c r="R34" s="196">
        <f>Prod[[#This Row],[S2Shot]]*Prod[[#This Row],[S2Cavity]]-Prod[[#This Row],[S2Dft]]</f>
        <v>0</v>
      </c>
      <c r="S34" s="207"/>
      <c r="T34" s="209">
        <v>0</v>
      </c>
      <c r="U34" s="210">
        <v>0</v>
      </c>
      <c r="V34" s="201">
        <v>0</v>
      </c>
      <c r="W34" s="201">
        <v>0</v>
      </c>
      <c r="X34" s="196">
        <f>Prod[[#This Row],[S3Shot]]*Prod[[#This Row],[S3Cavity]]-Prod[[#This Row],[S3Dft]]</f>
        <v>0</v>
      </c>
      <c r="Y34" s="207"/>
      <c r="Z34" s="196">
        <f>SUM(Prod[[#This Row],[S1Qty]],Prod[[#This Row],[S2Qty]],Prod[[#This Row],[S3Qty]])</f>
        <v>0</v>
      </c>
      <c r="AA34" s="207"/>
      <c r="AB34" s="208"/>
      <c r="AC34" s="20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7"/>
      <c r="AP34" s="207"/>
      <c r="AQ34" s="207"/>
      <c r="AR34" s="207"/>
      <c r="AS34" s="205">
        <f>IF(Prod[[#This Row],[S1Hrs]]=0,0,Prod[[#This Row],[S1Shot]]*Prod[[#This Row],[S1Cycle]]/(Prod[[#This Row],[S1Hrs]]*60*60))</f>
        <v>0</v>
      </c>
      <c r="AT34" s="205">
        <f>IF(Prod[[#This Row],[S2Hrs]]=0,0,Prod[[#This Row],[S2Shot]]*Prod[[#This Row],[S2Cycle]]/(Prod[[#This Row],[S2Hrs]]*60*60))</f>
        <v>0</v>
      </c>
      <c r="AU34" s="205">
        <f>IF(Prod[[#This Row],[S3Hrs]]=0,0,Prod[[#This Row],[S3Shot]]*Prod[[#This Row],[S3Cycle]]/(Prod[[#This Row],[S3Hrs]]*60*60))</f>
        <v>0</v>
      </c>
      <c r="AV34" s="205">
        <f>IFERROR(AVERAGEIF(Prod[[#This Row],[S1%]:[S3%]], "&lt;&gt;0"),0)</f>
        <v>0</v>
      </c>
      <c r="AW34" s="205">
        <v>0</v>
      </c>
      <c r="AX34" s="205">
        <v>0</v>
      </c>
      <c r="AY34" s="205">
        <v>0</v>
      </c>
      <c r="AZ34" s="206">
        <f>IF(Prod[[#This Row],[S1Cycle]]&lt;&gt;0,1,0)</f>
        <v>0</v>
      </c>
      <c r="BA34" s="206">
        <f>IF(Prod[[#This Row],[S2Cycle]]&lt;&gt;0,1,0)</f>
        <v>0</v>
      </c>
      <c r="BB34" s="206">
        <f>IF(Prod[[#This Row],[S3Cycle]]&lt;&gt;0,1,0)</f>
        <v>0</v>
      </c>
      <c r="BC34" s="206">
        <f>MAX(Prod[[#This Row],[S1Cavity]],Prod[[#This Row],[S2Cavity]],Prod[[#This Row],[S3Cavity]])</f>
        <v>0</v>
      </c>
      <c r="BD34" s="206" t="b">
        <f>RegExpMatch(Prod[[#This Row],[MoldNo]], "^DEO-(B|C)")</f>
        <v>0</v>
      </c>
      <c r="BE34" s="206" t="b">
        <f>RegExpMatch(Prod[[#This Row],[MoldNo]], "^JAC")</f>
        <v>0</v>
      </c>
    </row>
    <row r="35" spans="1:57" x14ac:dyDescent="0.2">
      <c r="A35" s="195">
        <v>45445</v>
      </c>
      <c r="B35" s="201" t="s">
        <v>164</v>
      </c>
      <c r="C35" s="198" t="s">
        <v>144</v>
      </c>
      <c r="D35" s="197">
        <v>27712</v>
      </c>
      <c r="E35" s="198" t="s">
        <v>199</v>
      </c>
      <c r="F35" s="197">
        <v>814</v>
      </c>
      <c r="G35" s="197" t="str">
        <f>IF(OR(Prod[[#This Row],[S1Hrs]]&gt;0,Prod[[#This Row],[S2Hrs]]&gt;0,Prod[[#This Row],[S3Hrs]]&gt;0),"Running","Down")</f>
        <v>Running</v>
      </c>
      <c r="H35" s="209">
        <v>19.190000000000001</v>
      </c>
      <c r="I35" s="210">
        <v>8</v>
      </c>
      <c r="J35" s="201">
        <v>1491</v>
      </c>
      <c r="K35" s="201">
        <v>8</v>
      </c>
      <c r="L35" s="196">
        <f>Prod[[#This Row],[S1Shot]]*Prod[[#This Row],[S1Cavity]]-Prod[[#This Row],[S1Dft]]</f>
        <v>11778</v>
      </c>
      <c r="M35" s="202">
        <f>SUM(Prod[[#This Row],[S1Mold]],Prod[[#This Row],[S1Print]],Prod[[#This Row],[S1Ovlp]],Prod[[#This Row],[S1Seam]],Prod[[#This Row],[S1Dmg]])</f>
        <v>150</v>
      </c>
      <c r="N35" s="209">
        <v>19.190000000000001</v>
      </c>
      <c r="O35" s="210">
        <v>8</v>
      </c>
      <c r="P35" s="201">
        <v>1623</v>
      </c>
      <c r="Q35" s="201">
        <v>8</v>
      </c>
      <c r="R35" s="196">
        <f>Prod[[#This Row],[S2Shot]]*Prod[[#This Row],[S2Cavity]]-Prod[[#This Row],[S2Dft]]</f>
        <v>12844</v>
      </c>
      <c r="S35" s="202">
        <f>SUM(Prod[[#This Row],[S2Mold]],Prod[[#This Row],[S2Print]],Prod[[#This Row],[S2Ovlp]],Prod[[#This Row],[S2Seam]],Prod[[#This Row],[S2Dmg]])</f>
        <v>140</v>
      </c>
      <c r="T35" s="209">
        <v>19.190000000000001</v>
      </c>
      <c r="U35" s="210">
        <v>6</v>
      </c>
      <c r="V35" s="201">
        <v>1087</v>
      </c>
      <c r="W35" s="201">
        <v>8</v>
      </c>
      <c r="X35" s="196">
        <f>Prod[[#This Row],[S3Shot]]*Prod[[#This Row],[S3Cavity]]-Prod[[#This Row],[S3Dft]]</f>
        <v>8576</v>
      </c>
      <c r="Y35" s="196">
        <f>SUM(Prod[[#This Row],[S3Mold]],Prod[[#This Row],[S3Print]],Prod[[#This Row],[S3Ovlp]],Prod[[#This Row],[S3Seam]],Prod[[#This Row],[S3Dmg]])</f>
        <v>120</v>
      </c>
      <c r="Z35" s="196">
        <f>SUM(Prod[[#This Row],[S1Qty]],Prod[[#This Row],[S2Qty]],Prod[[#This Row],[S3Qty]])</f>
        <v>33198</v>
      </c>
      <c r="AA35" s="196">
        <f>SUM(Prod[[#This Row],[S1Dft]],Prod[[#This Row],[S2Dft]],Prod[[#This Row],[S3Dft]])</f>
        <v>410</v>
      </c>
      <c r="AB35" s="203">
        <f>IF(Prod[[#This Row],[Total]]=0,0,Prod[[#This Row],[TotalDft]]/Prod[[#This Row],[Total]])</f>
        <v>1.2350141574793663E-2</v>
      </c>
      <c r="AC35" s="204"/>
      <c r="AD35" s="196">
        <v>25</v>
      </c>
      <c r="AE35" s="196">
        <v>20</v>
      </c>
      <c r="AF35" s="196">
        <v>20</v>
      </c>
      <c r="AG35" s="196">
        <v>125</v>
      </c>
      <c r="AH35" s="196">
        <v>120</v>
      </c>
      <c r="AI35" s="196">
        <v>100</v>
      </c>
      <c r="AJ35" s="196">
        <v>0</v>
      </c>
      <c r="AK35" s="196">
        <v>0</v>
      </c>
      <c r="AL35" s="196">
        <v>0</v>
      </c>
      <c r="AM35" s="196">
        <v>0</v>
      </c>
      <c r="AN35" s="196">
        <v>0</v>
      </c>
      <c r="AO35" s="196">
        <v>0</v>
      </c>
      <c r="AP35" s="196">
        <v>0</v>
      </c>
      <c r="AQ35" s="196">
        <v>0</v>
      </c>
      <c r="AR35" s="196">
        <v>0</v>
      </c>
      <c r="AS35" s="205">
        <f>IF(Prod[[#This Row],[S1Hrs]]=0,0,Prod[[#This Row],[S1Shot]]*Prod[[#This Row],[S1Cycle]]/(Prod[[#This Row],[S1Hrs]]*60*60))</f>
        <v>0.99348229166666668</v>
      </c>
      <c r="AT35" s="205">
        <f>IF(Prod[[#This Row],[S2Hrs]]=0,0,Prod[[#This Row],[S2Shot]]*Prod[[#This Row],[S2Cycle]]/(Prod[[#This Row],[S2Hrs]]*60*60))</f>
        <v>1.0814364583333334</v>
      </c>
      <c r="AU35" s="205">
        <f>IF(Prod[[#This Row],[S3Hrs]]=0,0,Prod[[#This Row],[S3Shot]]*Prod[[#This Row],[S3Cycle]]/(Prod[[#This Row],[S3Hrs]]*60*60))</f>
        <v>0.96571898148148161</v>
      </c>
      <c r="AV35" s="205">
        <f>IFERROR(AVERAGEIF(Prod[[#This Row],[S1%]:[S3%]], "&lt;&gt;0"),0)</f>
        <v>1.0135459104938274</v>
      </c>
      <c r="AW35" s="205">
        <v>0</v>
      </c>
      <c r="AX35" s="205">
        <v>0</v>
      </c>
      <c r="AY35" s="205">
        <v>0</v>
      </c>
      <c r="AZ35" s="206">
        <f>IF(Prod[[#This Row],[S1Cycle]]&lt;&gt;0,1,0)</f>
        <v>1</v>
      </c>
      <c r="BA35" s="206">
        <f>IF(Prod[[#This Row],[S2Cycle]]&lt;&gt;0,1,0)</f>
        <v>1</v>
      </c>
      <c r="BB35" s="206">
        <f>IF(Prod[[#This Row],[S3Cycle]]&lt;&gt;0,1,0)</f>
        <v>1</v>
      </c>
      <c r="BC35" s="206">
        <f>MAX(Prod[[#This Row],[S1Cavity]],Prod[[#This Row],[S2Cavity]],Prod[[#This Row],[S3Cavity]])</f>
        <v>8</v>
      </c>
      <c r="BD35" s="206" t="b">
        <f>RegExpMatch(Prod[[#This Row],[MoldNo]], "^DEO-(B|C)")</f>
        <v>1</v>
      </c>
      <c r="BE35" s="206" t="b">
        <f>RegExpMatch(Prod[[#This Row],[MoldNo]], "^JAC")</f>
        <v>0</v>
      </c>
    </row>
    <row r="36" spans="1:57" x14ac:dyDescent="0.2">
      <c r="A36" s="195">
        <v>45445</v>
      </c>
      <c r="B36" s="201" t="s">
        <v>162</v>
      </c>
      <c r="C36" s="198" t="s">
        <v>163</v>
      </c>
      <c r="D36" s="197">
        <v>27712</v>
      </c>
      <c r="E36" s="198" t="s">
        <v>199</v>
      </c>
      <c r="F36" s="197">
        <v>814</v>
      </c>
      <c r="G36" s="197" t="str">
        <f>IF(OR(Prod[[#This Row],[S1Hrs]]&gt;0,Prod[[#This Row],[S2Hrs]]&gt;0,Prod[[#This Row],[S3Hrs]]&gt;0),"Running","Down")</f>
        <v>Running</v>
      </c>
      <c r="H36" s="209">
        <v>22.29</v>
      </c>
      <c r="I36" s="210">
        <v>8</v>
      </c>
      <c r="J36" s="201">
        <v>1280</v>
      </c>
      <c r="K36" s="201">
        <v>8</v>
      </c>
      <c r="L36" s="196">
        <f>Prod[[#This Row],[S1Shot]]*Prod[[#This Row],[S1Cavity]]-Prod[[#This Row],[S1Dft]]</f>
        <v>10095</v>
      </c>
      <c r="M36" s="202">
        <f>SUM(Prod[[#This Row],[S1Mold]],Prod[[#This Row],[S1Print]],Prod[[#This Row],[S1Ovlp]],Prod[[#This Row],[S1Seam]],Prod[[#This Row],[S1Dmg]])</f>
        <v>145</v>
      </c>
      <c r="N36" s="209">
        <v>22.29</v>
      </c>
      <c r="O36" s="210">
        <v>8</v>
      </c>
      <c r="P36" s="201">
        <v>1408</v>
      </c>
      <c r="Q36" s="201">
        <v>8</v>
      </c>
      <c r="R36" s="196">
        <f>Prod[[#This Row],[S2Shot]]*Prod[[#This Row],[S2Cavity]]-Prod[[#This Row],[S2Dft]]</f>
        <v>11119</v>
      </c>
      <c r="S36" s="202">
        <f>SUM(Prod[[#This Row],[S2Mold]],Prod[[#This Row],[S2Print]],Prod[[#This Row],[S2Ovlp]],Prod[[#This Row],[S2Seam]],Prod[[#This Row],[S2Dmg]])</f>
        <v>145</v>
      </c>
      <c r="T36" s="209">
        <v>22.29</v>
      </c>
      <c r="U36" s="210">
        <v>8</v>
      </c>
      <c r="V36" s="201">
        <v>1189</v>
      </c>
      <c r="W36" s="201">
        <v>8</v>
      </c>
      <c r="X36" s="196">
        <f>Prod[[#This Row],[S3Shot]]*Prod[[#This Row],[S3Cavity]]-Prod[[#This Row],[S3Dft]]</f>
        <v>9372</v>
      </c>
      <c r="Y36" s="196">
        <f>SUM(Prod[[#This Row],[S3Mold]],Prod[[#This Row],[S3Print]],Prod[[#This Row],[S3Ovlp]],Prod[[#This Row],[S3Seam]],Prod[[#This Row],[S3Dmg]])</f>
        <v>140</v>
      </c>
      <c r="Z36" s="196">
        <f>SUM(Prod[[#This Row],[S1Qty]],Prod[[#This Row],[S2Qty]],Prod[[#This Row],[S3Qty]])</f>
        <v>30586</v>
      </c>
      <c r="AA36" s="196">
        <f>SUM(Prod[[#This Row],[S1Dft]],Prod[[#This Row],[S2Dft]],Prod[[#This Row],[S3Dft]])</f>
        <v>430</v>
      </c>
      <c r="AB36" s="203">
        <f>IF(Prod[[#This Row],[Total]]=0,0,Prod[[#This Row],[TotalDft]]/Prod[[#This Row],[Total]])</f>
        <v>1.4058719675668607E-2</v>
      </c>
      <c r="AC36" s="204"/>
      <c r="AD36" s="196">
        <v>20</v>
      </c>
      <c r="AE36" s="196">
        <v>25</v>
      </c>
      <c r="AF36" s="196">
        <v>20</v>
      </c>
      <c r="AG36" s="196">
        <v>125</v>
      </c>
      <c r="AH36" s="196">
        <v>120</v>
      </c>
      <c r="AI36" s="196">
        <v>120</v>
      </c>
      <c r="AJ36" s="196">
        <v>0</v>
      </c>
      <c r="AK36" s="196">
        <v>0</v>
      </c>
      <c r="AL36" s="196">
        <v>0</v>
      </c>
      <c r="AM36" s="196">
        <v>0</v>
      </c>
      <c r="AN36" s="196">
        <v>0</v>
      </c>
      <c r="AO36" s="196">
        <v>0</v>
      </c>
      <c r="AP36" s="196">
        <v>0</v>
      </c>
      <c r="AQ36" s="196">
        <v>0</v>
      </c>
      <c r="AR36" s="196">
        <v>0</v>
      </c>
      <c r="AS36" s="205">
        <f>IF(Prod[[#This Row],[S1Hrs]]=0,0,Prod[[#This Row],[S1Shot]]*Prod[[#This Row],[S1Cycle]]/(Prod[[#This Row],[S1Hrs]]*60*60))</f>
        <v>0.99066666666666658</v>
      </c>
      <c r="AT36" s="205">
        <f>IF(Prod[[#This Row],[S2Hrs]]=0,0,Prod[[#This Row],[S2Shot]]*Prod[[#This Row],[S2Cycle]]/(Prod[[#This Row],[S2Hrs]]*60*60))</f>
        <v>1.0897333333333332</v>
      </c>
      <c r="AU36" s="205">
        <f>IF(Prod[[#This Row],[S3Hrs]]=0,0,Prod[[#This Row],[S3Shot]]*Prod[[#This Row],[S3Cycle]]/(Prod[[#This Row],[S3Hrs]]*60*60))</f>
        <v>0.92023645833333323</v>
      </c>
      <c r="AV36" s="205">
        <f>IFERROR(AVERAGEIF(Prod[[#This Row],[S1%]:[S3%]], "&lt;&gt;0"),0)</f>
        <v>1.0002121527777776</v>
      </c>
      <c r="AW36" s="205">
        <v>0</v>
      </c>
      <c r="AX36" s="205">
        <v>0</v>
      </c>
      <c r="AY36" s="205">
        <v>0</v>
      </c>
      <c r="AZ36" s="206">
        <f>IF(Prod[[#This Row],[S1Cycle]]&lt;&gt;0,1,0)</f>
        <v>1</v>
      </c>
      <c r="BA36" s="206">
        <f>IF(Prod[[#This Row],[S2Cycle]]&lt;&gt;0,1,0)</f>
        <v>1</v>
      </c>
      <c r="BB36" s="206">
        <f>IF(Prod[[#This Row],[S3Cycle]]&lt;&gt;0,1,0)</f>
        <v>1</v>
      </c>
      <c r="BC36" s="206">
        <f>MAX(Prod[[#This Row],[S1Cavity]],Prod[[#This Row],[S2Cavity]],Prod[[#This Row],[S3Cavity]])</f>
        <v>8</v>
      </c>
      <c r="BD36" s="206" t="b">
        <f>RegExpMatch(Prod[[#This Row],[MoldNo]], "^DEO-(B|C)")</f>
        <v>1</v>
      </c>
      <c r="BE36" s="206" t="b">
        <f>RegExpMatch(Prod[[#This Row],[MoldNo]], "^JAC")</f>
        <v>0</v>
      </c>
    </row>
    <row r="37" spans="1:57" x14ac:dyDescent="0.2">
      <c r="A37" s="195">
        <v>45445</v>
      </c>
      <c r="B37" s="201" t="s">
        <v>174</v>
      </c>
      <c r="C37" s="198" t="s">
        <v>175</v>
      </c>
      <c r="D37" s="197">
        <v>27713</v>
      </c>
      <c r="E37" s="198" t="s">
        <v>199</v>
      </c>
      <c r="F37" s="197">
        <v>814</v>
      </c>
      <c r="G37" s="197" t="str">
        <f>IF(OR(Prod[[#This Row],[S1Hrs]]&gt;0,Prod[[#This Row],[S2Hrs]]&gt;0,Prod[[#This Row],[S3Hrs]]&gt;0),"Running","Down")</f>
        <v>Running</v>
      </c>
      <c r="H37" s="209">
        <v>20.79</v>
      </c>
      <c r="I37" s="210">
        <v>8</v>
      </c>
      <c r="J37" s="201">
        <v>1411</v>
      </c>
      <c r="K37" s="201">
        <v>8</v>
      </c>
      <c r="L37" s="196">
        <f>Prod[[#This Row],[S1Shot]]*Prod[[#This Row],[S1Cavity]]-Prod[[#This Row],[S1Dft]]</f>
        <v>11143</v>
      </c>
      <c r="M37" s="202">
        <f>SUM(Prod[[#This Row],[S1Mold]],Prod[[#This Row],[S1Print]],Prod[[#This Row],[S1Ovlp]],Prod[[#This Row],[S1Seam]],Prod[[#This Row],[S1Dmg]])</f>
        <v>145</v>
      </c>
      <c r="N37" s="209">
        <v>20.79</v>
      </c>
      <c r="O37" s="210">
        <v>8</v>
      </c>
      <c r="P37" s="201">
        <v>1483</v>
      </c>
      <c r="Q37" s="201">
        <v>8</v>
      </c>
      <c r="R37" s="196">
        <f>Prod[[#This Row],[S2Shot]]*Prod[[#This Row],[S2Cavity]]-Prod[[#This Row],[S2Dft]]</f>
        <v>11729</v>
      </c>
      <c r="S37" s="202">
        <f>SUM(Prod[[#This Row],[S2Mold]],Prod[[#This Row],[S2Print]],Prod[[#This Row],[S2Ovlp]],Prod[[#This Row],[S2Seam]],Prod[[#This Row],[S2Dmg]])</f>
        <v>135</v>
      </c>
      <c r="T37" s="209">
        <v>20.75</v>
      </c>
      <c r="U37" s="210">
        <v>8</v>
      </c>
      <c r="V37" s="201">
        <v>1278</v>
      </c>
      <c r="W37" s="201">
        <v>8</v>
      </c>
      <c r="X37" s="196">
        <f>Prod[[#This Row],[S3Shot]]*Prod[[#This Row],[S3Cavity]]-Prod[[#This Row],[S3Dft]]</f>
        <v>10079</v>
      </c>
      <c r="Y37" s="196">
        <f>SUM(Prod[[#This Row],[S3Mold]],Prod[[#This Row],[S3Print]],Prod[[#This Row],[S3Ovlp]],Prod[[#This Row],[S3Seam]],Prod[[#This Row],[S3Dmg]])</f>
        <v>145</v>
      </c>
      <c r="Z37" s="196">
        <f>SUM(Prod[[#This Row],[S1Qty]],Prod[[#This Row],[S2Qty]],Prod[[#This Row],[S3Qty]])</f>
        <v>32951</v>
      </c>
      <c r="AA37" s="196">
        <f>SUM(Prod[[#This Row],[S1Dft]],Prod[[#This Row],[S2Dft]],Prod[[#This Row],[S3Dft]])</f>
        <v>425</v>
      </c>
      <c r="AB37" s="203">
        <f>IF(Prod[[#This Row],[Total]]=0,0,Prod[[#This Row],[TotalDft]]/Prod[[#This Row],[Total]])</f>
        <v>1.2897939364510941E-2</v>
      </c>
      <c r="AC37" s="198"/>
      <c r="AD37" s="196">
        <v>20</v>
      </c>
      <c r="AE37" s="196">
        <v>25</v>
      </c>
      <c r="AF37" s="196">
        <v>20</v>
      </c>
      <c r="AG37" s="196">
        <v>125</v>
      </c>
      <c r="AH37" s="196">
        <v>110</v>
      </c>
      <c r="AI37" s="196">
        <v>125</v>
      </c>
      <c r="AJ37" s="196">
        <v>0</v>
      </c>
      <c r="AK37" s="196">
        <v>0</v>
      </c>
      <c r="AL37" s="196">
        <v>0</v>
      </c>
      <c r="AM37" s="196">
        <v>0</v>
      </c>
      <c r="AN37" s="196">
        <v>0</v>
      </c>
      <c r="AO37" s="196">
        <v>0</v>
      </c>
      <c r="AP37" s="196">
        <v>0</v>
      </c>
      <c r="AQ37" s="196">
        <v>0</v>
      </c>
      <c r="AR37" s="196">
        <v>0</v>
      </c>
      <c r="AS37" s="205">
        <f>IF(Prod[[#This Row],[S1Hrs]]=0,0,Prod[[#This Row],[S1Shot]]*Prod[[#This Row],[S1Cycle]]/(Prod[[#This Row],[S1Hrs]]*60*60))</f>
        <v>1.0185656249999999</v>
      </c>
      <c r="AT37" s="205">
        <f>IF(Prod[[#This Row],[S2Hrs]]=0,0,Prod[[#This Row],[S2Shot]]*Prod[[#This Row],[S2Cycle]]/(Prod[[#This Row],[S2Hrs]]*60*60))</f>
        <v>1.070540625</v>
      </c>
      <c r="AU37" s="205">
        <f>IF(Prod[[#This Row],[S3Hrs]]=0,0,Prod[[#This Row],[S3Shot]]*Prod[[#This Row],[S3Cycle]]/(Prod[[#This Row],[S3Hrs]]*60*60))</f>
        <v>0.92078125</v>
      </c>
      <c r="AV37" s="205">
        <f>IFERROR(AVERAGEIF(Prod[[#This Row],[S1%]:[S3%]], "&lt;&gt;0"),0)</f>
        <v>1.0032958333333333</v>
      </c>
      <c r="AW37" s="205">
        <v>0</v>
      </c>
      <c r="AX37" s="205">
        <v>0</v>
      </c>
      <c r="AY37" s="205">
        <v>0</v>
      </c>
      <c r="AZ37" s="206">
        <f>IF(Prod[[#This Row],[S1Cycle]]&lt;&gt;0,1,0)</f>
        <v>1</v>
      </c>
      <c r="BA37" s="206">
        <f>IF(Prod[[#This Row],[S2Cycle]]&lt;&gt;0,1,0)</f>
        <v>1</v>
      </c>
      <c r="BB37" s="206">
        <f>IF(Prod[[#This Row],[S3Cycle]]&lt;&gt;0,1,0)</f>
        <v>1</v>
      </c>
      <c r="BC37" s="206">
        <f>MAX(Prod[[#This Row],[S1Cavity]],Prod[[#This Row],[S2Cavity]],Prod[[#This Row],[S3Cavity]])</f>
        <v>8</v>
      </c>
      <c r="BD37" s="206" t="b">
        <f>RegExpMatch(Prod[[#This Row],[MoldNo]], "^DEO-(B|C)")</f>
        <v>1</v>
      </c>
      <c r="BE37" s="206" t="b">
        <f>RegExpMatch(Prod[[#This Row],[MoldNo]], "^JAC")</f>
        <v>0</v>
      </c>
    </row>
    <row r="38" spans="1:57" x14ac:dyDescent="0.2">
      <c r="A38" s="195">
        <v>45445</v>
      </c>
      <c r="B38" s="201" t="s">
        <v>176</v>
      </c>
      <c r="C38" s="198" t="s">
        <v>81</v>
      </c>
      <c r="D38" s="197">
        <v>27713</v>
      </c>
      <c r="E38" s="198" t="s">
        <v>199</v>
      </c>
      <c r="F38" s="197">
        <v>814</v>
      </c>
      <c r="G38" s="197" t="str">
        <f>IF(OR(Prod[[#This Row],[S1Hrs]]&gt;0,Prod[[#This Row],[S2Hrs]]&gt;0,Prod[[#This Row],[S3Hrs]]&gt;0),"Running","Down")</f>
        <v>Running</v>
      </c>
      <c r="H38" s="209">
        <v>21.88</v>
      </c>
      <c r="I38" s="210">
        <v>8</v>
      </c>
      <c r="J38" s="201">
        <v>1061</v>
      </c>
      <c r="K38" s="201">
        <v>8</v>
      </c>
      <c r="L38" s="196">
        <f>Prod[[#This Row],[S1Shot]]*Prod[[#This Row],[S1Cavity]]-Prod[[#This Row],[S1Dft]]</f>
        <v>8348</v>
      </c>
      <c r="M38" s="202">
        <f>SUM(Prod[[#This Row],[S1Mold]],Prod[[#This Row],[S1Print]],Prod[[#This Row],[S1Ovlp]],Prod[[#This Row],[S1Seam]],Prod[[#This Row],[S1Dmg]])</f>
        <v>140</v>
      </c>
      <c r="N38" s="209">
        <v>21.88</v>
      </c>
      <c r="O38" s="210">
        <v>8</v>
      </c>
      <c r="P38" s="201">
        <v>1278</v>
      </c>
      <c r="Q38" s="201">
        <v>8</v>
      </c>
      <c r="R38" s="196">
        <f>Prod[[#This Row],[S2Shot]]*Prod[[#This Row],[S2Cavity]]-Prod[[#This Row],[S2Dft]]</f>
        <v>10079</v>
      </c>
      <c r="S38" s="202">
        <f>SUM(Prod[[#This Row],[S2Mold]],Prod[[#This Row],[S2Print]],Prod[[#This Row],[S2Ovlp]],Prod[[#This Row],[S2Seam]],Prod[[#This Row],[S2Dmg]])</f>
        <v>145</v>
      </c>
      <c r="T38" s="209">
        <v>21.84</v>
      </c>
      <c r="U38" s="210">
        <v>8</v>
      </c>
      <c r="V38" s="201">
        <v>1222</v>
      </c>
      <c r="W38" s="201">
        <v>8</v>
      </c>
      <c r="X38" s="196">
        <f>Prod[[#This Row],[S3Shot]]*Prod[[#This Row],[S3Cavity]]-Prod[[#This Row],[S3Dft]]</f>
        <v>9636</v>
      </c>
      <c r="Y38" s="196">
        <f>SUM(Prod[[#This Row],[S3Mold]],Prod[[#This Row],[S3Print]],Prod[[#This Row],[S3Ovlp]],Prod[[#This Row],[S3Seam]],Prod[[#This Row],[S3Dmg]])</f>
        <v>140</v>
      </c>
      <c r="Z38" s="196">
        <f>SUM(Prod[[#This Row],[S1Qty]],Prod[[#This Row],[S2Qty]],Prod[[#This Row],[S3Qty]])</f>
        <v>28063</v>
      </c>
      <c r="AA38" s="196">
        <f>SUM(Prod[[#This Row],[S1Dft]],Prod[[#This Row],[S2Dft]],Prod[[#This Row],[S3Dft]])</f>
        <v>425</v>
      </c>
      <c r="AB38" s="203">
        <f>IF(Prod[[#This Row],[Total]]=0,0,Prod[[#This Row],[TotalDft]]/Prod[[#This Row],[Total]])</f>
        <v>1.5144496311869721E-2</v>
      </c>
      <c r="AC38" s="198"/>
      <c r="AD38" s="196">
        <v>25</v>
      </c>
      <c r="AE38" s="196">
        <v>25</v>
      </c>
      <c r="AF38" s="196">
        <v>20</v>
      </c>
      <c r="AG38" s="196">
        <v>115</v>
      </c>
      <c r="AH38" s="196">
        <v>120</v>
      </c>
      <c r="AI38" s="196">
        <v>120</v>
      </c>
      <c r="AJ38" s="196">
        <v>0</v>
      </c>
      <c r="AK38" s="196">
        <v>0</v>
      </c>
      <c r="AL38" s="196">
        <v>0</v>
      </c>
      <c r="AM38" s="196">
        <v>0</v>
      </c>
      <c r="AN38" s="196">
        <v>0</v>
      </c>
      <c r="AO38" s="196">
        <v>0</v>
      </c>
      <c r="AP38" s="196">
        <v>0</v>
      </c>
      <c r="AQ38" s="196">
        <v>0</v>
      </c>
      <c r="AR38" s="196">
        <v>0</v>
      </c>
      <c r="AS38" s="205">
        <f>IF(Prod[[#This Row],[S1Hrs]]=0,0,Prod[[#This Row],[S1Shot]]*Prod[[#This Row],[S1Cycle]]/(Prod[[#This Row],[S1Hrs]]*60*60))</f>
        <v>0.80606527777777781</v>
      </c>
      <c r="AT38" s="205">
        <f>IF(Prod[[#This Row],[S2Hrs]]=0,0,Prod[[#This Row],[S2Shot]]*Prod[[#This Row],[S2Cycle]]/(Prod[[#This Row],[S2Hrs]]*60*60))</f>
        <v>0.97092499999999993</v>
      </c>
      <c r="AU38" s="205">
        <f>IF(Prod[[#This Row],[S3Hrs]]=0,0,Prod[[#This Row],[S3Shot]]*Prod[[#This Row],[S3Cycle]]/(Prod[[#This Row],[S3Hrs]]*60*60))</f>
        <v>0.9266833333333333</v>
      </c>
      <c r="AV38" s="205">
        <f>IFERROR(AVERAGEIF(Prod[[#This Row],[S1%]:[S3%]], "&lt;&gt;0"),0)</f>
        <v>0.90122453703703709</v>
      </c>
      <c r="AW38" s="205">
        <v>0</v>
      </c>
      <c r="AX38" s="205">
        <v>0</v>
      </c>
      <c r="AY38" s="205">
        <v>0</v>
      </c>
      <c r="AZ38" s="206">
        <f>IF(Prod[[#This Row],[S1Cycle]]&lt;&gt;0,1,0)</f>
        <v>1</v>
      </c>
      <c r="BA38" s="206">
        <f>IF(Prod[[#This Row],[S2Cycle]]&lt;&gt;0,1,0)</f>
        <v>1</v>
      </c>
      <c r="BB38" s="206">
        <f>IF(Prod[[#This Row],[S3Cycle]]&lt;&gt;0,1,0)</f>
        <v>1</v>
      </c>
      <c r="BC38" s="206">
        <f>MAX(Prod[[#This Row],[S1Cavity]],Prod[[#This Row],[S2Cavity]],Prod[[#This Row],[S3Cavity]])</f>
        <v>8</v>
      </c>
      <c r="BD38" s="206" t="b">
        <f>RegExpMatch(Prod[[#This Row],[MoldNo]], "^DEO-(B|C)")</f>
        <v>1</v>
      </c>
      <c r="BE38" s="206" t="b">
        <f>RegExpMatch(Prod[[#This Row],[MoldNo]], "^JAC")</f>
        <v>0</v>
      </c>
    </row>
    <row r="39" spans="1:57" x14ac:dyDescent="0.2">
      <c r="A39" s="195">
        <v>45445</v>
      </c>
      <c r="B39" s="201" t="s">
        <v>195</v>
      </c>
      <c r="C39" s="197" t="s">
        <v>145</v>
      </c>
      <c r="D39" s="197">
        <v>27250</v>
      </c>
      <c r="E39" s="198" t="s">
        <v>199</v>
      </c>
      <c r="F39" s="197">
        <v>814</v>
      </c>
      <c r="G39" s="197" t="str">
        <f>IF(OR(Prod[[#This Row],[S1Hrs]]&gt;0,Prod[[#This Row],[S2Hrs]]&gt;0,Prod[[#This Row],[S3Hrs]]&gt;0),"Running","Down")</f>
        <v>Running</v>
      </c>
      <c r="H39" s="209">
        <v>13.36</v>
      </c>
      <c r="I39" s="210">
        <v>8</v>
      </c>
      <c r="J39" s="201">
        <v>2140</v>
      </c>
      <c r="K39" s="201">
        <v>16</v>
      </c>
      <c r="L39" s="196">
        <f>Prod[[#This Row],[S1Shot]]*Prod[[#This Row],[S1Cavity]]-Prod[[#This Row],[S1Dft]]</f>
        <v>34240</v>
      </c>
      <c r="M39" s="207"/>
      <c r="N39" s="209">
        <v>13.36</v>
      </c>
      <c r="O39" s="210">
        <v>8</v>
      </c>
      <c r="P39" s="201">
        <v>2136</v>
      </c>
      <c r="Q39" s="201">
        <v>16</v>
      </c>
      <c r="R39" s="196">
        <f>Prod[[#This Row],[S2Shot]]*Prod[[#This Row],[S2Cavity]]-Prod[[#This Row],[S2Dft]]</f>
        <v>34176</v>
      </c>
      <c r="S39" s="207"/>
      <c r="T39" s="209">
        <v>13.33</v>
      </c>
      <c r="U39" s="210">
        <v>8</v>
      </c>
      <c r="V39" s="201">
        <v>2195</v>
      </c>
      <c r="W39" s="201">
        <v>16</v>
      </c>
      <c r="X39" s="196">
        <f>Prod[[#This Row],[S3Shot]]*Prod[[#This Row],[S3Cavity]]-Prod[[#This Row],[S3Dft]]</f>
        <v>35120</v>
      </c>
      <c r="Y39" s="207"/>
      <c r="Z39" s="196">
        <f>SUM(Prod[[#This Row],[S1Qty]],Prod[[#This Row],[S2Qty]],Prod[[#This Row],[S3Qty]])</f>
        <v>103536</v>
      </c>
      <c r="AA39" s="207"/>
      <c r="AB39" s="208"/>
      <c r="AC39" s="204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7"/>
      <c r="AP39" s="207"/>
      <c r="AQ39" s="207"/>
      <c r="AR39" s="207"/>
      <c r="AS39" s="205">
        <f>IF(Prod[[#This Row],[S1Hrs]]=0,0,Prod[[#This Row],[S1Shot]]*Prod[[#This Row],[S1Cycle]]/(Prod[[#This Row],[S1Hrs]]*60*60))</f>
        <v>0.99272222222222217</v>
      </c>
      <c r="AT39" s="205">
        <f>IF(Prod[[#This Row],[S2Hrs]]=0,0,Prod[[#This Row],[S2Shot]]*Prod[[#This Row],[S2Cycle]]/(Prod[[#This Row],[S2Hrs]]*60*60))</f>
        <v>0.99086666666666667</v>
      </c>
      <c r="AU39" s="205">
        <f>IF(Prod[[#This Row],[S3Hrs]]=0,0,Prod[[#This Row],[S3Shot]]*Prod[[#This Row],[S3Cycle]]/(Prod[[#This Row],[S3Hrs]]*60*60))</f>
        <v>1.0159496527777778</v>
      </c>
      <c r="AV39" s="205">
        <f>IFERROR(AVERAGEIF(Prod[[#This Row],[S1%]:[S3%]], "&lt;&gt;0"),0)</f>
        <v>0.99984618055555552</v>
      </c>
      <c r="AW39" s="205">
        <v>0</v>
      </c>
      <c r="AX39" s="205">
        <v>0</v>
      </c>
      <c r="AY39" s="205">
        <v>0</v>
      </c>
      <c r="AZ39" s="206">
        <f>IF(Prod[[#This Row],[S1Cycle]]&lt;&gt;0,1,0)</f>
        <v>1</v>
      </c>
      <c r="BA39" s="206">
        <f>IF(Prod[[#This Row],[S2Cycle]]&lt;&gt;0,1,0)</f>
        <v>1</v>
      </c>
      <c r="BB39" s="206">
        <f>IF(Prod[[#This Row],[S3Cycle]]&lt;&gt;0,1,0)</f>
        <v>1</v>
      </c>
      <c r="BC39" s="206">
        <f>MAX(Prod[[#This Row],[S1Cavity]],Prod[[#This Row],[S2Cavity]],Prod[[#This Row],[S3Cavity]])</f>
        <v>16</v>
      </c>
      <c r="BD39" s="206" t="b">
        <f>RegExpMatch(Prod[[#This Row],[MoldNo]], "^DEO-(B|C)")</f>
        <v>0</v>
      </c>
      <c r="BE39" s="206" t="b">
        <f>RegExpMatch(Prod[[#This Row],[MoldNo]], "^JAC")</f>
        <v>0</v>
      </c>
    </row>
    <row r="40" spans="1:57" x14ac:dyDescent="0.2">
      <c r="A40" s="117">
        <v>45446</v>
      </c>
      <c r="B40" s="120" t="s">
        <v>190</v>
      </c>
      <c r="C40" s="119" t="s">
        <v>153</v>
      </c>
      <c r="D40" s="119">
        <v>27647</v>
      </c>
      <c r="E40" s="131" t="s">
        <v>199</v>
      </c>
      <c r="F40" s="119">
        <v>6331</v>
      </c>
      <c r="G40" s="119" t="str">
        <f>IF(OR(Prod[[#This Row],[S1Hrs]]&gt;0,Prod[[#This Row],[S2Hrs]]&gt;0,Prod[[#This Row],[S3Hrs]]&gt;0),"Running","Down")</f>
        <v>Running</v>
      </c>
      <c r="H40" s="187">
        <v>22.68</v>
      </c>
      <c r="I40" s="141">
        <v>8</v>
      </c>
      <c r="J40" s="120">
        <v>1254</v>
      </c>
      <c r="K40" s="130">
        <v>4</v>
      </c>
      <c r="L40" s="120">
        <f>Prod[[#This Row],[S1Shot]]*Prod[[#This Row],[S1Cavity]]-Prod[[#This Row],[S1Dft]]</f>
        <v>5010</v>
      </c>
      <c r="M40" s="136">
        <f>SUM(Prod[[#This Row],[S1Mold]],Prod[[#This Row],[S1Print]],Prod[[#This Row],[S1Ovlp]],Prod[[#This Row],[S1Seam]],Prod[[#This Row],[S1Dmg]])</f>
        <v>6</v>
      </c>
      <c r="N40" s="187">
        <v>22.68</v>
      </c>
      <c r="O40" s="141">
        <v>8</v>
      </c>
      <c r="P40" s="120">
        <v>1372</v>
      </c>
      <c r="Q40" s="130">
        <v>4</v>
      </c>
      <c r="R40" s="120">
        <f>Prod[[#This Row],[S2Shot]]*Prod[[#This Row],[S2Cavity]]-Prod[[#This Row],[S2Dft]]</f>
        <v>5484</v>
      </c>
      <c r="S40" s="136">
        <f>SUM(Prod[[#This Row],[S2Mold]],Prod[[#This Row],[S2Print]],Prod[[#This Row],[S2Ovlp]],Prod[[#This Row],[S2Seam]],Prod[[#This Row],[S2Dmg]])</f>
        <v>4</v>
      </c>
      <c r="T40" s="187">
        <v>22.67</v>
      </c>
      <c r="U40" s="141">
        <v>8</v>
      </c>
      <c r="V40" s="120">
        <v>1160</v>
      </c>
      <c r="W40" s="130">
        <v>4</v>
      </c>
      <c r="X40" s="120">
        <f>Prod[[#This Row],[S3Shot]]*Prod[[#This Row],[S3Cavity]]-Prod[[#This Row],[S3Dft]]</f>
        <v>4633</v>
      </c>
      <c r="Y40" s="120">
        <f>SUM(Prod[[#This Row],[S3Mold]],Prod[[#This Row],[S3Print]],Prod[[#This Row],[S3Ovlp]],Prod[[#This Row],[S3Seam]],Prod[[#This Row],[S3Dmg]])</f>
        <v>7</v>
      </c>
      <c r="Z40" s="120">
        <f>SUM(Prod[[#This Row],[S1Qty]],Prod[[#This Row],[S2Qty]],Prod[[#This Row],[S3Qty]])</f>
        <v>15127</v>
      </c>
      <c r="AA40" s="120">
        <f>SUM(Prod[[#This Row],[S1Dft]],Prod[[#This Row],[S2Dft]],Prod[[#This Row],[S3Dft]])</f>
        <v>17</v>
      </c>
      <c r="AB40" s="121">
        <f>IF(Prod[[#This Row],[Total]]=0,0,Prod[[#This Row],[TotalDft]]/Prod[[#This Row],[Total]])</f>
        <v>1.1238183380709989E-3</v>
      </c>
      <c r="AC40" s="118"/>
      <c r="AD40" s="120">
        <v>6</v>
      </c>
      <c r="AE40" s="120">
        <v>4</v>
      </c>
      <c r="AF40" s="120">
        <v>7</v>
      </c>
      <c r="AG40" s="120">
        <v>0</v>
      </c>
      <c r="AH40" s="120">
        <v>0</v>
      </c>
      <c r="AI40" s="120">
        <v>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2">
        <f>IF(Prod[[#This Row],[S1Hrs]]=0,0,Prod[[#This Row],[S1Shot]]*Prod[[#This Row],[S1Cycle]]/(Prod[[#This Row],[S1Hrs]]*60*60))</f>
        <v>0.98752499999999999</v>
      </c>
      <c r="AT40" s="132">
        <f>IF(Prod[[#This Row],[S2Hrs]]=0,0,Prod[[#This Row],[S2Shot]]*Prod[[#This Row],[S2Cycle]]/(Prod[[#This Row],[S2Hrs]]*60*60))</f>
        <v>1.0804499999999999</v>
      </c>
      <c r="AU40" s="132">
        <f>IF(Prod[[#This Row],[S3Hrs]]=0,0,Prod[[#This Row],[S3Shot]]*Prod[[#This Row],[S3Cycle]]/(Prod[[#This Row],[S3Hrs]]*60*60))</f>
        <v>0.91309722222222223</v>
      </c>
      <c r="AV40" s="132">
        <f>IFERROR(AVERAGEIF(Prod[[#This Row],[S1%]:[S3%]], "&lt;&gt;0"),0)</f>
        <v>0.99369074074074071</v>
      </c>
      <c r="AW40" s="132">
        <v>0</v>
      </c>
      <c r="AX40" s="132">
        <v>0</v>
      </c>
      <c r="AY40" s="132">
        <v>0</v>
      </c>
      <c r="AZ40" s="175">
        <f>IF(Prod[[#This Row],[S1Cycle]]&lt;&gt;0,1,0)</f>
        <v>1</v>
      </c>
      <c r="BA40" s="175">
        <f>IF(Prod[[#This Row],[S2Cycle]]&lt;&gt;0,1,0)</f>
        <v>1</v>
      </c>
      <c r="BB40" s="175">
        <f>IF(Prod[[#This Row],[S3Cycle]]&lt;&gt;0,1,0)</f>
        <v>1</v>
      </c>
      <c r="BC40" s="175">
        <f>MAX(Prod[[#This Row],[S1Cavity]],Prod[[#This Row],[S2Cavity]],Prod[[#This Row],[S3Cavity]])</f>
        <v>4</v>
      </c>
      <c r="BD40" s="175" t="b">
        <f>RegExpMatch(Prod[[#This Row],[MoldNo]], "^DEO-(B|C)")</f>
        <v>0</v>
      </c>
      <c r="BE40" s="175" t="b">
        <f>RegExpMatch(Prod[[#This Row],[MoldNo]], "^JAC")</f>
        <v>1</v>
      </c>
    </row>
    <row r="41" spans="1:57" x14ac:dyDescent="0.2">
      <c r="A41" s="117">
        <v>45446</v>
      </c>
      <c r="B41" s="130" t="s">
        <v>6</v>
      </c>
      <c r="C41" s="131" t="s">
        <v>8</v>
      </c>
      <c r="D41" s="119">
        <v>27501</v>
      </c>
      <c r="E41" s="131" t="s">
        <v>199</v>
      </c>
      <c r="F41" s="119">
        <v>6331</v>
      </c>
      <c r="G41" s="119" t="str">
        <f>IF(OR(Prod[[#This Row],[S1Hrs]]&gt;0,Prod[[#This Row],[S2Hrs]]&gt;0,Prod[[#This Row],[S3Hrs]]&gt;0),"Running","Down")</f>
        <v>Running</v>
      </c>
      <c r="H41" s="187">
        <v>16.98</v>
      </c>
      <c r="I41" s="141">
        <v>3</v>
      </c>
      <c r="J41" s="120">
        <v>574</v>
      </c>
      <c r="K41" s="130">
        <v>8</v>
      </c>
      <c r="L41" s="120">
        <f>Prod[[#This Row],[S1Shot]]*Prod[[#This Row],[S1Cavity]]-Prod[[#This Row],[S1Dft]]</f>
        <v>4492</v>
      </c>
      <c r="M41" s="136">
        <f>SUM(Prod[[#This Row],[S1Mold]],Prod[[#This Row],[S1Print]],Prod[[#This Row],[S1Ovlp]],Prod[[#This Row],[S1Seam]],Prod[[#This Row],[S1Dmg]])</f>
        <v>100</v>
      </c>
      <c r="N41" s="187">
        <v>16.98</v>
      </c>
      <c r="O41" s="141">
        <v>8</v>
      </c>
      <c r="P41" s="120">
        <v>1878</v>
      </c>
      <c r="Q41" s="130">
        <v>8</v>
      </c>
      <c r="R41" s="120">
        <f>Prod[[#This Row],[S2Shot]]*Prod[[#This Row],[S2Cavity]]-Prod[[#This Row],[S2Dft]]</f>
        <v>14914</v>
      </c>
      <c r="S41" s="136">
        <f>SUM(Prod[[#This Row],[S2Mold]],Prod[[#This Row],[S2Print]],Prod[[#This Row],[S2Ovlp]],Prod[[#This Row],[S2Seam]],Prod[[#This Row],[S2Dmg]])</f>
        <v>110</v>
      </c>
      <c r="T41" s="187">
        <v>17.010000000000002</v>
      </c>
      <c r="U41" s="141">
        <v>8</v>
      </c>
      <c r="V41" s="120">
        <v>1440</v>
      </c>
      <c r="W41" s="130">
        <v>8</v>
      </c>
      <c r="X41" s="120">
        <f>Prod[[#This Row],[S3Shot]]*Prod[[#This Row],[S3Cavity]]-Prod[[#This Row],[S3Dft]]</f>
        <v>11410</v>
      </c>
      <c r="Y41" s="120">
        <f>SUM(Prod[[#This Row],[S3Mold]],Prod[[#This Row],[S3Print]],Prod[[#This Row],[S3Ovlp]],Prod[[#This Row],[S3Seam]],Prod[[#This Row],[S3Dmg]])</f>
        <v>110</v>
      </c>
      <c r="Z41" s="120">
        <f>SUM(Prod[[#This Row],[S1Qty]],Prod[[#This Row],[S2Qty]],Prod[[#This Row],[S3Qty]])</f>
        <v>30816</v>
      </c>
      <c r="AA41" s="120">
        <f>SUM(Prod[[#This Row],[S1Dft]],Prod[[#This Row],[S2Dft]],Prod[[#This Row],[S3Dft]])</f>
        <v>320</v>
      </c>
      <c r="AB41" s="121">
        <f>IF(Prod[[#This Row],[Total]]=0,0,Prod[[#This Row],[TotalDft]]/Prod[[#This Row],[Total]])</f>
        <v>1.0384215991692628E-2</v>
      </c>
      <c r="AC41" s="131"/>
      <c r="AD41" s="120">
        <v>15</v>
      </c>
      <c r="AE41" s="120">
        <v>20</v>
      </c>
      <c r="AF41" s="120">
        <v>15</v>
      </c>
      <c r="AG41" s="120">
        <v>85</v>
      </c>
      <c r="AH41" s="120">
        <v>90</v>
      </c>
      <c r="AI41" s="120">
        <v>95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2">
        <f>IF(Prod[[#This Row],[S1Hrs]]=0,0,Prod[[#This Row],[S1Shot]]*Prod[[#This Row],[S1Cycle]]/(Prod[[#This Row],[S1Hrs]]*60*60))</f>
        <v>0.90245555555555557</v>
      </c>
      <c r="AT41" s="132">
        <f>IF(Prod[[#This Row],[S2Hrs]]=0,0,Prod[[#This Row],[S2Shot]]*Prod[[#This Row],[S2Cycle]]/(Prod[[#This Row],[S2Hrs]]*60*60))</f>
        <v>1.1072375000000001</v>
      </c>
      <c r="AU41" s="132">
        <f>IF(Prod[[#This Row],[S3Hrs]]=0,0,Prod[[#This Row],[S3Shot]]*Prod[[#This Row],[S3Cycle]]/(Prod[[#This Row],[S3Hrs]]*60*60))</f>
        <v>0.85050000000000003</v>
      </c>
      <c r="AV41" s="132">
        <f>IFERROR(AVERAGEIF(Prod[[#This Row],[S1%]:[S3%]], "&lt;&gt;0"),0)</f>
        <v>0.9533976851851852</v>
      </c>
      <c r="AW41" s="132">
        <v>0</v>
      </c>
      <c r="AX41" s="132">
        <v>0</v>
      </c>
      <c r="AY41" s="132">
        <v>0</v>
      </c>
      <c r="AZ41" s="175">
        <f>IF(Prod[[#This Row],[S1Cycle]]&lt;&gt;0,1,0)</f>
        <v>1</v>
      </c>
      <c r="BA41" s="175">
        <f>IF(Prod[[#This Row],[S2Cycle]]&lt;&gt;0,1,0)</f>
        <v>1</v>
      </c>
      <c r="BB41" s="175">
        <f>IF(Prod[[#This Row],[S3Cycle]]&lt;&gt;0,1,0)</f>
        <v>1</v>
      </c>
      <c r="BC41" s="175">
        <f>MAX(Prod[[#This Row],[S1Cavity]],Prod[[#This Row],[S2Cavity]],Prod[[#This Row],[S3Cavity]])</f>
        <v>8</v>
      </c>
      <c r="BD41" s="175" t="b">
        <f>RegExpMatch(Prod[[#This Row],[MoldNo]], "^DEO-(B|C)")</f>
        <v>1</v>
      </c>
      <c r="BE41" s="175" t="b">
        <f>RegExpMatch(Prod[[#This Row],[MoldNo]], "^JAC")</f>
        <v>0</v>
      </c>
    </row>
    <row r="42" spans="1:57" x14ac:dyDescent="0.2">
      <c r="A42" s="117">
        <v>45446</v>
      </c>
      <c r="B42" s="120" t="s">
        <v>7</v>
      </c>
      <c r="C42" s="119" t="s">
        <v>172</v>
      </c>
      <c r="D42" s="119">
        <v>27501</v>
      </c>
      <c r="E42" s="131" t="s">
        <v>199</v>
      </c>
      <c r="F42" s="119">
        <v>6331</v>
      </c>
      <c r="G42" s="119" t="str">
        <f>IF(OR(Prod[[#This Row],[S1Hrs]]&gt;0,Prod[[#This Row],[S2Hrs]]&gt;0,Prod[[#This Row],[S3Hrs]]&gt;0),"Running","Down")</f>
        <v>Running</v>
      </c>
      <c r="H42" s="187">
        <v>20.9</v>
      </c>
      <c r="I42" s="141">
        <v>5</v>
      </c>
      <c r="J42" s="120">
        <v>870</v>
      </c>
      <c r="K42" s="130">
        <v>8</v>
      </c>
      <c r="L42" s="120">
        <f>Prod[[#This Row],[S1Shot]]*Prod[[#This Row],[S1Cavity]]-Prod[[#This Row],[S1Dft]]</f>
        <v>6855</v>
      </c>
      <c r="M42" s="136">
        <f>SUM(Prod[[#This Row],[S1Mold]],Prod[[#This Row],[S1Print]],Prod[[#This Row],[S1Ovlp]],Prod[[#This Row],[S1Seam]],Prod[[#This Row],[S1Dmg]])</f>
        <v>105</v>
      </c>
      <c r="N42" s="187">
        <v>20.9</v>
      </c>
      <c r="O42" s="141">
        <v>8</v>
      </c>
      <c r="P42" s="120">
        <v>1540</v>
      </c>
      <c r="Q42" s="130">
        <v>8</v>
      </c>
      <c r="R42" s="120">
        <f>Prod[[#This Row],[S2Shot]]*Prod[[#This Row],[S2Cavity]]-Prod[[#This Row],[S2Dft]]</f>
        <v>12200</v>
      </c>
      <c r="S42" s="136">
        <f>SUM(Prod[[#This Row],[S2Mold]],Prod[[#This Row],[S2Print]],Prod[[#This Row],[S2Ovlp]],Prod[[#This Row],[S2Seam]],Prod[[#This Row],[S2Dmg]])</f>
        <v>120</v>
      </c>
      <c r="T42" s="187">
        <v>20.81</v>
      </c>
      <c r="U42" s="141">
        <v>8</v>
      </c>
      <c r="V42" s="120">
        <v>1172</v>
      </c>
      <c r="W42" s="130">
        <v>8</v>
      </c>
      <c r="X42" s="120">
        <f>Prod[[#This Row],[S3Shot]]*Prod[[#This Row],[S3Cavity]]-Prod[[#This Row],[S3Dft]]</f>
        <v>9261</v>
      </c>
      <c r="Y42" s="120">
        <f>SUM(Prod[[#This Row],[S3Mold]],Prod[[#This Row],[S3Print]],Prod[[#This Row],[S3Ovlp]],Prod[[#This Row],[S3Seam]],Prod[[#This Row],[S3Dmg]])</f>
        <v>115</v>
      </c>
      <c r="Z42" s="120">
        <f>SUM(Prod[[#This Row],[S1Qty]],Prod[[#This Row],[S2Qty]],Prod[[#This Row],[S3Qty]])</f>
        <v>28316</v>
      </c>
      <c r="AA42" s="120">
        <f>SUM(Prod[[#This Row],[S1Dft]],Prod[[#This Row],[S2Dft]],Prod[[#This Row],[S3Dft]])</f>
        <v>340</v>
      </c>
      <c r="AB42" s="121">
        <f>IF(Prod[[#This Row],[Total]]=0,0,Prod[[#This Row],[TotalDft]]/Prod[[#This Row],[Total]])</f>
        <v>1.2007345670292414E-2</v>
      </c>
      <c r="AC42" s="131"/>
      <c r="AD42" s="120">
        <v>20</v>
      </c>
      <c r="AE42" s="120">
        <v>20</v>
      </c>
      <c r="AF42" s="120">
        <v>15</v>
      </c>
      <c r="AG42" s="120">
        <v>85</v>
      </c>
      <c r="AH42" s="120">
        <v>100</v>
      </c>
      <c r="AI42" s="120">
        <v>100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2">
        <f>IF(Prod[[#This Row],[S1Hrs]]=0,0,Prod[[#This Row],[S1Shot]]*Prod[[#This Row],[S1Cycle]]/(Prod[[#This Row],[S1Hrs]]*60*60))</f>
        <v>1.0101666666666667</v>
      </c>
      <c r="AT42" s="132">
        <f>IF(Prod[[#This Row],[S2Hrs]]=0,0,Prod[[#This Row],[S2Shot]]*Prod[[#This Row],[S2Cycle]]/(Prod[[#This Row],[S2Hrs]]*60*60))</f>
        <v>1.1175694444444444</v>
      </c>
      <c r="AU42" s="132">
        <f>IF(Prod[[#This Row],[S3Hrs]]=0,0,Prod[[#This Row],[S3Shot]]*Prod[[#This Row],[S3Cycle]]/(Prod[[#This Row],[S3Hrs]]*60*60))</f>
        <v>0.84685138888888889</v>
      </c>
      <c r="AV42" s="132">
        <f>IFERROR(AVERAGEIF(Prod[[#This Row],[S1%]:[S3%]], "&lt;&gt;0"),0)</f>
        <v>0.99152916666666668</v>
      </c>
      <c r="AW42" s="132">
        <v>0</v>
      </c>
      <c r="AX42" s="132">
        <v>0</v>
      </c>
      <c r="AY42" s="132">
        <v>0</v>
      </c>
      <c r="AZ42" s="175">
        <f>IF(Prod[[#This Row],[S1Cycle]]&lt;&gt;0,1,0)</f>
        <v>1</v>
      </c>
      <c r="BA42" s="175">
        <f>IF(Prod[[#This Row],[S2Cycle]]&lt;&gt;0,1,0)</f>
        <v>1</v>
      </c>
      <c r="BB42" s="175">
        <f>IF(Prod[[#This Row],[S3Cycle]]&lt;&gt;0,1,0)</f>
        <v>1</v>
      </c>
      <c r="BC42" s="175">
        <f>MAX(Prod[[#This Row],[S1Cavity]],Prod[[#This Row],[S2Cavity]],Prod[[#This Row],[S3Cavity]])</f>
        <v>8</v>
      </c>
      <c r="BD42" s="175" t="b">
        <f>RegExpMatch(Prod[[#This Row],[MoldNo]], "^DEO-(B|C)")</f>
        <v>1</v>
      </c>
      <c r="BE42" s="175" t="b">
        <f>RegExpMatch(Prod[[#This Row],[MoldNo]], "^JAC")</f>
        <v>0</v>
      </c>
    </row>
    <row r="43" spans="1:57" x14ac:dyDescent="0.2">
      <c r="A43" s="117">
        <v>45446</v>
      </c>
      <c r="B43" s="120" t="s">
        <v>85</v>
      </c>
      <c r="C43" s="119" t="s">
        <v>165</v>
      </c>
      <c r="D43" s="119">
        <v>27501</v>
      </c>
      <c r="E43" s="131" t="s">
        <v>199</v>
      </c>
      <c r="F43" s="119">
        <v>6331</v>
      </c>
      <c r="G43" s="119" t="str">
        <f>IF(OR(Prod[[#This Row],[S1Hrs]]&gt;0,Prod[[#This Row],[S2Hrs]]&gt;0,Prod[[#This Row],[S3Hrs]]&gt;0),"Running","Down")</f>
        <v>Running</v>
      </c>
      <c r="H43" s="187">
        <v>20.43</v>
      </c>
      <c r="I43" s="141">
        <v>8</v>
      </c>
      <c r="J43" s="120">
        <v>1416</v>
      </c>
      <c r="K43" s="130">
        <v>16</v>
      </c>
      <c r="L43" s="120">
        <f>Prod[[#This Row],[S1Shot]]*Prod[[#This Row],[S1Cavity]]-Prod[[#This Row],[S1Dft]]</f>
        <v>22656</v>
      </c>
      <c r="M43" s="134"/>
      <c r="N43" s="187">
        <v>20.43</v>
      </c>
      <c r="O43" s="141">
        <v>8</v>
      </c>
      <c r="P43" s="120">
        <v>1544</v>
      </c>
      <c r="Q43" s="130">
        <v>16</v>
      </c>
      <c r="R43" s="120">
        <f>Prod[[#This Row],[S2Shot]]*Prod[[#This Row],[S2Cavity]]-Prod[[#This Row],[S2Dft]]</f>
        <v>24704</v>
      </c>
      <c r="S43" s="134"/>
      <c r="T43" s="187">
        <v>20.420000000000002</v>
      </c>
      <c r="U43" s="141">
        <v>8</v>
      </c>
      <c r="V43" s="120">
        <v>1395</v>
      </c>
      <c r="W43" s="130">
        <v>16</v>
      </c>
      <c r="X43" s="120">
        <f>Prod[[#This Row],[S3Shot]]*Prod[[#This Row],[S3Cavity]]-Prod[[#This Row],[S3Dft]]</f>
        <v>22320</v>
      </c>
      <c r="Y43" s="134"/>
      <c r="Z43" s="120">
        <f>SUM(Prod[[#This Row],[S1Qty]],Prod[[#This Row],[S2Qty]],Prod[[#This Row],[S3Qty]])</f>
        <v>69680</v>
      </c>
      <c r="AA43" s="134"/>
      <c r="AB43" s="135"/>
      <c r="AC43" s="118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2">
        <f>IF(Prod[[#This Row],[S1Hrs]]=0,0,Prod[[#This Row],[S1Shot]]*Prod[[#This Row],[S1Cycle]]/(Prod[[#This Row],[S1Hrs]]*60*60))</f>
        <v>1.004475</v>
      </c>
      <c r="AT43" s="132">
        <f>IF(Prod[[#This Row],[S2Hrs]]=0,0,Prod[[#This Row],[S2Shot]]*Prod[[#This Row],[S2Cycle]]/(Prod[[#This Row],[S2Hrs]]*60*60))</f>
        <v>1.095275</v>
      </c>
      <c r="AU43" s="132">
        <f>IF(Prod[[#This Row],[S3Hrs]]=0,0,Prod[[#This Row],[S3Shot]]*Prod[[#This Row],[S3Cycle]]/(Prod[[#This Row],[S3Hrs]]*60*60))</f>
        <v>0.9890937500000001</v>
      </c>
      <c r="AV43" s="132">
        <f>IFERROR(AVERAGEIF(Prod[[#This Row],[S1%]:[S3%]], "&lt;&gt;0"),0)</f>
        <v>1.0296145833333334</v>
      </c>
      <c r="AW43" s="132">
        <v>0</v>
      </c>
      <c r="AX43" s="132">
        <v>0</v>
      </c>
      <c r="AY43" s="132">
        <v>0</v>
      </c>
      <c r="AZ43" s="175">
        <f>IF(Prod[[#This Row],[S1Cycle]]&lt;&gt;0,1,0)</f>
        <v>1</v>
      </c>
      <c r="BA43" s="175">
        <f>IF(Prod[[#This Row],[S2Cycle]]&lt;&gt;0,1,0)</f>
        <v>1</v>
      </c>
      <c r="BB43" s="175">
        <f>IF(Prod[[#This Row],[S3Cycle]]&lt;&gt;0,1,0)</f>
        <v>1</v>
      </c>
      <c r="BC43" s="175">
        <f>MAX(Prod[[#This Row],[S1Cavity]],Prod[[#This Row],[S2Cavity]],Prod[[#This Row],[S3Cavity]])</f>
        <v>16</v>
      </c>
      <c r="BD43" s="175" t="b">
        <f>RegExpMatch(Prod[[#This Row],[MoldNo]], "^DEO-(B|C)")</f>
        <v>0</v>
      </c>
      <c r="BE43" s="175" t="b">
        <f>RegExpMatch(Prod[[#This Row],[MoldNo]], "^JAC")</f>
        <v>0</v>
      </c>
    </row>
    <row r="44" spans="1:57" x14ac:dyDescent="0.2">
      <c r="A44" s="117">
        <v>45446</v>
      </c>
      <c r="B44" s="120" t="s">
        <v>196</v>
      </c>
      <c r="C44" s="119" t="s">
        <v>82</v>
      </c>
      <c r="D44" s="119"/>
      <c r="E44" s="131"/>
      <c r="F44" s="119"/>
      <c r="G44" s="119" t="str">
        <f>IF(OR(Prod[[#This Row],[S1Hrs]]&gt;0,Prod[[#This Row],[S2Hrs]]&gt;0,Prod[[#This Row],[S3Hrs]]&gt;0),"Running","Down")</f>
        <v>Down</v>
      </c>
      <c r="H44" s="187">
        <v>0</v>
      </c>
      <c r="I44" s="141">
        <v>0</v>
      </c>
      <c r="J44" s="120">
        <v>0</v>
      </c>
      <c r="K44" s="130">
        <v>0</v>
      </c>
      <c r="L44" s="120">
        <f>Prod[[#This Row],[S1Shot]]*Prod[[#This Row],[S1Cavity]]-Prod[[#This Row],[S1Dft]]</f>
        <v>0</v>
      </c>
      <c r="M44" s="134"/>
      <c r="N44" s="187">
        <v>0</v>
      </c>
      <c r="O44" s="141">
        <v>0</v>
      </c>
      <c r="P44" s="120">
        <v>0</v>
      </c>
      <c r="Q44" s="130">
        <v>0</v>
      </c>
      <c r="R44" s="120">
        <f>Prod[[#This Row],[S2Shot]]*Prod[[#This Row],[S2Cavity]]-Prod[[#This Row],[S2Dft]]</f>
        <v>0</v>
      </c>
      <c r="S44" s="134"/>
      <c r="T44" s="187">
        <v>0</v>
      </c>
      <c r="U44" s="141">
        <v>0</v>
      </c>
      <c r="V44" s="120">
        <v>0</v>
      </c>
      <c r="W44" s="130">
        <v>0</v>
      </c>
      <c r="X44" s="120">
        <f>Prod[[#This Row],[S3Shot]]*Prod[[#This Row],[S3Cavity]]-Prod[[#This Row],[S3Dft]]</f>
        <v>0</v>
      </c>
      <c r="Y44" s="134"/>
      <c r="Z44" s="120">
        <f>SUM(Prod[[#This Row],[S1Qty]],Prod[[#This Row],[S2Qty]],Prod[[#This Row],[S3Qty]])</f>
        <v>0</v>
      </c>
      <c r="AA44" s="134"/>
      <c r="AB44" s="135"/>
      <c r="AC44" s="118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2">
        <f>IF(Prod[[#This Row],[S1Hrs]]=0,0,Prod[[#This Row],[S1Shot]]*Prod[[#This Row],[S1Cycle]]/(Prod[[#This Row],[S1Hrs]]*60*60))</f>
        <v>0</v>
      </c>
      <c r="AT44" s="132">
        <f>IF(Prod[[#This Row],[S2Hrs]]=0,0,Prod[[#This Row],[S2Shot]]*Prod[[#This Row],[S2Cycle]]/(Prod[[#This Row],[S2Hrs]]*60*60))</f>
        <v>0</v>
      </c>
      <c r="AU44" s="132">
        <f>IF(Prod[[#This Row],[S3Hrs]]=0,0,Prod[[#This Row],[S3Shot]]*Prod[[#This Row],[S3Cycle]]/(Prod[[#This Row],[S3Hrs]]*60*60))</f>
        <v>0</v>
      </c>
      <c r="AV44" s="132">
        <f>IFERROR(AVERAGEIF(Prod[[#This Row],[S1%]:[S3%]], "&lt;&gt;0"),0)</f>
        <v>0</v>
      </c>
      <c r="AW44" s="132">
        <v>0</v>
      </c>
      <c r="AX44" s="132">
        <v>0</v>
      </c>
      <c r="AY44" s="132">
        <v>0</v>
      </c>
      <c r="AZ44" s="175">
        <f>IF(Prod[[#This Row],[S1Cycle]]&lt;&gt;0,1,0)</f>
        <v>0</v>
      </c>
      <c r="BA44" s="175">
        <f>IF(Prod[[#This Row],[S2Cycle]]&lt;&gt;0,1,0)</f>
        <v>0</v>
      </c>
      <c r="BB44" s="175">
        <f>IF(Prod[[#This Row],[S3Cycle]]&lt;&gt;0,1,0)</f>
        <v>0</v>
      </c>
      <c r="BC44" s="175">
        <f>MAX(Prod[[#This Row],[S1Cavity]],Prod[[#This Row],[S2Cavity]],Prod[[#This Row],[S3Cavity]])</f>
        <v>0</v>
      </c>
      <c r="BD44" s="175" t="b">
        <f>RegExpMatch(Prod[[#This Row],[MoldNo]], "^DEO-(B|C)")</f>
        <v>0</v>
      </c>
      <c r="BE44" s="175" t="b">
        <f>RegExpMatch(Prod[[#This Row],[MoldNo]], "^JAC")</f>
        <v>0</v>
      </c>
    </row>
    <row r="45" spans="1:57" x14ac:dyDescent="0.2">
      <c r="A45" s="117">
        <v>45446</v>
      </c>
      <c r="B45" s="120" t="s">
        <v>192</v>
      </c>
      <c r="C45" s="131" t="s">
        <v>193</v>
      </c>
      <c r="D45" s="119">
        <v>27031</v>
      </c>
      <c r="E45" s="131" t="s">
        <v>199</v>
      </c>
      <c r="F45" s="119">
        <v>814</v>
      </c>
      <c r="G45" s="119" t="str">
        <f>IF(OR(Prod[[#This Row],[S1Hrs]]&gt;0,Prod[[#This Row],[S2Hrs]]&gt;0,Prod[[#This Row],[S3Hrs]]&gt;0),"Running","Down")</f>
        <v>Running</v>
      </c>
      <c r="H45" s="187">
        <v>17.25</v>
      </c>
      <c r="I45" s="141">
        <v>3</v>
      </c>
      <c r="J45" s="120">
        <v>600</v>
      </c>
      <c r="K45" s="130">
        <v>24</v>
      </c>
      <c r="L45" s="120">
        <f>Prod[[#This Row],[S1Shot]]*Prod[[#This Row],[S1Cavity]]-Prod[[#This Row],[S1Dft]]</f>
        <v>14400</v>
      </c>
      <c r="M45" s="134"/>
      <c r="N45" s="187">
        <v>0</v>
      </c>
      <c r="O45" s="141">
        <v>0</v>
      </c>
      <c r="P45" s="120">
        <v>0</v>
      </c>
      <c r="Q45" s="130">
        <v>0</v>
      </c>
      <c r="R45" s="120">
        <f>Prod[[#This Row],[S2Shot]]*Prod[[#This Row],[S2Cavity]]-Prod[[#This Row],[S2Dft]]</f>
        <v>0</v>
      </c>
      <c r="S45" s="134"/>
      <c r="T45" s="187">
        <v>0</v>
      </c>
      <c r="U45" s="141">
        <v>0</v>
      </c>
      <c r="V45" s="120">
        <v>0</v>
      </c>
      <c r="W45" s="130">
        <v>0</v>
      </c>
      <c r="X45" s="120">
        <f>Prod[[#This Row],[S3Shot]]*Prod[[#This Row],[S3Cavity]]-Prod[[#This Row],[S3Dft]]</f>
        <v>0</v>
      </c>
      <c r="Y45" s="134"/>
      <c r="Z45" s="120">
        <f>SUM(Prod[[#This Row],[S1Qty]],Prod[[#This Row],[S2Qty]],Prod[[#This Row],[S3Qty]])</f>
        <v>14400</v>
      </c>
      <c r="AA45" s="134"/>
      <c r="AB45" s="135"/>
      <c r="AC45" s="118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2">
        <f>IF(Prod[[#This Row],[S1Hrs]]=0,0,Prod[[#This Row],[S1Shot]]*Prod[[#This Row],[S1Cycle]]/(Prod[[#This Row],[S1Hrs]]*60*60))</f>
        <v>0.95833333333333337</v>
      </c>
      <c r="AT45" s="132">
        <f>IF(Prod[[#This Row],[S2Hrs]]=0,0,Prod[[#This Row],[S2Shot]]*Prod[[#This Row],[S2Cycle]]/(Prod[[#This Row],[S2Hrs]]*60*60))</f>
        <v>0</v>
      </c>
      <c r="AU45" s="132">
        <f>IF(Prod[[#This Row],[S3Hrs]]=0,0,Prod[[#This Row],[S3Shot]]*Prod[[#This Row],[S3Cycle]]/(Prod[[#This Row],[S3Hrs]]*60*60))</f>
        <v>0</v>
      </c>
      <c r="AV45" s="132">
        <f>IFERROR(AVERAGEIF(Prod[[#This Row],[S1%]:[S3%]], "&lt;&gt;0"),0)</f>
        <v>0.95833333333333337</v>
      </c>
      <c r="AW45" s="132">
        <v>1</v>
      </c>
      <c r="AX45" s="132">
        <v>0</v>
      </c>
      <c r="AY45" s="132">
        <v>0</v>
      </c>
      <c r="AZ45" s="175">
        <f>IF(Prod[[#This Row],[S1Cycle]]&lt;&gt;0,1,0)</f>
        <v>1</v>
      </c>
      <c r="BA45" s="175">
        <f>IF(Prod[[#This Row],[S2Cycle]]&lt;&gt;0,1,0)</f>
        <v>0</v>
      </c>
      <c r="BB45" s="175">
        <f>IF(Prod[[#This Row],[S3Cycle]]&lt;&gt;0,1,0)</f>
        <v>0</v>
      </c>
      <c r="BC45" s="175">
        <f>MAX(Prod[[#This Row],[S1Cavity]],Prod[[#This Row],[S2Cavity]],Prod[[#This Row],[S3Cavity]])</f>
        <v>24</v>
      </c>
      <c r="BD45" s="175" t="b">
        <f>RegExpMatch(Prod[[#This Row],[MoldNo]], "^DEO-(B|C)")</f>
        <v>0</v>
      </c>
      <c r="BE45" s="175" t="b">
        <f>RegExpMatch(Prod[[#This Row],[MoldNo]], "^JAC")</f>
        <v>0</v>
      </c>
    </row>
    <row r="46" spans="1:57" x14ac:dyDescent="0.2">
      <c r="A46" s="117">
        <v>45446</v>
      </c>
      <c r="B46" s="120" t="s">
        <v>168</v>
      </c>
      <c r="C46" s="119" t="s">
        <v>169</v>
      </c>
      <c r="D46" s="119">
        <v>26684</v>
      </c>
      <c r="E46" s="131" t="s">
        <v>199</v>
      </c>
      <c r="F46" s="119">
        <v>814</v>
      </c>
      <c r="G46" s="119" t="str">
        <f>IF(OR(Prod[[#This Row],[S1Hrs]]&gt;0,Prod[[#This Row],[S2Hrs]]&gt;0,Prod[[#This Row],[S3Hrs]]&gt;0),"Running","Down")</f>
        <v>Running</v>
      </c>
      <c r="H46" s="187">
        <v>16.399999999999999</v>
      </c>
      <c r="I46" s="141">
        <v>8</v>
      </c>
      <c r="J46" s="120">
        <v>1683</v>
      </c>
      <c r="K46" s="130">
        <v>15</v>
      </c>
      <c r="L46" s="120">
        <f>Prod[[#This Row],[S1Shot]]*Prod[[#This Row],[S1Cavity]]-Prod[[#This Row],[S1Dft]]</f>
        <v>25245</v>
      </c>
      <c r="M46" s="134"/>
      <c r="N46" s="187">
        <v>16.399999999999999</v>
      </c>
      <c r="O46" s="141">
        <v>8</v>
      </c>
      <c r="P46" s="120">
        <v>1925</v>
      </c>
      <c r="Q46" s="130">
        <v>15</v>
      </c>
      <c r="R46" s="120">
        <f>Prod[[#This Row],[S2Shot]]*Prod[[#This Row],[S2Cavity]]-Prod[[#This Row],[S2Dft]]</f>
        <v>28875</v>
      </c>
      <c r="S46" s="134"/>
      <c r="T46" s="187">
        <v>16.510000000000002</v>
      </c>
      <c r="U46" s="141">
        <v>8</v>
      </c>
      <c r="V46" s="120">
        <v>1744</v>
      </c>
      <c r="W46" s="130">
        <v>15</v>
      </c>
      <c r="X46" s="120">
        <f>Prod[[#This Row],[S3Shot]]*Prod[[#This Row],[S3Cavity]]-Prod[[#This Row],[S3Dft]]</f>
        <v>26160</v>
      </c>
      <c r="Y46" s="134"/>
      <c r="Z46" s="120">
        <f>SUM(Prod[[#This Row],[S1Qty]],Prod[[#This Row],[S2Qty]],Prod[[#This Row],[S3Qty]])</f>
        <v>80280</v>
      </c>
      <c r="AA46" s="134"/>
      <c r="AB46" s="135"/>
      <c r="AC46" s="118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2">
        <f>IF(Prod[[#This Row],[S1Hrs]]=0,0,Prod[[#This Row],[S1Shot]]*Prod[[#This Row],[S1Cycle]]/(Prod[[#This Row],[S1Hrs]]*60*60))</f>
        <v>0.95837499999999987</v>
      </c>
      <c r="AT46" s="132">
        <f>IF(Prod[[#This Row],[S2Hrs]]=0,0,Prod[[#This Row],[S2Shot]]*Prod[[#This Row],[S2Cycle]]/(Prod[[#This Row],[S2Hrs]]*60*60))</f>
        <v>1.0961805555555555</v>
      </c>
      <c r="AU46" s="132">
        <f>IF(Prod[[#This Row],[S3Hrs]]=0,0,Prod[[#This Row],[S3Shot]]*Prod[[#This Row],[S3Cycle]]/(Prod[[#This Row],[S3Hrs]]*60*60))</f>
        <v>0.99977222222222228</v>
      </c>
      <c r="AV46" s="132">
        <f>IFERROR(AVERAGEIF(Prod[[#This Row],[S1%]:[S3%]], "&lt;&gt;0"),0)</f>
        <v>1.0181092592592593</v>
      </c>
      <c r="AW46" s="132">
        <v>0</v>
      </c>
      <c r="AX46" s="132">
        <v>0</v>
      </c>
      <c r="AY46" s="132">
        <v>0</v>
      </c>
      <c r="AZ46" s="175">
        <f>IF(Prod[[#This Row],[S1Cycle]]&lt;&gt;0,1,0)</f>
        <v>1</v>
      </c>
      <c r="BA46" s="175">
        <f>IF(Prod[[#This Row],[S2Cycle]]&lt;&gt;0,1,0)</f>
        <v>1</v>
      </c>
      <c r="BB46" s="175">
        <f>IF(Prod[[#This Row],[S3Cycle]]&lt;&gt;0,1,0)</f>
        <v>1</v>
      </c>
      <c r="BC46" s="175">
        <f>MAX(Prod[[#This Row],[S1Cavity]],Prod[[#This Row],[S2Cavity]],Prod[[#This Row],[S3Cavity]])</f>
        <v>15</v>
      </c>
      <c r="BD46" s="175" t="b">
        <f>RegExpMatch(Prod[[#This Row],[MoldNo]], "^DEO-(B|C)")</f>
        <v>0</v>
      </c>
      <c r="BE46" s="175" t="b">
        <f>RegExpMatch(Prod[[#This Row],[MoldNo]], "^JAC")</f>
        <v>0</v>
      </c>
    </row>
    <row r="47" spans="1:57" x14ac:dyDescent="0.2">
      <c r="A47" s="117">
        <v>45446</v>
      </c>
      <c r="B47" s="120" t="s">
        <v>146</v>
      </c>
      <c r="C47" s="119" t="s">
        <v>84</v>
      </c>
      <c r="D47" s="119"/>
      <c r="E47" s="131"/>
      <c r="F47" s="119"/>
      <c r="G47" s="119" t="str">
        <f>IF(OR(Prod[[#This Row],[S1Hrs]]&gt;0,Prod[[#This Row],[S2Hrs]]&gt;0,Prod[[#This Row],[S3Hrs]]&gt;0),"Running","Down")</f>
        <v>Down</v>
      </c>
      <c r="H47" s="187">
        <v>0</v>
      </c>
      <c r="I47" s="141">
        <v>0</v>
      </c>
      <c r="J47" s="120">
        <v>0</v>
      </c>
      <c r="K47" s="130">
        <v>0</v>
      </c>
      <c r="L47" s="120">
        <f>Prod[[#This Row],[S1Shot]]*Prod[[#This Row],[S1Cavity]]-Prod[[#This Row],[S1Dft]]</f>
        <v>0</v>
      </c>
      <c r="M47" s="134"/>
      <c r="N47" s="187">
        <v>0</v>
      </c>
      <c r="O47" s="141">
        <v>0</v>
      </c>
      <c r="P47" s="120">
        <v>0</v>
      </c>
      <c r="Q47" s="130">
        <v>0</v>
      </c>
      <c r="R47" s="120">
        <f>Prod[[#This Row],[S2Shot]]*Prod[[#This Row],[S2Cavity]]-Prod[[#This Row],[S2Dft]]</f>
        <v>0</v>
      </c>
      <c r="S47" s="134"/>
      <c r="T47" s="187">
        <v>0</v>
      </c>
      <c r="U47" s="141">
        <v>0</v>
      </c>
      <c r="V47" s="120">
        <v>0</v>
      </c>
      <c r="W47" s="130">
        <v>0</v>
      </c>
      <c r="X47" s="120">
        <f>Prod[[#This Row],[S3Shot]]*Prod[[#This Row],[S3Cavity]]-Prod[[#This Row],[S3Dft]]</f>
        <v>0</v>
      </c>
      <c r="Y47" s="134"/>
      <c r="Z47" s="120">
        <f>SUM(Prod[[#This Row],[S1Qty]],Prod[[#This Row],[S2Qty]],Prod[[#This Row],[S3Qty]])</f>
        <v>0</v>
      </c>
      <c r="AA47" s="134"/>
      <c r="AB47" s="135"/>
      <c r="AC47" s="118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2">
        <f>IF(Prod[[#This Row],[S1Hrs]]=0,0,Prod[[#This Row],[S1Shot]]*Prod[[#This Row],[S1Cycle]]/(Prod[[#This Row],[S1Hrs]]*60*60))</f>
        <v>0</v>
      </c>
      <c r="AT47" s="132">
        <f>IF(Prod[[#This Row],[S2Hrs]]=0,0,Prod[[#This Row],[S2Shot]]*Prod[[#This Row],[S2Cycle]]/(Prod[[#This Row],[S2Hrs]]*60*60))</f>
        <v>0</v>
      </c>
      <c r="AU47" s="132">
        <f>IF(Prod[[#This Row],[S3Hrs]]=0,0,Prod[[#This Row],[S3Shot]]*Prod[[#This Row],[S3Cycle]]/(Prod[[#This Row],[S3Hrs]]*60*60))</f>
        <v>0</v>
      </c>
      <c r="AV47" s="132">
        <f>IFERROR(AVERAGEIF(Prod[[#This Row],[S1%]:[S3%]], "&lt;&gt;0"),0)</f>
        <v>0</v>
      </c>
      <c r="AW47" s="132">
        <v>0</v>
      </c>
      <c r="AX47" s="132">
        <v>0</v>
      </c>
      <c r="AY47" s="132">
        <v>0</v>
      </c>
      <c r="AZ47" s="175">
        <f>IF(Prod[[#This Row],[S1Cycle]]&lt;&gt;0,1,0)</f>
        <v>0</v>
      </c>
      <c r="BA47" s="175">
        <f>IF(Prod[[#This Row],[S2Cycle]]&lt;&gt;0,1,0)</f>
        <v>0</v>
      </c>
      <c r="BB47" s="175">
        <f>IF(Prod[[#This Row],[S3Cycle]]&lt;&gt;0,1,0)</f>
        <v>0</v>
      </c>
      <c r="BC47" s="175">
        <f>MAX(Prod[[#This Row],[S1Cavity]],Prod[[#This Row],[S2Cavity]],Prod[[#This Row],[S3Cavity]])</f>
        <v>0</v>
      </c>
      <c r="BD47" s="175" t="b">
        <f>RegExpMatch(Prod[[#This Row],[MoldNo]], "^DEO-(B|C)")</f>
        <v>0</v>
      </c>
      <c r="BE47" s="175" t="b">
        <f>RegExpMatch(Prod[[#This Row],[MoldNo]], "^JAC")</f>
        <v>0</v>
      </c>
    </row>
    <row r="48" spans="1:57" x14ac:dyDescent="0.2">
      <c r="A48" s="117">
        <v>45446</v>
      </c>
      <c r="B48" s="130" t="s">
        <v>194</v>
      </c>
      <c r="C48" s="131" t="s">
        <v>9</v>
      </c>
      <c r="D48" s="119">
        <v>27430</v>
      </c>
      <c r="E48" s="131" t="s">
        <v>209</v>
      </c>
      <c r="F48" s="119">
        <v>6331</v>
      </c>
      <c r="G48" s="119" t="str">
        <f>IF(OR(Prod[[#This Row],[S1Hrs]]&gt;0,Prod[[#This Row],[S2Hrs]]&gt;0,Prod[[#This Row],[S3Hrs]]&gt;0),"Running","Down")</f>
        <v>Running</v>
      </c>
      <c r="H48" s="187">
        <v>21.33</v>
      </c>
      <c r="I48" s="141">
        <v>2</v>
      </c>
      <c r="J48" s="120">
        <v>357</v>
      </c>
      <c r="K48" s="130">
        <v>8</v>
      </c>
      <c r="L48" s="120">
        <f>Prod[[#This Row],[S1Shot]]*Prod[[#This Row],[S1Cavity]]-Prod[[#This Row],[S1Dft]]</f>
        <v>2856</v>
      </c>
      <c r="M48" s="134"/>
      <c r="N48" s="187">
        <v>21.93</v>
      </c>
      <c r="O48" s="141">
        <v>8</v>
      </c>
      <c r="P48" s="120">
        <v>1366</v>
      </c>
      <c r="Q48" s="130">
        <v>8</v>
      </c>
      <c r="R48" s="120">
        <f>Prod[[#This Row],[S2Shot]]*Prod[[#This Row],[S2Cavity]]-Prod[[#This Row],[S2Dft]]</f>
        <v>10928</v>
      </c>
      <c r="S48" s="134"/>
      <c r="T48" s="187">
        <v>21.33</v>
      </c>
      <c r="U48" s="141">
        <v>8</v>
      </c>
      <c r="V48" s="120">
        <v>1332</v>
      </c>
      <c r="W48" s="130">
        <v>8</v>
      </c>
      <c r="X48" s="120">
        <f>Prod[[#This Row],[S3Shot]]*Prod[[#This Row],[S3Cavity]]-Prod[[#This Row],[S3Dft]]</f>
        <v>10656</v>
      </c>
      <c r="Y48" s="134"/>
      <c r="Z48" s="120">
        <f>SUM(Prod[[#This Row],[S1Qty]],Prod[[#This Row],[S2Qty]],Prod[[#This Row],[S3Qty]])</f>
        <v>24440</v>
      </c>
      <c r="AA48" s="134"/>
      <c r="AB48" s="135"/>
      <c r="AC48" s="118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2">
        <f>IF(Prod[[#This Row],[S1Hrs]]=0,0,Prod[[#This Row],[S1Shot]]*Prod[[#This Row],[S1Cycle]]/(Prod[[#This Row],[S1Hrs]]*60*60))</f>
        <v>1.0576124999999998</v>
      </c>
      <c r="AT48" s="132">
        <f>IF(Prod[[#This Row],[S2Hrs]]=0,0,Prod[[#This Row],[S2Shot]]*Prod[[#This Row],[S2Cycle]]/(Prod[[#This Row],[S2Hrs]]*60*60))</f>
        <v>1.0401520833333333</v>
      </c>
      <c r="AU48" s="132">
        <f>IF(Prod[[#This Row],[S3Hrs]]=0,0,Prod[[#This Row],[S3Shot]]*Prod[[#This Row],[S3Cycle]]/(Prod[[#This Row],[S3Hrs]]*60*60))</f>
        <v>0.9865124999999999</v>
      </c>
      <c r="AV48" s="132">
        <f>IFERROR(AVERAGEIF(Prod[[#This Row],[S1%]:[S3%]], "&lt;&gt;0"),0)</f>
        <v>1.028092361111111</v>
      </c>
      <c r="AW48" s="132">
        <v>0.5</v>
      </c>
      <c r="AX48" s="132">
        <v>0</v>
      </c>
      <c r="AY48" s="132">
        <v>0</v>
      </c>
      <c r="AZ48" s="175">
        <f>IF(Prod[[#This Row],[S1Cycle]]&lt;&gt;0,1,0)</f>
        <v>1</v>
      </c>
      <c r="BA48" s="175">
        <f>IF(Prod[[#This Row],[S2Cycle]]&lt;&gt;0,1,0)</f>
        <v>1</v>
      </c>
      <c r="BB48" s="175">
        <f>IF(Prod[[#This Row],[S3Cycle]]&lt;&gt;0,1,0)</f>
        <v>1</v>
      </c>
      <c r="BC48" s="175">
        <f>MAX(Prod[[#This Row],[S1Cavity]],Prod[[#This Row],[S2Cavity]],Prod[[#This Row],[S3Cavity]])</f>
        <v>8</v>
      </c>
      <c r="BD48" s="175" t="b">
        <f>RegExpMatch(Prod[[#This Row],[MoldNo]], "^DEO-(B|C)")</f>
        <v>0</v>
      </c>
      <c r="BE48" s="175" t="b">
        <f>RegExpMatch(Prod[[#This Row],[MoldNo]], "^JAC")</f>
        <v>0</v>
      </c>
    </row>
    <row r="49" spans="1:57" x14ac:dyDescent="0.2">
      <c r="A49" s="117">
        <v>45446</v>
      </c>
      <c r="B49" s="130" t="s">
        <v>164</v>
      </c>
      <c r="C49" s="131" t="s">
        <v>144</v>
      </c>
      <c r="D49" s="119">
        <v>27714</v>
      </c>
      <c r="E49" s="131" t="s">
        <v>199</v>
      </c>
      <c r="F49" s="119">
        <v>814</v>
      </c>
      <c r="G49" s="119" t="str">
        <f>IF(OR(Prod[[#This Row],[S1Hrs]]&gt;0,Prod[[#This Row],[S2Hrs]]&gt;0,Prod[[#This Row],[S3Hrs]]&gt;0),"Running","Down")</f>
        <v>Running</v>
      </c>
      <c r="H49" s="187">
        <v>19.190000000000001</v>
      </c>
      <c r="I49" s="141">
        <v>1</v>
      </c>
      <c r="J49" s="120">
        <v>97</v>
      </c>
      <c r="K49" s="130">
        <v>8</v>
      </c>
      <c r="L49" s="120">
        <f>Prod[[#This Row],[S1Shot]]*Prod[[#This Row],[S1Cavity]]-Prod[[#This Row],[S1Dft]]</f>
        <v>766</v>
      </c>
      <c r="M49" s="136">
        <f>SUM(Prod[[#This Row],[S1Mold]],Prod[[#This Row],[S1Print]],Prod[[#This Row],[S1Ovlp]],Prod[[#This Row],[S1Seam]],Prod[[#This Row],[S1Dmg]])</f>
        <v>10</v>
      </c>
      <c r="N49" s="187">
        <v>19.190000000000001</v>
      </c>
      <c r="O49" s="141">
        <v>8</v>
      </c>
      <c r="P49" s="120">
        <v>1497</v>
      </c>
      <c r="Q49" s="130">
        <v>8</v>
      </c>
      <c r="R49" s="120">
        <f>Prod[[#This Row],[S2Shot]]*Prod[[#This Row],[S2Cavity]]-Prod[[#This Row],[S2Dft]]</f>
        <v>11856</v>
      </c>
      <c r="S49" s="136">
        <f>SUM(Prod[[#This Row],[S2Mold]],Prod[[#This Row],[S2Print]],Prod[[#This Row],[S2Ovlp]],Prod[[#This Row],[S2Seam]],Prod[[#This Row],[S2Dmg]])</f>
        <v>120</v>
      </c>
      <c r="T49" s="187">
        <v>19.190000000000001</v>
      </c>
      <c r="U49" s="141">
        <v>8</v>
      </c>
      <c r="V49" s="120">
        <v>1418</v>
      </c>
      <c r="W49" s="130">
        <v>8</v>
      </c>
      <c r="X49" s="120">
        <f>Prod[[#This Row],[S3Shot]]*Prod[[#This Row],[S3Cavity]]-Prod[[#This Row],[S3Dft]]</f>
        <v>11204</v>
      </c>
      <c r="Y49" s="120">
        <f>SUM(Prod[[#This Row],[S3Mold]],Prod[[#This Row],[S3Print]],Prod[[#This Row],[S3Ovlp]],Prod[[#This Row],[S3Seam]],Prod[[#This Row],[S3Dmg]])</f>
        <v>140</v>
      </c>
      <c r="Z49" s="120">
        <f>SUM(Prod[[#This Row],[S1Qty]],Prod[[#This Row],[S2Qty]],Prod[[#This Row],[S3Qty]])</f>
        <v>23826</v>
      </c>
      <c r="AA49" s="120">
        <f>SUM(Prod[[#This Row],[S1Dft]],Prod[[#This Row],[S2Dft]],Prod[[#This Row],[S3Dft]])</f>
        <v>270</v>
      </c>
      <c r="AB49" s="121">
        <f>IF(Prod[[#This Row],[Total]]=0,0,Prod[[#This Row],[TotalDft]]/Prod[[#This Row],[Total]])</f>
        <v>1.1332158146562578E-2</v>
      </c>
      <c r="AC49" s="131" t="s">
        <v>208</v>
      </c>
      <c r="AD49" s="120">
        <v>0</v>
      </c>
      <c r="AE49" s="120">
        <v>20</v>
      </c>
      <c r="AF49" s="120">
        <v>20</v>
      </c>
      <c r="AG49" s="120">
        <v>10</v>
      </c>
      <c r="AH49" s="120">
        <v>100</v>
      </c>
      <c r="AI49" s="120">
        <v>120</v>
      </c>
      <c r="AJ49" s="120">
        <v>0</v>
      </c>
      <c r="AK49" s="120">
        <v>0</v>
      </c>
      <c r="AL49" s="120">
        <v>0</v>
      </c>
      <c r="AM49" s="120">
        <v>0</v>
      </c>
      <c r="AN49" s="120">
        <v>0</v>
      </c>
      <c r="AO49" s="120">
        <v>0</v>
      </c>
      <c r="AP49" s="120">
        <v>0</v>
      </c>
      <c r="AQ49" s="120">
        <v>0</v>
      </c>
      <c r="AR49" s="120">
        <v>0</v>
      </c>
      <c r="AS49" s="132">
        <f>IF(Prod[[#This Row],[S1Hrs]]=0,0,Prod[[#This Row],[S1Shot]]*Prod[[#This Row],[S1Cycle]]/(Prod[[#This Row],[S1Hrs]]*60*60))</f>
        <v>0.51706388888888888</v>
      </c>
      <c r="AT49" s="132">
        <f>IF(Prod[[#This Row],[S2Hrs]]=0,0,Prod[[#This Row],[S2Shot]]*Prod[[#This Row],[S2Cycle]]/(Prod[[#This Row],[S2Hrs]]*60*60))</f>
        <v>0.9974802083333334</v>
      </c>
      <c r="AU49" s="132">
        <f>IF(Prod[[#This Row],[S3Hrs]]=0,0,Prod[[#This Row],[S3Shot]]*Prod[[#This Row],[S3Cycle]]/(Prod[[#This Row],[S3Hrs]]*60*60))</f>
        <v>0.9448409722222223</v>
      </c>
      <c r="AV49" s="132">
        <f>IFERROR(AVERAGEIF(Prod[[#This Row],[S1%]:[S3%]], "&lt;&gt;0"),0)</f>
        <v>0.81979502314814823</v>
      </c>
      <c r="AW49" s="132">
        <v>0.5</v>
      </c>
      <c r="AX49" s="132">
        <v>0</v>
      </c>
      <c r="AY49" s="132">
        <v>0</v>
      </c>
      <c r="AZ49" s="175">
        <f>IF(Prod[[#This Row],[S1Cycle]]&lt;&gt;0,1,0)</f>
        <v>1</v>
      </c>
      <c r="BA49" s="175">
        <f>IF(Prod[[#This Row],[S2Cycle]]&lt;&gt;0,1,0)</f>
        <v>1</v>
      </c>
      <c r="BB49" s="175">
        <f>IF(Prod[[#This Row],[S3Cycle]]&lt;&gt;0,1,0)</f>
        <v>1</v>
      </c>
      <c r="BC49" s="175">
        <f>MAX(Prod[[#This Row],[S1Cavity]],Prod[[#This Row],[S2Cavity]],Prod[[#This Row],[S3Cavity]])</f>
        <v>8</v>
      </c>
      <c r="BD49" s="175" t="b">
        <f>RegExpMatch(Prod[[#This Row],[MoldNo]], "^DEO-(B|C)")</f>
        <v>1</v>
      </c>
      <c r="BE49" s="175" t="b">
        <f>RegExpMatch(Prod[[#This Row],[MoldNo]], "^JAC")</f>
        <v>0</v>
      </c>
    </row>
    <row r="50" spans="1:57" x14ac:dyDescent="0.2">
      <c r="A50" s="117">
        <v>45446</v>
      </c>
      <c r="B50" s="130" t="s">
        <v>162</v>
      </c>
      <c r="C50" s="131" t="s">
        <v>163</v>
      </c>
      <c r="D50" s="119">
        <v>27714</v>
      </c>
      <c r="E50" s="131" t="s">
        <v>199</v>
      </c>
      <c r="F50" s="119">
        <v>814</v>
      </c>
      <c r="G50" s="119" t="str">
        <f>IF(OR(Prod[[#This Row],[S1Hrs]]&gt;0,Prod[[#This Row],[S2Hrs]]&gt;0,Prod[[#This Row],[S3Hrs]]&gt;0),"Running","Down")</f>
        <v>Running</v>
      </c>
      <c r="H50" s="187">
        <v>0</v>
      </c>
      <c r="I50" s="141">
        <v>0</v>
      </c>
      <c r="J50" s="120">
        <v>0</v>
      </c>
      <c r="K50" s="130">
        <v>0</v>
      </c>
      <c r="L50" s="120">
        <f>Prod[[#This Row],[S1Shot]]*Prod[[#This Row],[S1Cavity]]-Prod[[#This Row],[S1Dft]]</f>
        <v>0</v>
      </c>
      <c r="M50" s="136">
        <f>SUM(Prod[[#This Row],[S1Mold]],Prod[[#This Row],[S1Print]],Prod[[#This Row],[S1Ovlp]],Prod[[#This Row],[S1Seam]],Prod[[#This Row],[S1Dmg]])</f>
        <v>0</v>
      </c>
      <c r="N50" s="187">
        <v>22.29</v>
      </c>
      <c r="O50" s="141">
        <v>6</v>
      </c>
      <c r="P50" s="120">
        <v>929</v>
      </c>
      <c r="Q50" s="130">
        <v>8</v>
      </c>
      <c r="R50" s="120">
        <f>Prod[[#This Row],[S2Shot]]*Prod[[#This Row],[S2Cavity]]-Prod[[#This Row],[S2Dft]]</f>
        <v>7317</v>
      </c>
      <c r="S50" s="136">
        <f>SUM(Prod[[#This Row],[S2Mold]],Prod[[#This Row],[S2Print]],Prod[[#This Row],[S2Ovlp]],Prod[[#This Row],[S2Seam]],Prod[[#This Row],[S2Dmg]])</f>
        <v>115</v>
      </c>
      <c r="T50" s="187">
        <v>22.29</v>
      </c>
      <c r="U50" s="141">
        <v>8</v>
      </c>
      <c r="V50" s="120">
        <v>1250</v>
      </c>
      <c r="W50" s="130">
        <v>8</v>
      </c>
      <c r="X50" s="120">
        <f>Prod[[#This Row],[S3Shot]]*Prod[[#This Row],[S3Cavity]]-Prod[[#This Row],[S3Dft]]</f>
        <v>9855</v>
      </c>
      <c r="Y50" s="120">
        <f>SUM(Prod[[#This Row],[S3Mold]],Prod[[#This Row],[S3Print]],Prod[[#This Row],[S3Ovlp]],Prod[[#This Row],[S3Seam]],Prod[[#This Row],[S3Dmg]])</f>
        <v>145</v>
      </c>
      <c r="Z50" s="120">
        <f>SUM(Prod[[#This Row],[S1Qty]],Prod[[#This Row],[S2Qty]],Prod[[#This Row],[S3Qty]])</f>
        <v>17172</v>
      </c>
      <c r="AA50" s="120">
        <f>SUM(Prod[[#This Row],[S1Dft]],Prod[[#This Row],[S2Dft]],Prod[[#This Row],[S3Dft]])</f>
        <v>260</v>
      </c>
      <c r="AB50" s="121">
        <f>IF(Prod[[#This Row],[Total]]=0,0,Prod[[#This Row],[TotalDft]]/Prod[[#This Row],[Total]])</f>
        <v>1.5140927090612625E-2</v>
      </c>
      <c r="AC50" s="118"/>
      <c r="AD50" s="120">
        <v>0</v>
      </c>
      <c r="AE50" s="120">
        <v>15</v>
      </c>
      <c r="AF50" s="120">
        <v>20</v>
      </c>
      <c r="AG50" s="120">
        <v>0</v>
      </c>
      <c r="AH50" s="120">
        <v>100</v>
      </c>
      <c r="AI50" s="120">
        <v>125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2">
        <f>IF(Prod[[#This Row],[S1Hrs]]=0,0,Prod[[#This Row],[S1Shot]]*Prod[[#This Row],[S1Cycle]]/(Prod[[#This Row],[S1Hrs]]*60*60))</f>
        <v>0</v>
      </c>
      <c r="AT50" s="132">
        <f>IF(Prod[[#This Row],[S2Hrs]]=0,0,Prod[[#This Row],[S2Shot]]*Prod[[#This Row],[S2Cycle]]/(Prod[[#This Row],[S2Hrs]]*60*60))</f>
        <v>0.95867638888888884</v>
      </c>
      <c r="AU50" s="132">
        <f>IF(Prod[[#This Row],[S3Hrs]]=0,0,Prod[[#This Row],[S3Shot]]*Prod[[#This Row],[S3Cycle]]/(Prod[[#This Row],[S3Hrs]]*60*60))</f>
        <v>0.96744791666666663</v>
      </c>
      <c r="AV50" s="132">
        <f>IFERROR(AVERAGEIF(Prod[[#This Row],[S1%]:[S3%]], "&lt;&gt;0"),0)</f>
        <v>0.96306215277777774</v>
      </c>
      <c r="AW50" s="132">
        <v>0.5</v>
      </c>
      <c r="AX50" s="132">
        <v>0</v>
      </c>
      <c r="AY50" s="132">
        <v>0</v>
      </c>
      <c r="AZ50" s="175">
        <f>IF(Prod[[#This Row],[S1Cycle]]&lt;&gt;0,1,0)</f>
        <v>0</v>
      </c>
      <c r="BA50" s="175">
        <f>IF(Prod[[#This Row],[S2Cycle]]&lt;&gt;0,1,0)</f>
        <v>1</v>
      </c>
      <c r="BB50" s="175">
        <f>IF(Prod[[#This Row],[S3Cycle]]&lt;&gt;0,1,0)</f>
        <v>1</v>
      </c>
      <c r="BC50" s="175">
        <f>MAX(Prod[[#This Row],[S1Cavity]],Prod[[#This Row],[S2Cavity]],Prod[[#This Row],[S3Cavity]])</f>
        <v>8</v>
      </c>
      <c r="BD50" s="175" t="b">
        <f>RegExpMatch(Prod[[#This Row],[MoldNo]], "^DEO-(B|C)")</f>
        <v>1</v>
      </c>
      <c r="BE50" s="175" t="b">
        <f>RegExpMatch(Prod[[#This Row],[MoldNo]], "^JAC")</f>
        <v>0</v>
      </c>
    </row>
    <row r="51" spans="1:57" x14ac:dyDescent="0.2">
      <c r="A51" s="117">
        <v>45446</v>
      </c>
      <c r="B51" s="130" t="s">
        <v>174</v>
      </c>
      <c r="C51" s="131" t="s">
        <v>175</v>
      </c>
      <c r="D51" s="119">
        <v>27713</v>
      </c>
      <c r="E51" s="131" t="s">
        <v>199</v>
      </c>
      <c r="F51" s="119">
        <v>814</v>
      </c>
      <c r="G51" s="119" t="str">
        <f>IF(OR(Prod[[#This Row],[S1Hrs]]&gt;0,Prod[[#This Row],[S2Hrs]]&gt;0,Prod[[#This Row],[S3Hrs]]&gt;0),"Running","Down")</f>
        <v>Running</v>
      </c>
      <c r="H51" s="187">
        <v>20.69</v>
      </c>
      <c r="I51" s="141">
        <v>8</v>
      </c>
      <c r="J51" s="120">
        <v>1397</v>
      </c>
      <c r="K51" s="130">
        <v>8</v>
      </c>
      <c r="L51" s="120">
        <f>Prod[[#This Row],[S1Shot]]*Prod[[#This Row],[S1Cavity]]-Prod[[#This Row],[S1Dft]]</f>
        <v>11026</v>
      </c>
      <c r="M51" s="136">
        <f>SUM(Prod[[#This Row],[S1Mold]],Prod[[#This Row],[S1Print]],Prod[[#This Row],[S1Ovlp]],Prod[[#This Row],[S1Seam]],Prod[[#This Row],[S1Dmg]])</f>
        <v>150</v>
      </c>
      <c r="N51" s="187">
        <v>20.78</v>
      </c>
      <c r="O51" s="141">
        <v>8</v>
      </c>
      <c r="P51" s="120">
        <v>1267</v>
      </c>
      <c r="Q51" s="130">
        <v>8</v>
      </c>
      <c r="R51" s="120">
        <f>Prod[[#This Row],[S2Shot]]*Prod[[#This Row],[S2Cavity]]-Prod[[#This Row],[S2Dft]]</f>
        <v>9996</v>
      </c>
      <c r="S51" s="136">
        <f>SUM(Prod[[#This Row],[S2Mold]],Prod[[#This Row],[S2Print]],Prod[[#This Row],[S2Ovlp]],Prod[[#This Row],[S2Seam]],Prod[[#This Row],[S2Dmg]])</f>
        <v>140</v>
      </c>
      <c r="T51" s="187">
        <v>20.76</v>
      </c>
      <c r="U51" s="141">
        <v>1.5</v>
      </c>
      <c r="V51" s="120">
        <v>213</v>
      </c>
      <c r="W51" s="130">
        <v>8</v>
      </c>
      <c r="X51" s="120">
        <f>Prod[[#This Row],[S3Shot]]*Prod[[#This Row],[S3Cavity]]-Prod[[#This Row],[S3Dft]]</f>
        <v>1679</v>
      </c>
      <c r="Y51" s="120">
        <f>SUM(Prod[[#This Row],[S3Mold]],Prod[[#This Row],[S3Print]],Prod[[#This Row],[S3Ovlp]],Prod[[#This Row],[S3Seam]],Prod[[#This Row],[S3Dmg]])</f>
        <v>25</v>
      </c>
      <c r="Z51" s="120">
        <f>SUM(Prod[[#This Row],[S1Qty]],Prod[[#This Row],[S2Qty]],Prod[[#This Row],[S3Qty]])</f>
        <v>22701</v>
      </c>
      <c r="AA51" s="120">
        <f>SUM(Prod[[#This Row],[S1Dft]],Prod[[#This Row],[S2Dft]],Prod[[#This Row],[S3Dft]])</f>
        <v>315</v>
      </c>
      <c r="AB51" s="121">
        <f>IF(Prod[[#This Row],[Total]]=0,0,Prod[[#This Row],[TotalDft]]/Prod[[#This Row],[Total]])</f>
        <v>1.3876040703052728E-2</v>
      </c>
      <c r="AC51" s="131"/>
      <c r="AD51" s="120">
        <v>25</v>
      </c>
      <c r="AE51" s="120">
        <v>20</v>
      </c>
      <c r="AF51" s="120">
        <v>5</v>
      </c>
      <c r="AG51" s="120">
        <v>125</v>
      </c>
      <c r="AH51" s="120">
        <v>120</v>
      </c>
      <c r="AI51" s="120">
        <v>20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2">
        <f>IF(Prod[[#This Row],[S1Hrs]]=0,0,Prod[[#This Row],[S1Shot]]*Prod[[#This Row],[S1Cycle]]/(Prod[[#This Row],[S1Hrs]]*60*60))</f>
        <v>1.0036086805555555</v>
      </c>
      <c r="AT51" s="132">
        <f>IF(Prod[[#This Row],[S2Hrs]]=0,0,Prod[[#This Row],[S2Shot]]*Prod[[#This Row],[S2Cycle]]/(Prod[[#This Row],[S2Hrs]]*60*60))</f>
        <v>0.91417569444444446</v>
      </c>
      <c r="AU51" s="132">
        <f>IF(Prod[[#This Row],[S3Hrs]]=0,0,Prod[[#This Row],[S3Shot]]*Prod[[#This Row],[S3Cycle]]/(Prod[[#This Row],[S3Hrs]]*60*60))</f>
        <v>0.81886666666666663</v>
      </c>
      <c r="AV51" s="132">
        <f>IFERROR(AVERAGEIF(Prod[[#This Row],[S1%]:[S3%]], "&lt;&gt;0"),0)</f>
        <v>0.91221701388888887</v>
      </c>
      <c r="AW51" s="132">
        <v>0</v>
      </c>
      <c r="AX51" s="132">
        <v>0</v>
      </c>
      <c r="AY51" s="132">
        <v>0</v>
      </c>
      <c r="AZ51" s="175">
        <f>IF(Prod[[#This Row],[S1Cycle]]&lt;&gt;0,1,0)</f>
        <v>1</v>
      </c>
      <c r="BA51" s="175">
        <f>IF(Prod[[#This Row],[S2Cycle]]&lt;&gt;0,1,0)</f>
        <v>1</v>
      </c>
      <c r="BB51" s="175">
        <f>IF(Prod[[#This Row],[S3Cycle]]&lt;&gt;0,1,0)</f>
        <v>1</v>
      </c>
      <c r="BC51" s="175">
        <f>MAX(Prod[[#This Row],[S1Cavity]],Prod[[#This Row],[S2Cavity]],Prod[[#This Row],[S3Cavity]])</f>
        <v>8</v>
      </c>
      <c r="BD51" s="175" t="b">
        <f>RegExpMatch(Prod[[#This Row],[MoldNo]], "^DEO-(B|C)")</f>
        <v>1</v>
      </c>
      <c r="BE51" s="175" t="b">
        <f>RegExpMatch(Prod[[#This Row],[MoldNo]], "^JAC")</f>
        <v>0</v>
      </c>
    </row>
    <row r="52" spans="1:57" x14ac:dyDescent="0.2">
      <c r="A52" s="117">
        <v>45446</v>
      </c>
      <c r="B52" s="130" t="s">
        <v>174</v>
      </c>
      <c r="C52" s="131" t="s">
        <v>175</v>
      </c>
      <c r="D52" s="119">
        <v>27430</v>
      </c>
      <c r="E52" s="131" t="s">
        <v>209</v>
      </c>
      <c r="F52" s="119">
        <v>6331</v>
      </c>
      <c r="G52" s="119" t="str">
        <f>IF(OR(Prod[[#This Row],[S1Hrs]]&gt;0,Prod[[#This Row],[S2Hrs]]&gt;0,Prod[[#This Row],[S3Hrs]]&gt;0),"Running","Down")</f>
        <v>Running</v>
      </c>
      <c r="H52" s="187">
        <v>0</v>
      </c>
      <c r="I52" s="141">
        <v>0</v>
      </c>
      <c r="J52" s="120">
        <v>0</v>
      </c>
      <c r="K52" s="130">
        <v>0</v>
      </c>
      <c r="L52" s="120">
        <f>Prod[[#This Row],[S1Shot]]*Prod[[#This Row],[S1Cavity]]-Prod[[#This Row],[S1Dft]]</f>
        <v>0</v>
      </c>
      <c r="M52" s="136">
        <f>SUM(Prod[[#This Row],[S1Mold]],Prod[[#This Row],[S1Print]],Prod[[#This Row],[S1Ovlp]],Prod[[#This Row],[S1Seam]],Prod[[#This Row],[S1Dmg]])</f>
        <v>0</v>
      </c>
      <c r="N52" s="187">
        <v>0</v>
      </c>
      <c r="O52" s="141">
        <v>0</v>
      </c>
      <c r="P52" s="120">
        <v>0</v>
      </c>
      <c r="Q52" s="130">
        <v>0</v>
      </c>
      <c r="R52" s="120">
        <f>Prod[[#This Row],[S2Shot]]*Prod[[#This Row],[S2Cavity]]-Prod[[#This Row],[S2Dft]]</f>
        <v>0</v>
      </c>
      <c r="S52" s="136">
        <f>SUM(Prod[[#This Row],[S2Mold]],Prod[[#This Row],[S2Print]],Prod[[#This Row],[S2Ovlp]],Prod[[#This Row],[S2Seam]],Prod[[#This Row],[S2Dmg]])</f>
        <v>0</v>
      </c>
      <c r="T52" s="187">
        <v>20.76</v>
      </c>
      <c r="U52" s="141">
        <v>6.5</v>
      </c>
      <c r="V52" s="120">
        <v>767</v>
      </c>
      <c r="W52" s="130">
        <v>8</v>
      </c>
      <c r="X52" s="120">
        <f>Prod[[#This Row],[S3Shot]]*Prod[[#This Row],[S3Cavity]]-Prod[[#This Row],[S3Dft]]</f>
        <v>6016</v>
      </c>
      <c r="Y52" s="120">
        <f>SUM(Prod[[#This Row],[S3Mold]],Prod[[#This Row],[S3Print]],Prod[[#This Row],[S3Ovlp]],Prod[[#This Row],[S3Seam]],Prod[[#This Row],[S3Dmg]])</f>
        <v>120</v>
      </c>
      <c r="Z52" s="120">
        <f>SUM(Prod[[#This Row],[S1Qty]],Prod[[#This Row],[S2Qty]],Prod[[#This Row],[S3Qty]])</f>
        <v>6016</v>
      </c>
      <c r="AA52" s="120">
        <f>SUM(Prod[[#This Row],[S1Dft]],Prod[[#This Row],[S2Dft]],Prod[[#This Row],[S3Dft]])</f>
        <v>120</v>
      </c>
      <c r="AB52" s="121">
        <f>IF(Prod[[#This Row],[Total]]=0,0,Prod[[#This Row],[TotalDft]]/Prod[[#This Row],[Total]])</f>
        <v>1.9946808510638299E-2</v>
      </c>
      <c r="AC52" s="131" t="s">
        <v>210</v>
      </c>
      <c r="AD52" s="120">
        <v>0</v>
      </c>
      <c r="AE52" s="120">
        <v>0</v>
      </c>
      <c r="AF52" s="120">
        <v>20</v>
      </c>
      <c r="AG52" s="120">
        <v>0</v>
      </c>
      <c r="AH52" s="120">
        <v>0</v>
      </c>
      <c r="AI52" s="120">
        <v>100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2">
        <f>IF(Prod[[#This Row],[S1Hrs]]=0,0,Prod[[#This Row],[S1Shot]]*Prod[[#This Row],[S1Cycle]]/(Prod[[#This Row],[S1Hrs]]*60*60))</f>
        <v>0</v>
      </c>
      <c r="AT52" s="132">
        <f>IF(Prod[[#This Row],[S2Hrs]]=0,0,Prod[[#This Row],[S2Shot]]*Prod[[#This Row],[S2Cycle]]/(Prod[[#This Row],[S2Hrs]]*60*60))</f>
        <v>0</v>
      </c>
      <c r="AU52" s="132">
        <f>IF(Prod[[#This Row],[S3Hrs]]=0,0,Prod[[#This Row],[S3Shot]]*Prod[[#This Row],[S3Cycle]]/(Prod[[#This Row],[S3Hrs]]*60*60))</f>
        <v>0.68046666666666678</v>
      </c>
      <c r="AV52" s="132">
        <f>IFERROR(AVERAGEIF(Prod[[#This Row],[S1%]:[S3%]], "&lt;&gt;0"),0)</f>
        <v>0.68046666666666678</v>
      </c>
      <c r="AW52" s="132">
        <v>0</v>
      </c>
      <c r="AX52" s="132">
        <v>0</v>
      </c>
      <c r="AY52" s="132">
        <v>0</v>
      </c>
      <c r="AZ52" s="175">
        <f>IF(Prod[[#This Row],[S1Cycle]]&lt;&gt;0,1,0)</f>
        <v>0</v>
      </c>
      <c r="BA52" s="175">
        <f>IF(Prod[[#This Row],[S2Cycle]]&lt;&gt;0,1,0)</f>
        <v>0</v>
      </c>
      <c r="BB52" s="175">
        <f>IF(Prod[[#This Row],[S3Cycle]]&lt;&gt;0,1,0)</f>
        <v>1</v>
      </c>
      <c r="BC52" s="175">
        <f>MAX(Prod[[#This Row],[S1Cavity]],Prod[[#This Row],[S2Cavity]],Prod[[#This Row],[S3Cavity]])</f>
        <v>8</v>
      </c>
      <c r="BD52" s="175" t="b">
        <f>RegExpMatch(Prod[[#This Row],[MoldNo]], "^DEO-(B|C)")</f>
        <v>1</v>
      </c>
      <c r="BE52" s="175" t="b">
        <f>RegExpMatch(Prod[[#This Row],[MoldNo]], "^JAC")</f>
        <v>0</v>
      </c>
    </row>
    <row r="53" spans="1:57" x14ac:dyDescent="0.2">
      <c r="A53" s="117">
        <v>45446</v>
      </c>
      <c r="B53" s="130" t="s">
        <v>176</v>
      </c>
      <c r="C53" s="131" t="s">
        <v>81</v>
      </c>
      <c r="D53" s="119">
        <v>27713</v>
      </c>
      <c r="E53" s="131" t="s">
        <v>199</v>
      </c>
      <c r="F53" s="119">
        <v>814</v>
      </c>
      <c r="G53" s="119" t="str">
        <f>IF(OR(Prod[[#This Row],[S1Hrs]]&gt;0,Prod[[#This Row],[S2Hrs]]&gt;0,Prod[[#This Row],[S3Hrs]]&gt;0),"Running","Down")</f>
        <v>Running</v>
      </c>
      <c r="H53" s="187">
        <v>21.89</v>
      </c>
      <c r="I53" s="141">
        <v>8</v>
      </c>
      <c r="J53" s="120">
        <v>1333</v>
      </c>
      <c r="K53" s="130">
        <v>8</v>
      </c>
      <c r="L53" s="120">
        <f>Prod[[#This Row],[S1Shot]]*Prod[[#This Row],[S1Cavity]]-Prod[[#This Row],[S1Dft]]</f>
        <v>10519</v>
      </c>
      <c r="M53" s="136">
        <f>SUM(Prod[[#This Row],[S1Mold]],Prod[[#This Row],[S1Print]],Prod[[#This Row],[S1Ovlp]],Prod[[#This Row],[S1Seam]],Prod[[#This Row],[S1Dmg]])</f>
        <v>145</v>
      </c>
      <c r="N53" s="187">
        <v>21.89</v>
      </c>
      <c r="O53" s="141">
        <v>8</v>
      </c>
      <c r="P53" s="120">
        <v>1327</v>
      </c>
      <c r="Q53" s="130">
        <v>8</v>
      </c>
      <c r="R53" s="120">
        <f>Prod[[#This Row],[S2Shot]]*Prod[[#This Row],[S2Cavity]]-Prod[[#This Row],[S2Dft]]</f>
        <v>10466</v>
      </c>
      <c r="S53" s="136">
        <f>SUM(Prod[[#This Row],[S2Mold]],Prod[[#This Row],[S2Print]],Prod[[#This Row],[S2Ovlp]],Prod[[#This Row],[S2Seam]],Prod[[#This Row],[S2Dmg]])</f>
        <v>150</v>
      </c>
      <c r="T53" s="187">
        <v>21.07</v>
      </c>
      <c r="U53" s="141">
        <v>2.5</v>
      </c>
      <c r="V53" s="120">
        <v>435</v>
      </c>
      <c r="W53" s="130">
        <v>8</v>
      </c>
      <c r="X53" s="120">
        <f>Prod[[#This Row],[S3Shot]]*Prod[[#This Row],[S3Cavity]]-Prod[[#This Row],[S3Dft]]</f>
        <v>3420</v>
      </c>
      <c r="Y53" s="120">
        <f>SUM(Prod[[#This Row],[S3Mold]],Prod[[#This Row],[S3Print]],Prod[[#This Row],[S3Ovlp]],Prod[[#This Row],[S3Seam]],Prod[[#This Row],[S3Dmg]])</f>
        <v>60</v>
      </c>
      <c r="Z53" s="120">
        <f>SUM(Prod[[#This Row],[S1Qty]],Prod[[#This Row],[S2Qty]],Prod[[#This Row],[S3Qty]])</f>
        <v>24405</v>
      </c>
      <c r="AA53" s="120">
        <f>SUM(Prod[[#This Row],[S1Dft]],Prod[[#This Row],[S2Dft]],Prod[[#This Row],[S3Dft]])</f>
        <v>355</v>
      </c>
      <c r="AB53" s="121">
        <f>IF(Prod[[#This Row],[Total]]=0,0,Prod[[#This Row],[TotalDft]]/Prod[[#This Row],[Total]])</f>
        <v>1.4546199549272691E-2</v>
      </c>
      <c r="AC53" s="131"/>
      <c r="AD53" s="120">
        <v>20</v>
      </c>
      <c r="AE53" s="120">
        <v>20</v>
      </c>
      <c r="AF53" s="120">
        <v>10</v>
      </c>
      <c r="AG53" s="120">
        <v>125</v>
      </c>
      <c r="AH53" s="120">
        <v>130</v>
      </c>
      <c r="AI53" s="120">
        <v>50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2">
        <f>IF(Prod[[#This Row],[S1Hrs]]=0,0,Prod[[#This Row],[S1Shot]]*Prod[[#This Row],[S1Cycle]]/(Prod[[#This Row],[S1Hrs]]*60*60))</f>
        <v>1.0131725694444444</v>
      </c>
      <c r="AT53" s="132">
        <f>IF(Prod[[#This Row],[S2Hrs]]=0,0,Prod[[#This Row],[S2Shot]]*Prod[[#This Row],[S2Cycle]]/(Prod[[#This Row],[S2Hrs]]*60*60))</f>
        <v>1.0086121527777778</v>
      </c>
      <c r="AU53" s="132">
        <f>IF(Prod[[#This Row],[S3Hrs]]=0,0,Prod[[#This Row],[S3Shot]]*Prod[[#This Row],[S3Cycle]]/(Prod[[#This Row],[S3Hrs]]*60*60))</f>
        <v>1.0183833333333334</v>
      </c>
      <c r="AV53" s="132">
        <f>IFERROR(AVERAGEIF(Prod[[#This Row],[S1%]:[S3%]], "&lt;&gt;0"),0)</f>
        <v>1.013389351851852</v>
      </c>
      <c r="AW53" s="132">
        <v>0</v>
      </c>
      <c r="AX53" s="132">
        <v>0</v>
      </c>
      <c r="AY53" s="132">
        <v>0</v>
      </c>
      <c r="AZ53" s="175">
        <f>IF(Prod[[#This Row],[S1Cycle]]&lt;&gt;0,1,0)</f>
        <v>1</v>
      </c>
      <c r="BA53" s="175">
        <f>IF(Prod[[#This Row],[S2Cycle]]&lt;&gt;0,1,0)</f>
        <v>1</v>
      </c>
      <c r="BB53" s="175">
        <f>IF(Prod[[#This Row],[S3Cycle]]&lt;&gt;0,1,0)</f>
        <v>1</v>
      </c>
      <c r="BC53" s="175">
        <f>MAX(Prod[[#This Row],[S1Cavity]],Prod[[#This Row],[S2Cavity]],Prod[[#This Row],[S3Cavity]])</f>
        <v>8</v>
      </c>
      <c r="BD53" s="175" t="b">
        <f>RegExpMatch(Prod[[#This Row],[MoldNo]], "^DEO-(B|C)")</f>
        <v>1</v>
      </c>
      <c r="BE53" s="175" t="b">
        <f>RegExpMatch(Prod[[#This Row],[MoldNo]], "^JAC")</f>
        <v>0</v>
      </c>
    </row>
    <row r="54" spans="1:57" x14ac:dyDescent="0.2">
      <c r="A54" s="117">
        <v>45446</v>
      </c>
      <c r="B54" s="130" t="s">
        <v>176</v>
      </c>
      <c r="C54" s="131" t="s">
        <v>81</v>
      </c>
      <c r="D54" s="119">
        <v>27430</v>
      </c>
      <c r="E54" s="131" t="s">
        <v>209</v>
      </c>
      <c r="F54" s="119">
        <v>6331</v>
      </c>
      <c r="G54" s="119" t="str">
        <f>IF(OR(Prod[[#This Row],[S1Hrs]]&gt;0,Prod[[#This Row],[S2Hrs]]&gt;0,Prod[[#This Row],[S3Hrs]]&gt;0),"Running","Down")</f>
        <v>Running</v>
      </c>
      <c r="H54" s="187">
        <v>0</v>
      </c>
      <c r="I54" s="141">
        <v>0</v>
      </c>
      <c r="J54" s="120">
        <v>0</v>
      </c>
      <c r="K54" s="130">
        <v>0</v>
      </c>
      <c r="L54" s="120">
        <f>Prod[[#This Row],[S1Shot]]*Prod[[#This Row],[S1Cavity]]-Prod[[#This Row],[S1Dft]]</f>
        <v>0</v>
      </c>
      <c r="M54" s="136">
        <f>SUM(Prod[[#This Row],[S1Mold]],Prod[[#This Row],[S1Print]],Prod[[#This Row],[S1Ovlp]],Prod[[#This Row],[S1Seam]],Prod[[#This Row],[S1Dmg]])</f>
        <v>0</v>
      </c>
      <c r="N54" s="187">
        <v>0</v>
      </c>
      <c r="O54" s="141">
        <v>0</v>
      </c>
      <c r="P54" s="120">
        <v>0</v>
      </c>
      <c r="Q54" s="130">
        <v>0</v>
      </c>
      <c r="R54" s="120">
        <f>Prod[[#This Row],[S2Shot]]*Prod[[#This Row],[S2Cavity]]-Prod[[#This Row],[S2Dft]]</f>
        <v>0</v>
      </c>
      <c r="S54" s="136">
        <f>SUM(Prod[[#This Row],[S2Mold]],Prod[[#This Row],[S2Print]],Prod[[#This Row],[S2Ovlp]],Prod[[#This Row],[S2Seam]],Prod[[#This Row],[S2Dmg]])</f>
        <v>0</v>
      </c>
      <c r="T54" s="187">
        <v>21.07</v>
      </c>
      <c r="U54" s="141">
        <v>5.5</v>
      </c>
      <c r="V54" s="120">
        <v>586</v>
      </c>
      <c r="W54" s="130">
        <v>8</v>
      </c>
      <c r="X54" s="120">
        <f>Prod[[#This Row],[S3Shot]]*Prod[[#This Row],[S3Cavity]]-Prod[[#This Row],[S3Dft]]</f>
        <v>4593</v>
      </c>
      <c r="Y54" s="120">
        <f>SUM(Prod[[#This Row],[S3Mold]],Prod[[#This Row],[S3Print]],Prod[[#This Row],[S3Ovlp]],Prod[[#This Row],[S3Seam]],Prod[[#This Row],[S3Dmg]])</f>
        <v>95</v>
      </c>
      <c r="Z54" s="120">
        <f>SUM(Prod[[#This Row],[S1Qty]],Prod[[#This Row],[S2Qty]],Prod[[#This Row],[S3Qty]])</f>
        <v>4593</v>
      </c>
      <c r="AA54" s="120">
        <f>SUM(Prod[[#This Row],[S1Dft]],Prod[[#This Row],[S2Dft]],Prod[[#This Row],[S3Dft]])</f>
        <v>95</v>
      </c>
      <c r="AB54" s="121">
        <f>IF(Prod[[#This Row],[Total]]=0,0,Prod[[#This Row],[TotalDft]]/Prod[[#This Row],[Total]])</f>
        <v>2.0683649031134337E-2</v>
      </c>
      <c r="AC54" s="131" t="s">
        <v>210</v>
      </c>
      <c r="AD54" s="120">
        <v>0</v>
      </c>
      <c r="AE54" s="120">
        <v>0</v>
      </c>
      <c r="AF54" s="120">
        <v>15</v>
      </c>
      <c r="AG54" s="120">
        <v>0</v>
      </c>
      <c r="AH54" s="120">
        <v>0</v>
      </c>
      <c r="AI54" s="120">
        <v>80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2">
        <f>IF(Prod[[#This Row],[S1Hrs]]=0,0,Prod[[#This Row],[S1Shot]]*Prod[[#This Row],[S1Cycle]]/(Prod[[#This Row],[S1Hrs]]*60*60))</f>
        <v>0</v>
      </c>
      <c r="AT54" s="132">
        <f>IF(Prod[[#This Row],[S2Hrs]]=0,0,Prod[[#This Row],[S2Shot]]*Prod[[#This Row],[S2Cycle]]/(Prod[[#This Row],[S2Hrs]]*60*60))</f>
        <v>0</v>
      </c>
      <c r="AU54" s="132">
        <f>IF(Prod[[#This Row],[S3Hrs]]=0,0,Prod[[#This Row],[S3Shot]]*Prod[[#This Row],[S3Cycle]]/(Prod[[#This Row],[S3Hrs]]*60*60))</f>
        <v>0.62358686868686874</v>
      </c>
      <c r="AV54" s="132">
        <f>IFERROR(AVERAGEIF(Prod[[#This Row],[S1%]:[S3%]], "&lt;&gt;0"),0)</f>
        <v>0.62358686868686874</v>
      </c>
      <c r="AW54" s="132">
        <v>0</v>
      </c>
      <c r="AX54" s="132">
        <v>0</v>
      </c>
      <c r="AY54" s="132">
        <v>0</v>
      </c>
      <c r="AZ54" s="175">
        <f>IF(Prod[[#This Row],[S1Cycle]]&lt;&gt;0,1,0)</f>
        <v>0</v>
      </c>
      <c r="BA54" s="175">
        <f>IF(Prod[[#This Row],[S2Cycle]]&lt;&gt;0,1,0)</f>
        <v>0</v>
      </c>
      <c r="BB54" s="175">
        <f>IF(Prod[[#This Row],[S3Cycle]]&lt;&gt;0,1,0)</f>
        <v>1</v>
      </c>
      <c r="BC54" s="175">
        <f>MAX(Prod[[#This Row],[S1Cavity]],Prod[[#This Row],[S2Cavity]],Prod[[#This Row],[S3Cavity]])</f>
        <v>8</v>
      </c>
      <c r="BD54" s="175" t="b">
        <f>RegExpMatch(Prod[[#This Row],[MoldNo]], "^DEO-(B|C)")</f>
        <v>1</v>
      </c>
      <c r="BE54" s="175" t="b">
        <f>RegExpMatch(Prod[[#This Row],[MoldNo]], "^JAC")</f>
        <v>0</v>
      </c>
    </row>
    <row r="55" spans="1:57" x14ac:dyDescent="0.2">
      <c r="A55" s="117">
        <v>45446</v>
      </c>
      <c r="B55" s="130" t="s">
        <v>195</v>
      </c>
      <c r="C55" s="119" t="s">
        <v>145</v>
      </c>
      <c r="D55" s="119">
        <v>27250</v>
      </c>
      <c r="E55" s="131" t="s">
        <v>199</v>
      </c>
      <c r="F55" s="119">
        <v>814</v>
      </c>
      <c r="G55" s="119" t="str">
        <f>IF(OR(Prod[[#This Row],[S1Hrs]]&gt;0,Prod[[#This Row],[S2Hrs]]&gt;0,Prod[[#This Row],[S3Hrs]]&gt;0),"Running","Down")</f>
        <v>Running</v>
      </c>
      <c r="H55" s="187">
        <v>13.32</v>
      </c>
      <c r="I55" s="141">
        <v>8</v>
      </c>
      <c r="J55" s="120">
        <v>2030</v>
      </c>
      <c r="K55" s="130">
        <v>16</v>
      </c>
      <c r="L55" s="120">
        <f>Prod[[#This Row],[S1Shot]]*Prod[[#This Row],[S1Cavity]]-Prod[[#This Row],[S1Dft]]</f>
        <v>32480</v>
      </c>
      <c r="M55" s="134"/>
      <c r="N55" s="187">
        <v>13.07</v>
      </c>
      <c r="O55" s="141">
        <v>8</v>
      </c>
      <c r="P55" s="120">
        <v>2365</v>
      </c>
      <c r="Q55" s="130">
        <v>16</v>
      </c>
      <c r="R55" s="120">
        <f>Prod[[#This Row],[S2Shot]]*Prod[[#This Row],[S2Cavity]]-Prod[[#This Row],[S2Dft]]</f>
        <v>37840</v>
      </c>
      <c r="S55" s="134"/>
      <c r="T55" s="187">
        <v>13.04</v>
      </c>
      <c r="U55" s="141">
        <v>8</v>
      </c>
      <c r="V55" s="120">
        <v>2068</v>
      </c>
      <c r="W55" s="130">
        <v>16</v>
      </c>
      <c r="X55" s="120">
        <f>Prod[[#This Row],[S3Shot]]*Prod[[#This Row],[S3Cavity]]-Prod[[#This Row],[S3Dft]]</f>
        <v>33088</v>
      </c>
      <c r="Y55" s="134"/>
      <c r="Z55" s="120">
        <f>SUM(Prod[[#This Row],[S1Qty]],Prod[[#This Row],[S2Qty]],Prod[[#This Row],[S3Qty]])</f>
        <v>103408</v>
      </c>
      <c r="AA55" s="134"/>
      <c r="AB55" s="135"/>
      <c r="AC55" s="118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2">
        <f>IF(Prod[[#This Row],[S1Hrs]]=0,0,Prod[[#This Row],[S1Shot]]*Prod[[#This Row],[S1Cycle]]/(Prod[[#This Row],[S1Hrs]]*60*60))</f>
        <v>0.93887500000000013</v>
      </c>
      <c r="AT55" s="132">
        <f>IF(Prod[[#This Row],[S2Hrs]]=0,0,Prod[[#This Row],[S2Shot]]*Prod[[#This Row],[S2Cycle]]/(Prod[[#This Row],[S2Hrs]]*60*60))</f>
        <v>1.0732829861111111</v>
      </c>
      <c r="AU55" s="132">
        <f>IF(Prod[[#This Row],[S3Hrs]]=0,0,Prod[[#This Row],[S3Shot]]*Prod[[#This Row],[S3Cycle]]/(Prod[[#This Row],[S3Hrs]]*60*60))</f>
        <v>0.93634444444444431</v>
      </c>
      <c r="AV55" s="132">
        <f>IFERROR(AVERAGEIF(Prod[[#This Row],[S1%]:[S3%]], "&lt;&gt;0"),0)</f>
        <v>0.9828341435185185</v>
      </c>
      <c r="AW55" s="132">
        <v>0</v>
      </c>
      <c r="AX55" s="132">
        <v>0</v>
      </c>
      <c r="AY55" s="132">
        <v>0</v>
      </c>
      <c r="AZ55" s="175">
        <f>IF(Prod[[#This Row],[S1Cycle]]&lt;&gt;0,1,0)</f>
        <v>1</v>
      </c>
      <c r="BA55" s="175">
        <f>IF(Prod[[#This Row],[S2Cycle]]&lt;&gt;0,1,0)</f>
        <v>1</v>
      </c>
      <c r="BB55" s="175">
        <f>IF(Prod[[#This Row],[S3Cycle]]&lt;&gt;0,1,0)</f>
        <v>1</v>
      </c>
      <c r="BC55" s="175">
        <f>MAX(Prod[[#This Row],[S1Cavity]],Prod[[#This Row],[S2Cavity]],Prod[[#This Row],[S3Cavity]])</f>
        <v>16</v>
      </c>
      <c r="BD55" s="175" t="b">
        <f>RegExpMatch(Prod[[#This Row],[MoldNo]], "^DEO-(B|C)")</f>
        <v>0</v>
      </c>
      <c r="BE55" s="175" t="b">
        <f>RegExpMatch(Prod[[#This Row],[MoldNo]], "^JAC")</f>
        <v>0</v>
      </c>
    </row>
    <row r="56" spans="1:57" x14ac:dyDescent="0.2">
      <c r="A56" s="195">
        <v>45447</v>
      </c>
      <c r="B56" s="196" t="s">
        <v>190</v>
      </c>
      <c r="C56" s="197" t="s">
        <v>153</v>
      </c>
      <c r="D56" s="197">
        <v>27647</v>
      </c>
      <c r="E56" s="198" t="s">
        <v>199</v>
      </c>
      <c r="F56" s="197">
        <v>6331</v>
      </c>
      <c r="G56" s="197" t="str">
        <f>IF(OR(Prod[[#This Row],[S1Hrs]]&gt;0,Prod[[#This Row],[S2Hrs]]&gt;0,Prod[[#This Row],[S3Hrs]]&gt;0),"Running","Down")</f>
        <v>Running</v>
      </c>
      <c r="H56" s="199">
        <v>22.58</v>
      </c>
      <c r="I56" s="200">
        <v>8</v>
      </c>
      <c r="J56" s="196">
        <v>1241</v>
      </c>
      <c r="K56" s="201">
        <v>4</v>
      </c>
      <c r="L56" s="196">
        <f>Prod[[#This Row],[S1Shot]]*Prod[[#This Row],[S1Cavity]]-Prod[[#This Row],[S1Dft]]</f>
        <v>4958</v>
      </c>
      <c r="M56" s="202">
        <f>SUM(Prod[[#This Row],[S1Mold]],Prod[[#This Row],[S1Print]],Prod[[#This Row],[S1Ovlp]],Prod[[#This Row],[S1Seam]],Prod[[#This Row],[S1Dmg]])</f>
        <v>6</v>
      </c>
      <c r="N56" s="199">
        <v>22.69</v>
      </c>
      <c r="O56" s="200">
        <v>8</v>
      </c>
      <c r="P56" s="196">
        <v>1342</v>
      </c>
      <c r="Q56" s="201">
        <v>4</v>
      </c>
      <c r="R56" s="196">
        <f>Prod[[#This Row],[S2Shot]]*Prod[[#This Row],[S2Cavity]]-Prod[[#This Row],[S2Dft]]</f>
        <v>5364</v>
      </c>
      <c r="S56" s="202">
        <f>SUM(Prod[[#This Row],[S2Mold]],Prod[[#This Row],[S2Print]],Prod[[#This Row],[S2Ovlp]],Prod[[#This Row],[S2Seam]],Prod[[#This Row],[S2Dmg]])</f>
        <v>4</v>
      </c>
      <c r="T56" s="199">
        <v>22.66</v>
      </c>
      <c r="U56" s="200">
        <v>8</v>
      </c>
      <c r="V56" s="196">
        <v>1198</v>
      </c>
      <c r="W56" s="201">
        <v>4</v>
      </c>
      <c r="X56" s="196">
        <f>Prod[[#This Row],[S3Shot]]*Prod[[#This Row],[S3Cavity]]-Prod[[#This Row],[S3Dft]]</f>
        <v>4786</v>
      </c>
      <c r="Y56" s="196">
        <f>SUM(Prod[[#This Row],[S3Mold]],Prod[[#This Row],[S3Print]],Prod[[#This Row],[S3Ovlp]],Prod[[#This Row],[S3Seam]],Prod[[#This Row],[S3Dmg]])</f>
        <v>6</v>
      </c>
      <c r="Z56" s="196">
        <f>SUM(Prod[[#This Row],[S1Qty]],Prod[[#This Row],[S2Qty]],Prod[[#This Row],[S3Qty]])</f>
        <v>15108</v>
      </c>
      <c r="AA56" s="196">
        <f>SUM(Prod[[#This Row],[S1Dft]],Prod[[#This Row],[S2Dft]],Prod[[#This Row],[S3Dft]])</f>
        <v>16</v>
      </c>
      <c r="AB56" s="203">
        <f>IF(Prod[[#This Row],[Total]]=0,0,Prod[[#This Row],[TotalDft]]/Prod[[#This Row],[Total]])</f>
        <v>1.0590415673815197E-3</v>
      </c>
      <c r="AC56" s="204"/>
      <c r="AD56" s="196">
        <v>6</v>
      </c>
      <c r="AE56" s="196">
        <v>4</v>
      </c>
      <c r="AF56" s="196">
        <v>6</v>
      </c>
      <c r="AG56" s="196">
        <v>0</v>
      </c>
      <c r="AH56" s="196">
        <v>0</v>
      </c>
      <c r="AI56" s="196">
        <v>0</v>
      </c>
      <c r="AJ56" s="196">
        <v>0</v>
      </c>
      <c r="AK56" s="196">
        <v>0</v>
      </c>
      <c r="AL56" s="196">
        <v>0</v>
      </c>
      <c r="AM56" s="196">
        <v>0</v>
      </c>
      <c r="AN56" s="196">
        <v>0</v>
      </c>
      <c r="AO56" s="196">
        <v>0</v>
      </c>
      <c r="AP56" s="196">
        <v>0</v>
      </c>
      <c r="AQ56" s="196">
        <v>0</v>
      </c>
      <c r="AR56" s="196">
        <v>0</v>
      </c>
      <c r="AS56" s="205">
        <f>IF(Prod[[#This Row],[S1Hrs]]=0,0,Prod[[#This Row],[S1Shot]]*Prod[[#This Row],[S1Cycle]]/(Prod[[#This Row],[S1Hrs]]*60*60))</f>
        <v>0.97297847222222222</v>
      </c>
      <c r="AT56" s="205">
        <f>IF(Prod[[#This Row],[S2Hrs]]=0,0,Prod[[#This Row],[S2Shot]]*Prod[[#This Row],[S2Cycle]]/(Prod[[#This Row],[S2Hrs]]*60*60))</f>
        <v>1.0572909722222223</v>
      </c>
      <c r="AU56" s="205">
        <f>IF(Prod[[#This Row],[S3Hrs]]=0,0,Prod[[#This Row],[S3Shot]]*Prod[[#This Row],[S3Cycle]]/(Prod[[#This Row],[S3Hrs]]*60*60))</f>
        <v>0.94259305555555561</v>
      </c>
      <c r="AV56" s="205">
        <f>IFERROR(AVERAGEIF(Prod[[#This Row],[S1%]:[S3%]], "&lt;&gt;0"),0)</f>
        <v>0.99095416666666669</v>
      </c>
      <c r="AW56" s="205">
        <v>0</v>
      </c>
      <c r="AX56" s="205">
        <v>0</v>
      </c>
      <c r="AY56" s="205">
        <v>0</v>
      </c>
      <c r="AZ56" s="206">
        <f>IF(Prod[[#This Row],[S1Cycle]]&lt;&gt;0,1,0)</f>
        <v>1</v>
      </c>
      <c r="BA56" s="206">
        <f>IF(Prod[[#This Row],[S2Cycle]]&lt;&gt;0,1,0)</f>
        <v>1</v>
      </c>
      <c r="BB56" s="206">
        <f>IF(Prod[[#This Row],[S3Cycle]]&lt;&gt;0,1,0)</f>
        <v>1</v>
      </c>
      <c r="BC56" s="206">
        <f>MAX(Prod[[#This Row],[S1Cavity]],Prod[[#This Row],[S2Cavity]],Prod[[#This Row],[S3Cavity]])</f>
        <v>4</v>
      </c>
      <c r="BD56" s="206" t="b">
        <f>RegExpMatch(Prod[[#This Row],[MoldNo]], "^DEO-(B|C)")</f>
        <v>0</v>
      </c>
      <c r="BE56" s="206" t="b">
        <f>RegExpMatch(Prod[[#This Row],[MoldNo]], "^JAC")</f>
        <v>1</v>
      </c>
    </row>
    <row r="57" spans="1:57" x14ac:dyDescent="0.2">
      <c r="A57" s="195">
        <v>45447</v>
      </c>
      <c r="B57" s="201" t="s">
        <v>6</v>
      </c>
      <c r="C57" s="198" t="s">
        <v>8</v>
      </c>
      <c r="D57" s="197">
        <v>27501</v>
      </c>
      <c r="E57" s="198" t="s">
        <v>199</v>
      </c>
      <c r="F57" s="197">
        <v>6331</v>
      </c>
      <c r="G57" s="197" t="str">
        <f>IF(OR(Prod[[#This Row],[S1Hrs]]&gt;0,Prod[[#This Row],[S2Hrs]]&gt;0,Prod[[#This Row],[S3Hrs]]&gt;0),"Running","Down")</f>
        <v>Running</v>
      </c>
      <c r="H57" s="199">
        <v>16.940000000000001</v>
      </c>
      <c r="I57" s="200">
        <v>8</v>
      </c>
      <c r="J57" s="196">
        <v>1454</v>
      </c>
      <c r="K57" s="201">
        <v>8</v>
      </c>
      <c r="L57" s="196">
        <f>Prod[[#This Row],[S1Shot]]*Prod[[#This Row],[S1Cavity]]-Prod[[#This Row],[S1Dft]]</f>
        <v>11517</v>
      </c>
      <c r="M57" s="202">
        <f>SUM(Prod[[#This Row],[S1Mold]],Prod[[#This Row],[S1Print]],Prod[[#This Row],[S1Ovlp]],Prod[[#This Row],[S1Seam]],Prod[[#This Row],[S1Dmg]])</f>
        <v>115</v>
      </c>
      <c r="N57" s="199">
        <v>16.89</v>
      </c>
      <c r="O57" s="200">
        <v>8</v>
      </c>
      <c r="P57" s="196">
        <v>1768</v>
      </c>
      <c r="Q57" s="201">
        <v>8</v>
      </c>
      <c r="R57" s="196">
        <f>Prod[[#This Row],[S2Shot]]*Prod[[#This Row],[S2Cavity]]-Prod[[#This Row],[S2Dft]]</f>
        <v>14034</v>
      </c>
      <c r="S57" s="202">
        <f>SUM(Prod[[#This Row],[S2Mold]],Prod[[#This Row],[S2Print]],Prod[[#This Row],[S2Ovlp]],Prod[[#This Row],[S2Seam]],Prod[[#This Row],[S2Dmg]])</f>
        <v>110</v>
      </c>
      <c r="T57" s="199">
        <v>0</v>
      </c>
      <c r="U57" s="200">
        <v>0</v>
      </c>
      <c r="V57" s="196">
        <v>0</v>
      </c>
      <c r="W57" s="201">
        <v>0</v>
      </c>
      <c r="X57" s="196">
        <f>Prod[[#This Row],[S3Shot]]*Prod[[#This Row],[S3Cavity]]-Prod[[#This Row],[S3Dft]]</f>
        <v>0</v>
      </c>
      <c r="Y57" s="196">
        <f>SUM(Prod[[#This Row],[S3Mold]],Prod[[#This Row],[S3Print]],Prod[[#This Row],[S3Ovlp]],Prod[[#This Row],[S3Seam]],Prod[[#This Row],[S3Dmg]])</f>
        <v>0</v>
      </c>
      <c r="Z57" s="196">
        <f>SUM(Prod[[#This Row],[S1Qty]],Prod[[#This Row],[S2Qty]],Prod[[#This Row],[S3Qty]])</f>
        <v>25551</v>
      </c>
      <c r="AA57" s="196">
        <f>SUM(Prod[[#This Row],[S1Dft]],Prod[[#This Row],[S2Dft]],Prod[[#This Row],[S3Dft]])</f>
        <v>225</v>
      </c>
      <c r="AB57" s="203">
        <f>IF(Prod[[#This Row],[Total]]=0,0,Prod[[#This Row],[TotalDft]]/Prod[[#This Row],[Total]])</f>
        <v>8.8059175766114824E-3</v>
      </c>
      <c r="AC57" s="198"/>
      <c r="AD57" s="196">
        <v>15</v>
      </c>
      <c r="AE57" s="196">
        <v>20</v>
      </c>
      <c r="AF57" s="196">
        <v>0</v>
      </c>
      <c r="AG57" s="196">
        <v>100</v>
      </c>
      <c r="AH57" s="196">
        <v>90</v>
      </c>
      <c r="AI57" s="196">
        <v>0</v>
      </c>
      <c r="AJ57" s="196">
        <v>0</v>
      </c>
      <c r="AK57" s="196">
        <v>0</v>
      </c>
      <c r="AL57" s="196">
        <v>0</v>
      </c>
      <c r="AM57" s="196">
        <v>0</v>
      </c>
      <c r="AN57" s="196">
        <v>0</v>
      </c>
      <c r="AO57" s="196">
        <v>0</v>
      </c>
      <c r="AP57" s="196">
        <v>0</v>
      </c>
      <c r="AQ57" s="196">
        <v>0</v>
      </c>
      <c r="AR57" s="196">
        <v>0</v>
      </c>
      <c r="AS57" s="205">
        <f>IF(Prod[[#This Row],[S1Hrs]]=0,0,Prod[[#This Row],[S1Shot]]*Prod[[#This Row],[S1Cycle]]/(Prod[[#This Row],[S1Hrs]]*60*60))</f>
        <v>0.8552347222222223</v>
      </c>
      <c r="AT57" s="205">
        <f>IF(Prod[[#This Row],[S2Hrs]]=0,0,Prod[[#This Row],[S2Shot]]*Prod[[#This Row],[S2Cycle]]/(Prod[[#This Row],[S2Hrs]]*60*60))</f>
        <v>1.0368583333333334</v>
      </c>
      <c r="AU57" s="205">
        <f>IF(Prod[[#This Row],[S3Hrs]]=0,0,Prod[[#This Row],[S3Shot]]*Prod[[#This Row],[S3Cycle]]/(Prod[[#This Row],[S3Hrs]]*60*60))</f>
        <v>0</v>
      </c>
      <c r="AV57" s="205">
        <f>IFERROR(AVERAGEIF(Prod[[#This Row],[S1%]:[S3%]], "&lt;&gt;0"),0)</f>
        <v>0.94604652777777787</v>
      </c>
      <c r="AW57" s="205">
        <v>0</v>
      </c>
      <c r="AX57" s="205">
        <v>0</v>
      </c>
      <c r="AY57" s="205">
        <v>0</v>
      </c>
      <c r="AZ57" s="206">
        <f>IF(Prod[[#This Row],[S1Cycle]]&lt;&gt;0,1,0)</f>
        <v>1</v>
      </c>
      <c r="BA57" s="206">
        <f>IF(Prod[[#This Row],[S2Cycle]]&lt;&gt;0,1,0)</f>
        <v>1</v>
      </c>
      <c r="BB57" s="206">
        <f>IF(Prod[[#This Row],[S3Cycle]]&lt;&gt;0,1,0)</f>
        <v>0</v>
      </c>
      <c r="BC57" s="206">
        <f>MAX(Prod[[#This Row],[S1Cavity]],Prod[[#This Row],[S2Cavity]],Prod[[#This Row],[S3Cavity]])</f>
        <v>8</v>
      </c>
      <c r="BD57" s="206" t="b">
        <f>RegExpMatch(Prod[[#This Row],[MoldNo]], "^DEO-(B|C)")</f>
        <v>1</v>
      </c>
      <c r="BE57" s="206" t="b">
        <f>RegExpMatch(Prod[[#This Row],[MoldNo]], "^JAC")</f>
        <v>0</v>
      </c>
    </row>
    <row r="58" spans="1:57" x14ac:dyDescent="0.2">
      <c r="A58" s="195">
        <v>45447</v>
      </c>
      <c r="B58" s="201" t="s">
        <v>6</v>
      </c>
      <c r="C58" s="198" t="s">
        <v>8</v>
      </c>
      <c r="D58" s="197">
        <v>27578</v>
      </c>
      <c r="E58" s="198" t="s">
        <v>199</v>
      </c>
      <c r="F58" s="197">
        <v>6331</v>
      </c>
      <c r="G58" s="197" t="str">
        <f>IF(OR(Prod[[#This Row],[S1Hrs]]&gt;0,Prod[[#This Row],[S2Hrs]]&gt;0,Prod[[#This Row],[S3Hrs]]&gt;0),"Running","Down")</f>
        <v>Running</v>
      </c>
      <c r="H58" s="199">
        <v>0</v>
      </c>
      <c r="I58" s="200">
        <v>0</v>
      </c>
      <c r="J58" s="196">
        <v>0</v>
      </c>
      <c r="K58" s="201">
        <v>0</v>
      </c>
      <c r="L58" s="196">
        <f>Prod[[#This Row],[S1Shot]]*Prod[[#This Row],[S1Cavity]]-Prod[[#This Row],[S1Dft]]</f>
        <v>0</v>
      </c>
      <c r="M58" s="202">
        <f>SUM(Prod[[#This Row],[S1Mold]],Prod[[#This Row],[S1Print]],Prod[[#This Row],[S1Ovlp]],Prod[[#This Row],[S1Seam]],Prod[[#This Row],[S1Dmg]])</f>
        <v>0</v>
      </c>
      <c r="N58" s="199">
        <v>0</v>
      </c>
      <c r="O58" s="200">
        <v>0</v>
      </c>
      <c r="P58" s="196">
        <v>0</v>
      </c>
      <c r="Q58" s="201">
        <v>0</v>
      </c>
      <c r="R58" s="196">
        <f>Prod[[#This Row],[S2Shot]]*Prod[[#This Row],[S2Cavity]]-Prod[[#This Row],[S2Dft]]</f>
        <v>0</v>
      </c>
      <c r="S58" s="202">
        <f>SUM(Prod[[#This Row],[S2Mold]],Prod[[#This Row],[S2Print]],Prod[[#This Row],[S2Ovlp]],Prod[[#This Row],[S2Seam]],Prod[[#This Row],[S2Dmg]])</f>
        <v>0</v>
      </c>
      <c r="T58" s="199">
        <v>16.989999999999998</v>
      </c>
      <c r="U58" s="200">
        <v>8</v>
      </c>
      <c r="V58" s="196">
        <v>1596</v>
      </c>
      <c r="W58" s="201">
        <v>8</v>
      </c>
      <c r="X58" s="196">
        <f>Prod[[#This Row],[S3Shot]]*Prod[[#This Row],[S3Cavity]]-Prod[[#This Row],[S3Dft]]</f>
        <v>12653</v>
      </c>
      <c r="Y58" s="196">
        <f>SUM(Prod[[#This Row],[S3Mold]],Prod[[#This Row],[S3Print]],Prod[[#This Row],[S3Ovlp]],Prod[[#This Row],[S3Seam]],Prod[[#This Row],[S3Dmg]])</f>
        <v>115</v>
      </c>
      <c r="Z58" s="196">
        <f>SUM(Prod[[#This Row],[S1Qty]],Prod[[#This Row],[S2Qty]],Prod[[#This Row],[S3Qty]])</f>
        <v>12653</v>
      </c>
      <c r="AA58" s="196">
        <f>SUM(Prod[[#This Row],[S1Dft]],Prod[[#This Row],[S2Dft]],Prod[[#This Row],[S3Dft]])</f>
        <v>115</v>
      </c>
      <c r="AB58" s="203">
        <f>IF(Prod[[#This Row],[Total]]=0,0,Prod[[#This Row],[TotalDft]]/Prod[[#This Row],[Total]])</f>
        <v>9.0887536552596224E-3</v>
      </c>
      <c r="AC58" s="198" t="s">
        <v>212</v>
      </c>
      <c r="AD58" s="196">
        <v>0</v>
      </c>
      <c r="AE58" s="196">
        <v>0</v>
      </c>
      <c r="AF58" s="196">
        <v>15</v>
      </c>
      <c r="AG58" s="196">
        <v>0</v>
      </c>
      <c r="AH58" s="196">
        <v>0</v>
      </c>
      <c r="AI58" s="196">
        <v>100</v>
      </c>
      <c r="AJ58" s="196">
        <v>0</v>
      </c>
      <c r="AK58" s="196">
        <v>0</v>
      </c>
      <c r="AL58" s="196">
        <v>0</v>
      </c>
      <c r="AM58" s="196">
        <v>0</v>
      </c>
      <c r="AN58" s="196">
        <v>0</v>
      </c>
      <c r="AO58" s="196">
        <v>0</v>
      </c>
      <c r="AP58" s="196">
        <v>0</v>
      </c>
      <c r="AQ58" s="196">
        <v>0</v>
      </c>
      <c r="AR58" s="196">
        <v>0</v>
      </c>
      <c r="AS58" s="205">
        <f>IF(Prod[[#This Row],[S1Hrs]]=0,0,Prod[[#This Row],[S1Shot]]*Prod[[#This Row],[S1Cycle]]/(Prod[[#This Row],[S1Hrs]]*60*60))</f>
        <v>0</v>
      </c>
      <c r="AT58" s="205">
        <f>IF(Prod[[#This Row],[S2Hrs]]=0,0,Prod[[#This Row],[S2Shot]]*Prod[[#This Row],[S2Cycle]]/(Prod[[#This Row],[S2Hrs]]*60*60))</f>
        <v>0</v>
      </c>
      <c r="AU58" s="205">
        <f>IF(Prod[[#This Row],[S3Hrs]]=0,0,Prod[[#This Row],[S3Shot]]*Prod[[#This Row],[S3Cycle]]/(Prod[[#This Row],[S3Hrs]]*60*60))</f>
        <v>0.94152916666666653</v>
      </c>
      <c r="AV58" s="205">
        <f>IFERROR(AVERAGEIF(Prod[[#This Row],[S1%]:[S3%]], "&lt;&gt;0"),0)</f>
        <v>0.94152916666666653</v>
      </c>
      <c r="AW58" s="205">
        <v>0</v>
      </c>
      <c r="AX58" s="205">
        <v>0</v>
      </c>
      <c r="AY58" s="205">
        <v>0</v>
      </c>
      <c r="AZ58" s="206">
        <f>IF(Prod[[#This Row],[S1Cycle]]&lt;&gt;0,1,0)</f>
        <v>0</v>
      </c>
      <c r="BA58" s="206">
        <f>IF(Prod[[#This Row],[S2Cycle]]&lt;&gt;0,1,0)</f>
        <v>0</v>
      </c>
      <c r="BB58" s="206">
        <f>IF(Prod[[#This Row],[S3Cycle]]&lt;&gt;0,1,0)</f>
        <v>1</v>
      </c>
      <c r="BC58" s="206">
        <f>MAX(Prod[[#This Row],[S1Cavity]],Prod[[#This Row],[S2Cavity]],Prod[[#This Row],[S3Cavity]])</f>
        <v>8</v>
      </c>
      <c r="BD58" s="206" t="b">
        <f>RegExpMatch(Prod[[#This Row],[MoldNo]], "^DEO-(B|C)")</f>
        <v>1</v>
      </c>
      <c r="BE58" s="206" t="b">
        <f>RegExpMatch(Prod[[#This Row],[MoldNo]], "^JAC")</f>
        <v>0</v>
      </c>
    </row>
    <row r="59" spans="1:57" x14ac:dyDescent="0.2">
      <c r="A59" s="195">
        <v>45447</v>
      </c>
      <c r="B59" s="196" t="s">
        <v>7</v>
      </c>
      <c r="C59" s="197" t="s">
        <v>172</v>
      </c>
      <c r="D59" s="197">
        <v>27501</v>
      </c>
      <c r="E59" s="198" t="s">
        <v>199</v>
      </c>
      <c r="F59" s="197">
        <v>6331</v>
      </c>
      <c r="G59" s="197" t="str">
        <f>IF(OR(Prod[[#This Row],[S1Hrs]]&gt;0,Prod[[#This Row],[S2Hrs]]&gt;0,Prod[[#This Row],[S3Hrs]]&gt;0),"Running","Down")</f>
        <v>Running</v>
      </c>
      <c r="H59" s="199">
        <v>20.84</v>
      </c>
      <c r="I59" s="200">
        <v>8</v>
      </c>
      <c r="J59" s="196">
        <v>1416</v>
      </c>
      <c r="K59" s="201">
        <v>8</v>
      </c>
      <c r="L59" s="196">
        <f>Prod[[#This Row],[S1Shot]]*Prod[[#This Row],[S1Cavity]]-Prod[[#This Row],[S1Dft]]</f>
        <v>11208</v>
      </c>
      <c r="M59" s="202">
        <f>SUM(Prod[[#This Row],[S1Mold]],Prod[[#This Row],[S1Print]],Prod[[#This Row],[S1Ovlp]],Prod[[#This Row],[S1Seam]],Prod[[#This Row],[S1Dmg]])</f>
        <v>120</v>
      </c>
      <c r="N59" s="199">
        <v>20.81</v>
      </c>
      <c r="O59" s="200">
        <v>8</v>
      </c>
      <c r="P59" s="196">
        <v>1489</v>
      </c>
      <c r="Q59" s="201">
        <v>8</v>
      </c>
      <c r="R59" s="196">
        <f>Prod[[#This Row],[S2Shot]]*Prod[[#This Row],[S2Cavity]]-Prod[[#This Row],[S2Dft]]</f>
        <v>11767</v>
      </c>
      <c r="S59" s="202">
        <f>SUM(Prod[[#This Row],[S2Mold]],Prod[[#This Row],[S2Print]],Prod[[#This Row],[S2Ovlp]],Prod[[#This Row],[S2Seam]],Prod[[#This Row],[S2Dmg]])</f>
        <v>145</v>
      </c>
      <c r="T59" s="199">
        <v>20.8</v>
      </c>
      <c r="U59" s="200">
        <v>1.5</v>
      </c>
      <c r="V59" s="196">
        <v>217</v>
      </c>
      <c r="W59" s="201">
        <v>8</v>
      </c>
      <c r="X59" s="196">
        <f>Prod[[#This Row],[S3Shot]]*Prod[[#This Row],[S3Cavity]]-Prod[[#This Row],[S3Dft]]</f>
        <v>1711</v>
      </c>
      <c r="Y59" s="196">
        <f>SUM(Prod[[#This Row],[S3Mold]],Prod[[#This Row],[S3Print]],Prod[[#This Row],[S3Ovlp]],Prod[[#This Row],[S3Seam]],Prod[[#This Row],[S3Dmg]])</f>
        <v>25</v>
      </c>
      <c r="Z59" s="196">
        <f>SUM(Prod[[#This Row],[S1Qty]],Prod[[#This Row],[S2Qty]],Prod[[#This Row],[S3Qty]])</f>
        <v>24686</v>
      </c>
      <c r="AA59" s="196">
        <f>SUM(Prod[[#This Row],[S1Dft]],Prod[[#This Row],[S2Dft]],Prod[[#This Row],[S3Dft]])</f>
        <v>290</v>
      </c>
      <c r="AB59" s="203">
        <f>IF(Prod[[#This Row],[Total]]=0,0,Prod[[#This Row],[TotalDft]]/Prod[[#This Row],[Total]])</f>
        <v>1.1747549218180345E-2</v>
      </c>
      <c r="AC59" s="198"/>
      <c r="AD59" s="196">
        <v>20</v>
      </c>
      <c r="AE59" s="196">
        <v>25</v>
      </c>
      <c r="AF59" s="196">
        <v>5</v>
      </c>
      <c r="AG59" s="196">
        <v>100</v>
      </c>
      <c r="AH59" s="196">
        <v>120</v>
      </c>
      <c r="AI59" s="196">
        <v>20</v>
      </c>
      <c r="AJ59" s="196">
        <v>0</v>
      </c>
      <c r="AK59" s="196">
        <v>0</v>
      </c>
      <c r="AL59" s="196">
        <v>0</v>
      </c>
      <c r="AM59" s="196">
        <v>0</v>
      </c>
      <c r="AN59" s="196">
        <v>0</v>
      </c>
      <c r="AO59" s="196">
        <v>0</v>
      </c>
      <c r="AP59" s="196">
        <v>0</v>
      </c>
      <c r="AQ59" s="196">
        <v>0</v>
      </c>
      <c r="AR59" s="196">
        <v>0</v>
      </c>
      <c r="AS59" s="205">
        <f>IF(Prod[[#This Row],[S1Hrs]]=0,0,Prod[[#This Row],[S1Shot]]*Prod[[#This Row],[S1Cycle]]/(Prod[[#This Row],[S1Hrs]]*60*60))</f>
        <v>1.0246333333333333</v>
      </c>
      <c r="AT59" s="205">
        <f>IF(Prod[[#This Row],[S2Hrs]]=0,0,Prod[[#This Row],[S2Shot]]*Prod[[#This Row],[S2Cycle]]/(Prod[[#This Row],[S2Hrs]]*60*60))</f>
        <v>1.0759059027777778</v>
      </c>
      <c r="AU59" s="205">
        <f>IF(Prod[[#This Row],[S3Hrs]]=0,0,Prod[[#This Row],[S3Shot]]*Prod[[#This Row],[S3Cycle]]/(Prod[[#This Row],[S3Hrs]]*60*60))</f>
        <v>0.83585185185185196</v>
      </c>
      <c r="AV59" s="205">
        <f>IFERROR(AVERAGEIF(Prod[[#This Row],[S1%]:[S3%]], "&lt;&gt;0"),0)</f>
        <v>0.97879702932098767</v>
      </c>
      <c r="AW59" s="205">
        <v>0</v>
      </c>
      <c r="AX59" s="205">
        <v>0</v>
      </c>
      <c r="AY59" s="205">
        <v>0</v>
      </c>
      <c r="AZ59" s="206">
        <f>IF(Prod[[#This Row],[S1Cycle]]&lt;&gt;0,1,0)</f>
        <v>1</v>
      </c>
      <c r="BA59" s="206">
        <f>IF(Prod[[#This Row],[S2Cycle]]&lt;&gt;0,1,0)</f>
        <v>1</v>
      </c>
      <c r="BB59" s="206">
        <f>IF(Prod[[#This Row],[S3Cycle]]&lt;&gt;0,1,0)</f>
        <v>1</v>
      </c>
      <c r="BC59" s="206">
        <f>MAX(Prod[[#This Row],[S1Cavity]],Prod[[#This Row],[S2Cavity]],Prod[[#This Row],[S3Cavity]])</f>
        <v>8</v>
      </c>
      <c r="BD59" s="206" t="b">
        <f>RegExpMatch(Prod[[#This Row],[MoldNo]], "^DEO-(B|C)")</f>
        <v>1</v>
      </c>
      <c r="BE59" s="206" t="b">
        <f>RegExpMatch(Prod[[#This Row],[MoldNo]], "^JAC")</f>
        <v>0</v>
      </c>
    </row>
    <row r="60" spans="1:57" x14ac:dyDescent="0.2">
      <c r="A60" s="195">
        <v>45447</v>
      </c>
      <c r="B60" s="196" t="s">
        <v>7</v>
      </c>
      <c r="C60" s="197" t="s">
        <v>172</v>
      </c>
      <c r="D60" s="197">
        <v>27578</v>
      </c>
      <c r="E60" s="198" t="s">
        <v>199</v>
      </c>
      <c r="F60" s="197">
        <v>6331</v>
      </c>
      <c r="G60" s="197" t="str">
        <f>IF(OR(Prod[[#This Row],[S1Hrs]]&gt;0,Prod[[#This Row],[S2Hrs]]&gt;0,Prod[[#This Row],[S3Hrs]]&gt;0),"Running","Down")</f>
        <v>Running</v>
      </c>
      <c r="H60" s="199">
        <v>0</v>
      </c>
      <c r="I60" s="200">
        <v>0</v>
      </c>
      <c r="J60" s="196">
        <v>0</v>
      </c>
      <c r="K60" s="201">
        <v>0</v>
      </c>
      <c r="L60" s="196">
        <f>Prod[[#This Row],[S1Shot]]*Prod[[#This Row],[S1Cavity]]-Prod[[#This Row],[S1Dft]]</f>
        <v>0</v>
      </c>
      <c r="M60" s="202">
        <f>SUM(Prod[[#This Row],[S1Mold]],Prod[[#This Row],[S1Print]],Prod[[#This Row],[S1Ovlp]],Prod[[#This Row],[S1Seam]],Prod[[#This Row],[S1Dmg]])</f>
        <v>0</v>
      </c>
      <c r="N60" s="199">
        <v>0</v>
      </c>
      <c r="O60" s="200">
        <v>0</v>
      </c>
      <c r="P60" s="196">
        <v>0</v>
      </c>
      <c r="Q60" s="201">
        <v>0</v>
      </c>
      <c r="R60" s="196">
        <f>Prod[[#This Row],[S2Shot]]*Prod[[#This Row],[S2Cavity]]-Prod[[#This Row],[S2Dft]]</f>
        <v>0</v>
      </c>
      <c r="S60" s="202">
        <f>SUM(Prod[[#This Row],[S2Mold]],Prod[[#This Row],[S2Print]],Prod[[#This Row],[S2Ovlp]],Prod[[#This Row],[S2Seam]],Prod[[#This Row],[S2Dmg]])</f>
        <v>0</v>
      </c>
      <c r="T60" s="199">
        <v>20.8</v>
      </c>
      <c r="U60" s="200">
        <v>6.5</v>
      </c>
      <c r="V60" s="196">
        <v>981</v>
      </c>
      <c r="W60" s="201">
        <v>8</v>
      </c>
      <c r="X60" s="196">
        <f>Prod[[#This Row],[S3Shot]]*Prod[[#This Row],[S3Cavity]]-Prod[[#This Row],[S3Dft]]</f>
        <v>7743</v>
      </c>
      <c r="Y60" s="196">
        <f>SUM(Prod[[#This Row],[S3Mold]],Prod[[#This Row],[S3Print]],Prod[[#This Row],[S3Ovlp]],Prod[[#This Row],[S3Seam]],Prod[[#This Row],[S3Dmg]])</f>
        <v>105</v>
      </c>
      <c r="Z60" s="196">
        <f>SUM(Prod[[#This Row],[S1Qty]],Prod[[#This Row],[S2Qty]],Prod[[#This Row],[S3Qty]])</f>
        <v>7743</v>
      </c>
      <c r="AA60" s="196">
        <f>SUM(Prod[[#This Row],[S1Dft]],Prod[[#This Row],[S2Dft]],Prod[[#This Row],[S3Dft]])</f>
        <v>105</v>
      </c>
      <c r="AB60" s="203">
        <f>IF(Prod[[#This Row],[Total]]=0,0,Prod[[#This Row],[TotalDft]]/Prod[[#This Row],[Total]])</f>
        <v>1.3560635412630763E-2</v>
      </c>
      <c r="AC60" s="198" t="s">
        <v>212</v>
      </c>
      <c r="AD60" s="196">
        <v>0</v>
      </c>
      <c r="AE60" s="196">
        <v>0</v>
      </c>
      <c r="AF60" s="196">
        <v>15</v>
      </c>
      <c r="AG60" s="196">
        <v>0</v>
      </c>
      <c r="AH60" s="196">
        <v>0</v>
      </c>
      <c r="AI60" s="196">
        <v>90</v>
      </c>
      <c r="AJ60" s="196">
        <v>0</v>
      </c>
      <c r="AK60" s="196">
        <v>0</v>
      </c>
      <c r="AL60" s="196">
        <v>0</v>
      </c>
      <c r="AM60" s="196">
        <v>0</v>
      </c>
      <c r="AN60" s="196">
        <v>0</v>
      </c>
      <c r="AO60" s="196">
        <v>0</v>
      </c>
      <c r="AP60" s="196">
        <v>0</v>
      </c>
      <c r="AQ60" s="196">
        <v>0</v>
      </c>
      <c r="AR60" s="196">
        <v>0</v>
      </c>
      <c r="AS60" s="205">
        <f>IF(Prod[[#This Row],[S1Hrs]]=0,0,Prod[[#This Row],[S1Shot]]*Prod[[#This Row],[S1Cycle]]/(Prod[[#This Row],[S1Hrs]]*60*60))</f>
        <v>0</v>
      </c>
      <c r="AT60" s="205">
        <f>IF(Prod[[#This Row],[S2Hrs]]=0,0,Prod[[#This Row],[S2Shot]]*Prod[[#This Row],[S2Cycle]]/(Prod[[#This Row],[S2Hrs]]*60*60))</f>
        <v>0</v>
      </c>
      <c r="AU60" s="205">
        <f>IF(Prod[[#This Row],[S3Hrs]]=0,0,Prod[[#This Row],[S3Shot]]*Prod[[#This Row],[S3Cycle]]/(Prod[[#This Row],[S3Hrs]]*60*60))</f>
        <v>0.872</v>
      </c>
      <c r="AV60" s="205">
        <f>IFERROR(AVERAGEIF(Prod[[#This Row],[S1%]:[S3%]], "&lt;&gt;0"),0)</f>
        <v>0.872</v>
      </c>
      <c r="AW60" s="205">
        <v>0</v>
      </c>
      <c r="AX60" s="205">
        <v>0</v>
      </c>
      <c r="AY60" s="205">
        <v>0</v>
      </c>
      <c r="AZ60" s="206">
        <f>IF(Prod[[#This Row],[S1Cycle]]&lt;&gt;0,1,0)</f>
        <v>0</v>
      </c>
      <c r="BA60" s="206">
        <f>IF(Prod[[#This Row],[S2Cycle]]&lt;&gt;0,1,0)</f>
        <v>0</v>
      </c>
      <c r="BB60" s="206">
        <f>IF(Prod[[#This Row],[S3Cycle]]&lt;&gt;0,1,0)</f>
        <v>1</v>
      </c>
      <c r="BC60" s="206">
        <f>MAX(Prod[[#This Row],[S1Cavity]],Prod[[#This Row],[S2Cavity]],Prod[[#This Row],[S3Cavity]])</f>
        <v>8</v>
      </c>
      <c r="BD60" s="206" t="b">
        <f>RegExpMatch(Prod[[#This Row],[MoldNo]], "^DEO-(B|C)")</f>
        <v>1</v>
      </c>
      <c r="BE60" s="206" t="b">
        <f>RegExpMatch(Prod[[#This Row],[MoldNo]], "^JAC")</f>
        <v>0</v>
      </c>
    </row>
    <row r="61" spans="1:57" x14ac:dyDescent="0.2">
      <c r="A61" s="195">
        <v>45447</v>
      </c>
      <c r="B61" s="196" t="s">
        <v>85</v>
      </c>
      <c r="C61" s="197" t="s">
        <v>165</v>
      </c>
      <c r="D61" s="197">
        <v>27501</v>
      </c>
      <c r="E61" s="198" t="s">
        <v>199</v>
      </c>
      <c r="F61" s="197">
        <v>6331</v>
      </c>
      <c r="G61" s="197" t="str">
        <f>IF(OR(Prod[[#This Row],[S1Hrs]]&gt;0,Prod[[#This Row],[S2Hrs]]&gt;0,Prod[[#This Row],[S3Hrs]]&gt;0),"Running","Down")</f>
        <v>Running</v>
      </c>
      <c r="H61" s="199">
        <v>20.43</v>
      </c>
      <c r="I61" s="200">
        <v>8</v>
      </c>
      <c r="J61" s="196">
        <v>1300</v>
      </c>
      <c r="K61" s="201">
        <v>16</v>
      </c>
      <c r="L61" s="196">
        <f>Prod[[#This Row],[S1Shot]]*Prod[[#This Row],[S1Cavity]]-Prod[[#This Row],[S1Dft]]</f>
        <v>20800</v>
      </c>
      <c r="M61" s="207"/>
      <c r="N61" s="199">
        <v>20.43</v>
      </c>
      <c r="O61" s="200">
        <v>8</v>
      </c>
      <c r="P61" s="196">
        <v>1512</v>
      </c>
      <c r="Q61" s="201">
        <v>16</v>
      </c>
      <c r="R61" s="196">
        <f>Prod[[#This Row],[S2Shot]]*Prod[[#This Row],[S2Cavity]]-Prod[[#This Row],[S2Dft]]</f>
        <v>24192</v>
      </c>
      <c r="S61" s="207"/>
      <c r="T61" s="199">
        <v>20.43</v>
      </c>
      <c r="U61" s="200">
        <v>8</v>
      </c>
      <c r="V61" s="196">
        <v>1258</v>
      </c>
      <c r="W61" s="201">
        <v>16</v>
      </c>
      <c r="X61" s="196">
        <f>Prod[[#This Row],[S3Shot]]*Prod[[#This Row],[S3Cavity]]-Prod[[#This Row],[S3Dft]]</f>
        <v>20128</v>
      </c>
      <c r="Y61" s="207"/>
      <c r="Z61" s="196">
        <f>SUM(Prod[[#This Row],[S1Qty]],Prod[[#This Row],[S2Qty]],Prod[[#This Row],[S3Qty]])</f>
        <v>65120</v>
      </c>
      <c r="AA61" s="207"/>
      <c r="AB61" s="208"/>
      <c r="AC61" s="204"/>
      <c r="AD61" s="207"/>
      <c r="AE61" s="207"/>
      <c r="AF61" s="207"/>
      <c r="AG61" s="207"/>
      <c r="AH61" s="207"/>
      <c r="AI61" s="207"/>
      <c r="AJ61" s="207"/>
      <c r="AK61" s="207"/>
      <c r="AL61" s="207"/>
      <c r="AM61" s="207"/>
      <c r="AN61" s="207"/>
      <c r="AO61" s="207"/>
      <c r="AP61" s="207"/>
      <c r="AQ61" s="207"/>
      <c r="AR61" s="207"/>
      <c r="AS61" s="205">
        <f>IF(Prod[[#This Row],[S1Hrs]]=0,0,Prod[[#This Row],[S1Shot]]*Prod[[#This Row],[S1Cycle]]/(Prod[[#This Row],[S1Hrs]]*60*60))</f>
        <v>0.92218750000000005</v>
      </c>
      <c r="AT61" s="205">
        <f>IF(Prod[[#This Row],[S2Hrs]]=0,0,Prod[[#This Row],[S2Shot]]*Prod[[#This Row],[S2Cycle]]/(Prod[[#This Row],[S2Hrs]]*60*60))</f>
        <v>1.0725750000000001</v>
      </c>
      <c r="AU61" s="205">
        <f>IF(Prod[[#This Row],[S3Hrs]]=0,0,Prod[[#This Row],[S3Shot]]*Prod[[#This Row],[S3Cycle]]/(Prod[[#This Row],[S3Hrs]]*60*60))</f>
        <v>0.89239374999999999</v>
      </c>
      <c r="AV61" s="205">
        <f>IFERROR(AVERAGEIF(Prod[[#This Row],[S1%]:[S3%]], "&lt;&gt;0"),0)</f>
        <v>0.96238541666666677</v>
      </c>
      <c r="AW61" s="205">
        <v>0</v>
      </c>
      <c r="AX61" s="205">
        <v>0</v>
      </c>
      <c r="AY61" s="205">
        <v>0</v>
      </c>
      <c r="AZ61" s="206">
        <f>IF(Prod[[#This Row],[S1Cycle]]&lt;&gt;0,1,0)</f>
        <v>1</v>
      </c>
      <c r="BA61" s="206">
        <f>IF(Prod[[#This Row],[S2Cycle]]&lt;&gt;0,1,0)</f>
        <v>1</v>
      </c>
      <c r="BB61" s="206">
        <f>IF(Prod[[#This Row],[S3Cycle]]&lt;&gt;0,1,0)</f>
        <v>1</v>
      </c>
      <c r="BC61" s="206">
        <f>MAX(Prod[[#This Row],[S1Cavity]],Prod[[#This Row],[S2Cavity]],Prod[[#This Row],[S3Cavity]])</f>
        <v>16</v>
      </c>
      <c r="BD61" s="206" t="b">
        <f>RegExpMatch(Prod[[#This Row],[MoldNo]], "^DEO-(B|C)")</f>
        <v>0</v>
      </c>
      <c r="BE61" s="206" t="b">
        <f>RegExpMatch(Prod[[#This Row],[MoldNo]], "^JAC")</f>
        <v>0</v>
      </c>
    </row>
    <row r="62" spans="1:57" x14ac:dyDescent="0.2">
      <c r="A62" s="195">
        <v>45447</v>
      </c>
      <c r="B62" s="196" t="s">
        <v>196</v>
      </c>
      <c r="C62" s="197" t="s">
        <v>82</v>
      </c>
      <c r="D62" s="197">
        <v>27501</v>
      </c>
      <c r="E62" s="198" t="s">
        <v>199</v>
      </c>
      <c r="F62" s="197">
        <v>6331</v>
      </c>
      <c r="G62" s="197" t="str">
        <f>IF(OR(Prod[[#This Row],[S1Hrs]]&gt;0,Prod[[#This Row],[S2Hrs]]&gt;0,Prod[[#This Row],[S3Hrs]]&gt;0),"Running","Down")</f>
        <v>Running</v>
      </c>
      <c r="H62" s="199">
        <v>18.73</v>
      </c>
      <c r="I62" s="200">
        <v>8</v>
      </c>
      <c r="J62" s="196">
        <v>1569</v>
      </c>
      <c r="K62" s="201">
        <v>15</v>
      </c>
      <c r="L62" s="196">
        <f>Prod[[#This Row],[S1Shot]]*Prod[[#This Row],[S1Cavity]]-Prod[[#This Row],[S1Dft]]</f>
        <v>23535</v>
      </c>
      <c r="M62" s="207"/>
      <c r="N62" s="199">
        <v>19.23</v>
      </c>
      <c r="O62" s="200">
        <v>8</v>
      </c>
      <c r="P62" s="196">
        <v>1621</v>
      </c>
      <c r="Q62" s="201">
        <v>15</v>
      </c>
      <c r="R62" s="196">
        <f>Prod[[#This Row],[S2Shot]]*Prod[[#This Row],[S2Cavity]]-Prod[[#This Row],[S2Dft]]</f>
        <v>24315</v>
      </c>
      <c r="S62" s="207"/>
      <c r="T62" s="199">
        <v>18.72</v>
      </c>
      <c r="U62" s="200">
        <v>8</v>
      </c>
      <c r="V62" s="196">
        <v>1449</v>
      </c>
      <c r="W62" s="201">
        <v>15</v>
      </c>
      <c r="X62" s="196">
        <f>Prod[[#This Row],[S3Shot]]*Prod[[#This Row],[S3Cavity]]-Prod[[#This Row],[S3Dft]]</f>
        <v>21735</v>
      </c>
      <c r="Y62" s="207"/>
      <c r="Z62" s="196">
        <f>SUM(Prod[[#This Row],[S1Qty]],Prod[[#This Row],[S2Qty]],Prod[[#This Row],[S3Qty]])</f>
        <v>69585</v>
      </c>
      <c r="AA62" s="207"/>
      <c r="AB62" s="208"/>
      <c r="AC62" s="204"/>
      <c r="AD62" s="207"/>
      <c r="AE62" s="207"/>
      <c r="AF62" s="207"/>
      <c r="AG62" s="207"/>
      <c r="AH62" s="207"/>
      <c r="AI62" s="207"/>
      <c r="AJ62" s="207"/>
      <c r="AK62" s="207"/>
      <c r="AL62" s="207"/>
      <c r="AM62" s="207"/>
      <c r="AN62" s="207"/>
      <c r="AO62" s="207"/>
      <c r="AP62" s="207"/>
      <c r="AQ62" s="207"/>
      <c r="AR62" s="207"/>
      <c r="AS62" s="205">
        <f>IF(Prod[[#This Row],[S1Hrs]]=0,0,Prod[[#This Row],[S1Shot]]*Prod[[#This Row],[S1Cycle]]/(Prod[[#This Row],[S1Hrs]]*60*60))</f>
        <v>1.0203947916666667</v>
      </c>
      <c r="AT62" s="205">
        <f>IF(Prod[[#This Row],[S2Hrs]]=0,0,Prod[[#This Row],[S2Shot]]*Prod[[#This Row],[S2Cycle]]/(Prod[[#This Row],[S2Hrs]]*60*60))</f>
        <v>1.0823552083333334</v>
      </c>
      <c r="AU62" s="205">
        <f>IF(Prod[[#This Row],[S3Hrs]]=0,0,Prod[[#This Row],[S3Shot]]*Prod[[#This Row],[S3Cycle]]/(Prod[[#This Row],[S3Hrs]]*60*60))</f>
        <v>0.94184999999999997</v>
      </c>
      <c r="AV62" s="205">
        <f>IFERROR(AVERAGEIF(Prod[[#This Row],[S1%]:[S3%]], "&lt;&gt;0"),0)</f>
        <v>1.0148666666666668</v>
      </c>
      <c r="AW62" s="205">
        <v>0</v>
      </c>
      <c r="AX62" s="205">
        <v>0</v>
      </c>
      <c r="AY62" s="205">
        <v>0</v>
      </c>
      <c r="AZ62" s="206">
        <f>IF(Prod[[#This Row],[S1Cycle]]&lt;&gt;0,1,0)</f>
        <v>1</v>
      </c>
      <c r="BA62" s="206">
        <f>IF(Prod[[#This Row],[S2Cycle]]&lt;&gt;0,1,0)</f>
        <v>1</v>
      </c>
      <c r="BB62" s="206">
        <f>IF(Prod[[#This Row],[S3Cycle]]&lt;&gt;0,1,0)</f>
        <v>1</v>
      </c>
      <c r="BC62" s="206">
        <f>MAX(Prod[[#This Row],[S1Cavity]],Prod[[#This Row],[S2Cavity]],Prod[[#This Row],[S3Cavity]])</f>
        <v>15</v>
      </c>
      <c r="BD62" s="206" t="b">
        <f>RegExpMatch(Prod[[#This Row],[MoldNo]], "^DEO-(B|C)")</f>
        <v>0</v>
      </c>
      <c r="BE62" s="206" t="b">
        <f>RegExpMatch(Prod[[#This Row],[MoldNo]], "^JAC")</f>
        <v>0</v>
      </c>
    </row>
    <row r="63" spans="1:57" x14ac:dyDescent="0.2">
      <c r="A63" s="195">
        <v>45447</v>
      </c>
      <c r="B63" s="196" t="s">
        <v>192</v>
      </c>
      <c r="C63" s="198" t="s">
        <v>193</v>
      </c>
      <c r="D63" s="197"/>
      <c r="E63" s="198"/>
      <c r="F63" s="197"/>
      <c r="G63" s="197" t="str">
        <f>IF(OR(Prod[[#This Row],[S1Hrs]]&gt;0,Prod[[#This Row],[S2Hrs]]&gt;0,Prod[[#This Row],[S3Hrs]]&gt;0),"Running","Down")</f>
        <v>Down</v>
      </c>
      <c r="H63" s="199">
        <v>0</v>
      </c>
      <c r="I63" s="200">
        <v>0</v>
      </c>
      <c r="J63" s="196">
        <v>0</v>
      </c>
      <c r="K63" s="201">
        <v>0</v>
      </c>
      <c r="L63" s="196">
        <f>Prod[[#This Row],[S1Shot]]*Prod[[#This Row],[S1Cavity]]-Prod[[#This Row],[S1Dft]]</f>
        <v>0</v>
      </c>
      <c r="M63" s="207"/>
      <c r="N63" s="199">
        <v>0</v>
      </c>
      <c r="O63" s="200">
        <v>0</v>
      </c>
      <c r="P63" s="196">
        <v>0</v>
      </c>
      <c r="Q63" s="201">
        <v>0</v>
      </c>
      <c r="R63" s="196">
        <f>Prod[[#This Row],[S2Shot]]*Prod[[#This Row],[S2Cavity]]-Prod[[#This Row],[S2Dft]]</f>
        <v>0</v>
      </c>
      <c r="S63" s="207"/>
      <c r="T63" s="199">
        <v>0</v>
      </c>
      <c r="U63" s="200">
        <v>0</v>
      </c>
      <c r="V63" s="196">
        <v>0</v>
      </c>
      <c r="W63" s="201">
        <v>0</v>
      </c>
      <c r="X63" s="196">
        <f>Prod[[#This Row],[S3Shot]]*Prod[[#This Row],[S3Cavity]]-Prod[[#This Row],[S3Dft]]</f>
        <v>0</v>
      </c>
      <c r="Y63" s="207"/>
      <c r="Z63" s="196">
        <f>SUM(Prod[[#This Row],[S1Qty]],Prod[[#This Row],[S2Qty]],Prod[[#This Row],[S3Qty]])</f>
        <v>0</v>
      </c>
      <c r="AA63" s="207"/>
      <c r="AB63" s="208"/>
      <c r="AC63" s="204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7"/>
      <c r="AP63" s="207"/>
      <c r="AQ63" s="207"/>
      <c r="AR63" s="207"/>
      <c r="AS63" s="205">
        <f>IF(Prod[[#This Row],[S1Hrs]]=0,0,Prod[[#This Row],[S1Shot]]*Prod[[#This Row],[S1Cycle]]/(Prod[[#This Row],[S1Hrs]]*60*60))</f>
        <v>0</v>
      </c>
      <c r="AT63" s="205">
        <f>IF(Prod[[#This Row],[S2Hrs]]=0,0,Prod[[#This Row],[S2Shot]]*Prod[[#This Row],[S2Cycle]]/(Prod[[#This Row],[S2Hrs]]*60*60))</f>
        <v>0</v>
      </c>
      <c r="AU63" s="205">
        <f>IF(Prod[[#This Row],[S3Hrs]]=0,0,Prod[[#This Row],[S3Shot]]*Prod[[#This Row],[S3Cycle]]/(Prod[[#This Row],[S3Hrs]]*60*60))</f>
        <v>0</v>
      </c>
      <c r="AV63" s="205">
        <f>IFERROR(AVERAGEIF(Prod[[#This Row],[S1%]:[S3%]], "&lt;&gt;0"),0)</f>
        <v>0</v>
      </c>
      <c r="AW63" s="205">
        <v>0</v>
      </c>
      <c r="AX63" s="205">
        <v>0</v>
      </c>
      <c r="AY63" s="205">
        <v>0</v>
      </c>
      <c r="AZ63" s="206">
        <f>IF(Prod[[#This Row],[S1Cycle]]&lt;&gt;0,1,0)</f>
        <v>0</v>
      </c>
      <c r="BA63" s="206">
        <f>IF(Prod[[#This Row],[S2Cycle]]&lt;&gt;0,1,0)</f>
        <v>0</v>
      </c>
      <c r="BB63" s="206">
        <f>IF(Prod[[#This Row],[S3Cycle]]&lt;&gt;0,1,0)</f>
        <v>0</v>
      </c>
      <c r="BC63" s="206">
        <f>MAX(Prod[[#This Row],[S1Cavity]],Prod[[#This Row],[S2Cavity]],Prod[[#This Row],[S3Cavity]])</f>
        <v>0</v>
      </c>
      <c r="BD63" s="206" t="b">
        <f>RegExpMatch(Prod[[#This Row],[MoldNo]], "^DEO-(B|C)")</f>
        <v>0</v>
      </c>
      <c r="BE63" s="206" t="b">
        <f>RegExpMatch(Prod[[#This Row],[MoldNo]], "^JAC")</f>
        <v>0</v>
      </c>
    </row>
    <row r="64" spans="1:57" x14ac:dyDescent="0.2">
      <c r="A64" s="195">
        <v>45447</v>
      </c>
      <c r="B64" s="196" t="s">
        <v>168</v>
      </c>
      <c r="C64" s="197" t="s">
        <v>169</v>
      </c>
      <c r="D64" s="197">
        <v>26684</v>
      </c>
      <c r="E64" s="198" t="s">
        <v>199</v>
      </c>
      <c r="F64" s="197">
        <v>814</v>
      </c>
      <c r="G64" s="197" t="str">
        <f>IF(OR(Prod[[#This Row],[S1Hrs]]&gt;0,Prod[[#This Row],[S2Hrs]]&gt;0,Prod[[#This Row],[S3Hrs]]&gt;0),"Running","Down")</f>
        <v>Running</v>
      </c>
      <c r="H64" s="199">
        <v>16.399999999999999</v>
      </c>
      <c r="I64" s="200">
        <v>8</v>
      </c>
      <c r="J64" s="196">
        <v>1578</v>
      </c>
      <c r="K64" s="201">
        <v>15</v>
      </c>
      <c r="L64" s="196">
        <f>Prod[[#This Row],[S1Shot]]*Prod[[#This Row],[S1Cavity]]-Prod[[#This Row],[S1Dft]]</f>
        <v>23670</v>
      </c>
      <c r="M64" s="207"/>
      <c r="N64" s="199">
        <v>16.399999999999999</v>
      </c>
      <c r="O64" s="200">
        <v>8</v>
      </c>
      <c r="P64" s="196">
        <v>1856</v>
      </c>
      <c r="Q64" s="201">
        <v>15</v>
      </c>
      <c r="R64" s="196">
        <f>Prod[[#This Row],[S2Shot]]*Prod[[#This Row],[S2Cavity]]-Prod[[#This Row],[S2Dft]]</f>
        <v>27840</v>
      </c>
      <c r="S64" s="207"/>
      <c r="T64" s="199">
        <v>16.5</v>
      </c>
      <c r="U64" s="200">
        <v>8</v>
      </c>
      <c r="V64" s="196">
        <v>1725</v>
      </c>
      <c r="W64" s="201">
        <v>15</v>
      </c>
      <c r="X64" s="196">
        <f>Prod[[#This Row],[S3Shot]]*Prod[[#This Row],[S3Cavity]]-Prod[[#This Row],[S3Dft]]</f>
        <v>25875</v>
      </c>
      <c r="Y64" s="207"/>
      <c r="Z64" s="196">
        <f>SUM(Prod[[#This Row],[S1Qty]],Prod[[#This Row],[S2Qty]],Prod[[#This Row],[S3Qty]])</f>
        <v>77385</v>
      </c>
      <c r="AA64" s="207"/>
      <c r="AB64" s="208"/>
      <c r="AC64" s="204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7"/>
      <c r="AP64" s="207"/>
      <c r="AQ64" s="207"/>
      <c r="AR64" s="207"/>
      <c r="AS64" s="205">
        <f>IF(Prod[[#This Row],[S1Hrs]]=0,0,Prod[[#This Row],[S1Shot]]*Prod[[#This Row],[S1Cycle]]/(Prod[[#This Row],[S1Hrs]]*60*60))</f>
        <v>0.89858333333333318</v>
      </c>
      <c r="AT64" s="205">
        <f>IF(Prod[[#This Row],[S2Hrs]]=0,0,Prod[[#This Row],[S2Shot]]*Prod[[#This Row],[S2Cycle]]/(Prod[[#This Row],[S2Hrs]]*60*60))</f>
        <v>1.0568888888888888</v>
      </c>
      <c r="AU64" s="205">
        <f>IF(Prod[[#This Row],[S3Hrs]]=0,0,Prod[[#This Row],[S3Shot]]*Prod[[#This Row],[S3Cycle]]/(Prod[[#This Row],[S3Hrs]]*60*60))</f>
        <v>0.98828125</v>
      </c>
      <c r="AV64" s="205">
        <f>IFERROR(AVERAGEIF(Prod[[#This Row],[S1%]:[S3%]], "&lt;&gt;0"),0)</f>
        <v>0.98125115740740732</v>
      </c>
      <c r="AW64" s="205">
        <v>0</v>
      </c>
      <c r="AX64" s="205">
        <v>0</v>
      </c>
      <c r="AY64" s="205">
        <v>0</v>
      </c>
      <c r="AZ64" s="206">
        <f>IF(Prod[[#This Row],[S1Cycle]]&lt;&gt;0,1,0)</f>
        <v>1</v>
      </c>
      <c r="BA64" s="206">
        <f>IF(Prod[[#This Row],[S2Cycle]]&lt;&gt;0,1,0)</f>
        <v>1</v>
      </c>
      <c r="BB64" s="206">
        <f>IF(Prod[[#This Row],[S3Cycle]]&lt;&gt;0,1,0)</f>
        <v>1</v>
      </c>
      <c r="BC64" s="206">
        <f>MAX(Prod[[#This Row],[S1Cavity]],Prod[[#This Row],[S2Cavity]],Prod[[#This Row],[S3Cavity]])</f>
        <v>15</v>
      </c>
      <c r="BD64" s="206" t="b">
        <f>RegExpMatch(Prod[[#This Row],[MoldNo]], "^DEO-(B|C)")</f>
        <v>0</v>
      </c>
      <c r="BE64" s="206" t="b">
        <f>RegExpMatch(Prod[[#This Row],[MoldNo]], "^JAC")</f>
        <v>0</v>
      </c>
    </row>
    <row r="65" spans="1:57" x14ac:dyDescent="0.2">
      <c r="A65" s="195">
        <v>45447</v>
      </c>
      <c r="B65" s="196" t="s">
        <v>146</v>
      </c>
      <c r="C65" s="197" t="s">
        <v>84</v>
      </c>
      <c r="D65" s="197">
        <v>27501</v>
      </c>
      <c r="E65" s="198" t="s">
        <v>199</v>
      </c>
      <c r="F65" s="197">
        <v>6331</v>
      </c>
      <c r="G65" s="197" t="str">
        <f>IF(OR(Prod[[#This Row],[S1Hrs]]&gt;0,Prod[[#This Row],[S2Hrs]]&gt;0,Prod[[#This Row],[S3Hrs]]&gt;0),"Running","Down")</f>
        <v>Running</v>
      </c>
      <c r="H65" s="199">
        <v>0</v>
      </c>
      <c r="I65" s="200">
        <v>0</v>
      </c>
      <c r="J65" s="196">
        <v>0</v>
      </c>
      <c r="K65" s="201">
        <v>0</v>
      </c>
      <c r="L65" s="196">
        <f>Prod[[#This Row],[S1Shot]]*Prod[[#This Row],[S1Cavity]]-Prod[[#This Row],[S1Dft]]</f>
        <v>0</v>
      </c>
      <c r="M65" s="207"/>
      <c r="N65" s="199">
        <v>14.29</v>
      </c>
      <c r="O65" s="200">
        <v>8</v>
      </c>
      <c r="P65" s="196">
        <v>1689</v>
      </c>
      <c r="Q65" s="201">
        <v>8</v>
      </c>
      <c r="R65" s="196">
        <f>Prod[[#This Row],[S2Shot]]*Prod[[#This Row],[S2Cavity]]-Prod[[#This Row],[S2Dft]]</f>
        <v>13512</v>
      </c>
      <c r="S65" s="207"/>
      <c r="T65" s="199">
        <v>14.27</v>
      </c>
      <c r="U65" s="200">
        <v>1.25</v>
      </c>
      <c r="V65" s="196">
        <v>299</v>
      </c>
      <c r="W65" s="201">
        <v>8</v>
      </c>
      <c r="X65" s="196">
        <f>Prod[[#This Row],[S3Shot]]*Prod[[#This Row],[S3Cavity]]-Prod[[#This Row],[S3Dft]]</f>
        <v>2392</v>
      </c>
      <c r="Y65" s="207"/>
      <c r="Z65" s="196">
        <f>SUM(Prod[[#This Row],[S1Qty]],Prod[[#This Row],[S2Qty]],Prod[[#This Row],[S3Qty]])</f>
        <v>15904</v>
      </c>
      <c r="AA65" s="207"/>
      <c r="AB65" s="208"/>
      <c r="AC65" s="204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7"/>
      <c r="AP65" s="207"/>
      <c r="AQ65" s="207"/>
      <c r="AR65" s="207"/>
      <c r="AS65" s="205">
        <f>IF(Prod[[#This Row],[S1Hrs]]=0,0,Prod[[#This Row],[S1Shot]]*Prod[[#This Row],[S1Cycle]]/(Prod[[#This Row],[S1Hrs]]*60*60))</f>
        <v>0</v>
      </c>
      <c r="AT65" s="205">
        <f>IF(Prod[[#This Row],[S2Hrs]]=0,0,Prod[[#This Row],[S2Shot]]*Prod[[#This Row],[S2Cycle]]/(Prod[[#This Row],[S2Hrs]]*60*60))</f>
        <v>0.83804895833333326</v>
      </c>
      <c r="AU65" s="205">
        <f>IF(Prod[[#This Row],[S3Hrs]]=0,0,Prod[[#This Row],[S3Shot]]*Prod[[#This Row],[S3Cycle]]/(Prod[[#This Row],[S3Hrs]]*60*60))</f>
        <v>0.94816222222222213</v>
      </c>
      <c r="AV65" s="205">
        <f>IFERROR(AVERAGEIF(Prod[[#This Row],[S1%]:[S3%]], "&lt;&gt;0"),0)</f>
        <v>0.89310559027777769</v>
      </c>
      <c r="AW65" s="205">
        <v>0</v>
      </c>
      <c r="AX65" s="205">
        <v>0</v>
      </c>
      <c r="AY65" s="205">
        <v>0</v>
      </c>
      <c r="AZ65" s="206">
        <f>IF(Prod[[#This Row],[S1Cycle]]&lt;&gt;0,1,0)</f>
        <v>0</v>
      </c>
      <c r="BA65" s="206">
        <f>IF(Prod[[#This Row],[S2Cycle]]&lt;&gt;0,1,0)</f>
        <v>1</v>
      </c>
      <c r="BB65" s="206">
        <f>IF(Prod[[#This Row],[S3Cycle]]&lt;&gt;0,1,0)</f>
        <v>1</v>
      </c>
      <c r="BC65" s="206">
        <f>MAX(Prod[[#This Row],[S1Cavity]],Prod[[#This Row],[S2Cavity]],Prod[[#This Row],[S3Cavity]])</f>
        <v>8</v>
      </c>
      <c r="BD65" s="206" t="b">
        <f>RegExpMatch(Prod[[#This Row],[MoldNo]], "^DEO-(B|C)")</f>
        <v>0</v>
      </c>
      <c r="BE65" s="206" t="b">
        <f>RegExpMatch(Prod[[#This Row],[MoldNo]], "^JAC")</f>
        <v>0</v>
      </c>
    </row>
    <row r="66" spans="1:57" x14ac:dyDescent="0.2">
      <c r="A66" s="195">
        <v>45447</v>
      </c>
      <c r="B66" s="201" t="s">
        <v>194</v>
      </c>
      <c r="C66" s="198" t="s">
        <v>9</v>
      </c>
      <c r="D66" s="197">
        <v>27430</v>
      </c>
      <c r="E66" s="198" t="s">
        <v>209</v>
      </c>
      <c r="F66" s="197">
        <v>6331</v>
      </c>
      <c r="G66" s="197" t="str">
        <f>IF(OR(Prod[[#This Row],[S1Hrs]]&gt;0,Prod[[#This Row],[S2Hrs]]&gt;0,Prod[[#This Row],[S3Hrs]]&gt;0),"Running","Down")</f>
        <v>Running</v>
      </c>
      <c r="H66" s="199">
        <v>21.32</v>
      </c>
      <c r="I66" s="200">
        <v>8</v>
      </c>
      <c r="J66" s="196">
        <v>1324</v>
      </c>
      <c r="K66" s="201">
        <v>8</v>
      </c>
      <c r="L66" s="196">
        <f>Prod[[#This Row],[S1Shot]]*Prod[[#This Row],[S1Cavity]]-Prod[[#This Row],[S1Dft]]</f>
        <v>10592</v>
      </c>
      <c r="M66" s="207"/>
      <c r="N66" s="199">
        <v>21.9</v>
      </c>
      <c r="O66" s="200">
        <v>8</v>
      </c>
      <c r="P66" s="196">
        <v>1363</v>
      </c>
      <c r="Q66" s="201">
        <v>8</v>
      </c>
      <c r="R66" s="196">
        <f>Prod[[#This Row],[S2Shot]]*Prod[[#This Row],[S2Cavity]]-Prod[[#This Row],[S2Dft]]</f>
        <v>10904</v>
      </c>
      <c r="S66" s="207"/>
      <c r="T66" s="199">
        <v>21.3</v>
      </c>
      <c r="U66" s="200">
        <v>8</v>
      </c>
      <c r="V66" s="196">
        <v>1279</v>
      </c>
      <c r="W66" s="201">
        <v>8</v>
      </c>
      <c r="X66" s="196">
        <f>Prod[[#This Row],[S3Shot]]*Prod[[#This Row],[S3Cavity]]-Prod[[#This Row],[S3Dft]]</f>
        <v>10232</v>
      </c>
      <c r="Y66" s="207"/>
      <c r="Z66" s="196">
        <f>SUM(Prod[[#This Row],[S1Qty]],Prod[[#This Row],[S2Qty]],Prod[[#This Row],[S3Qty]])</f>
        <v>31728</v>
      </c>
      <c r="AA66" s="207"/>
      <c r="AB66" s="208"/>
      <c r="AC66" s="204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7"/>
      <c r="AP66" s="207"/>
      <c r="AQ66" s="207"/>
      <c r="AR66" s="207"/>
      <c r="AS66" s="205">
        <f>IF(Prod[[#This Row],[S1Hrs]]=0,0,Prod[[#This Row],[S1Shot]]*Prod[[#This Row],[S1Cycle]]/(Prod[[#This Row],[S1Hrs]]*60*60))</f>
        <v>0.98012777777777782</v>
      </c>
      <c r="AT66" s="205">
        <f>IF(Prod[[#This Row],[S2Hrs]]=0,0,Prod[[#This Row],[S2Shot]]*Prod[[#This Row],[S2Cycle]]/(Prod[[#This Row],[S2Hrs]]*60*60))</f>
        <v>1.0364479166666665</v>
      </c>
      <c r="AU66" s="205">
        <f>IF(Prod[[#This Row],[S3Hrs]]=0,0,Prod[[#This Row],[S3Shot]]*Prod[[#This Row],[S3Cycle]]/(Prod[[#This Row],[S3Hrs]]*60*60))</f>
        <v>0.94592708333333331</v>
      </c>
      <c r="AV66" s="205">
        <f>IFERROR(AVERAGEIF(Prod[[#This Row],[S1%]:[S3%]], "&lt;&gt;0"),0)</f>
        <v>0.98750092592592587</v>
      </c>
      <c r="AW66" s="205">
        <v>0</v>
      </c>
      <c r="AX66" s="205">
        <v>0</v>
      </c>
      <c r="AY66" s="205">
        <v>0</v>
      </c>
      <c r="AZ66" s="206">
        <f>IF(Prod[[#This Row],[S1Cycle]]&lt;&gt;0,1,0)</f>
        <v>1</v>
      </c>
      <c r="BA66" s="206">
        <f>IF(Prod[[#This Row],[S2Cycle]]&lt;&gt;0,1,0)</f>
        <v>1</v>
      </c>
      <c r="BB66" s="206">
        <f>IF(Prod[[#This Row],[S3Cycle]]&lt;&gt;0,1,0)</f>
        <v>1</v>
      </c>
      <c r="BC66" s="206">
        <f>MAX(Prod[[#This Row],[S1Cavity]],Prod[[#This Row],[S2Cavity]],Prod[[#This Row],[S3Cavity]])</f>
        <v>8</v>
      </c>
      <c r="BD66" s="206" t="b">
        <f>RegExpMatch(Prod[[#This Row],[MoldNo]], "^DEO-(B|C)")</f>
        <v>0</v>
      </c>
      <c r="BE66" s="206" t="b">
        <f>RegExpMatch(Prod[[#This Row],[MoldNo]], "^JAC")</f>
        <v>0</v>
      </c>
    </row>
    <row r="67" spans="1:57" x14ac:dyDescent="0.2">
      <c r="A67" s="195">
        <v>45447</v>
      </c>
      <c r="B67" s="201" t="s">
        <v>164</v>
      </c>
      <c r="C67" s="198" t="s">
        <v>144</v>
      </c>
      <c r="D67" s="197">
        <v>27714</v>
      </c>
      <c r="E67" s="198" t="s">
        <v>199</v>
      </c>
      <c r="F67" s="197">
        <v>814</v>
      </c>
      <c r="G67" s="197" t="str">
        <f>IF(OR(Prod[[#This Row],[S1Hrs]]&gt;0,Prod[[#This Row],[S2Hrs]]&gt;0,Prod[[#This Row],[S3Hrs]]&gt;0),"Running","Down")</f>
        <v>Running</v>
      </c>
      <c r="H67" s="199">
        <v>19.190000000000001</v>
      </c>
      <c r="I67" s="200">
        <v>8</v>
      </c>
      <c r="J67" s="196">
        <v>1497</v>
      </c>
      <c r="K67" s="201">
        <v>8</v>
      </c>
      <c r="L67" s="196">
        <f>Prod[[#This Row],[S1Shot]]*Prod[[#This Row],[S1Cavity]]-Prod[[#This Row],[S1Dft]]</f>
        <v>11831</v>
      </c>
      <c r="M67" s="202">
        <f>SUM(Prod[[#This Row],[S1Mold]],Prod[[#This Row],[S1Print]],Prod[[#This Row],[S1Ovlp]],Prod[[#This Row],[S1Seam]],Prod[[#This Row],[S1Dmg]])</f>
        <v>145</v>
      </c>
      <c r="N67" s="199">
        <v>19.190000000000001</v>
      </c>
      <c r="O67" s="200">
        <v>8</v>
      </c>
      <c r="P67" s="196">
        <v>1365</v>
      </c>
      <c r="Q67" s="201">
        <v>8</v>
      </c>
      <c r="R67" s="196">
        <f>Prod[[#This Row],[S2Shot]]*Prod[[#This Row],[S2Cavity]]-Prod[[#This Row],[S2Dft]]</f>
        <v>10780</v>
      </c>
      <c r="S67" s="202">
        <f>SUM(Prod[[#This Row],[S2Mold]],Prod[[#This Row],[S2Print]],Prod[[#This Row],[S2Ovlp]],Prod[[#This Row],[S2Seam]],Prod[[#This Row],[S2Dmg]])</f>
        <v>140</v>
      </c>
      <c r="T67" s="199">
        <v>19.2</v>
      </c>
      <c r="U67" s="200">
        <v>8</v>
      </c>
      <c r="V67" s="196">
        <v>1350</v>
      </c>
      <c r="W67" s="201">
        <v>8</v>
      </c>
      <c r="X67" s="196">
        <f>Prod[[#This Row],[S3Shot]]*Prod[[#This Row],[S3Cavity]]-Prod[[#This Row],[S3Dft]]</f>
        <v>10655</v>
      </c>
      <c r="Y67" s="196">
        <f>SUM(Prod[[#This Row],[S3Mold]],Prod[[#This Row],[S3Print]],Prod[[#This Row],[S3Ovlp]],Prod[[#This Row],[S3Seam]],Prod[[#This Row],[S3Dmg]])</f>
        <v>145</v>
      </c>
      <c r="Z67" s="196">
        <f>SUM(Prod[[#This Row],[S1Qty]],Prod[[#This Row],[S2Qty]],Prod[[#This Row],[S3Qty]])</f>
        <v>33266</v>
      </c>
      <c r="AA67" s="196">
        <f>SUM(Prod[[#This Row],[S1Dft]],Prod[[#This Row],[S2Dft]],Prod[[#This Row],[S3Dft]])</f>
        <v>430</v>
      </c>
      <c r="AB67" s="203">
        <f>IF(Prod[[#This Row],[Total]]=0,0,Prod[[#This Row],[TotalDft]]/Prod[[#This Row],[Total]])</f>
        <v>1.2926110743702278E-2</v>
      </c>
      <c r="AC67" s="204"/>
      <c r="AD67" s="196">
        <v>20</v>
      </c>
      <c r="AE67" s="196">
        <v>20</v>
      </c>
      <c r="AF67" s="196">
        <v>25</v>
      </c>
      <c r="AG67" s="196">
        <v>125</v>
      </c>
      <c r="AH67" s="196">
        <v>120</v>
      </c>
      <c r="AI67" s="196">
        <v>120</v>
      </c>
      <c r="AJ67" s="196">
        <v>0</v>
      </c>
      <c r="AK67" s="196">
        <v>0</v>
      </c>
      <c r="AL67" s="196">
        <v>0</v>
      </c>
      <c r="AM67" s="196">
        <v>0</v>
      </c>
      <c r="AN67" s="196">
        <v>0</v>
      </c>
      <c r="AO67" s="196">
        <v>0</v>
      </c>
      <c r="AP67" s="196">
        <v>0</v>
      </c>
      <c r="AQ67" s="196">
        <v>0</v>
      </c>
      <c r="AR67" s="196">
        <v>0</v>
      </c>
      <c r="AS67" s="205">
        <f>IF(Prod[[#This Row],[S1Hrs]]=0,0,Prod[[#This Row],[S1Shot]]*Prod[[#This Row],[S1Cycle]]/(Prod[[#This Row],[S1Hrs]]*60*60))</f>
        <v>0.9974802083333334</v>
      </c>
      <c r="AT67" s="205">
        <f>IF(Prod[[#This Row],[S2Hrs]]=0,0,Prod[[#This Row],[S2Shot]]*Prod[[#This Row],[S2Cycle]]/(Prod[[#This Row],[S2Hrs]]*60*60))</f>
        <v>0.90952604166666673</v>
      </c>
      <c r="AU67" s="205">
        <f>IF(Prod[[#This Row],[S3Hrs]]=0,0,Prod[[#This Row],[S3Shot]]*Prod[[#This Row],[S3Cycle]]/(Prod[[#This Row],[S3Hrs]]*60*60))</f>
        <v>0.9</v>
      </c>
      <c r="AV67" s="205">
        <f>IFERROR(AVERAGEIF(Prod[[#This Row],[S1%]:[S3%]], "&lt;&gt;0"),0)</f>
        <v>0.93566875000000005</v>
      </c>
      <c r="AW67" s="205">
        <v>0</v>
      </c>
      <c r="AX67" s="205">
        <v>0</v>
      </c>
      <c r="AY67" s="205">
        <v>0</v>
      </c>
      <c r="AZ67" s="206">
        <f>IF(Prod[[#This Row],[S1Cycle]]&lt;&gt;0,1,0)</f>
        <v>1</v>
      </c>
      <c r="BA67" s="206">
        <f>IF(Prod[[#This Row],[S2Cycle]]&lt;&gt;0,1,0)</f>
        <v>1</v>
      </c>
      <c r="BB67" s="206">
        <f>IF(Prod[[#This Row],[S3Cycle]]&lt;&gt;0,1,0)</f>
        <v>1</v>
      </c>
      <c r="BC67" s="206">
        <f>MAX(Prod[[#This Row],[S1Cavity]],Prod[[#This Row],[S2Cavity]],Prod[[#This Row],[S3Cavity]])</f>
        <v>8</v>
      </c>
      <c r="BD67" s="206" t="b">
        <f>RegExpMatch(Prod[[#This Row],[MoldNo]], "^DEO-(B|C)")</f>
        <v>1</v>
      </c>
      <c r="BE67" s="206" t="b">
        <f>RegExpMatch(Prod[[#This Row],[MoldNo]], "^JAC")</f>
        <v>0</v>
      </c>
    </row>
    <row r="68" spans="1:57" x14ac:dyDescent="0.2">
      <c r="A68" s="195">
        <v>45447</v>
      </c>
      <c r="B68" s="201" t="s">
        <v>162</v>
      </c>
      <c r="C68" s="198" t="s">
        <v>163</v>
      </c>
      <c r="D68" s="197">
        <v>27714</v>
      </c>
      <c r="E68" s="198" t="s">
        <v>199</v>
      </c>
      <c r="F68" s="197">
        <v>814</v>
      </c>
      <c r="G68" s="197" t="str">
        <f>IF(OR(Prod[[#This Row],[S1Hrs]]&gt;0,Prod[[#This Row],[S2Hrs]]&gt;0,Prod[[#This Row],[S3Hrs]]&gt;0),"Running","Down")</f>
        <v>Running</v>
      </c>
      <c r="H68" s="199">
        <v>22.29</v>
      </c>
      <c r="I68" s="200">
        <v>8</v>
      </c>
      <c r="J68" s="196">
        <v>1306</v>
      </c>
      <c r="K68" s="201">
        <v>8</v>
      </c>
      <c r="L68" s="196">
        <f>Prod[[#This Row],[S1Shot]]*Prod[[#This Row],[S1Cavity]]-Prod[[#This Row],[S1Dft]]</f>
        <v>10308</v>
      </c>
      <c r="M68" s="202">
        <f>SUM(Prod[[#This Row],[S1Mold]],Prod[[#This Row],[S1Print]],Prod[[#This Row],[S1Ovlp]],Prod[[#This Row],[S1Seam]],Prod[[#This Row],[S1Dmg]])</f>
        <v>140</v>
      </c>
      <c r="N68" s="199">
        <v>22.19</v>
      </c>
      <c r="O68" s="200">
        <v>8</v>
      </c>
      <c r="P68" s="196">
        <v>1354</v>
      </c>
      <c r="Q68" s="201">
        <v>8</v>
      </c>
      <c r="R68" s="196">
        <f>Prod[[#This Row],[S2Shot]]*Prod[[#This Row],[S2Cavity]]-Prod[[#This Row],[S2Dft]]</f>
        <v>10687</v>
      </c>
      <c r="S68" s="202">
        <f>SUM(Prod[[#This Row],[S2Mold]],Prod[[#This Row],[S2Print]],Prod[[#This Row],[S2Ovlp]],Prod[[#This Row],[S2Seam]],Prod[[#This Row],[S2Dmg]])</f>
        <v>145</v>
      </c>
      <c r="T68" s="199">
        <v>21.59</v>
      </c>
      <c r="U68" s="200">
        <v>8</v>
      </c>
      <c r="V68" s="196">
        <v>1066</v>
      </c>
      <c r="W68" s="201">
        <v>8</v>
      </c>
      <c r="X68" s="196">
        <f>Prod[[#This Row],[S3Shot]]*Prod[[#This Row],[S3Cavity]]-Prod[[#This Row],[S3Dft]]</f>
        <v>8383</v>
      </c>
      <c r="Y68" s="196">
        <f>SUM(Prod[[#This Row],[S3Mold]],Prod[[#This Row],[S3Print]],Prod[[#This Row],[S3Ovlp]],Prod[[#This Row],[S3Seam]],Prod[[#This Row],[S3Dmg]])</f>
        <v>145</v>
      </c>
      <c r="Z68" s="196">
        <f>SUM(Prod[[#This Row],[S1Qty]],Prod[[#This Row],[S2Qty]],Prod[[#This Row],[S3Qty]])</f>
        <v>29378</v>
      </c>
      <c r="AA68" s="196">
        <f>SUM(Prod[[#This Row],[S1Dft]],Prod[[#This Row],[S2Dft]],Prod[[#This Row],[S3Dft]])</f>
        <v>430</v>
      </c>
      <c r="AB68" s="203">
        <f>IF(Prod[[#This Row],[Total]]=0,0,Prod[[#This Row],[TotalDft]]/Prod[[#This Row],[Total]])</f>
        <v>1.4636803049901287E-2</v>
      </c>
      <c r="AC68" s="204"/>
      <c r="AD68" s="196">
        <v>25</v>
      </c>
      <c r="AE68" s="196">
        <v>20</v>
      </c>
      <c r="AF68" s="196">
        <v>25</v>
      </c>
      <c r="AG68" s="196">
        <v>115</v>
      </c>
      <c r="AH68" s="196">
        <v>125</v>
      </c>
      <c r="AI68" s="196">
        <v>120</v>
      </c>
      <c r="AJ68" s="196">
        <v>0</v>
      </c>
      <c r="AK68" s="196">
        <v>0</v>
      </c>
      <c r="AL68" s="196">
        <v>0</v>
      </c>
      <c r="AM68" s="196">
        <v>0</v>
      </c>
      <c r="AN68" s="196">
        <v>0</v>
      </c>
      <c r="AO68" s="196">
        <v>0</v>
      </c>
      <c r="AP68" s="196">
        <v>0</v>
      </c>
      <c r="AQ68" s="196">
        <v>0</v>
      </c>
      <c r="AR68" s="196">
        <v>0</v>
      </c>
      <c r="AS68" s="205">
        <f>IF(Prod[[#This Row],[S1Hrs]]=0,0,Prod[[#This Row],[S1Shot]]*Prod[[#This Row],[S1Cycle]]/(Prod[[#This Row],[S1Hrs]]*60*60))</f>
        <v>1.0107895833333334</v>
      </c>
      <c r="AT68" s="205">
        <f>IF(Prod[[#This Row],[S2Hrs]]=0,0,Prod[[#This Row],[S2Shot]]*Prod[[#This Row],[S2Cycle]]/(Prod[[#This Row],[S2Hrs]]*60*60))</f>
        <v>1.0432381944444444</v>
      </c>
      <c r="AU68" s="205">
        <f>IF(Prod[[#This Row],[S3Hrs]]=0,0,Prod[[#This Row],[S3Shot]]*Prod[[#This Row],[S3Cycle]]/(Prod[[#This Row],[S3Hrs]]*60*60))</f>
        <v>0.79912986111111106</v>
      </c>
      <c r="AV68" s="205">
        <f>IFERROR(AVERAGEIF(Prod[[#This Row],[S1%]:[S3%]], "&lt;&gt;0"),0)</f>
        <v>0.95105254629629632</v>
      </c>
      <c r="AW68" s="205">
        <v>0</v>
      </c>
      <c r="AX68" s="205">
        <v>0</v>
      </c>
      <c r="AY68" s="205">
        <v>0</v>
      </c>
      <c r="AZ68" s="206">
        <f>IF(Prod[[#This Row],[S1Cycle]]&lt;&gt;0,1,0)</f>
        <v>1</v>
      </c>
      <c r="BA68" s="206">
        <f>IF(Prod[[#This Row],[S2Cycle]]&lt;&gt;0,1,0)</f>
        <v>1</v>
      </c>
      <c r="BB68" s="206">
        <f>IF(Prod[[#This Row],[S3Cycle]]&lt;&gt;0,1,0)</f>
        <v>1</v>
      </c>
      <c r="BC68" s="206">
        <f>MAX(Prod[[#This Row],[S1Cavity]],Prod[[#This Row],[S2Cavity]],Prod[[#This Row],[S3Cavity]])</f>
        <v>8</v>
      </c>
      <c r="BD68" s="206" t="b">
        <f>RegExpMatch(Prod[[#This Row],[MoldNo]], "^DEO-(B|C)")</f>
        <v>1</v>
      </c>
      <c r="BE68" s="206" t="b">
        <f>RegExpMatch(Prod[[#This Row],[MoldNo]], "^JAC")</f>
        <v>0</v>
      </c>
    </row>
    <row r="69" spans="1:57" x14ac:dyDescent="0.2">
      <c r="A69" s="195">
        <v>45447</v>
      </c>
      <c r="B69" s="201" t="s">
        <v>174</v>
      </c>
      <c r="C69" s="198" t="s">
        <v>175</v>
      </c>
      <c r="D69" s="197">
        <v>27430</v>
      </c>
      <c r="E69" s="198" t="s">
        <v>209</v>
      </c>
      <c r="F69" s="197">
        <v>6331</v>
      </c>
      <c r="G69" s="197" t="str">
        <f>IF(OR(Prod[[#This Row],[S1Hrs]]&gt;0,Prod[[#This Row],[S2Hrs]]&gt;0,Prod[[#This Row],[S3Hrs]]&gt;0),"Running","Down")</f>
        <v>Running</v>
      </c>
      <c r="H69" s="199">
        <v>20.79</v>
      </c>
      <c r="I69" s="200">
        <v>8</v>
      </c>
      <c r="J69" s="196">
        <v>1384</v>
      </c>
      <c r="K69" s="201">
        <v>8</v>
      </c>
      <c r="L69" s="196">
        <f>Prod[[#This Row],[S1Shot]]*Prod[[#This Row],[S1Cavity]]-Prod[[#This Row],[S1Dft]]</f>
        <v>10922</v>
      </c>
      <c r="M69" s="202">
        <f>SUM(Prod[[#This Row],[S1Mold]],Prod[[#This Row],[S1Print]],Prod[[#This Row],[S1Ovlp]],Prod[[#This Row],[S1Seam]],Prod[[#This Row],[S1Dmg]])</f>
        <v>150</v>
      </c>
      <c r="N69" s="199">
        <v>20.79</v>
      </c>
      <c r="O69" s="200">
        <v>8</v>
      </c>
      <c r="P69" s="196">
        <v>1485</v>
      </c>
      <c r="Q69" s="201">
        <v>8</v>
      </c>
      <c r="R69" s="196">
        <f>Prod[[#This Row],[S2Shot]]*Prod[[#This Row],[S2Cavity]]-Prod[[#This Row],[S2Dft]]</f>
        <v>11740</v>
      </c>
      <c r="S69" s="202">
        <f>SUM(Prod[[#This Row],[S2Mold]],Prod[[#This Row],[S2Print]],Prod[[#This Row],[S2Ovlp]],Prod[[#This Row],[S2Seam]],Prod[[#This Row],[S2Dmg]])</f>
        <v>140</v>
      </c>
      <c r="T69" s="199">
        <v>20.78</v>
      </c>
      <c r="U69" s="200">
        <v>8</v>
      </c>
      <c r="V69" s="196">
        <v>1228</v>
      </c>
      <c r="W69" s="201">
        <v>8</v>
      </c>
      <c r="X69" s="196">
        <f>Prod[[#This Row],[S3Shot]]*Prod[[#This Row],[S3Cavity]]-Prod[[#This Row],[S3Dft]]</f>
        <v>9689</v>
      </c>
      <c r="Y69" s="196">
        <f>SUM(Prod[[#This Row],[S3Mold]],Prod[[#This Row],[S3Print]],Prod[[#This Row],[S3Ovlp]],Prod[[#This Row],[S3Seam]],Prod[[#This Row],[S3Dmg]])</f>
        <v>135</v>
      </c>
      <c r="Z69" s="196">
        <f>SUM(Prod[[#This Row],[S1Qty]],Prod[[#This Row],[S2Qty]],Prod[[#This Row],[S3Qty]])</f>
        <v>32351</v>
      </c>
      <c r="AA69" s="196">
        <f>SUM(Prod[[#This Row],[S1Dft]],Prod[[#This Row],[S2Dft]],Prod[[#This Row],[S3Dft]])</f>
        <v>425</v>
      </c>
      <c r="AB69" s="203">
        <f>IF(Prod[[#This Row],[Total]]=0,0,Prod[[#This Row],[TotalDft]]/Prod[[#This Row],[Total]])</f>
        <v>1.3137151865475564E-2</v>
      </c>
      <c r="AC69" s="198"/>
      <c r="AD69" s="196">
        <v>25</v>
      </c>
      <c r="AE69" s="196">
        <v>20</v>
      </c>
      <c r="AF69" s="196">
        <v>25</v>
      </c>
      <c r="AG69" s="196">
        <v>125</v>
      </c>
      <c r="AH69" s="196">
        <v>120</v>
      </c>
      <c r="AI69" s="196">
        <v>110</v>
      </c>
      <c r="AJ69" s="196">
        <v>0</v>
      </c>
      <c r="AK69" s="196">
        <v>0</v>
      </c>
      <c r="AL69" s="196">
        <v>0</v>
      </c>
      <c r="AM69" s="196">
        <v>0</v>
      </c>
      <c r="AN69" s="196">
        <v>0</v>
      </c>
      <c r="AO69" s="196">
        <v>0</v>
      </c>
      <c r="AP69" s="196">
        <v>0</v>
      </c>
      <c r="AQ69" s="196">
        <v>0</v>
      </c>
      <c r="AR69" s="196">
        <v>0</v>
      </c>
      <c r="AS69" s="205">
        <f>IF(Prod[[#This Row],[S1Hrs]]=0,0,Prod[[#This Row],[S1Shot]]*Prod[[#This Row],[S1Cycle]]/(Prod[[#This Row],[S1Hrs]]*60*60))</f>
        <v>0.99907500000000005</v>
      </c>
      <c r="AT69" s="205">
        <f>IF(Prod[[#This Row],[S2Hrs]]=0,0,Prod[[#This Row],[S2Shot]]*Prod[[#This Row],[S2Cycle]]/(Prod[[#This Row],[S2Hrs]]*60*60))</f>
        <v>1.071984375</v>
      </c>
      <c r="AU69" s="205">
        <f>IF(Prod[[#This Row],[S3Hrs]]=0,0,Prod[[#This Row],[S3Shot]]*Prod[[#This Row],[S3Cycle]]/(Prod[[#This Row],[S3Hrs]]*60*60))</f>
        <v>0.88603611111111114</v>
      </c>
      <c r="AV69" s="205">
        <f>IFERROR(AVERAGEIF(Prod[[#This Row],[S1%]:[S3%]], "&lt;&gt;0"),0)</f>
        <v>0.98569849537037035</v>
      </c>
      <c r="AW69" s="205">
        <v>0</v>
      </c>
      <c r="AX69" s="205">
        <v>0</v>
      </c>
      <c r="AY69" s="205">
        <v>0</v>
      </c>
      <c r="AZ69" s="206">
        <f>IF(Prod[[#This Row],[S1Cycle]]&lt;&gt;0,1,0)</f>
        <v>1</v>
      </c>
      <c r="BA69" s="206">
        <f>IF(Prod[[#This Row],[S2Cycle]]&lt;&gt;0,1,0)</f>
        <v>1</v>
      </c>
      <c r="BB69" s="206">
        <f>IF(Prod[[#This Row],[S3Cycle]]&lt;&gt;0,1,0)</f>
        <v>1</v>
      </c>
      <c r="BC69" s="206">
        <f>MAX(Prod[[#This Row],[S1Cavity]],Prod[[#This Row],[S2Cavity]],Prod[[#This Row],[S3Cavity]])</f>
        <v>8</v>
      </c>
      <c r="BD69" s="206" t="b">
        <f>RegExpMatch(Prod[[#This Row],[MoldNo]], "^DEO-(B|C)")</f>
        <v>1</v>
      </c>
      <c r="BE69" s="206" t="b">
        <f>RegExpMatch(Prod[[#This Row],[MoldNo]], "^JAC")</f>
        <v>0</v>
      </c>
    </row>
    <row r="70" spans="1:57" x14ac:dyDescent="0.2">
      <c r="A70" s="195">
        <v>45447</v>
      </c>
      <c r="B70" s="201" t="s">
        <v>176</v>
      </c>
      <c r="C70" s="198" t="s">
        <v>81</v>
      </c>
      <c r="D70" s="197">
        <v>27430</v>
      </c>
      <c r="E70" s="198" t="s">
        <v>209</v>
      </c>
      <c r="F70" s="197">
        <v>6331</v>
      </c>
      <c r="G70" s="197" t="str">
        <f>IF(OR(Prod[[#This Row],[S1Hrs]]&gt;0,Prod[[#This Row],[S2Hrs]]&gt;0,Prod[[#This Row],[S3Hrs]]&gt;0),"Running","Down")</f>
        <v>Running</v>
      </c>
      <c r="H70" s="199">
        <v>21.88</v>
      </c>
      <c r="I70" s="200">
        <v>8</v>
      </c>
      <c r="J70" s="196">
        <v>1322</v>
      </c>
      <c r="K70" s="201">
        <v>8</v>
      </c>
      <c r="L70" s="196">
        <f>Prod[[#This Row],[S1Shot]]*Prod[[#This Row],[S1Cavity]]-Prod[[#This Row],[S1Dft]]</f>
        <v>10441</v>
      </c>
      <c r="M70" s="202">
        <f>SUM(Prod[[#This Row],[S1Mold]],Prod[[#This Row],[S1Print]],Prod[[#This Row],[S1Ovlp]],Prod[[#This Row],[S1Seam]],Prod[[#This Row],[S1Dmg]])</f>
        <v>135</v>
      </c>
      <c r="N70" s="199">
        <v>21.79</v>
      </c>
      <c r="O70" s="200">
        <v>8</v>
      </c>
      <c r="P70" s="196">
        <v>1427</v>
      </c>
      <c r="Q70" s="201">
        <v>8</v>
      </c>
      <c r="R70" s="196">
        <f>Prod[[#This Row],[S2Shot]]*Prod[[#This Row],[S2Cavity]]-Prod[[#This Row],[S2Dft]]</f>
        <v>11271</v>
      </c>
      <c r="S70" s="202">
        <f>SUM(Prod[[#This Row],[S2Mold]],Prod[[#This Row],[S2Print]],Prod[[#This Row],[S2Ovlp]],Prod[[#This Row],[S2Seam]],Prod[[#This Row],[S2Dmg]])</f>
        <v>145</v>
      </c>
      <c r="T70" s="199">
        <v>21.79</v>
      </c>
      <c r="U70" s="200">
        <v>8</v>
      </c>
      <c r="V70" s="196">
        <v>1153</v>
      </c>
      <c r="W70" s="201">
        <v>8</v>
      </c>
      <c r="X70" s="196">
        <f>Prod[[#This Row],[S3Shot]]*Prod[[#This Row],[S3Cavity]]-Prod[[#This Row],[S3Dft]]</f>
        <v>9079</v>
      </c>
      <c r="Y70" s="196">
        <f>SUM(Prod[[#This Row],[S3Mold]],Prod[[#This Row],[S3Print]],Prod[[#This Row],[S3Ovlp]],Prod[[#This Row],[S3Seam]],Prod[[#This Row],[S3Dmg]])</f>
        <v>145</v>
      </c>
      <c r="Z70" s="196">
        <f>SUM(Prod[[#This Row],[S1Qty]],Prod[[#This Row],[S2Qty]],Prod[[#This Row],[S3Qty]])</f>
        <v>30791</v>
      </c>
      <c r="AA70" s="196">
        <f>SUM(Prod[[#This Row],[S1Dft]],Prod[[#This Row],[S2Dft]],Prod[[#This Row],[S3Dft]])</f>
        <v>425</v>
      </c>
      <c r="AB70" s="203">
        <f>IF(Prod[[#This Row],[Total]]=0,0,Prod[[#This Row],[TotalDft]]/Prod[[#This Row],[Total]])</f>
        <v>1.3802734565295054E-2</v>
      </c>
      <c r="AC70" s="198"/>
      <c r="AD70" s="196">
        <v>20</v>
      </c>
      <c r="AE70" s="196">
        <v>25</v>
      </c>
      <c r="AF70" s="196">
        <v>20</v>
      </c>
      <c r="AG70" s="196">
        <v>115</v>
      </c>
      <c r="AH70" s="196">
        <v>120</v>
      </c>
      <c r="AI70" s="196">
        <v>125</v>
      </c>
      <c r="AJ70" s="196">
        <v>0</v>
      </c>
      <c r="AK70" s="196">
        <v>0</v>
      </c>
      <c r="AL70" s="196">
        <v>0</v>
      </c>
      <c r="AM70" s="196">
        <v>0</v>
      </c>
      <c r="AN70" s="196">
        <v>0</v>
      </c>
      <c r="AO70" s="196">
        <v>0</v>
      </c>
      <c r="AP70" s="196">
        <v>0</v>
      </c>
      <c r="AQ70" s="196">
        <v>0</v>
      </c>
      <c r="AR70" s="196">
        <v>0</v>
      </c>
      <c r="AS70" s="205">
        <f>IF(Prod[[#This Row],[S1Hrs]]=0,0,Prod[[#This Row],[S1Shot]]*Prod[[#This Row],[S1Cycle]]/(Prod[[#This Row],[S1Hrs]]*60*60))</f>
        <v>1.0043527777777776</v>
      </c>
      <c r="AT70" s="205">
        <f>IF(Prod[[#This Row],[S2Hrs]]=0,0,Prod[[#This Row],[S2Shot]]*Prod[[#This Row],[S2Cycle]]/(Prod[[#This Row],[S2Hrs]]*60*60))</f>
        <v>1.0796642361111111</v>
      </c>
      <c r="AU70" s="205">
        <f>IF(Prod[[#This Row],[S3Hrs]]=0,0,Prod[[#This Row],[S3Shot]]*Prod[[#This Row],[S3Cycle]]/(Prod[[#This Row],[S3Hrs]]*60*60))</f>
        <v>0.87235659722222214</v>
      </c>
      <c r="AV70" s="205">
        <f>IFERROR(AVERAGEIF(Prod[[#This Row],[S1%]:[S3%]], "&lt;&gt;0"),0)</f>
        <v>0.98545787037037025</v>
      </c>
      <c r="AW70" s="205">
        <v>0</v>
      </c>
      <c r="AX70" s="205">
        <v>0</v>
      </c>
      <c r="AY70" s="205">
        <v>0</v>
      </c>
      <c r="AZ70" s="206">
        <f>IF(Prod[[#This Row],[S1Cycle]]&lt;&gt;0,1,0)</f>
        <v>1</v>
      </c>
      <c r="BA70" s="206">
        <f>IF(Prod[[#This Row],[S2Cycle]]&lt;&gt;0,1,0)</f>
        <v>1</v>
      </c>
      <c r="BB70" s="206">
        <f>IF(Prod[[#This Row],[S3Cycle]]&lt;&gt;0,1,0)</f>
        <v>1</v>
      </c>
      <c r="BC70" s="206">
        <f>MAX(Prod[[#This Row],[S1Cavity]],Prod[[#This Row],[S2Cavity]],Prod[[#This Row],[S3Cavity]])</f>
        <v>8</v>
      </c>
      <c r="BD70" s="206" t="b">
        <f>RegExpMatch(Prod[[#This Row],[MoldNo]], "^DEO-(B|C)")</f>
        <v>1</v>
      </c>
      <c r="BE70" s="206" t="b">
        <f>RegExpMatch(Prod[[#This Row],[MoldNo]], "^JAC")</f>
        <v>0</v>
      </c>
    </row>
    <row r="71" spans="1:57" x14ac:dyDescent="0.2">
      <c r="A71" s="195">
        <v>45447</v>
      </c>
      <c r="B71" s="201" t="s">
        <v>195</v>
      </c>
      <c r="C71" s="197" t="s">
        <v>145</v>
      </c>
      <c r="D71" s="197"/>
      <c r="E71" s="198"/>
      <c r="F71" s="197"/>
      <c r="G71" s="197" t="str">
        <f>IF(OR(Prod[[#This Row],[S1Hrs]]&gt;0,Prod[[#This Row],[S2Hrs]]&gt;0,Prod[[#This Row],[S3Hrs]]&gt;0),"Running","Down")</f>
        <v>Down</v>
      </c>
      <c r="H71" s="199">
        <v>0</v>
      </c>
      <c r="I71" s="200">
        <v>0</v>
      </c>
      <c r="J71" s="196">
        <v>0</v>
      </c>
      <c r="K71" s="201">
        <v>0</v>
      </c>
      <c r="L71" s="196">
        <f>Prod[[#This Row],[S1Shot]]*Prod[[#This Row],[S1Cavity]]-Prod[[#This Row],[S1Dft]]</f>
        <v>0</v>
      </c>
      <c r="M71" s="207"/>
      <c r="N71" s="199">
        <v>0</v>
      </c>
      <c r="O71" s="200">
        <v>0</v>
      </c>
      <c r="P71" s="196">
        <v>0</v>
      </c>
      <c r="Q71" s="201">
        <v>0</v>
      </c>
      <c r="R71" s="196">
        <f>Prod[[#This Row],[S2Shot]]*Prod[[#This Row],[S2Cavity]]-Prod[[#This Row],[S2Dft]]</f>
        <v>0</v>
      </c>
      <c r="S71" s="207"/>
      <c r="T71" s="199">
        <v>0</v>
      </c>
      <c r="U71" s="200">
        <v>0</v>
      </c>
      <c r="V71" s="196">
        <v>0</v>
      </c>
      <c r="W71" s="201">
        <v>0</v>
      </c>
      <c r="X71" s="196">
        <f>Prod[[#This Row],[S3Shot]]*Prod[[#This Row],[S3Cavity]]-Prod[[#This Row],[S3Dft]]</f>
        <v>0</v>
      </c>
      <c r="Y71" s="207"/>
      <c r="Z71" s="196">
        <f>SUM(Prod[[#This Row],[S1Qty]],Prod[[#This Row],[S2Qty]],Prod[[#This Row],[S3Qty]])</f>
        <v>0</v>
      </c>
      <c r="AA71" s="207"/>
      <c r="AB71" s="208"/>
      <c r="AC71" s="204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7"/>
      <c r="AP71" s="207"/>
      <c r="AQ71" s="207"/>
      <c r="AR71" s="207"/>
      <c r="AS71" s="205">
        <f>IF(Prod[[#This Row],[S1Hrs]]=0,0,Prod[[#This Row],[S1Shot]]*Prod[[#This Row],[S1Cycle]]/(Prod[[#This Row],[S1Hrs]]*60*60))</f>
        <v>0</v>
      </c>
      <c r="AT71" s="205">
        <f>IF(Prod[[#This Row],[S2Hrs]]=0,0,Prod[[#This Row],[S2Shot]]*Prod[[#This Row],[S2Cycle]]/(Prod[[#This Row],[S2Hrs]]*60*60))</f>
        <v>0</v>
      </c>
      <c r="AU71" s="205">
        <f>IF(Prod[[#This Row],[S3Hrs]]=0,0,Prod[[#This Row],[S3Shot]]*Prod[[#This Row],[S3Cycle]]/(Prod[[#This Row],[S3Hrs]]*60*60))</f>
        <v>0</v>
      </c>
      <c r="AV71" s="205">
        <f>IFERROR(AVERAGEIF(Prod[[#This Row],[S1%]:[S3%]], "&lt;&gt;0"),0)</f>
        <v>0</v>
      </c>
      <c r="AW71" s="205">
        <v>0</v>
      </c>
      <c r="AX71" s="205">
        <v>0</v>
      </c>
      <c r="AY71" s="205">
        <v>0</v>
      </c>
      <c r="AZ71" s="206">
        <f>IF(Prod[[#This Row],[S1Cycle]]&lt;&gt;0,1,0)</f>
        <v>0</v>
      </c>
      <c r="BA71" s="206">
        <f>IF(Prod[[#This Row],[S2Cycle]]&lt;&gt;0,1,0)</f>
        <v>0</v>
      </c>
      <c r="BB71" s="206">
        <f>IF(Prod[[#This Row],[S3Cycle]]&lt;&gt;0,1,0)</f>
        <v>0</v>
      </c>
      <c r="BC71" s="206">
        <f>MAX(Prod[[#This Row],[S1Cavity]],Prod[[#This Row],[S2Cavity]],Prod[[#This Row],[S3Cavity]])</f>
        <v>0</v>
      </c>
      <c r="BD71" s="206" t="b">
        <f>RegExpMatch(Prod[[#This Row],[MoldNo]], "^DEO-(B|C)")</f>
        <v>0</v>
      </c>
      <c r="BE71" s="206" t="b">
        <f>RegExpMatch(Prod[[#This Row],[MoldNo]], "^JAC")</f>
        <v>0</v>
      </c>
    </row>
    <row r="72" spans="1:57" x14ac:dyDescent="0.2">
      <c r="A72" s="117">
        <v>45448</v>
      </c>
      <c r="B72" s="120" t="s">
        <v>190</v>
      </c>
      <c r="C72" s="119" t="s">
        <v>153</v>
      </c>
      <c r="D72" s="119">
        <v>27422</v>
      </c>
      <c r="E72" s="131" t="s">
        <v>199</v>
      </c>
      <c r="F72" s="119">
        <v>6331</v>
      </c>
      <c r="G72" s="119" t="str">
        <f>IF(OR(Prod[[#This Row],[S1Hrs]]&gt;0,Prod[[#This Row],[S2Hrs]]&gt;0,Prod[[#This Row],[S3Hrs]]&gt;0),"Running","Down")</f>
        <v>Running</v>
      </c>
      <c r="H72" s="194">
        <v>22.68</v>
      </c>
      <c r="I72" s="185">
        <v>8</v>
      </c>
      <c r="J72" s="130">
        <v>1280</v>
      </c>
      <c r="K72" s="130">
        <v>4</v>
      </c>
      <c r="L72" s="120">
        <f>Prod[[#This Row],[S1Shot]]*Prod[[#This Row],[S1Cavity]]-Prod[[#This Row],[S1Dft]]</f>
        <v>5114</v>
      </c>
      <c r="M72" s="136">
        <f>SUM(Prod[[#This Row],[S1Mold]],Prod[[#This Row],[S1Print]],Prod[[#This Row],[S1Ovlp]],Prod[[#This Row],[S1Seam]],Prod[[#This Row],[S1Dmg]])</f>
        <v>6</v>
      </c>
      <c r="N72" s="194">
        <v>22.68</v>
      </c>
      <c r="O72" s="185">
        <v>8</v>
      </c>
      <c r="P72" s="130">
        <v>1368</v>
      </c>
      <c r="Q72" s="130">
        <v>4</v>
      </c>
      <c r="R72" s="120">
        <f>Prod[[#This Row],[S2Shot]]*Prod[[#This Row],[S2Cavity]]-Prod[[#This Row],[S2Dft]]</f>
        <v>5467</v>
      </c>
      <c r="S72" s="136">
        <f>SUM(Prod[[#This Row],[S2Mold]],Prod[[#This Row],[S2Print]],Prod[[#This Row],[S2Ovlp]],Prod[[#This Row],[S2Seam]],Prod[[#This Row],[S2Dmg]])</f>
        <v>5</v>
      </c>
      <c r="T72" s="194">
        <v>22.67</v>
      </c>
      <c r="U72" s="185">
        <v>8</v>
      </c>
      <c r="V72" s="130">
        <v>1161</v>
      </c>
      <c r="W72" s="130">
        <v>4</v>
      </c>
      <c r="X72" s="120">
        <f>Prod[[#This Row],[S3Shot]]*Prod[[#This Row],[S3Cavity]]-Prod[[#This Row],[S3Dft]]</f>
        <v>4638</v>
      </c>
      <c r="Y72" s="120">
        <f>SUM(Prod[[#This Row],[S3Mold]],Prod[[#This Row],[S3Print]],Prod[[#This Row],[S3Ovlp]],Prod[[#This Row],[S3Seam]],Prod[[#This Row],[S3Dmg]])</f>
        <v>6</v>
      </c>
      <c r="Z72" s="120">
        <f>SUM(Prod[[#This Row],[S1Qty]],Prod[[#This Row],[S2Qty]],Prod[[#This Row],[S3Qty]])</f>
        <v>15219</v>
      </c>
      <c r="AA72" s="120">
        <f>SUM(Prod[[#This Row],[S1Dft]],Prod[[#This Row],[S2Dft]],Prod[[#This Row],[S3Dft]])</f>
        <v>17</v>
      </c>
      <c r="AB72" s="121">
        <f>IF(Prod[[#This Row],[Total]]=0,0,Prod[[#This Row],[TotalDft]]/Prod[[#This Row],[Total]])</f>
        <v>1.1170247716669952E-3</v>
      </c>
      <c r="AC72" s="118"/>
      <c r="AD72" s="120">
        <v>6</v>
      </c>
      <c r="AE72" s="120">
        <v>5</v>
      </c>
      <c r="AF72" s="120">
        <v>6</v>
      </c>
      <c r="AG72" s="120">
        <v>0</v>
      </c>
      <c r="AH72" s="120">
        <v>0</v>
      </c>
      <c r="AI72" s="120">
        <v>0</v>
      </c>
      <c r="AJ72" s="120">
        <v>0</v>
      </c>
      <c r="AK72" s="120">
        <v>0</v>
      </c>
      <c r="AL72" s="120">
        <v>0</v>
      </c>
      <c r="AM72" s="120">
        <v>0</v>
      </c>
      <c r="AN72" s="120">
        <v>0</v>
      </c>
      <c r="AO72" s="120">
        <v>0</v>
      </c>
      <c r="AP72" s="120">
        <v>0</v>
      </c>
      <c r="AQ72" s="120">
        <v>0</v>
      </c>
      <c r="AR72" s="120">
        <v>0</v>
      </c>
      <c r="AS72" s="132">
        <f>IF(Prod[[#This Row],[S1Hrs]]=0,0,Prod[[#This Row],[S1Shot]]*Prod[[#This Row],[S1Cycle]]/(Prod[[#This Row],[S1Hrs]]*60*60))</f>
        <v>1.008</v>
      </c>
      <c r="AT72" s="132">
        <f>IF(Prod[[#This Row],[S2Hrs]]=0,0,Prod[[#This Row],[S2Shot]]*Prod[[#This Row],[S2Cycle]]/(Prod[[#This Row],[S2Hrs]]*60*60))</f>
        <v>1.0772999999999999</v>
      </c>
      <c r="AU72" s="132">
        <f>IF(Prod[[#This Row],[S3Hrs]]=0,0,Prod[[#This Row],[S3Shot]]*Prod[[#This Row],[S3Cycle]]/(Prod[[#This Row],[S3Hrs]]*60*60))</f>
        <v>0.91388437500000008</v>
      </c>
      <c r="AV72" s="132">
        <f>IFERROR(AVERAGEIF(Prod[[#This Row],[S1%]:[S3%]], "&lt;&gt;0"),0)</f>
        <v>0.99972812500000019</v>
      </c>
      <c r="AW72" s="132">
        <v>0</v>
      </c>
      <c r="AX72" s="132">
        <v>0</v>
      </c>
      <c r="AY72" s="132">
        <v>0</v>
      </c>
      <c r="AZ72" s="175">
        <f>IF(Prod[[#This Row],[S1Cycle]]&lt;&gt;0,1,0)</f>
        <v>1</v>
      </c>
      <c r="BA72" s="175">
        <f>IF(Prod[[#This Row],[S2Cycle]]&lt;&gt;0,1,0)</f>
        <v>1</v>
      </c>
      <c r="BB72" s="175">
        <f>IF(Prod[[#This Row],[S3Cycle]]&lt;&gt;0,1,0)</f>
        <v>1</v>
      </c>
      <c r="BC72" s="175">
        <f>MAX(Prod[[#This Row],[S1Cavity]],Prod[[#This Row],[S2Cavity]],Prod[[#This Row],[S3Cavity]])</f>
        <v>4</v>
      </c>
      <c r="BD72" s="175" t="b">
        <f>RegExpMatch(Prod[[#This Row],[MoldNo]], "^DEO-(B|C)")</f>
        <v>0</v>
      </c>
      <c r="BE72" s="175" t="b">
        <f>RegExpMatch(Prod[[#This Row],[MoldNo]], "^JAC")</f>
        <v>1</v>
      </c>
    </row>
    <row r="73" spans="1:57" x14ac:dyDescent="0.2">
      <c r="A73" s="117">
        <v>45448</v>
      </c>
      <c r="B73" s="130" t="s">
        <v>6</v>
      </c>
      <c r="C73" s="131" t="s">
        <v>8</v>
      </c>
      <c r="D73" s="119">
        <v>27578</v>
      </c>
      <c r="E73" s="131" t="s">
        <v>199</v>
      </c>
      <c r="F73" s="119">
        <v>6331</v>
      </c>
      <c r="G73" s="119" t="str">
        <f>IF(OR(Prod[[#This Row],[S1Hrs]]&gt;0,Prod[[#This Row],[S2Hrs]]&gt;0,Prod[[#This Row],[S3Hrs]]&gt;0),"Running","Down")</f>
        <v>Running</v>
      </c>
      <c r="H73" s="194">
        <v>16.95</v>
      </c>
      <c r="I73" s="185">
        <v>0.5</v>
      </c>
      <c r="J73" s="130">
        <v>105</v>
      </c>
      <c r="K73" s="130">
        <v>8</v>
      </c>
      <c r="L73" s="120">
        <f>Prod[[#This Row],[S1Shot]]*Prod[[#This Row],[S1Cavity]]-Prod[[#This Row],[S1Dft]]</f>
        <v>840</v>
      </c>
      <c r="M73" s="136">
        <f>SUM(Prod[[#This Row],[S1Mold]],Prod[[#This Row],[S1Print]],Prod[[#This Row],[S1Ovlp]],Prod[[#This Row],[S1Seam]],Prod[[#This Row],[S1Dmg]])</f>
        <v>0</v>
      </c>
      <c r="N73" s="194">
        <v>16.95</v>
      </c>
      <c r="O73" s="185">
        <v>8</v>
      </c>
      <c r="P73" s="130">
        <v>1562</v>
      </c>
      <c r="Q73" s="130">
        <v>8</v>
      </c>
      <c r="R73" s="120">
        <f>Prod[[#This Row],[S2Shot]]*Prod[[#This Row],[S2Cavity]]-Prod[[#This Row],[S2Dft]]</f>
        <v>12361</v>
      </c>
      <c r="S73" s="136">
        <f>SUM(Prod[[#This Row],[S2Mold]],Prod[[#This Row],[S2Print]],Prod[[#This Row],[S2Ovlp]],Prod[[#This Row],[S2Seam]],Prod[[#This Row],[S2Dmg]])</f>
        <v>135</v>
      </c>
      <c r="T73" s="194">
        <v>17.79</v>
      </c>
      <c r="U73" s="185">
        <v>6.5</v>
      </c>
      <c r="V73" s="130">
        <v>1262</v>
      </c>
      <c r="W73" s="130">
        <v>8</v>
      </c>
      <c r="X73" s="120">
        <f>Prod[[#This Row],[S3Shot]]*Prod[[#This Row],[S3Cavity]]-Prod[[#This Row],[S3Dft]]</f>
        <v>9981</v>
      </c>
      <c r="Y73" s="120">
        <f>SUM(Prod[[#This Row],[S3Mold]],Prod[[#This Row],[S3Print]],Prod[[#This Row],[S3Ovlp]],Prod[[#This Row],[S3Seam]],Prod[[#This Row],[S3Dmg]])</f>
        <v>115</v>
      </c>
      <c r="Z73" s="120">
        <f>SUM(Prod[[#This Row],[S1Qty]],Prod[[#This Row],[S2Qty]],Prod[[#This Row],[S3Qty]])</f>
        <v>23182</v>
      </c>
      <c r="AA73" s="120">
        <f>SUM(Prod[[#This Row],[S1Dft]],Prod[[#This Row],[S2Dft]],Prod[[#This Row],[S3Dft]])</f>
        <v>250</v>
      </c>
      <c r="AB73" s="121">
        <f>IF(Prod[[#This Row],[Total]]=0,0,Prod[[#This Row],[TotalDft]]/Prod[[#This Row],[Total]])</f>
        <v>1.0784229143300838E-2</v>
      </c>
      <c r="AC73" s="131" t="s">
        <v>215</v>
      </c>
      <c r="AD73" s="120">
        <v>0</v>
      </c>
      <c r="AE73" s="120">
        <v>20</v>
      </c>
      <c r="AF73" s="120">
        <v>15</v>
      </c>
      <c r="AG73" s="120">
        <v>0</v>
      </c>
      <c r="AH73" s="120">
        <v>115</v>
      </c>
      <c r="AI73" s="120">
        <v>100</v>
      </c>
      <c r="AJ73" s="120">
        <v>0</v>
      </c>
      <c r="AK73" s="120">
        <v>0</v>
      </c>
      <c r="AL73" s="120">
        <v>0</v>
      </c>
      <c r="AM73" s="120">
        <v>0</v>
      </c>
      <c r="AN73" s="120">
        <v>0</v>
      </c>
      <c r="AO73" s="120">
        <v>0</v>
      </c>
      <c r="AP73" s="120">
        <v>0</v>
      </c>
      <c r="AQ73" s="120">
        <v>0</v>
      </c>
      <c r="AR73" s="120">
        <v>0</v>
      </c>
      <c r="AS73" s="132">
        <f>IF(Prod[[#This Row],[S1Hrs]]=0,0,Prod[[#This Row],[S1Shot]]*Prod[[#This Row],[S1Cycle]]/(Prod[[#This Row],[S1Hrs]]*60*60))</f>
        <v>0.98875000000000002</v>
      </c>
      <c r="AT73" s="132">
        <f>IF(Prod[[#This Row],[S2Hrs]]=0,0,Prod[[#This Row],[S2Shot]]*Prod[[#This Row],[S2Cycle]]/(Prod[[#This Row],[S2Hrs]]*60*60))</f>
        <v>0.9193020833333333</v>
      </c>
      <c r="AU73" s="132">
        <f>IF(Prod[[#This Row],[S3Hrs]]=0,0,Prod[[#This Row],[S3Shot]]*Prod[[#This Row],[S3Cycle]]/(Prod[[#This Row],[S3Hrs]]*60*60))</f>
        <v>0.95944358974358968</v>
      </c>
      <c r="AV73" s="132">
        <f>IFERROR(AVERAGEIF(Prod[[#This Row],[S1%]:[S3%]], "&lt;&gt;0"),0)</f>
        <v>0.95583189102564103</v>
      </c>
      <c r="AW73" s="132">
        <v>0</v>
      </c>
      <c r="AX73" s="132">
        <v>0</v>
      </c>
      <c r="AY73" s="132">
        <v>7.5</v>
      </c>
      <c r="AZ73" s="175">
        <f>IF(Prod[[#This Row],[S1Cycle]]&lt;&gt;0,1,0)</f>
        <v>1</v>
      </c>
      <c r="BA73" s="175">
        <f>IF(Prod[[#This Row],[S2Cycle]]&lt;&gt;0,1,0)</f>
        <v>1</v>
      </c>
      <c r="BB73" s="175">
        <f>IF(Prod[[#This Row],[S3Cycle]]&lt;&gt;0,1,0)</f>
        <v>1</v>
      </c>
      <c r="BC73" s="175">
        <f>MAX(Prod[[#This Row],[S1Cavity]],Prod[[#This Row],[S2Cavity]],Prod[[#This Row],[S3Cavity]])</f>
        <v>8</v>
      </c>
      <c r="BD73" s="175" t="b">
        <f>RegExpMatch(Prod[[#This Row],[MoldNo]], "^DEO-(B|C)")</f>
        <v>1</v>
      </c>
      <c r="BE73" s="175" t="b">
        <f>RegExpMatch(Prod[[#This Row],[MoldNo]], "^JAC")</f>
        <v>0</v>
      </c>
    </row>
    <row r="74" spans="1:57" x14ac:dyDescent="0.2">
      <c r="A74" s="117">
        <v>45448</v>
      </c>
      <c r="B74" s="120" t="s">
        <v>7</v>
      </c>
      <c r="C74" s="119" t="s">
        <v>172</v>
      </c>
      <c r="D74" s="119">
        <v>27578</v>
      </c>
      <c r="E74" s="131" t="s">
        <v>199</v>
      </c>
      <c r="F74" s="119">
        <v>6331</v>
      </c>
      <c r="G74" s="119" t="str">
        <f>IF(OR(Prod[[#This Row],[S1Hrs]]&gt;0,Prod[[#This Row],[S2Hrs]]&gt;0,Prod[[#This Row],[S3Hrs]]&gt;0),"Running","Down")</f>
        <v>Running</v>
      </c>
      <c r="H74" s="194">
        <v>20.8</v>
      </c>
      <c r="I74" s="185">
        <v>2</v>
      </c>
      <c r="J74" s="130">
        <v>343</v>
      </c>
      <c r="K74" s="130">
        <v>8</v>
      </c>
      <c r="L74" s="120">
        <f>Prod[[#This Row],[S1Shot]]*Prod[[#This Row],[S1Cavity]]-Prod[[#This Row],[S1Dft]]</f>
        <v>2714</v>
      </c>
      <c r="M74" s="136">
        <f>SUM(Prod[[#This Row],[S1Mold]],Prod[[#This Row],[S1Print]],Prod[[#This Row],[S1Ovlp]],Prod[[#This Row],[S1Seam]],Prod[[#This Row],[S1Dmg]])</f>
        <v>30</v>
      </c>
      <c r="N74" s="194">
        <v>20.8</v>
      </c>
      <c r="O74" s="185">
        <v>8</v>
      </c>
      <c r="P74" s="130">
        <v>1333</v>
      </c>
      <c r="Q74" s="130">
        <v>8</v>
      </c>
      <c r="R74" s="120">
        <f>Prod[[#This Row],[S2Shot]]*Prod[[#This Row],[S2Cavity]]-Prod[[#This Row],[S2Dft]]</f>
        <v>10544</v>
      </c>
      <c r="S74" s="136">
        <f>SUM(Prod[[#This Row],[S2Mold]],Prod[[#This Row],[S2Print]],Prod[[#This Row],[S2Ovlp]],Prod[[#This Row],[S2Seam]],Prod[[#This Row],[S2Dmg]])</f>
        <v>120</v>
      </c>
      <c r="T74" s="194">
        <v>20.9</v>
      </c>
      <c r="U74" s="185">
        <v>8</v>
      </c>
      <c r="V74" s="130">
        <v>1145</v>
      </c>
      <c r="W74" s="130">
        <v>8</v>
      </c>
      <c r="X74" s="120">
        <f>Prod[[#This Row],[S3Shot]]*Prod[[#This Row],[S3Cavity]]-Prod[[#This Row],[S3Dft]]</f>
        <v>9040</v>
      </c>
      <c r="Y74" s="120">
        <f>SUM(Prod[[#This Row],[S3Mold]],Prod[[#This Row],[S3Print]],Prod[[#This Row],[S3Ovlp]],Prod[[#This Row],[S3Seam]],Prod[[#This Row],[S3Dmg]])</f>
        <v>120</v>
      </c>
      <c r="Z74" s="120">
        <f>SUM(Prod[[#This Row],[S1Qty]],Prod[[#This Row],[S2Qty]],Prod[[#This Row],[S3Qty]])</f>
        <v>22298</v>
      </c>
      <c r="AA74" s="120">
        <f>SUM(Prod[[#This Row],[S1Dft]],Prod[[#This Row],[S2Dft]],Prod[[#This Row],[S3Dft]])</f>
        <v>270</v>
      </c>
      <c r="AB74" s="121">
        <f>IF(Prod[[#This Row],[Total]]=0,0,Prod[[#This Row],[TotalDft]]/Prod[[#This Row],[Total]])</f>
        <v>1.2108709301282626E-2</v>
      </c>
      <c r="AC74" s="131" t="s">
        <v>216</v>
      </c>
      <c r="AD74" s="120">
        <v>2</v>
      </c>
      <c r="AE74" s="120">
        <v>20</v>
      </c>
      <c r="AF74" s="120">
        <v>20</v>
      </c>
      <c r="AG74" s="120">
        <v>28</v>
      </c>
      <c r="AH74" s="120">
        <v>100</v>
      </c>
      <c r="AI74" s="120">
        <v>100</v>
      </c>
      <c r="AJ74" s="120">
        <v>0</v>
      </c>
      <c r="AK74" s="120">
        <v>0</v>
      </c>
      <c r="AL74" s="120">
        <v>0</v>
      </c>
      <c r="AM74" s="120">
        <v>0</v>
      </c>
      <c r="AN74" s="120">
        <v>0</v>
      </c>
      <c r="AO74" s="120">
        <v>0</v>
      </c>
      <c r="AP74" s="120">
        <v>0</v>
      </c>
      <c r="AQ74" s="120">
        <v>0</v>
      </c>
      <c r="AR74" s="120">
        <v>0</v>
      </c>
      <c r="AS74" s="132">
        <f>IF(Prod[[#This Row],[S1Hrs]]=0,0,Prod[[#This Row],[S1Shot]]*Prod[[#This Row],[S1Cycle]]/(Prod[[#This Row],[S1Hrs]]*60*60))</f>
        <v>0.99088888888888893</v>
      </c>
      <c r="AT74" s="132">
        <f>IF(Prod[[#This Row],[S2Hrs]]=0,0,Prod[[#This Row],[S2Shot]]*Prod[[#This Row],[S2Cycle]]/(Prod[[#This Row],[S2Hrs]]*60*60))</f>
        <v>0.96272222222222226</v>
      </c>
      <c r="AU74" s="132">
        <f>IF(Prod[[#This Row],[S3Hrs]]=0,0,Prod[[#This Row],[S3Shot]]*Prod[[#This Row],[S3Cycle]]/(Prod[[#This Row],[S3Hrs]]*60*60))</f>
        <v>0.83092013888888894</v>
      </c>
      <c r="AV74" s="132">
        <f>IFERROR(AVERAGEIF(Prod[[#This Row],[S1%]:[S3%]], "&lt;&gt;0"),0)</f>
        <v>0.92817708333333337</v>
      </c>
      <c r="AW74" s="132">
        <v>0</v>
      </c>
      <c r="AX74" s="132">
        <v>0</v>
      </c>
      <c r="AY74" s="132">
        <v>6</v>
      </c>
      <c r="AZ74" s="175">
        <f>IF(Prod[[#This Row],[S1Cycle]]&lt;&gt;0,1,0)</f>
        <v>1</v>
      </c>
      <c r="BA74" s="175">
        <f>IF(Prod[[#This Row],[S2Cycle]]&lt;&gt;0,1,0)</f>
        <v>1</v>
      </c>
      <c r="BB74" s="175">
        <f>IF(Prod[[#This Row],[S3Cycle]]&lt;&gt;0,1,0)</f>
        <v>1</v>
      </c>
      <c r="BC74" s="175">
        <f>MAX(Prod[[#This Row],[S1Cavity]],Prod[[#This Row],[S2Cavity]],Prod[[#This Row],[S3Cavity]])</f>
        <v>8</v>
      </c>
      <c r="BD74" s="175" t="b">
        <f>RegExpMatch(Prod[[#This Row],[MoldNo]], "^DEO-(B|C)")</f>
        <v>1</v>
      </c>
      <c r="BE74" s="175" t="b">
        <f>RegExpMatch(Prod[[#This Row],[MoldNo]], "^JAC")</f>
        <v>0</v>
      </c>
    </row>
    <row r="75" spans="1:57" x14ac:dyDescent="0.2">
      <c r="A75" s="117">
        <v>45448</v>
      </c>
      <c r="B75" s="120" t="s">
        <v>85</v>
      </c>
      <c r="C75" s="119" t="s">
        <v>165</v>
      </c>
      <c r="D75" s="119">
        <v>27501</v>
      </c>
      <c r="E75" s="131" t="s">
        <v>199</v>
      </c>
      <c r="F75" s="119">
        <v>6331</v>
      </c>
      <c r="G75" s="119" t="str">
        <f>IF(OR(Prod[[#This Row],[S1Hrs]]&gt;0,Prod[[#This Row],[S2Hrs]]&gt;0,Prod[[#This Row],[S3Hrs]]&gt;0),"Running","Down")</f>
        <v>Running</v>
      </c>
      <c r="H75" s="194">
        <v>20.43</v>
      </c>
      <c r="I75" s="185">
        <v>8</v>
      </c>
      <c r="J75" s="130">
        <v>1470</v>
      </c>
      <c r="K75" s="130">
        <v>16</v>
      </c>
      <c r="L75" s="120">
        <f>Prod[[#This Row],[S1Shot]]*Prod[[#This Row],[S1Cavity]]-Prod[[#This Row],[S1Dft]]</f>
        <v>23520</v>
      </c>
      <c r="M75" s="134"/>
      <c r="N75" s="194">
        <v>20.43</v>
      </c>
      <c r="O75" s="185">
        <v>8</v>
      </c>
      <c r="P75" s="130">
        <v>1512</v>
      </c>
      <c r="Q75" s="130">
        <v>14</v>
      </c>
      <c r="R75" s="120">
        <f>Prod[[#This Row],[S2Shot]]*Prod[[#This Row],[S2Cavity]]-Prod[[#This Row],[S2Dft]]</f>
        <v>21168</v>
      </c>
      <c r="S75" s="134"/>
      <c r="T75" s="194">
        <v>20.420000000000002</v>
      </c>
      <c r="U75" s="185">
        <v>8</v>
      </c>
      <c r="V75" s="130">
        <v>1448</v>
      </c>
      <c r="W75" s="130">
        <v>16</v>
      </c>
      <c r="X75" s="120">
        <f>Prod[[#This Row],[S3Shot]]*Prod[[#This Row],[S3Cavity]]-Prod[[#This Row],[S3Dft]]</f>
        <v>23168</v>
      </c>
      <c r="Y75" s="134"/>
      <c r="Z75" s="120">
        <f>SUM(Prod[[#This Row],[S1Qty]],Prod[[#This Row],[S2Qty]],Prod[[#This Row],[S3Qty]])</f>
        <v>67856</v>
      </c>
      <c r="AA75" s="134"/>
      <c r="AB75" s="135"/>
      <c r="AC75" s="118"/>
      <c r="AD75" s="134"/>
      <c r="AE75" s="134"/>
      <c r="AF75" s="134"/>
      <c r="AG75" s="134"/>
      <c r="AH75" s="134"/>
      <c r="AI75" s="13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2">
        <f>IF(Prod[[#This Row],[S1Hrs]]=0,0,Prod[[#This Row],[S1Shot]]*Prod[[#This Row],[S1Cycle]]/(Prod[[#This Row],[S1Hrs]]*60*60))</f>
        <v>1.04278125</v>
      </c>
      <c r="AT75" s="132">
        <f>IF(Prod[[#This Row],[S2Hrs]]=0,0,Prod[[#This Row],[S2Shot]]*Prod[[#This Row],[S2Cycle]]/(Prod[[#This Row],[S2Hrs]]*60*60))</f>
        <v>1.0725750000000001</v>
      </c>
      <c r="AU75" s="132">
        <f>IF(Prod[[#This Row],[S3Hrs]]=0,0,Prod[[#This Row],[S3Shot]]*Prod[[#This Row],[S3Cycle]]/(Prod[[#This Row],[S3Hrs]]*60*60))</f>
        <v>1.0266722222222224</v>
      </c>
      <c r="AV75" s="132">
        <f>IFERROR(AVERAGEIF(Prod[[#This Row],[S1%]:[S3%]], "&lt;&gt;0"),0)</f>
        <v>1.0473428240740741</v>
      </c>
      <c r="AW75" s="132">
        <v>0</v>
      </c>
      <c r="AX75" s="132">
        <v>0</v>
      </c>
      <c r="AY75" s="132">
        <v>0</v>
      </c>
      <c r="AZ75" s="175">
        <f>IF(Prod[[#This Row],[S1Cycle]]&lt;&gt;0,1,0)</f>
        <v>1</v>
      </c>
      <c r="BA75" s="175">
        <f>IF(Prod[[#This Row],[S2Cycle]]&lt;&gt;0,1,0)</f>
        <v>1</v>
      </c>
      <c r="BB75" s="175">
        <f>IF(Prod[[#This Row],[S3Cycle]]&lt;&gt;0,1,0)</f>
        <v>1</v>
      </c>
      <c r="BC75" s="175">
        <f>MAX(Prod[[#This Row],[S1Cavity]],Prod[[#This Row],[S2Cavity]],Prod[[#This Row],[S3Cavity]])</f>
        <v>16</v>
      </c>
      <c r="BD75" s="175" t="b">
        <f>RegExpMatch(Prod[[#This Row],[MoldNo]], "^DEO-(B|C)")</f>
        <v>0</v>
      </c>
      <c r="BE75" s="175" t="b">
        <f>RegExpMatch(Prod[[#This Row],[MoldNo]], "^JAC")</f>
        <v>0</v>
      </c>
    </row>
    <row r="76" spans="1:57" x14ac:dyDescent="0.2">
      <c r="A76" s="117">
        <v>45448</v>
      </c>
      <c r="B76" s="120" t="s">
        <v>196</v>
      </c>
      <c r="C76" s="119" t="s">
        <v>82</v>
      </c>
      <c r="D76" s="119">
        <v>25701</v>
      </c>
      <c r="E76" s="131" t="s">
        <v>199</v>
      </c>
      <c r="F76" s="119">
        <v>6331</v>
      </c>
      <c r="G76" s="119" t="str">
        <f>IF(OR(Prod[[#This Row],[S1Hrs]]&gt;0,Prod[[#This Row],[S2Hrs]]&gt;0,Prod[[#This Row],[S3Hrs]]&gt;0),"Running","Down")</f>
        <v>Running</v>
      </c>
      <c r="H76" s="194">
        <v>18.71</v>
      </c>
      <c r="I76" s="185">
        <v>8</v>
      </c>
      <c r="J76" s="130">
        <v>1548</v>
      </c>
      <c r="K76" s="130">
        <v>15</v>
      </c>
      <c r="L76" s="120">
        <f>Prod[[#This Row],[S1Shot]]*Prod[[#This Row],[S1Cavity]]-Prod[[#This Row],[S1Dft]]</f>
        <v>23220</v>
      </c>
      <c r="M76" s="134"/>
      <c r="N76" s="194">
        <v>18.71</v>
      </c>
      <c r="O76" s="185">
        <v>8</v>
      </c>
      <c r="P76" s="130">
        <v>1657</v>
      </c>
      <c r="Q76" s="130">
        <v>15</v>
      </c>
      <c r="R76" s="120">
        <f>Prod[[#This Row],[S2Shot]]*Prod[[#This Row],[S2Cavity]]-Prod[[#This Row],[S2Dft]]</f>
        <v>24855</v>
      </c>
      <c r="S76" s="134"/>
      <c r="T76" s="194">
        <v>18.72</v>
      </c>
      <c r="U76" s="185">
        <v>8</v>
      </c>
      <c r="V76" s="130">
        <v>1563</v>
      </c>
      <c r="W76" s="130">
        <v>15</v>
      </c>
      <c r="X76" s="120">
        <f>Prod[[#This Row],[S3Shot]]*Prod[[#This Row],[S3Cavity]]-Prod[[#This Row],[S3Dft]]</f>
        <v>23445</v>
      </c>
      <c r="Y76" s="134"/>
      <c r="Z76" s="120">
        <f>SUM(Prod[[#This Row],[S1Qty]],Prod[[#This Row],[S2Qty]],Prod[[#This Row],[S3Qty]])</f>
        <v>71520</v>
      </c>
      <c r="AA76" s="134"/>
      <c r="AB76" s="135"/>
      <c r="AC76" s="118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2">
        <f>IF(Prod[[#This Row],[S1Hrs]]=0,0,Prod[[#This Row],[S1Shot]]*Prod[[#This Row],[S1Cycle]]/(Prod[[#This Row],[S1Hrs]]*60*60))</f>
        <v>1.0056625000000001</v>
      </c>
      <c r="AT76" s="132">
        <f>IF(Prod[[#This Row],[S2Hrs]]=0,0,Prod[[#This Row],[S2Shot]]*Prod[[#This Row],[S2Cycle]]/(Prod[[#This Row],[S2Hrs]]*60*60))</f>
        <v>1.0764746527777778</v>
      </c>
      <c r="AU76" s="132">
        <f>IF(Prod[[#This Row],[S3Hrs]]=0,0,Prod[[#This Row],[S3Shot]]*Prod[[#This Row],[S3Cycle]]/(Prod[[#This Row],[S3Hrs]]*60*60))</f>
        <v>1.0159499999999999</v>
      </c>
      <c r="AV76" s="132">
        <f>IFERROR(AVERAGEIF(Prod[[#This Row],[S1%]:[S3%]], "&lt;&gt;0"),0)</f>
        <v>1.0326957175925926</v>
      </c>
      <c r="AW76" s="132">
        <v>0</v>
      </c>
      <c r="AX76" s="132">
        <v>0</v>
      </c>
      <c r="AY76" s="132">
        <v>0</v>
      </c>
      <c r="AZ76" s="175">
        <f>IF(Prod[[#This Row],[S1Cycle]]&lt;&gt;0,1,0)</f>
        <v>1</v>
      </c>
      <c r="BA76" s="175">
        <f>IF(Prod[[#This Row],[S2Cycle]]&lt;&gt;0,1,0)</f>
        <v>1</v>
      </c>
      <c r="BB76" s="175">
        <f>IF(Prod[[#This Row],[S3Cycle]]&lt;&gt;0,1,0)</f>
        <v>1</v>
      </c>
      <c r="BC76" s="175">
        <f>MAX(Prod[[#This Row],[S1Cavity]],Prod[[#This Row],[S2Cavity]],Prod[[#This Row],[S3Cavity]])</f>
        <v>15</v>
      </c>
      <c r="BD76" s="175" t="b">
        <f>RegExpMatch(Prod[[#This Row],[MoldNo]], "^DEO-(B|C)")</f>
        <v>0</v>
      </c>
      <c r="BE76" s="175" t="b">
        <f>RegExpMatch(Prod[[#This Row],[MoldNo]], "^JAC")</f>
        <v>0</v>
      </c>
    </row>
    <row r="77" spans="1:57" x14ac:dyDescent="0.2">
      <c r="A77" s="117">
        <v>45448</v>
      </c>
      <c r="B77" s="120" t="s">
        <v>192</v>
      </c>
      <c r="C77" s="131" t="s">
        <v>193</v>
      </c>
      <c r="D77" s="119"/>
      <c r="E77" s="131"/>
      <c r="F77" s="119"/>
      <c r="G77" s="119" t="str">
        <f>IF(OR(Prod[[#This Row],[S1Hrs]]&gt;0,Prod[[#This Row],[S2Hrs]]&gt;0,Prod[[#This Row],[S3Hrs]]&gt;0),"Running","Down")</f>
        <v>Down</v>
      </c>
      <c r="H77" s="194">
        <v>0</v>
      </c>
      <c r="I77" s="185">
        <v>0</v>
      </c>
      <c r="J77" s="130">
        <v>0</v>
      </c>
      <c r="K77" s="130">
        <v>0</v>
      </c>
      <c r="L77" s="120">
        <f>Prod[[#This Row],[S1Shot]]*Prod[[#This Row],[S1Cavity]]-Prod[[#This Row],[S1Dft]]</f>
        <v>0</v>
      </c>
      <c r="M77" s="134"/>
      <c r="N77" s="194">
        <v>0</v>
      </c>
      <c r="O77" s="185">
        <v>0</v>
      </c>
      <c r="P77" s="130">
        <v>0</v>
      </c>
      <c r="Q77" s="130">
        <v>0</v>
      </c>
      <c r="R77" s="120">
        <f>Prod[[#This Row],[S2Shot]]*Prod[[#This Row],[S2Cavity]]-Prod[[#This Row],[S2Dft]]</f>
        <v>0</v>
      </c>
      <c r="S77" s="134"/>
      <c r="T77" s="194">
        <v>0</v>
      </c>
      <c r="U77" s="185">
        <v>0</v>
      </c>
      <c r="V77" s="130">
        <v>0</v>
      </c>
      <c r="W77" s="130">
        <v>0</v>
      </c>
      <c r="X77" s="120">
        <f>Prod[[#This Row],[S3Shot]]*Prod[[#This Row],[S3Cavity]]-Prod[[#This Row],[S3Dft]]</f>
        <v>0</v>
      </c>
      <c r="Y77" s="134"/>
      <c r="Z77" s="120">
        <f>SUM(Prod[[#This Row],[S1Qty]],Prod[[#This Row],[S2Qty]],Prod[[#This Row],[S3Qty]])</f>
        <v>0</v>
      </c>
      <c r="AA77" s="134"/>
      <c r="AB77" s="135"/>
      <c r="AC77" s="118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2">
        <f>IF(Prod[[#This Row],[S1Hrs]]=0,0,Prod[[#This Row],[S1Shot]]*Prod[[#This Row],[S1Cycle]]/(Prod[[#This Row],[S1Hrs]]*60*60))</f>
        <v>0</v>
      </c>
      <c r="AT77" s="132">
        <f>IF(Prod[[#This Row],[S2Hrs]]=0,0,Prod[[#This Row],[S2Shot]]*Prod[[#This Row],[S2Cycle]]/(Prod[[#This Row],[S2Hrs]]*60*60))</f>
        <v>0</v>
      </c>
      <c r="AU77" s="132">
        <f>IF(Prod[[#This Row],[S3Hrs]]=0,0,Prod[[#This Row],[S3Shot]]*Prod[[#This Row],[S3Cycle]]/(Prod[[#This Row],[S3Hrs]]*60*60))</f>
        <v>0</v>
      </c>
      <c r="AV77" s="132">
        <f>IFERROR(AVERAGEIF(Prod[[#This Row],[S1%]:[S3%]], "&lt;&gt;0"),0)</f>
        <v>0</v>
      </c>
      <c r="AW77" s="132">
        <v>0</v>
      </c>
      <c r="AX77" s="132">
        <v>0</v>
      </c>
      <c r="AY77" s="132">
        <v>0</v>
      </c>
      <c r="AZ77" s="175">
        <f>IF(Prod[[#This Row],[S1Cycle]]&lt;&gt;0,1,0)</f>
        <v>0</v>
      </c>
      <c r="BA77" s="175">
        <f>IF(Prod[[#This Row],[S2Cycle]]&lt;&gt;0,1,0)</f>
        <v>0</v>
      </c>
      <c r="BB77" s="175">
        <f>IF(Prod[[#This Row],[S3Cycle]]&lt;&gt;0,1,0)</f>
        <v>0</v>
      </c>
      <c r="BC77" s="175">
        <f>MAX(Prod[[#This Row],[S1Cavity]],Prod[[#This Row],[S2Cavity]],Prod[[#This Row],[S3Cavity]])</f>
        <v>0</v>
      </c>
      <c r="BD77" s="175" t="b">
        <f>RegExpMatch(Prod[[#This Row],[MoldNo]], "^DEO-(B|C)")</f>
        <v>0</v>
      </c>
      <c r="BE77" s="175" t="b">
        <f>RegExpMatch(Prod[[#This Row],[MoldNo]], "^JAC")</f>
        <v>0</v>
      </c>
    </row>
    <row r="78" spans="1:57" x14ac:dyDescent="0.2">
      <c r="A78" s="117">
        <v>45448</v>
      </c>
      <c r="B78" s="120" t="s">
        <v>168</v>
      </c>
      <c r="C78" s="119" t="s">
        <v>169</v>
      </c>
      <c r="D78" s="119">
        <v>26684</v>
      </c>
      <c r="E78" s="131" t="s">
        <v>199</v>
      </c>
      <c r="F78" s="119">
        <v>814</v>
      </c>
      <c r="G78" s="119" t="str">
        <f>IF(OR(Prod[[#This Row],[S1Hrs]]&gt;0,Prod[[#This Row],[S2Hrs]]&gt;0,Prod[[#This Row],[S3Hrs]]&gt;0),"Running","Down")</f>
        <v>Running</v>
      </c>
      <c r="H78" s="194">
        <v>16.510000000000002</v>
      </c>
      <c r="I78" s="185">
        <v>2.5</v>
      </c>
      <c r="J78" s="130">
        <v>597</v>
      </c>
      <c r="K78" s="130">
        <v>15</v>
      </c>
      <c r="L78" s="120">
        <f>Prod[[#This Row],[S1Shot]]*Prod[[#This Row],[S1Cavity]]-Prod[[#This Row],[S1Dft]]</f>
        <v>8955</v>
      </c>
      <c r="M78" s="134"/>
      <c r="N78" s="194">
        <v>0</v>
      </c>
      <c r="O78" s="185">
        <v>0</v>
      </c>
      <c r="P78" s="130">
        <v>0</v>
      </c>
      <c r="Q78" s="130">
        <v>0</v>
      </c>
      <c r="R78" s="120">
        <f>Prod[[#This Row],[S2Shot]]*Prod[[#This Row],[S2Cavity]]-Prod[[#This Row],[S2Dft]]</f>
        <v>0</v>
      </c>
      <c r="S78" s="134"/>
      <c r="T78" s="194">
        <v>0</v>
      </c>
      <c r="U78" s="185">
        <v>0</v>
      </c>
      <c r="V78" s="130">
        <v>0</v>
      </c>
      <c r="W78" s="130">
        <v>0</v>
      </c>
      <c r="X78" s="120">
        <f>Prod[[#This Row],[S3Shot]]*Prod[[#This Row],[S3Cavity]]-Prod[[#This Row],[S3Dft]]</f>
        <v>0</v>
      </c>
      <c r="Y78" s="134"/>
      <c r="Z78" s="120">
        <f>SUM(Prod[[#This Row],[S1Qty]],Prod[[#This Row],[S2Qty]],Prod[[#This Row],[S3Qty]])</f>
        <v>8955</v>
      </c>
      <c r="AA78" s="134"/>
      <c r="AB78" s="135"/>
      <c r="AC78" s="131" t="s">
        <v>221</v>
      </c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2">
        <f>IF(Prod[[#This Row],[S1Hrs]]=0,0,Prod[[#This Row],[S1Shot]]*Prod[[#This Row],[S1Cycle]]/(Prod[[#This Row],[S1Hrs]]*60*60))</f>
        <v>1.0951633333333335</v>
      </c>
      <c r="AT78" s="132">
        <f>IF(Prod[[#This Row],[S2Hrs]]=0,0,Prod[[#This Row],[S2Shot]]*Prod[[#This Row],[S2Cycle]]/(Prod[[#This Row],[S2Hrs]]*60*60))</f>
        <v>0</v>
      </c>
      <c r="AU78" s="132">
        <f>IF(Prod[[#This Row],[S3Hrs]]=0,0,Prod[[#This Row],[S3Shot]]*Prod[[#This Row],[S3Cycle]]/(Prod[[#This Row],[S3Hrs]]*60*60))</f>
        <v>0</v>
      </c>
      <c r="AV78" s="132">
        <f>IFERROR(AVERAGEIF(Prod[[#This Row],[S1%]:[S3%]], "&lt;&gt;0"),0)</f>
        <v>1.0951633333333335</v>
      </c>
      <c r="AW78" s="132">
        <v>0.5</v>
      </c>
      <c r="AX78" s="132">
        <v>0</v>
      </c>
      <c r="AY78" s="132">
        <v>0</v>
      </c>
      <c r="AZ78" s="175">
        <f>IF(Prod[[#This Row],[S1Cycle]]&lt;&gt;0,1,0)</f>
        <v>1</v>
      </c>
      <c r="BA78" s="175">
        <f>IF(Prod[[#This Row],[S2Cycle]]&lt;&gt;0,1,0)</f>
        <v>0</v>
      </c>
      <c r="BB78" s="175">
        <f>IF(Prod[[#This Row],[S3Cycle]]&lt;&gt;0,1,0)</f>
        <v>0</v>
      </c>
      <c r="BC78" s="175">
        <f>MAX(Prod[[#This Row],[S1Cavity]],Prod[[#This Row],[S2Cavity]],Prod[[#This Row],[S3Cavity]])</f>
        <v>15</v>
      </c>
      <c r="BD78" s="175" t="b">
        <f>RegExpMatch(Prod[[#This Row],[MoldNo]], "^DEO-(B|C)")</f>
        <v>0</v>
      </c>
      <c r="BE78" s="175" t="b">
        <f>RegExpMatch(Prod[[#This Row],[MoldNo]], "^JAC")</f>
        <v>0</v>
      </c>
    </row>
    <row r="79" spans="1:57" x14ac:dyDescent="0.2">
      <c r="A79" s="117">
        <v>45448</v>
      </c>
      <c r="B79" s="120" t="s">
        <v>146</v>
      </c>
      <c r="C79" s="119" t="s">
        <v>84</v>
      </c>
      <c r="D79" s="119">
        <v>27501</v>
      </c>
      <c r="E79" s="131" t="s">
        <v>199</v>
      </c>
      <c r="F79" s="119">
        <v>6331</v>
      </c>
      <c r="G79" s="119" t="str">
        <f>IF(OR(Prod[[#This Row],[S1Hrs]]&gt;0,Prod[[#This Row],[S2Hrs]]&gt;0,Prod[[#This Row],[S3Hrs]]&gt;0),"Running","Down")</f>
        <v>Running</v>
      </c>
      <c r="H79" s="194">
        <v>14.28</v>
      </c>
      <c r="I79" s="185">
        <v>7</v>
      </c>
      <c r="J79" s="130">
        <v>1590</v>
      </c>
      <c r="K79" s="130">
        <v>8</v>
      </c>
      <c r="L79" s="120">
        <f>Prod[[#This Row],[S1Shot]]*Prod[[#This Row],[S1Cavity]]-Prod[[#This Row],[S1Dft]]</f>
        <v>12720</v>
      </c>
      <c r="M79" s="134"/>
      <c r="N79" s="194">
        <v>14.28</v>
      </c>
      <c r="O79" s="185">
        <v>2.5</v>
      </c>
      <c r="P79" s="130">
        <v>673</v>
      </c>
      <c r="Q79" s="130">
        <v>8</v>
      </c>
      <c r="R79" s="120">
        <f>Prod[[#This Row],[S2Shot]]*Prod[[#This Row],[S2Cavity]]-Prod[[#This Row],[S2Dft]]</f>
        <v>5384</v>
      </c>
      <c r="S79" s="134"/>
      <c r="T79" s="194">
        <v>0</v>
      </c>
      <c r="U79" s="185">
        <v>0</v>
      </c>
      <c r="V79" s="130">
        <v>0</v>
      </c>
      <c r="W79" s="130">
        <v>0</v>
      </c>
      <c r="X79" s="120">
        <f>Prod[[#This Row],[S3Shot]]*Prod[[#This Row],[S3Cavity]]-Prod[[#This Row],[S3Dft]]</f>
        <v>0</v>
      </c>
      <c r="Y79" s="134"/>
      <c r="Z79" s="120">
        <f>SUM(Prod[[#This Row],[S1Qty]],Prod[[#This Row],[S2Qty]],Prod[[#This Row],[S3Qty]])</f>
        <v>18104</v>
      </c>
      <c r="AA79" s="134"/>
      <c r="AB79" s="135"/>
      <c r="AC79" s="118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2">
        <f>IF(Prod[[#This Row],[S1Hrs]]=0,0,Prod[[#This Row],[S1Shot]]*Prod[[#This Row],[S1Cycle]]/(Prod[[#This Row],[S1Hrs]]*60*60))</f>
        <v>0.90100000000000002</v>
      </c>
      <c r="AT79" s="132">
        <f>IF(Prod[[#This Row],[S2Hrs]]=0,0,Prod[[#This Row],[S2Shot]]*Prod[[#This Row],[S2Cycle]]/(Prod[[#This Row],[S2Hrs]]*60*60))</f>
        <v>1.0678266666666665</v>
      </c>
      <c r="AU79" s="132">
        <f>IF(Prod[[#This Row],[S3Hrs]]=0,0,Prod[[#This Row],[S3Shot]]*Prod[[#This Row],[S3Cycle]]/(Prod[[#This Row],[S3Hrs]]*60*60))</f>
        <v>0</v>
      </c>
      <c r="AV79" s="132">
        <f>IFERROR(AVERAGEIF(Prod[[#This Row],[S1%]:[S3%]], "&lt;&gt;0"),0)</f>
        <v>0.98441333333333325</v>
      </c>
      <c r="AW79" s="132">
        <v>0.5</v>
      </c>
      <c r="AX79" s="132">
        <v>0</v>
      </c>
      <c r="AY79" s="132">
        <v>0</v>
      </c>
      <c r="AZ79" s="175">
        <f>IF(Prod[[#This Row],[S1Cycle]]&lt;&gt;0,1,0)</f>
        <v>1</v>
      </c>
      <c r="BA79" s="175">
        <f>IF(Prod[[#This Row],[S2Cycle]]&lt;&gt;0,1,0)</f>
        <v>1</v>
      </c>
      <c r="BB79" s="175">
        <f>IF(Prod[[#This Row],[S3Cycle]]&lt;&gt;0,1,0)</f>
        <v>0</v>
      </c>
      <c r="BC79" s="175">
        <f>MAX(Prod[[#This Row],[S1Cavity]],Prod[[#This Row],[S2Cavity]],Prod[[#This Row],[S3Cavity]])</f>
        <v>8</v>
      </c>
      <c r="BD79" s="175" t="b">
        <f>RegExpMatch(Prod[[#This Row],[MoldNo]], "^DEO-(B|C)")</f>
        <v>0</v>
      </c>
      <c r="BE79" s="175" t="b">
        <f>RegExpMatch(Prod[[#This Row],[MoldNo]], "^JAC")</f>
        <v>0</v>
      </c>
    </row>
    <row r="80" spans="1:57" x14ac:dyDescent="0.2">
      <c r="A80" s="117">
        <v>45448</v>
      </c>
      <c r="B80" s="130" t="s">
        <v>194</v>
      </c>
      <c r="C80" s="131" t="s">
        <v>9</v>
      </c>
      <c r="D80" s="119">
        <v>27430</v>
      </c>
      <c r="E80" s="131" t="s">
        <v>209</v>
      </c>
      <c r="F80" s="119">
        <v>6331</v>
      </c>
      <c r="G80" s="119" t="str">
        <f>IF(OR(Prod[[#This Row],[S1Hrs]]&gt;0,Prod[[#This Row],[S2Hrs]]&gt;0,Prod[[#This Row],[S3Hrs]]&gt;0),"Running","Down")</f>
        <v>Running</v>
      </c>
      <c r="H80" s="194">
        <v>21.31</v>
      </c>
      <c r="I80" s="185">
        <v>8</v>
      </c>
      <c r="J80" s="130">
        <v>1379</v>
      </c>
      <c r="K80" s="130">
        <v>8</v>
      </c>
      <c r="L80" s="120">
        <f>Prod[[#This Row],[S1Shot]]*Prod[[#This Row],[S1Cavity]]-Prod[[#This Row],[S1Dft]]</f>
        <v>11032</v>
      </c>
      <c r="M80" s="134"/>
      <c r="N80" s="194">
        <v>15.9</v>
      </c>
      <c r="O80" s="185">
        <v>8</v>
      </c>
      <c r="P80" s="130">
        <v>1502</v>
      </c>
      <c r="Q80" s="130">
        <v>8</v>
      </c>
      <c r="R80" s="120">
        <f>Prod[[#This Row],[S2Shot]]*Prod[[#This Row],[S2Cavity]]-Prod[[#This Row],[S2Dft]]</f>
        <v>12016</v>
      </c>
      <c r="S80" s="134"/>
      <c r="T80" s="194">
        <v>15.95</v>
      </c>
      <c r="U80" s="185">
        <v>8</v>
      </c>
      <c r="V80" s="130">
        <v>1884</v>
      </c>
      <c r="W80" s="130">
        <v>8</v>
      </c>
      <c r="X80" s="120">
        <f>Prod[[#This Row],[S3Shot]]*Prod[[#This Row],[S3Cavity]]-Prod[[#This Row],[S3Dft]]</f>
        <v>15072</v>
      </c>
      <c r="Y80" s="134"/>
      <c r="Z80" s="120">
        <f>SUM(Prod[[#This Row],[S1Qty]],Prod[[#This Row],[S2Qty]],Prod[[#This Row],[S3Qty]])</f>
        <v>38120</v>
      </c>
      <c r="AA80" s="134"/>
      <c r="AB80" s="135"/>
      <c r="AC80" s="118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2">
        <f>IF(Prod[[#This Row],[S1Hrs]]=0,0,Prod[[#This Row],[S1Shot]]*Prod[[#This Row],[S1Cycle]]/(Prod[[#This Row],[S1Hrs]]*60*60))</f>
        <v>1.0203642361111109</v>
      </c>
      <c r="AT80" s="132">
        <f>IF(Prod[[#This Row],[S2Hrs]]=0,0,Prod[[#This Row],[S2Shot]]*Prod[[#This Row],[S2Cycle]]/(Prod[[#This Row],[S2Hrs]]*60*60))</f>
        <v>0.82922916666666668</v>
      </c>
      <c r="AU80" s="132">
        <f>IF(Prod[[#This Row],[S3Hrs]]=0,0,Prod[[#This Row],[S3Shot]]*Prod[[#This Row],[S3Cycle]]/(Prod[[#This Row],[S3Hrs]]*60*60))</f>
        <v>1.0433958333333333</v>
      </c>
      <c r="AV80" s="132">
        <f>IFERROR(AVERAGEIF(Prod[[#This Row],[S1%]:[S3%]], "&lt;&gt;0"),0)</f>
        <v>0.96432974537037042</v>
      </c>
      <c r="AW80" s="132">
        <v>0</v>
      </c>
      <c r="AX80" s="132">
        <v>0</v>
      </c>
      <c r="AY80" s="132">
        <v>0</v>
      </c>
      <c r="AZ80" s="175">
        <f>IF(Prod[[#This Row],[S1Cycle]]&lt;&gt;0,1,0)</f>
        <v>1</v>
      </c>
      <c r="BA80" s="175">
        <f>IF(Prod[[#This Row],[S2Cycle]]&lt;&gt;0,1,0)</f>
        <v>1</v>
      </c>
      <c r="BB80" s="175">
        <f>IF(Prod[[#This Row],[S3Cycle]]&lt;&gt;0,1,0)</f>
        <v>1</v>
      </c>
      <c r="BC80" s="175">
        <f>MAX(Prod[[#This Row],[S1Cavity]],Prod[[#This Row],[S2Cavity]],Prod[[#This Row],[S3Cavity]])</f>
        <v>8</v>
      </c>
      <c r="BD80" s="175" t="b">
        <f>RegExpMatch(Prod[[#This Row],[MoldNo]], "^DEO-(B|C)")</f>
        <v>0</v>
      </c>
      <c r="BE80" s="175" t="b">
        <f>RegExpMatch(Prod[[#This Row],[MoldNo]], "^JAC")</f>
        <v>0</v>
      </c>
    </row>
    <row r="81" spans="1:57" x14ac:dyDescent="0.2">
      <c r="A81" s="117">
        <v>45448</v>
      </c>
      <c r="B81" s="130" t="s">
        <v>164</v>
      </c>
      <c r="C81" s="131" t="s">
        <v>144</v>
      </c>
      <c r="D81" s="119">
        <v>27715</v>
      </c>
      <c r="E81" s="131" t="s">
        <v>199</v>
      </c>
      <c r="F81" s="119">
        <v>814</v>
      </c>
      <c r="G81" s="119" t="str">
        <f>IF(OR(Prod[[#This Row],[S1Hrs]]&gt;0,Prod[[#This Row],[S2Hrs]]&gt;0,Prod[[#This Row],[S3Hrs]]&gt;0),"Running","Down")</f>
        <v>Running</v>
      </c>
      <c r="H81" s="194">
        <v>19.190000000000001</v>
      </c>
      <c r="I81" s="185">
        <v>3</v>
      </c>
      <c r="J81" s="130">
        <v>493</v>
      </c>
      <c r="K81" s="130">
        <v>8</v>
      </c>
      <c r="L81" s="120">
        <f>Prod[[#This Row],[S1Shot]]*Prod[[#This Row],[S1Cavity]]-Prod[[#This Row],[S1Dft]]</f>
        <v>3904</v>
      </c>
      <c r="M81" s="136">
        <f>SUM(Prod[[#This Row],[S1Mold]],Prod[[#This Row],[S1Print]],Prod[[#This Row],[S1Ovlp]],Prod[[#This Row],[S1Seam]],Prod[[#This Row],[S1Dmg]])</f>
        <v>40</v>
      </c>
      <c r="N81" s="194">
        <v>0</v>
      </c>
      <c r="O81" s="185">
        <v>0</v>
      </c>
      <c r="P81" s="130">
        <v>0</v>
      </c>
      <c r="Q81" s="130">
        <v>0</v>
      </c>
      <c r="R81" s="120">
        <f>Prod[[#This Row],[S2Shot]]*Prod[[#This Row],[S2Cavity]]-Prod[[#This Row],[S2Dft]]</f>
        <v>0</v>
      </c>
      <c r="S81" s="136">
        <f>SUM(Prod[[#This Row],[S2Mold]],Prod[[#This Row],[S2Print]],Prod[[#This Row],[S2Ovlp]],Prod[[#This Row],[S2Seam]],Prod[[#This Row],[S2Dmg]])</f>
        <v>0</v>
      </c>
      <c r="T81" s="194">
        <v>0</v>
      </c>
      <c r="U81" s="185">
        <v>0</v>
      </c>
      <c r="V81" s="130">
        <v>0</v>
      </c>
      <c r="W81" s="130">
        <v>0</v>
      </c>
      <c r="X81" s="120">
        <f>Prod[[#This Row],[S3Shot]]*Prod[[#This Row],[S3Cavity]]-Prod[[#This Row],[S3Dft]]</f>
        <v>0</v>
      </c>
      <c r="Y81" s="120">
        <f>SUM(Prod[[#This Row],[S3Mold]],Prod[[#This Row],[S3Print]],Prod[[#This Row],[S3Ovlp]],Prod[[#This Row],[S3Seam]],Prod[[#This Row],[S3Dmg]])</f>
        <v>0</v>
      </c>
      <c r="Z81" s="120">
        <f>SUM(Prod[[#This Row],[S1Qty]],Prod[[#This Row],[S2Qty]],Prod[[#This Row],[S3Qty]])</f>
        <v>3904</v>
      </c>
      <c r="AA81" s="120">
        <f>SUM(Prod[[#This Row],[S1Dft]],Prod[[#This Row],[S2Dft]],Prod[[#This Row],[S3Dft]])</f>
        <v>40</v>
      </c>
      <c r="AB81" s="121">
        <f>IF(Prod[[#This Row],[Total]]=0,0,Prod[[#This Row],[TotalDft]]/Prod[[#This Row],[Total]])</f>
        <v>1.0245901639344262E-2</v>
      </c>
      <c r="AC81" s="131" t="s">
        <v>217</v>
      </c>
      <c r="AD81" s="120">
        <v>5</v>
      </c>
      <c r="AE81" s="120">
        <v>0</v>
      </c>
      <c r="AF81" s="120">
        <v>0</v>
      </c>
      <c r="AG81" s="120">
        <v>35</v>
      </c>
      <c r="AH81" s="120">
        <v>0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32">
        <f>IF(Prod[[#This Row],[S1Hrs]]=0,0,Prod[[#This Row],[S1Shot]]*Prod[[#This Row],[S1Cycle]]/(Prod[[#This Row],[S1Hrs]]*60*60))</f>
        <v>0.875987962962963</v>
      </c>
      <c r="AT81" s="132">
        <f>IF(Prod[[#This Row],[S2Hrs]]=0,0,Prod[[#This Row],[S2Shot]]*Prod[[#This Row],[S2Cycle]]/(Prod[[#This Row],[S2Hrs]]*60*60))</f>
        <v>0</v>
      </c>
      <c r="AU81" s="132">
        <f>IF(Prod[[#This Row],[S3Hrs]]=0,0,Prod[[#This Row],[S3Shot]]*Prod[[#This Row],[S3Cycle]]/(Prod[[#This Row],[S3Hrs]]*60*60))</f>
        <v>0</v>
      </c>
      <c r="AV81" s="132">
        <f>IFERROR(AVERAGEIF(Prod[[#This Row],[S1%]:[S3%]], "&lt;&gt;0"),0)</f>
        <v>0.875987962962963</v>
      </c>
      <c r="AW81" s="132">
        <v>0.5</v>
      </c>
      <c r="AX81" s="132">
        <v>0</v>
      </c>
      <c r="AY81" s="132">
        <v>0</v>
      </c>
      <c r="AZ81" s="175">
        <f>IF(Prod[[#This Row],[S1Cycle]]&lt;&gt;0,1,0)</f>
        <v>1</v>
      </c>
      <c r="BA81" s="175">
        <f>IF(Prod[[#This Row],[S2Cycle]]&lt;&gt;0,1,0)</f>
        <v>0</v>
      </c>
      <c r="BB81" s="175">
        <f>IF(Prod[[#This Row],[S3Cycle]]&lt;&gt;0,1,0)</f>
        <v>0</v>
      </c>
      <c r="BC81" s="175">
        <f>MAX(Prod[[#This Row],[S1Cavity]],Prod[[#This Row],[S2Cavity]],Prod[[#This Row],[S3Cavity]])</f>
        <v>8</v>
      </c>
      <c r="BD81" s="175" t="b">
        <f>RegExpMatch(Prod[[#This Row],[MoldNo]], "^DEO-(B|C)")</f>
        <v>1</v>
      </c>
      <c r="BE81" s="175" t="b">
        <f>RegExpMatch(Prod[[#This Row],[MoldNo]], "^JAC")</f>
        <v>0</v>
      </c>
    </row>
    <row r="82" spans="1:57" x14ac:dyDescent="0.2">
      <c r="A82" s="117">
        <v>45448</v>
      </c>
      <c r="B82" s="130" t="s">
        <v>162</v>
      </c>
      <c r="C82" s="131" t="s">
        <v>163</v>
      </c>
      <c r="D82" s="119">
        <v>27714</v>
      </c>
      <c r="E82" s="131" t="s">
        <v>199</v>
      </c>
      <c r="F82" s="119">
        <v>814</v>
      </c>
      <c r="G82" s="119" t="str">
        <f>IF(OR(Prod[[#This Row],[S1Hrs]]&gt;0,Prod[[#This Row],[S2Hrs]]&gt;0,Prod[[#This Row],[S3Hrs]]&gt;0),"Running","Down")</f>
        <v>Running</v>
      </c>
      <c r="H82" s="194">
        <v>22.19</v>
      </c>
      <c r="I82" s="185">
        <v>8</v>
      </c>
      <c r="J82" s="130">
        <v>1057</v>
      </c>
      <c r="K82" s="130">
        <v>8</v>
      </c>
      <c r="L82" s="120">
        <f>Prod[[#This Row],[S1Shot]]*Prod[[#This Row],[S1Cavity]]-Prod[[#This Row],[S1Dft]]</f>
        <v>8336</v>
      </c>
      <c r="M82" s="136">
        <f>SUM(Prod[[#This Row],[S1Mold]],Prod[[#This Row],[S1Print]],Prod[[#This Row],[S1Ovlp]],Prod[[#This Row],[S1Seam]],Prod[[#This Row],[S1Dmg]])</f>
        <v>120</v>
      </c>
      <c r="N82" s="194">
        <v>22.18</v>
      </c>
      <c r="O82" s="185">
        <v>5.5</v>
      </c>
      <c r="P82" s="130">
        <v>893</v>
      </c>
      <c r="Q82" s="130">
        <v>8</v>
      </c>
      <c r="R82" s="120">
        <f>Prod[[#This Row],[S2Shot]]*Prod[[#This Row],[S2Cavity]]-Prod[[#This Row],[S2Dft]]</f>
        <v>7049</v>
      </c>
      <c r="S82" s="136">
        <f>SUM(Prod[[#This Row],[S2Mold]],Prod[[#This Row],[S2Print]],Prod[[#This Row],[S2Ovlp]],Prod[[#This Row],[S2Seam]],Prod[[#This Row],[S2Dmg]])</f>
        <v>95</v>
      </c>
      <c r="T82" s="194">
        <v>0</v>
      </c>
      <c r="U82" s="185">
        <v>0</v>
      </c>
      <c r="V82" s="130">
        <v>0</v>
      </c>
      <c r="W82" s="130">
        <v>0</v>
      </c>
      <c r="X82" s="120">
        <f>Prod[[#This Row],[S3Shot]]*Prod[[#This Row],[S3Cavity]]-Prod[[#This Row],[S3Dft]]</f>
        <v>0</v>
      </c>
      <c r="Y82" s="120">
        <f>SUM(Prod[[#This Row],[S3Mold]],Prod[[#This Row],[S3Print]],Prod[[#This Row],[S3Ovlp]],Prod[[#This Row],[S3Seam]],Prod[[#This Row],[S3Dmg]])</f>
        <v>0</v>
      </c>
      <c r="Z82" s="120">
        <f>SUM(Prod[[#This Row],[S1Qty]],Prod[[#This Row],[S2Qty]],Prod[[#This Row],[S3Qty]])</f>
        <v>15385</v>
      </c>
      <c r="AA82" s="120">
        <f>SUM(Prod[[#This Row],[S1Dft]],Prod[[#This Row],[S2Dft]],Prod[[#This Row],[S3Dft]])</f>
        <v>215</v>
      </c>
      <c r="AB82" s="121">
        <f>IF(Prod[[#This Row],[Total]]=0,0,Prod[[#This Row],[TotalDft]]/Prod[[#This Row],[Total]])</f>
        <v>1.3974650633734157E-2</v>
      </c>
      <c r="AC82" s="131" t="s">
        <v>218</v>
      </c>
      <c r="AD82" s="120">
        <v>20</v>
      </c>
      <c r="AE82" s="120">
        <v>15</v>
      </c>
      <c r="AF82" s="120">
        <v>0</v>
      </c>
      <c r="AG82" s="120">
        <v>100</v>
      </c>
      <c r="AH82" s="120">
        <v>80</v>
      </c>
      <c r="AI82" s="120">
        <v>0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32">
        <f>IF(Prod[[#This Row],[S1Hrs]]=0,0,Prod[[#This Row],[S1Shot]]*Prod[[#This Row],[S1Cycle]]/(Prod[[#This Row],[S1Hrs]]*60*60))</f>
        <v>0.81440381944444451</v>
      </c>
      <c r="AT82" s="132">
        <f>IF(Prod[[#This Row],[S2Hrs]]=0,0,Prod[[#This Row],[S2Shot]]*Prod[[#This Row],[S2Cycle]]/(Prod[[#This Row],[S2Hrs]]*60*60))</f>
        <v>1.000340404040404</v>
      </c>
      <c r="AU82" s="132">
        <f>IF(Prod[[#This Row],[S3Hrs]]=0,0,Prod[[#This Row],[S3Shot]]*Prod[[#This Row],[S3Cycle]]/(Prod[[#This Row],[S3Hrs]]*60*60))</f>
        <v>0</v>
      </c>
      <c r="AV82" s="132">
        <f>IFERROR(AVERAGEIF(Prod[[#This Row],[S1%]:[S3%]], "&lt;&gt;0"),0)</f>
        <v>0.90737211174242427</v>
      </c>
      <c r="AW82" s="132">
        <v>0.5</v>
      </c>
      <c r="AX82" s="132">
        <v>0</v>
      </c>
      <c r="AY82" s="132">
        <v>0</v>
      </c>
      <c r="AZ82" s="175">
        <f>IF(Prod[[#This Row],[S1Cycle]]&lt;&gt;0,1,0)</f>
        <v>1</v>
      </c>
      <c r="BA82" s="175">
        <f>IF(Prod[[#This Row],[S2Cycle]]&lt;&gt;0,1,0)</f>
        <v>1</v>
      </c>
      <c r="BB82" s="175">
        <f>IF(Prod[[#This Row],[S3Cycle]]&lt;&gt;0,1,0)</f>
        <v>0</v>
      </c>
      <c r="BC82" s="175">
        <f>MAX(Prod[[#This Row],[S1Cavity]],Prod[[#This Row],[S2Cavity]],Prod[[#This Row],[S3Cavity]])</f>
        <v>8</v>
      </c>
      <c r="BD82" s="175" t="b">
        <f>RegExpMatch(Prod[[#This Row],[MoldNo]], "^DEO-(B|C)")</f>
        <v>1</v>
      </c>
      <c r="BE82" s="175" t="b">
        <f>RegExpMatch(Prod[[#This Row],[MoldNo]], "^JAC")</f>
        <v>0</v>
      </c>
    </row>
    <row r="83" spans="1:57" x14ac:dyDescent="0.2">
      <c r="A83" s="117">
        <v>45448</v>
      </c>
      <c r="B83" s="130" t="s">
        <v>174</v>
      </c>
      <c r="C83" s="131" t="s">
        <v>175</v>
      </c>
      <c r="D83" s="119">
        <v>27430</v>
      </c>
      <c r="E83" s="131" t="s">
        <v>209</v>
      </c>
      <c r="F83" s="119">
        <v>6331</v>
      </c>
      <c r="G83" s="119" t="str">
        <f>IF(OR(Prod[[#This Row],[S1Hrs]]&gt;0,Prod[[#This Row],[S2Hrs]]&gt;0,Prod[[#This Row],[S3Hrs]]&gt;0),"Running","Down")</f>
        <v>Running</v>
      </c>
      <c r="H83" s="194">
        <v>20.79</v>
      </c>
      <c r="I83" s="185">
        <v>8</v>
      </c>
      <c r="J83" s="130">
        <v>1414</v>
      </c>
      <c r="K83" s="130">
        <v>8</v>
      </c>
      <c r="L83" s="120">
        <f>Prod[[#This Row],[S1Shot]]*Prod[[#This Row],[S1Cavity]]-Prod[[#This Row],[S1Dft]]</f>
        <v>11162</v>
      </c>
      <c r="M83" s="136">
        <f>SUM(Prod[[#This Row],[S1Mold]],Prod[[#This Row],[S1Print]],Prod[[#This Row],[S1Ovlp]],Prod[[#This Row],[S1Seam]],Prod[[#This Row],[S1Dmg]])</f>
        <v>150</v>
      </c>
      <c r="N83" s="194">
        <v>20.78</v>
      </c>
      <c r="O83" s="185">
        <v>8</v>
      </c>
      <c r="P83" s="130">
        <v>1436</v>
      </c>
      <c r="Q83" s="130">
        <v>8</v>
      </c>
      <c r="R83" s="120">
        <f>Prod[[#This Row],[S2Shot]]*Prod[[#This Row],[S2Cavity]]-Prod[[#This Row],[S2Dft]]</f>
        <v>11348</v>
      </c>
      <c r="S83" s="136">
        <f>SUM(Prod[[#This Row],[S2Mold]],Prod[[#This Row],[S2Print]],Prod[[#This Row],[S2Ovlp]],Prod[[#This Row],[S2Seam]],Prod[[#This Row],[S2Dmg]])</f>
        <v>140</v>
      </c>
      <c r="T83" s="194">
        <v>20.81</v>
      </c>
      <c r="U83" s="185">
        <v>8</v>
      </c>
      <c r="V83" s="130">
        <v>1322</v>
      </c>
      <c r="W83" s="130">
        <v>8</v>
      </c>
      <c r="X83" s="120">
        <f>Prod[[#This Row],[S3Shot]]*Prod[[#This Row],[S3Cavity]]-Prod[[#This Row],[S3Dft]]</f>
        <v>10431</v>
      </c>
      <c r="Y83" s="120">
        <f>SUM(Prod[[#This Row],[S3Mold]],Prod[[#This Row],[S3Print]],Prod[[#This Row],[S3Ovlp]],Prod[[#This Row],[S3Seam]],Prod[[#This Row],[S3Dmg]])</f>
        <v>145</v>
      </c>
      <c r="Z83" s="120">
        <f>SUM(Prod[[#This Row],[S1Qty]],Prod[[#This Row],[S2Qty]],Prod[[#This Row],[S3Qty]])</f>
        <v>32941</v>
      </c>
      <c r="AA83" s="120">
        <f>SUM(Prod[[#This Row],[S1Dft]],Prod[[#This Row],[S2Dft]],Prod[[#This Row],[S3Dft]])</f>
        <v>435</v>
      </c>
      <c r="AB83" s="121">
        <f>IF(Prod[[#This Row],[Total]]=0,0,Prod[[#This Row],[TotalDft]]/Prod[[#This Row],[Total]])</f>
        <v>1.3205427886220819E-2</v>
      </c>
      <c r="AC83" s="131"/>
      <c r="AD83" s="120">
        <v>25</v>
      </c>
      <c r="AE83" s="120">
        <v>20</v>
      </c>
      <c r="AF83" s="120">
        <v>25</v>
      </c>
      <c r="AG83" s="120">
        <v>125</v>
      </c>
      <c r="AH83" s="120">
        <v>120</v>
      </c>
      <c r="AI83" s="120">
        <v>120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32">
        <f>IF(Prod[[#This Row],[S1Hrs]]=0,0,Prod[[#This Row],[S1Shot]]*Prod[[#This Row],[S1Cycle]]/(Prod[[#This Row],[S1Hrs]]*60*60))</f>
        <v>1.0207312499999999</v>
      </c>
      <c r="AT83" s="132">
        <f>IF(Prod[[#This Row],[S2Hrs]]=0,0,Prod[[#This Row],[S2Shot]]*Prod[[#This Row],[S2Cycle]]/(Prod[[#This Row],[S2Hrs]]*60*60))</f>
        <v>1.036113888888889</v>
      </c>
      <c r="AU83" s="132">
        <f>IF(Prod[[#This Row],[S3Hrs]]=0,0,Prod[[#This Row],[S3Shot]]*Prod[[#This Row],[S3Cycle]]/(Prod[[#This Row],[S3Hrs]]*60*60))</f>
        <v>0.95523680555555557</v>
      </c>
      <c r="AV83" s="132">
        <f>IFERROR(AVERAGEIF(Prod[[#This Row],[S1%]:[S3%]], "&lt;&gt;0"),0)</f>
        <v>1.0040273148148149</v>
      </c>
      <c r="AW83" s="132">
        <v>0</v>
      </c>
      <c r="AX83" s="132">
        <v>0</v>
      </c>
      <c r="AY83" s="132">
        <v>0</v>
      </c>
      <c r="AZ83" s="175">
        <f>IF(Prod[[#This Row],[S1Cycle]]&lt;&gt;0,1,0)</f>
        <v>1</v>
      </c>
      <c r="BA83" s="175">
        <f>IF(Prod[[#This Row],[S2Cycle]]&lt;&gt;0,1,0)</f>
        <v>1</v>
      </c>
      <c r="BB83" s="175">
        <f>IF(Prod[[#This Row],[S3Cycle]]&lt;&gt;0,1,0)</f>
        <v>1</v>
      </c>
      <c r="BC83" s="175">
        <f>MAX(Prod[[#This Row],[S1Cavity]],Prod[[#This Row],[S2Cavity]],Prod[[#This Row],[S3Cavity]])</f>
        <v>8</v>
      </c>
      <c r="BD83" s="175" t="b">
        <f>RegExpMatch(Prod[[#This Row],[MoldNo]], "^DEO-(B|C)")</f>
        <v>1</v>
      </c>
      <c r="BE83" s="175" t="b">
        <f>RegExpMatch(Prod[[#This Row],[MoldNo]], "^JAC")</f>
        <v>0</v>
      </c>
    </row>
    <row r="84" spans="1:57" x14ac:dyDescent="0.2">
      <c r="A84" s="117">
        <v>45448</v>
      </c>
      <c r="B84" s="130" t="s">
        <v>176</v>
      </c>
      <c r="C84" s="131" t="s">
        <v>81</v>
      </c>
      <c r="D84" s="119">
        <v>27430</v>
      </c>
      <c r="E84" s="131" t="s">
        <v>209</v>
      </c>
      <c r="F84" s="119">
        <v>6331</v>
      </c>
      <c r="G84" s="119" t="str">
        <f>IF(OR(Prod[[#This Row],[S1Hrs]]&gt;0,Prod[[#This Row],[S2Hrs]]&gt;0,Prod[[#This Row],[S3Hrs]]&gt;0),"Running","Down")</f>
        <v>Running</v>
      </c>
      <c r="H84" s="194">
        <v>21.78</v>
      </c>
      <c r="I84" s="185">
        <v>8</v>
      </c>
      <c r="J84" s="130">
        <v>1362</v>
      </c>
      <c r="K84" s="130">
        <v>8</v>
      </c>
      <c r="L84" s="120">
        <f>Prod[[#This Row],[S1Shot]]*Prod[[#This Row],[S1Cavity]]-Prod[[#This Row],[S1Dft]]</f>
        <v>10746</v>
      </c>
      <c r="M84" s="136">
        <f>SUM(Prod[[#This Row],[S1Mold]],Prod[[#This Row],[S1Print]],Prod[[#This Row],[S1Ovlp]],Prod[[#This Row],[S1Seam]],Prod[[#This Row],[S1Dmg]])</f>
        <v>150</v>
      </c>
      <c r="N84" s="194">
        <v>21.78</v>
      </c>
      <c r="O84" s="185">
        <v>8</v>
      </c>
      <c r="P84" s="130">
        <v>1378</v>
      </c>
      <c r="Q84" s="130">
        <v>8</v>
      </c>
      <c r="R84" s="120">
        <f>Prod[[#This Row],[S2Shot]]*Prod[[#This Row],[S2Cavity]]-Prod[[#This Row],[S2Dft]]</f>
        <v>10869</v>
      </c>
      <c r="S84" s="136">
        <f>SUM(Prod[[#This Row],[S2Mold]],Prod[[#This Row],[S2Print]],Prod[[#This Row],[S2Ovlp]],Prod[[#This Row],[S2Seam]],Prod[[#This Row],[S2Dmg]])</f>
        <v>155</v>
      </c>
      <c r="T84" s="194">
        <v>21.83</v>
      </c>
      <c r="U84" s="185">
        <v>8</v>
      </c>
      <c r="V84" s="130">
        <v>1236</v>
      </c>
      <c r="W84" s="130">
        <v>8</v>
      </c>
      <c r="X84" s="120">
        <f>Prod[[#This Row],[S3Shot]]*Prod[[#This Row],[S3Cavity]]-Prod[[#This Row],[S3Dft]]</f>
        <v>9738</v>
      </c>
      <c r="Y84" s="120">
        <f>SUM(Prod[[#This Row],[S3Mold]],Prod[[#This Row],[S3Print]],Prod[[#This Row],[S3Ovlp]],Prod[[#This Row],[S3Seam]],Prod[[#This Row],[S3Dmg]])</f>
        <v>150</v>
      </c>
      <c r="Z84" s="120">
        <f>SUM(Prod[[#This Row],[S1Qty]],Prod[[#This Row],[S2Qty]],Prod[[#This Row],[S3Qty]])</f>
        <v>31353</v>
      </c>
      <c r="AA84" s="120">
        <f>SUM(Prod[[#This Row],[S1Dft]],Prod[[#This Row],[S2Dft]],Prod[[#This Row],[S3Dft]])</f>
        <v>455</v>
      </c>
      <c r="AB84" s="121">
        <f>IF(Prod[[#This Row],[Total]]=0,0,Prod[[#This Row],[TotalDft]]/Prod[[#This Row],[Total]])</f>
        <v>1.4512167894619335E-2</v>
      </c>
      <c r="AC84" s="131"/>
      <c r="AD84" s="120">
        <v>25</v>
      </c>
      <c r="AE84" s="120">
        <v>30</v>
      </c>
      <c r="AF84" s="120">
        <v>20</v>
      </c>
      <c r="AG84" s="120">
        <v>125</v>
      </c>
      <c r="AH84" s="120">
        <v>125</v>
      </c>
      <c r="AI84" s="120">
        <v>130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32">
        <f>IF(Prod[[#This Row],[S1Hrs]]=0,0,Prod[[#This Row],[S1Shot]]*Prod[[#This Row],[S1Cycle]]/(Prod[[#This Row],[S1Hrs]]*60*60))</f>
        <v>1.0300125</v>
      </c>
      <c r="AT84" s="132">
        <f>IF(Prod[[#This Row],[S2Hrs]]=0,0,Prod[[#This Row],[S2Shot]]*Prod[[#This Row],[S2Cycle]]/(Prod[[#This Row],[S2Hrs]]*60*60))</f>
        <v>1.0421125</v>
      </c>
      <c r="AU84" s="132">
        <f>IF(Prod[[#This Row],[S3Hrs]]=0,0,Prod[[#This Row],[S3Shot]]*Prod[[#This Row],[S3Cycle]]/(Prod[[#This Row],[S3Hrs]]*60*60))</f>
        <v>0.93687083333333321</v>
      </c>
      <c r="AV84" s="132">
        <f>IFERROR(AVERAGEIF(Prod[[#This Row],[S1%]:[S3%]], "&lt;&gt;0"),0)</f>
        <v>1.0029986111111111</v>
      </c>
      <c r="AW84" s="132">
        <v>0</v>
      </c>
      <c r="AX84" s="132">
        <v>0</v>
      </c>
      <c r="AY84" s="132">
        <v>0</v>
      </c>
      <c r="AZ84" s="175">
        <f>IF(Prod[[#This Row],[S1Cycle]]&lt;&gt;0,1,0)</f>
        <v>1</v>
      </c>
      <c r="BA84" s="175">
        <f>IF(Prod[[#This Row],[S2Cycle]]&lt;&gt;0,1,0)</f>
        <v>1</v>
      </c>
      <c r="BB84" s="175">
        <f>IF(Prod[[#This Row],[S3Cycle]]&lt;&gt;0,1,0)</f>
        <v>1</v>
      </c>
      <c r="BC84" s="175">
        <f>MAX(Prod[[#This Row],[S1Cavity]],Prod[[#This Row],[S2Cavity]],Prod[[#This Row],[S3Cavity]])</f>
        <v>8</v>
      </c>
      <c r="BD84" s="175" t="b">
        <f>RegExpMatch(Prod[[#This Row],[MoldNo]], "^DEO-(B|C)")</f>
        <v>1</v>
      </c>
      <c r="BE84" s="175" t="b">
        <f>RegExpMatch(Prod[[#This Row],[MoldNo]], "^JAC")</f>
        <v>0</v>
      </c>
    </row>
    <row r="85" spans="1:57" x14ac:dyDescent="0.2">
      <c r="A85" s="117">
        <v>45448</v>
      </c>
      <c r="B85" s="130" t="s">
        <v>195</v>
      </c>
      <c r="C85" s="119" t="s">
        <v>145</v>
      </c>
      <c r="D85" s="119">
        <v>27761</v>
      </c>
      <c r="E85" s="131" t="s">
        <v>199</v>
      </c>
      <c r="F85" s="119">
        <v>814</v>
      </c>
      <c r="G85" s="119" t="str">
        <f>IF(OR(Prod[[#This Row],[S1Hrs]]&gt;0,Prod[[#This Row],[S2Hrs]]&gt;0,Prod[[#This Row],[S3Hrs]]&gt;0),"Running","Down")</f>
        <v>Running</v>
      </c>
      <c r="H85" s="194">
        <v>13.06</v>
      </c>
      <c r="I85" s="185">
        <v>8</v>
      </c>
      <c r="J85" s="130">
        <v>2004</v>
      </c>
      <c r="K85" s="130">
        <v>16</v>
      </c>
      <c r="L85" s="120">
        <f>Prod[[#This Row],[S1Shot]]*Prod[[#This Row],[S1Cavity]]-Prod[[#This Row],[S1Dft]]</f>
        <v>32064</v>
      </c>
      <c r="M85" s="134"/>
      <c r="N85" s="194">
        <v>13.08</v>
      </c>
      <c r="O85" s="185">
        <v>8</v>
      </c>
      <c r="P85" s="130">
        <v>2296</v>
      </c>
      <c r="Q85" s="130">
        <v>16</v>
      </c>
      <c r="R85" s="120">
        <f>Prod[[#This Row],[S2Shot]]*Prod[[#This Row],[S2Cavity]]-Prod[[#This Row],[S2Dft]]</f>
        <v>36736</v>
      </c>
      <c r="S85" s="134"/>
      <c r="T85" s="194">
        <v>13.09</v>
      </c>
      <c r="U85" s="185">
        <v>8</v>
      </c>
      <c r="V85" s="130">
        <v>2141</v>
      </c>
      <c r="W85" s="130">
        <v>16</v>
      </c>
      <c r="X85" s="120">
        <f>Prod[[#This Row],[S3Shot]]*Prod[[#This Row],[S3Cavity]]-Prod[[#This Row],[S3Dft]]</f>
        <v>34256</v>
      </c>
      <c r="Y85" s="134"/>
      <c r="Z85" s="120">
        <f>SUM(Prod[[#This Row],[S1Qty]],Prod[[#This Row],[S2Qty]],Prod[[#This Row],[S3Qty]])</f>
        <v>103056</v>
      </c>
      <c r="AA85" s="134"/>
      <c r="AB85" s="135"/>
      <c r="AC85" s="118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2">
        <f>IF(Prod[[#This Row],[S1Hrs]]=0,0,Prod[[#This Row],[S1Shot]]*Prod[[#This Row],[S1Cycle]]/(Prod[[#This Row],[S1Hrs]]*60*60))</f>
        <v>0.90875833333333333</v>
      </c>
      <c r="AT85" s="132">
        <f>IF(Prod[[#This Row],[S2Hrs]]=0,0,Prod[[#This Row],[S2Shot]]*Prod[[#This Row],[S2Cycle]]/(Prod[[#This Row],[S2Hrs]]*60*60))</f>
        <v>1.0427666666666666</v>
      </c>
      <c r="AU85" s="132">
        <f>IF(Prod[[#This Row],[S3Hrs]]=0,0,Prod[[#This Row],[S3Shot]]*Prod[[#This Row],[S3Cycle]]/(Prod[[#This Row],[S3Hrs]]*60*60))</f>
        <v>0.97311423611111103</v>
      </c>
      <c r="AV85" s="132">
        <f>IFERROR(AVERAGEIF(Prod[[#This Row],[S1%]:[S3%]], "&lt;&gt;0"),0)</f>
        <v>0.97487974537037037</v>
      </c>
      <c r="AW85" s="132">
        <v>0</v>
      </c>
      <c r="AX85" s="132">
        <v>0</v>
      </c>
      <c r="AY85" s="132">
        <v>0</v>
      </c>
      <c r="AZ85" s="175">
        <f>IF(Prod[[#This Row],[S1Cycle]]&lt;&gt;0,1,0)</f>
        <v>1</v>
      </c>
      <c r="BA85" s="175">
        <f>IF(Prod[[#This Row],[S2Cycle]]&lt;&gt;0,1,0)</f>
        <v>1</v>
      </c>
      <c r="BB85" s="175">
        <f>IF(Prod[[#This Row],[S3Cycle]]&lt;&gt;0,1,0)</f>
        <v>1</v>
      </c>
      <c r="BC85" s="175">
        <f>MAX(Prod[[#This Row],[S1Cavity]],Prod[[#This Row],[S2Cavity]],Prod[[#This Row],[S3Cavity]])</f>
        <v>16</v>
      </c>
      <c r="BD85" s="175" t="b">
        <f>RegExpMatch(Prod[[#This Row],[MoldNo]], "^DEO-(B|C)")</f>
        <v>0</v>
      </c>
      <c r="BE85" s="175" t="b">
        <f>RegExpMatch(Prod[[#This Row],[MoldNo]], "^JAC")</f>
        <v>0</v>
      </c>
    </row>
    <row r="86" spans="1:57" x14ac:dyDescent="0.2">
      <c r="A86" s="117">
        <v>45449</v>
      </c>
      <c r="B86" s="120" t="s">
        <v>190</v>
      </c>
      <c r="C86" s="119" t="s">
        <v>153</v>
      </c>
      <c r="D86" s="119">
        <v>27422</v>
      </c>
      <c r="E86" s="131" t="s">
        <v>199</v>
      </c>
      <c r="F86" s="119">
        <v>6331</v>
      </c>
      <c r="G86" s="119" t="str">
        <f>IF(OR(Prod[[#This Row],[S1Hrs]]&gt;0,Prod[[#This Row],[S2Hrs]]&gt;0,Prod[[#This Row],[S3Hrs]]&gt;0),"Running","Down")</f>
        <v>Running</v>
      </c>
      <c r="H86" s="187">
        <v>22.68</v>
      </c>
      <c r="I86" s="141">
        <v>8</v>
      </c>
      <c r="J86" s="120">
        <v>1191</v>
      </c>
      <c r="K86" s="130">
        <v>4</v>
      </c>
      <c r="L86" s="120">
        <f>Prod[[#This Row],[S1Shot]]*Prod[[#This Row],[S1Cavity]]-Prod[[#This Row],[S1Dft]]</f>
        <v>4757</v>
      </c>
      <c r="M86" s="136">
        <f>SUM(Prod[[#This Row],[S1Mold]],Prod[[#This Row],[S1Print]],Prod[[#This Row],[S1Ovlp]],Prod[[#This Row],[S1Seam]],Prod[[#This Row],[S1Dmg]])</f>
        <v>7</v>
      </c>
      <c r="N86" s="187">
        <v>22.69</v>
      </c>
      <c r="O86" s="141">
        <v>8</v>
      </c>
      <c r="P86" s="120">
        <v>1182</v>
      </c>
      <c r="Q86" s="130">
        <v>4</v>
      </c>
      <c r="R86" s="120">
        <f>Prod[[#This Row],[S2Shot]]*Prod[[#This Row],[S2Cavity]]-Prod[[#This Row],[S2Dft]]</f>
        <v>4722</v>
      </c>
      <c r="S86" s="136">
        <f>SUM(Prod[[#This Row],[S2Mold]],Prod[[#This Row],[S2Print]],Prod[[#This Row],[S2Ovlp]],Prod[[#This Row],[S2Seam]],Prod[[#This Row],[S2Dmg]])</f>
        <v>6</v>
      </c>
      <c r="T86" s="187">
        <v>22.68</v>
      </c>
      <c r="U86" s="141">
        <v>8</v>
      </c>
      <c r="V86" s="120">
        <v>1153</v>
      </c>
      <c r="W86" s="130">
        <v>4</v>
      </c>
      <c r="X86" s="120">
        <f>Prod[[#This Row],[S3Shot]]*Prod[[#This Row],[S3Cavity]]-Prod[[#This Row],[S3Dft]]</f>
        <v>4606</v>
      </c>
      <c r="Y86" s="120">
        <f>SUM(Prod[[#This Row],[S3Mold]],Prod[[#This Row],[S3Print]],Prod[[#This Row],[S3Ovlp]],Prod[[#This Row],[S3Seam]],Prod[[#This Row],[S3Dmg]])</f>
        <v>6</v>
      </c>
      <c r="Z86" s="120">
        <f>SUM(Prod[[#This Row],[S1Qty]],Prod[[#This Row],[S2Qty]],Prod[[#This Row],[S3Qty]])</f>
        <v>14085</v>
      </c>
      <c r="AA86" s="120">
        <f>SUM(Prod[[#This Row],[S1Dft]],Prod[[#This Row],[S2Dft]],Prod[[#This Row],[S3Dft]])</f>
        <v>19</v>
      </c>
      <c r="AB86" s="121">
        <f>IF(Prod[[#This Row],[Total]]=0,0,Prod[[#This Row],[TotalDft]]/Prod[[#This Row],[Total]])</f>
        <v>1.3489527866524672E-3</v>
      </c>
      <c r="AC86" s="118"/>
      <c r="AD86" s="120">
        <v>7</v>
      </c>
      <c r="AE86" s="120">
        <v>6</v>
      </c>
      <c r="AF86" s="120">
        <v>6</v>
      </c>
      <c r="AG86" s="120">
        <v>0</v>
      </c>
      <c r="AH86" s="120">
        <v>0</v>
      </c>
      <c r="AI86" s="120">
        <v>0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32">
        <f>IF(Prod[[#This Row],[S1Hrs]]=0,0,Prod[[#This Row],[S1Shot]]*Prod[[#This Row],[S1Cycle]]/(Prod[[#This Row],[S1Hrs]]*60*60))</f>
        <v>0.93791250000000004</v>
      </c>
      <c r="AT86" s="132">
        <f>IF(Prod[[#This Row],[S2Hrs]]=0,0,Prod[[#This Row],[S2Shot]]*Prod[[#This Row],[S2Cycle]]/(Prod[[#This Row],[S2Hrs]]*60*60))</f>
        <v>0.93123541666666676</v>
      </c>
      <c r="AU86" s="132">
        <f>IF(Prod[[#This Row],[S3Hrs]]=0,0,Prod[[#This Row],[S3Shot]]*Prod[[#This Row],[S3Cycle]]/(Prod[[#This Row],[S3Hrs]]*60*60))</f>
        <v>0.90798750000000006</v>
      </c>
      <c r="AV86" s="132">
        <f>IFERROR(AVERAGEIF(Prod[[#This Row],[S1%]:[S3%]], "&lt;&gt;0"),0)</f>
        <v>0.92571180555555566</v>
      </c>
      <c r="AW86" s="132">
        <v>0</v>
      </c>
      <c r="AX86" s="132">
        <v>0</v>
      </c>
      <c r="AY86" s="132">
        <v>0</v>
      </c>
      <c r="AZ86" s="175">
        <f>IF(Prod[[#This Row],[S1Cycle]]&lt;&gt;0,1,0)</f>
        <v>1</v>
      </c>
      <c r="BA86" s="175">
        <f>IF(Prod[[#This Row],[S2Cycle]]&lt;&gt;0,1,0)</f>
        <v>1</v>
      </c>
      <c r="BB86" s="175">
        <f>IF(Prod[[#This Row],[S3Cycle]]&lt;&gt;0,1,0)</f>
        <v>1</v>
      </c>
      <c r="BC86" s="175">
        <f>MAX(Prod[[#This Row],[S1Cavity]],Prod[[#This Row],[S2Cavity]],Prod[[#This Row],[S3Cavity]])</f>
        <v>4</v>
      </c>
      <c r="BD86" s="175" t="b">
        <f>RegExpMatch(Prod[[#This Row],[MoldNo]], "^DEO-(B|C)")</f>
        <v>0</v>
      </c>
      <c r="BE86" s="175" t="b">
        <f>RegExpMatch(Prod[[#This Row],[MoldNo]], "^JAC")</f>
        <v>1</v>
      </c>
    </row>
    <row r="87" spans="1:57" x14ac:dyDescent="0.2">
      <c r="A87" s="117">
        <v>45449</v>
      </c>
      <c r="B87" s="130" t="s">
        <v>6</v>
      </c>
      <c r="C87" s="131" t="s">
        <v>8</v>
      </c>
      <c r="D87" s="119">
        <v>27822</v>
      </c>
      <c r="E87" s="131" t="s">
        <v>199</v>
      </c>
      <c r="F87" s="119">
        <v>6331</v>
      </c>
      <c r="G87" s="119" t="str">
        <f>IF(OR(Prod[[#This Row],[S1Hrs]]&gt;0,Prod[[#This Row],[S2Hrs]]&gt;0,Prod[[#This Row],[S3Hrs]]&gt;0),"Running","Down")</f>
        <v>Running</v>
      </c>
      <c r="H87" s="187">
        <v>17.8</v>
      </c>
      <c r="I87" s="141">
        <v>3.5</v>
      </c>
      <c r="J87" s="120">
        <v>744</v>
      </c>
      <c r="K87" s="130">
        <v>8</v>
      </c>
      <c r="L87" s="120">
        <f>Prod[[#This Row],[S1Shot]]*Prod[[#This Row],[S1Cavity]]-Prod[[#This Row],[S1Dft]]</f>
        <v>5882</v>
      </c>
      <c r="M87" s="136">
        <f>SUM(Prod[[#This Row],[S1Mold]],Prod[[#This Row],[S1Print]],Prod[[#This Row],[S1Ovlp]],Prod[[#This Row],[S1Seam]],Prod[[#This Row],[S1Dmg]])</f>
        <v>70</v>
      </c>
      <c r="N87" s="187">
        <v>16.989999999999998</v>
      </c>
      <c r="O87" s="141">
        <v>5</v>
      </c>
      <c r="P87" s="120">
        <v>1105</v>
      </c>
      <c r="Q87" s="130">
        <v>8</v>
      </c>
      <c r="R87" s="120">
        <f>Prod[[#This Row],[S2Shot]]*Prod[[#This Row],[S2Cavity]]-Prod[[#This Row],[S2Dft]]</f>
        <v>8760</v>
      </c>
      <c r="S87" s="136">
        <f>SUM(Prod[[#This Row],[S2Mold]],Prod[[#This Row],[S2Print]],Prod[[#This Row],[S2Ovlp]],Prod[[#This Row],[S2Seam]],Prod[[#This Row],[S2Dmg]])</f>
        <v>80</v>
      </c>
      <c r="T87" s="187">
        <v>0</v>
      </c>
      <c r="U87" s="141">
        <v>0</v>
      </c>
      <c r="V87" s="120">
        <v>0</v>
      </c>
      <c r="W87" s="130">
        <v>0</v>
      </c>
      <c r="X87" s="120">
        <f>Prod[[#This Row],[S3Shot]]*Prod[[#This Row],[S3Cavity]]-Prod[[#This Row],[S3Dft]]</f>
        <v>0</v>
      </c>
      <c r="Y87" s="120">
        <f>SUM(Prod[[#This Row],[S3Mold]],Prod[[#This Row],[S3Print]],Prod[[#This Row],[S3Ovlp]],Prod[[#This Row],[S3Seam]],Prod[[#This Row],[S3Dmg]])</f>
        <v>0</v>
      </c>
      <c r="Z87" s="120">
        <f>SUM(Prod[[#This Row],[S1Qty]],Prod[[#This Row],[S2Qty]],Prod[[#This Row],[S3Qty]])</f>
        <v>14642</v>
      </c>
      <c r="AA87" s="120">
        <f>SUM(Prod[[#This Row],[S1Dft]],Prod[[#This Row],[S2Dft]],Prod[[#This Row],[S3Dft]])</f>
        <v>150</v>
      </c>
      <c r="AB87" s="121">
        <f>IF(Prod[[#This Row],[Total]]=0,0,Prod[[#This Row],[TotalDft]]/Prod[[#This Row],[Total]])</f>
        <v>1.0244502117197104E-2</v>
      </c>
      <c r="AC87" s="131"/>
      <c r="AD87" s="120">
        <v>10</v>
      </c>
      <c r="AE87" s="120">
        <v>15</v>
      </c>
      <c r="AF87" s="120">
        <v>0</v>
      </c>
      <c r="AG87" s="120">
        <v>60</v>
      </c>
      <c r="AH87" s="120">
        <v>65</v>
      </c>
      <c r="AI87" s="120">
        <v>0</v>
      </c>
      <c r="AJ87" s="120">
        <v>0</v>
      </c>
      <c r="AK87" s="120">
        <v>0</v>
      </c>
      <c r="AL87" s="120">
        <v>0</v>
      </c>
      <c r="AM87" s="120">
        <v>0</v>
      </c>
      <c r="AN87" s="120">
        <v>0</v>
      </c>
      <c r="AO87" s="120">
        <v>0</v>
      </c>
      <c r="AP87" s="120">
        <v>0</v>
      </c>
      <c r="AQ87" s="120">
        <v>0</v>
      </c>
      <c r="AR87" s="120">
        <v>0</v>
      </c>
      <c r="AS87" s="132">
        <f>IF(Prod[[#This Row],[S1Hrs]]=0,0,Prod[[#This Row],[S1Shot]]*Prod[[#This Row],[S1Cycle]]/(Prod[[#This Row],[S1Hrs]]*60*60))</f>
        <v>1.051047619047619</v>
      </c>
      <c r="AT87" s="132">
        <f>IF(Prod[[#This Row],[S2Hrs]]=0,0,Prod[[#This Row],[S2Shot]]*Prod[[#This Row],[S2Cycle]]/(Prod[[#This Row],[S2Hrs]]*60*60))</f>
        <v>1.0429972222222221</v>
      </c>
      <c r="AU87" s="132">
        <f>IF(Prod[[#This Row],[S3Hrs]]=0,0,Prod[[#This Row],[S3Shot]]*Prod[[#This Row],[S3Cycle]]/(Prod[[#This Row],[S3Hrs]]*60*60))</f>
        <v>0</v>
      </c>
      <c r="AV87" s="132">
        <f>IFERROR(AVERAGEIF(Prod[[#This Row],[S1%]:[S3%]], "&lt;&gt;0"),0)</f>
        <v>1.0470224206349206</v>
      </c>
      <c r="AW87" s="132">
        <v>1</v>
      </c>
      <c r="AX87" s="132">
        <v>0</v>
      </c>
      <c r="AY87" s="132">
        <v>0</v>
      </c>
      <c r="AZ87" s="175">
        <f>IF(Prod[[#This Row],[S1Cycle]]&lt;&gt;0,1,0)</f>
        <v>1</v>
      </c>
      <c r="BA87" s="175">
        <f>IF(Prod[[#This Row],[S2Cycle]]&lt;&gt;0,1,0)</f>
        <v>1</v>
      </c>
      <c r="BB87" s="175">
        <f>IF(Prod[[#This Row],[S3Cycle]]&lt;&gt;0,1,0)</f>
        <v>0</v>
      </c>
      <c r="BC87" s="175">
        <f>MAX(Prod[[#This Row],[S1Cavity]],Prod[[#This Row],[S2Cavity]],Prod[[#This Row],[S3Cavity]])</f>
        <v>8</v>
      </c>
      <c r="BD87" s="175" t="b">
        <f>RegExpMatch(Prod[[#This Row],[MoldNo]], "^DEO-(B|C)")</f>
        <v>1</v>
      </c>
      <c r="BE87" s="175" t="b">
        <f>RegExpMatch(Prod[[#This Row],[MoldNo]], "^JAC")</f>
        <v>0</v>
      </c>
    </row>
    <row r="88" spans="1:57" x14ac:dyDescent="0.2">
      <c r="A88" s="117">
        <v>45449</v>
      </c>
      <c r="B88" s="130" t="s">
        <v>6</v>
      </c>
      <c r="C88" s="131" t="s">
        <v>8</v>
      </c>
      <c r="D88" s="119">
        <v>27824</v>
      </c>
      <c r="E88" s="131" t="s">
        <v>199</v>
      </c>
      <c r="F88" s="119">
        <v>6331</v>
      </c>
      <c r="G88" s="119" t="str">
        <f>IF(OR(Prod[[#This Row],[S1Hrs]]&gt;0,Prod[[#This Row],[S2Hrs]]&gt;0,Prod[[#This Row],[S3Hrs]]&gt;0),"Running","Down")</f>
        <v>Running</v>
      </c>
      <c r="H88" s="187">
        <v>17.8</v>
      </c>
      <c r="I88" s="141">
        <v>2.5</v>
      </c>
      <c r="J88" s="120">
        <v>510</v>
      </c>
      <c r="K88" s="130">
        <v>8</v>
      </c>
      <c r="L88" s="120">
        <f>Prod[[#This Row],[S1Shot]]*Prod[[#This Row],[S1Cavity]]-Prod[[#This Row],[S1Dft]]</f>
        <v>4035</v>
      </c>
      <c r="M88" s="136">
        <f>SUM(Prod[[#This Row],[S1Mold]],Prod[[#This Row],[S1Print]],Prod[[#This Row],[S1Ovlp]],Prod[[#This Row],[S1Seam]],Prod[[#This Row],[S1Dmg]])</f>
        <v>45</v>
      </c>
      <c r="N88" s="187">
        <v>0</v>
      </c>
      <c r="O88" s="141">
        <v>0</v>
      </c>
      <c r="P88" s="120">
        <v>0</v>
      </c>
      <c r="Q88" s="130">
        <v>0</v>
      </c>
      <c r="R88" s="120">
        <f>Prod[[#This Row],[S2Shot]]*Prod[[#This Row],[S2Cavity]]-Prod[[#This Row],[S2Dft]]</f>
        <v>0</v>
      </c>
      <c r="S88" s="136">
        <f>SUM(Prod[[#This Row],[S2Mold]],Prod[[#This Row],[S2Print]],Prod[[#This Row],[S2Ovlp]],Prod[[#This Row],[S2Seam]],Prod[[#This Row],[S2Dmg]])</f>
        <v>0</v>
      </c>
      <c r="T88" s="187">
        <v>0</v>
      </c>
      <c r="U88" s="141">
        <v>0</v>
      </c>
      <c r="V88" s="120">
        <v>0</v>
      </c>
      <c r="W88" s="130">
        <v>0</v>
      </c>
      <c r="X88" s="120">
        <f>Prod[[#This Row],[S3Shot]]*Prod[[#This Row],[S3Cavity]]-Prod[[#This Row],[S3Dft]]</f>
        <v>0</v>
      </c>
      <c r="Y88" s="120">
        <f>SUM(Prod[[#This Row],[S3Mold]],Prod[[#This Row],[S3Print]],Prod[[#This Row],[S3Ovlp]],Prod[[#This Row],[S3Seam]],Prod[[#This Row],[S3Dmg]])</f>
        <v>0</v>
      </c>
      <c r="Z88" s="120">
        <f>SUM(Prod[[#This Row],[S1Qty]],Prod[[#This Row],[S2Qty]],Prod[[#This Row],[S3Qty]])</f>
        <v>4035</v>
      </c>
      <c r="AA88" s="120">
        <f>SUM(Prod[[#This Row],[S1Dft]],Prod[[#This Row],[S2Dft]],Prod[[#This Row],[S3Dft]])</f>
        <v>45</v>
      </c>
      <c r="AB88" s="121">
        <f>IF(Prod[[#This Row],[Total]]=0,0,Prod[[#This Row],[TotalDft]]/Prod[[#This Row],[Total]])</f>
        <v>1.1152416356877323E-2</v>
      </c>
      <c r="AC88" s="131"/>
      <c r="AD88" s="120">
        <v>10</v>
      </c>
      <c r="AE88" s="120">
        <v>0</v>
      </c>
      <c r="AF88" s="120">
        <v>0</v>
      </c>
      <c r="AG88" s="120">
        <v>35</v>
      </c>
      <c r="AH88" s="120">
        <v>0</v>
      </c>
      <c r="AI88" s="120">
        <v>0</v>
      </c>
      <c r="AJ88" s="120">
        <v>0</v>
      </c>
      <c r="AK88" s="120">
        <v>0</v>
      </c>
      <c r="AL88" s="120">
        <v>0</v>
      </c>
      <c r="AM88" s="120">
        <v>0</v>
      </c>
      <c r="AN88" s="120">
        <v>0</v>
      </c>
      <c r="AO88" s="120">
        <v>0</v>
      </c>
      <c r="AP88" s="120">
        <v>0</v>
      </c>
      <c r="AQ88" s="120">
        <v>0</v>
      </c>
      <c r="AR88" s="120">
        <v>0</v>
      </c>
      <c r="AS88" s="132">
        <f>IF(Prod[[#This Row],[S1Hrs]]=0,0,Prod[[#This Row],[S1Shot]]*Prod[[#This Row],[S1Cycle]]/(Prod[[#This Row],[S1Hrs]]*60*60))</f>
        <v>1.0086666666666666</v>
      </c>
      <c r="AT88" s="132">
        <f>IF(Prod[[#This Row],[S2Hrs]]=0,0,Prod[[#This Row],[S2Shot]]*Prod[[#This Row],[S2Cycle]]/(Prod[[#This Row],[S2Hrs]]*60*60))</f>
        <v>0</v>
      </c>
      <c r="AU88" s="132">
        <f>IF(Prod[[#This Row],[S3Hrs]]=0,0,Prod[[#This Row],[S3Shot]]*Prod[[#This Row],[S3Cycle]]/(Prod[[#This Row],[S3Hrs]]*60*60))</f>
        <v>0</v>
      </c>
      <c r="AV88" s="132">
        <f>IFERROR(AVERAGEIF(Prod[[#This Row],[S1%]:[S3%]], "&lt;&gt;0"),0)</f>
        <v>1.0086666666666666</v>
      </c>
      <c r="AW88" s="132">
        <v>0.5</v>
      </c>
      <c r="AX88" s="132">
        <v>0</v>
      </c>
      <c r="AY88" s="132">
        <v>0</v>
      </c>
      <c r="AZ88" s="175">
        <f>IF(Prod[[#This Row],[S1Cycle]]&lt;&gt;0,1,0)</f>
        <v>1</v>
      </c>
      <c r="BA88" s="175">
        <f>IF(Prod[[#This Row],[S2Cycle]]&lt;&gt;0,1,0)</f>
        <v>0</v>
      </c>
      <c r="BB88" s="175">
        <f>IF(Prod[[#This Row],[S3Cycle]]&lt;&gt;0,1,0)</f>
        <v>0</v>
      </c>
      <c r="BC88" s="175">
        <f>MAX(Prod[[#This Row],[S1Cavity]],Prod[[#This Row],[S2Cavity]],Prod[[#This Row],[S3Cavity]])</f>
        <v>8</v>
      </c>
      <c r="BD88" s="175" t="b">
        <f>RegExpMatch(Prod[[#This Row],[MoldNo]], "^DEO-(B|C)")</f>
        <v>1</v>
      </c>
      <c r="BE88" s="175" t="b">
        <f>RegExpMatch(Prod[[#This Row],[MoldNo]], "^JAC")</f>
        <v>0</v>
      </c>
    </row>
    <row r="89" spans="1:57" x14ac:dyDescent="0.2">
      <c r="A89" s="117">
        <v>45449</v>
      </c>
      <c r="B89" s="120" t="s">
        <v>7</v>
      </c>
      <c r="C89" s="119" t="s">
        <v>172</v>
      </c>
      <c r="D89" s="119">
        <v>27578</v>
      </c>
      <c r="E89" s="131" t="s">
        <v>199</v>
      </c>
      <c r="F89" s="119">
        <v>6331</v>
      </c>
      <c r="G89" s="119" t="str">
        <f>IF(OR(Prod[[#This Row],[S1Hrs]]&gt;0,Prod[[#This Row],[S2Hrs]]&gt;0,Prod[[#This Row],[S3Hrs]]&gt;0),"Running","Down")</f>
        <v>Running</v>
      </c>
      <c r="H89" s="187">
        <v>20.77</v>
      </c>
      <c r="I89" s="141">
        <v>2.5</v>
      </c>
      <c r="J89" s="120">
        <v>446</v>
      </c>
      <c r="K89" s="130">
        <v>8</v>
      </c>
      <c r="L89" s="120">
        <f>Prod[[#This Row],[S1Shot]]*Prod[[#This Row],[S1Cavity]]-Prod[[#This Row],[S1Dft]]</f>
        <v>3528</v>
      </c>
      <c r="M89" s="136">
        <f>SUM(Prod[[#This Row],[S1Mold]],Prod[[#This Row],[S1Print]],Prod[[#This Row],[S1Ovlp]],Prod[[#This Row],[S1Seam]],Prod[[#This Row],[S1Dmg]])</f>
        <v>40</v>
      </c>
      <c r="N89" s="187">
        <v>20.51</v>
      </c>
      <c r="O89" s="141">
        <v>8</v>
      </c>
      <c r="P89" s="120">
        <v>1461</v>
      </c>
      <c r="Q89" s="130">
        <v>8</v>
      </c>
      <c r="R89" s="120">
        <f>Prod[[#This Row],[S2Shot]]*Prod[[#This Row],[S2Cavity]]-Prod[[#This Row],[S2Dft]]</f>
        <v>11568</v>
      </c>
      <c r="S89" s="136">
        <f>SUM(Prod[[#This Row],[S2Mold]],Prod[[#This Row],[S2Print]],Prod[[#This Row],[S2Ovlp]],Prod[[#This Row],[S2Seam]],Prod[[#This Row],[S2Dmg]])</f>
        <v>120</v>
      </c>
      <c r="T89" s="187">
        <v>0</v>
      </c>
      <c r="U89" s="141">
        <v>0</v>
      </c>
      <c r="V89" s="120">
        <v>0</v>
      </c>
      <c r="W89" s="130">
        <v>0</v>
      </c>
      <c r="X89" s="120">
        <f>Prod[[#This Row],[S3Shot]]*Prod[[#This Row],[S3Cavity]]-Prod[[#This Row],[S3Dft]]</f>
        <v>0</v>
      </c>
      <c r="Y89" s="120">
        <f>SUM(Prod[[#This Row],[S3Mold]],Prod[[#This Row],[S3Print]],Prod[[#This Row],[S3Ovlp]],Prod[[#This Row],[S3Seam]],Prod[[#This Row],[S3Dmg]])</f>
        <v>0</v>
      </c>
      <c r="Z89" s="120">
        <f>SUM(Prod[[#This Row],[S1Qty]],Prod[[#This Row],[S2Qty]],Prod[[#This Row],[S3Qty]])</f>
        <v>15096</v>
      </c>
      <c r="AA89" s="120">
        <f>SUM(Prod[[#This Row],[S1Dft]],Prod[[#This Row],[S2Dft]],Prod[[#This Row],[S3Dft]])</f>
        <v>160</v>
      </c>
      <c r="AB89" s="121">
        <f>IF(Prod[[#This Row],[Total]]=0,0,Prod[[#This Row],[TotalDft]]/Prod[[#This Row],[Total]])</f>
        <v>1.0598834128245893E-2</v>
      </c>
      <c r="AC89" s="131"/>
      <c r="AD89" s="120">
        <v>5</v>
      </c>
      <c r="AE89" s="120">
        <v>20</v>
      </c>
      <c r="AF89" s="120">
        <v>0</v>
      </c>
      <c r="AG89" s="120">
        <v>35</v>
      </c>
      <c r="AH89" s="120">
        <v>100</v>
      </c>
      <c r="AI89" s="120">
        <v>0</v>
      </c>
      <c r="AJ89" s="120">
        <v>0</v>
      </c>
      <c r="AK89" s="120">
        <v>0</v>
      </c>
      <c r="AL89" s="120">
        <v>0</v>
      </c>
      <c r="AM89" s="120">
        <v>0</v>
      </c>
      <c r="AN89" s="120">
        <v>0</v>
      </c>
      <c r="AO89" s="120">
        <v>0</v>
      </c>
      <c r="AP89" s="120">
        <v>0</v>
      </c>
      <c r="AQ89" s="120">
        <v>0</v>
      </c>
      <c r="AR89" s="120">
        <v>0</v>
      </c>
      <c r="AS89" s="132">
        <f>IF(Prod[[#This Row],[S1Hrs]]=0,0,Prod[[#This Row],[S1Shot]]*Prod[[#This Row],[S1Cycle]]/(Prod[[#This Row],[S1Hrs]]*60*60))</f>
        <v>1.0292688888888888</v>
      </c>
      <c r="AT89" s="132">
        <f>IF(Prod[[#This Row],[S2Hrs]]=0,0,Prod[[#This Row],[S2Shot]]*Prod[[#This Row],[S2Cycle]]/(Prod[[#This Row],[S2Hrs]]*60*60))</f>
        <v>1.0404552083333334</v>
      </c>
      <c r="AU89" s="132">
        <f>IF(Prod[[#This Row],[S3Hrs]]=0,0,Prod[[#This Row],[S3Shot]]*Prod[[#This Row],[S3Cycle]]/(Prod[[#This Row],[S3Hrs]]*60*60))</f>
        <v>0</v>
      </c>
      <c r="AV89" s="132">
        <f>IFERROR(AVERAGEIF(Prod[[#This Row],[S1%]:[S3%]], "&lt;&gt;0"),0)</f>
        <v>1.0348620486111111</v>
      </c>
      <c r="AW89" s="132">
        <v>1</v>
      </c>
      <c r="AX89" s="132">
        <v>0</v>
      </c>
      <c r="AY89" s="132">
        <v>0</v>
      </c>
      <c r="AZ89" s="175">
        <f>IF(Prod[[#This Row],[S1Cycle]]&lt;&gt;0,1,0)</f>
        <v>1</v>
      </c>
      <c r="BA89" s="175">
        <f>IF(Prod[[#This Row],[S2Cycle]]&lt;&gt;0,1,0)</f>
        <v>1</v>
      </c>
      <c r="BB89" s="175">
        <f>IF(Prod[[#This Row],[S3Cycle]]&lt;&gt;0,1,0)</f>
        <v>0</v>
      </c>
      <c r="BC89" s="175">
        <f>MAX(Prod[[#This Row],[S1Cavity]],Prod[[#This Row],[S2Cavity]],Prod[[#This Row],[S3Cavity]])</f>
        <v>8</v>
      </c>
      <c r="BD89" s="175" t="b">
        <f>RegExpMatch(Prod[[#This Row],[MoldNo]], "^DEO-(B|C)")</f>
        <v>1</v>
      </c>
      <c r="BE89" s="175" t="b">
        <f>RegExpMatch(Prod[[#This Row],[MoldNo]], "^JAC")</f>
        <v>0</v>
      </c>
    </row>
    <row r="90" spans="1:57" x14ac:dyDescent="0.2">
      <c r="A90" s="117">
        <v>45449</v>
      </c>
      <c r="B90" s="120" t="s">
        <v>7</v>
      </c>
      <c r="C90" s="119" t="s">
        <v>172</v>
      </c>
      <c r="D90" s="119">
        <v>27822</v>
      </c>
      <c r="E90" s="131" t="s">
        <v>199</v>
      </c>
      <c r="F90" s="119">
        <v>6331</v>
      </c>
      <c r="G90" s="119" t="str">
        <f>IF(OR(Prod[[#This Row],[S1Hrs]]&gt;0,Prod[[#This Row],[S2Hrs]]&gt;0,Prod[[#This Row],[S3Hrs]]&gt;0),"Running","Down")</f>
        <v>Running</v>
      </c>
      <c r="H90" s="187">
        <v>20.77</v>
      </c>
      <c r="I90" s="141">
        <v>4.5</v>
      </c>
      <c r="J90" s="120">
        <v>777</v>
      </c>
      <c r="K90" s="130">
        <v>8</v>
      </c>
      <c r="L90" s="120">
        <f>Prod[[#This Row],[S1Shot]]*Prod[[#This Row],[S1Cavity]]-Prod[[#This Row],[S1Dft]]</f>
        <v>6151</v>
      </c>
      <c r="M90" s="136">
        <f>SUM(Prod[[#This Row],[S1Mold]],Prod[[#This Row],[S1Print]],Prod[[#This Row],[S1Ovlp]],Prod[[#This Row],[S1Seam]],Prod[[#This Row],[S1Dmg]])</f>
        <v>65</v>
      </c>
      <c r="N90" s="187">
        <v>0</v>
      </c>
      <c r="O90" s="141">
        <v>0</v>
      </c>
      <c r="P90" s="120">
        <v>0</v>
      </c>
      <c r="Q90" s="130">
        <v>0</v>
      </c>
      <c r="R90" s="120">
        <f>Prod[[#This Row],[S2Shot]]*Prod[[#This Row],[S2Cavity]]-Prod[[#This Row],[S2Dft]]</f>
        <v>0</v>
      </c>
      <c r="S90" s="136">
        <f>SUM(Prod[[#This Row],[S2Mold]],Prod[[#This Row],[S2Print]],Prod[[#This Row],[S2Ovlp]],Prod[[#This Row],[S2Seam]],Prod[[#This Row],[S2Dmg]])</f>
        <v>0</v>
      </c>
      <c r="T90" s="187">
        <v>0</v>
      </c>
      <c r="U90" s="141">
        <v>0</v>
      </c>
      <c r="V90" s="120">
        <v>0</v>
      </c>
      <c r="W90" s="130">
        <v>0</v>
      </c>
      <c r="X90" s="120">
        <f>Prod[[#This Row],[S3Shot]]*Prod[[#This Row],[S3Cavity]]-Prod[[#This Row],[S3Dft]]</f>
        <v>0</v>
      </c>
      <c r="Y90" s="120">
        <f>SUM(Prod[[#This Row],[S3Mold]],Prod[[#This Row],[S3Print]],Prod[[#This Row],[S3Ovlp]],Prod[[#This Row],[S3Seam]],Prod[[#This Row],[S3Dmg]])</f>
        <v>0</v>
      </c>
      <c r="Z90" s="120">
        <f>SUM(Prod[[#This Row],[S1Qty]],Prod[[#This Row],[S2Qty]],Prod[[#This Row],[S3Qty]])</f>
        <v>6151</v>
      </c>
      <c r="AA90" s="120">
        <f>SUM(Prod[[#This Row],[S1Dft]],Prod[[#This Row],[S2Dft]],Prod[[#This Row],[S3Dft]])</f>
        <v>65</v>
      </c>
      <c r="AB90" s="121">
        <f>IF(Prod[[#This Row],[Total]]=0,0,Prod[[#This Row],[TotalDft]]/Prod[[#This Row],[Total]])</f>
        <v>1.0567387416680214E-2</v>
      </c>
      <c r="AC90" s="131"/>
      <c r="AD90" s="120">
        <v>15</v>
      </c>
      <c r="AE90" s="120">
        <v>0</v>
      </c>
      <c r="AF90" s="120">
        <v>0</v>
      </c>
      <c r="AG90" s="120">
        <v>50</v>
      </c>
      <c r="AH90" s="120">
        <v>0</v>
      </c>
      <c r="AI90" s="120">
        <v>0</v>
      </c>
      <c r="AJ90" s="120">
        <v>0</v>
      </c>
      <c r="AK90" s="120">
        <v>0</v>
      </c>
      <c r="AL90" s="120">
        <v>0</v>
      </c>
      <c r="AM90" s="120">
        <v>0</v>
      </c>
      <c r="AN90" s="120">
        <v>0</v>
      </c>
      <c r="AO90" s="120">
        <v>0</v>
      </c>
      <c r="AP90" s="120">
        <v>0</v>
      </c>
      <c r="AQ90" s="120">
        <v>0</v>
      </c>
      <c r="AR90" s="120">
        <v>0</v>
      </c>
      <c r="AS90" s="132">
        <f>IF(Prod[[#This Row],[S1Hrs]]=0,0,Prod[[#This Row],[S1Shot]]*Prod[[#This Row],[S1Cycle]]/(Prod[[#This Row],[S1Hrs]]*60*60))</f>
        <v>0.99619074074074065</v>
      </c>
      <c r="AT90" s="132">
        <f>IF(Prod[[#This Row],[S2Hrs]]=0,0,Prod[[#This Row],[S2Shot]]*Prod[[#This Row],[S2Cycle]]/(Prod[[#This Row],[S2Hrs]]*60*60))</f>
        <v>0</v>
      </c>
      <c r="AU90" s="132">
        <f>IF(Prod[[#This Row],[S3Hrs]]=0,0,Prod[[#This Row],[S3Shot]]*Prod[[#This Row],[S3Cycle]]/(Prod[[#This Row],[S3Hrs]]*60*60))</f>
        <v>0</v>
      </c>
      <c r="AV90" s="132">
        <f>IFERROR(AVERAGEIF(Prod[[#This Row],[S1%]:[S3%]], "&lt;&gt;0"),0)</f>
        <v>0.99619074074074065</v>
      </c>
      <c r="AW90" s="132">
        <v>0.5</v>
      </c>
      <c r="AX90" s="132">
        <v>0</v>
      </c>
      <c r="AY90" s="132">
        <v>0</v>
      </c>
      <c r="AZ90" s="175">
        <f>IF(Prod[[#This Row],[S1Cycle]]&lt;&gt;0,1,0)</f>
        <v>1</v>
      </c>
      <c r="BA90" s="175">
        <f>IF(Prod[[#This Row],[S2Cycle]]&lt;&gt;0,1,0)</f>
        <v>0</v>
      </c>
      <c r="BB90" s="175">
        <f>IF(Prod[[#This Row],[S3Cycle]]&lt;&gt;0,1,0)</f>
        <v>0</v>
      </c>
      <c r="BC90" s="175">
        <f>MAX(Prod[[#This Row],[S1Cavity]],Prod[[#This Row],[S2Cavity]],Prod[[#This Row],[S3Cavity]])</f>
        <v>8</v>
      </c>
      <c r="BD90" s="175" t="b">
        <f>RegExpMatch(Prod[[#This Row],[MoldNo]], "^DEO-(B|C)")</f>
        <v>1</v>
      </c>
      <c r="BE90" s="175" t="b">
        <f>RegExpMatch(Prod[[#This Row],[MoldNo]], "^JAC")</f>
        <v>0</v>
      </c>
    </row>
    <row r="91" spans="1:57" x14ac:dyDescent="0.2">
      <c r="A91" s="117">
        <v>45449</v>
      </c>
      <c r="B91" s="120" t="s">
        <v>7</v>
      </c>
      <c r="C91" s="119" t="s">
        <v>172</v>
      </c>
      <c r="D91" s="119">
        <v>27937</v>
      </c>
      <c r="E91" s="131" t="s">
        <v>199</v>
      </c>
      <c r="F91" s="119">
        <v>6331</v>
      </c>
      <c r="G91" s="119" t="str">
        <f>IF(OR(Prod[[#This Row],[S1Hrs]]&gt;0,Prod[[#This Row],[S2Hrs]]&gt;0,Prod[[#This Row],[S3Hrs]]&gt;0),"Running","Down")</f>
        <v>Running</v>
      </c>
      <c r="H91" s="187">
        <v>0</v>
      </c>
      <c r="I91" s="141">
        <v>0</v>
      </c>
      <c r="J91" s="120">
        <v>0</v>
      </c>
      <c r="K91" s="130">
        <v>0</v>
      </c>
      <c r="L91" s="120">
        <f>Prod[[#This Row],[S1Shot]]*Prod[[#This Row],[S1Cavity]]-Prod[[#This Row],[S1Dft]]</f>
        <v>0</v>
      </c>
      <c r="M91" s="136">
        <f>SUM(Prod[[#This Row],[S1Mold]],Prod[[#This Row],[S1Print]],Prod[[#This Row],[S1Ovlp]],Prod[[#This Row],[S1Seam]],Prod[[#This Row],[S1Dmg]])</f>
        <v>0</v>
      </c>
      <c r="N91" s="187">
        <v>0</v>
      </c>
      <c r="O91" s="141">
        <v>0</v>
      </c>
      <c r="P91" s="120">
        <v>0</v>
      </c>
      <c r="Q91" s="130">
        <v>0</v>
      </c>
      <c r="R91" s="120">
        <f>Prod[[#This Row],[S2Shot]]*Prod[[#This Row],[S2Cavity]]-Prod[[#This Row],[S2Dft]]</f>
        <v>0</v>
      </c>
      <c r="S91" s="136">
        <f>SUM(Prod[[#This Row],[S2Mold]],Prod[[#This Row],[S2Print]],Prod[[#This Row],[S2Ovlp]],Prod[[#This Row],[S2Seam]],Prod[[#This Row],[S2Dmg]])</f>
        <v>0</v>
      </c>
      <c r="T91" s="187">
        <v>20.82</v>
      </c>
      <c r="U91" s="141">
        <v>4</v>
      </c>
      <c r="V91" s="120">
        <v>619</v>
      </c>
      <c r="W91" s="130">
        <v>8</v>
      </c>
      <c r="X91" s="120">
        <f>Prod[[#This Row],[S3Shot]]*Prod[[#This Row],[S3Cavity]]-Prod[[#This Row],[S3Dft]]</f>
        <v>4942</v>
      </c>
      <c r="Y91" s="120">
        <f>SUM(Prod[[#This Row],[S3Mold]],Prod[[#This Row],[S3Print]],Prod[[#This Row],[S3Ovlp]],Prod[[#This Row],[S3Seam]],Prod[[#This Row],[S3Dmg]])</f>
        <v>10</v>
      </c>
      <c r="Z91" s="120">
        <f>SUM(Prod[[#This Row],[S1Qty]],Prod[[#This Row],[S2Qty]],Prod[[#This Row],[S3Qty]])</f>
        <v>4942</v>
      </c>
      <c r="AA91" s="120">
        <f>SUM(Prod[[#This Row],[S1Dft]],Prod[[#This Row],[S2Dft]],Prod[[#This Row],[S3Dft]])</f>
        <v>10</v>
      </c>
      <c r="AB91" s="121">
        <f>IF(Prod[[#This Row],[Total]]=0,0,Prod[[#This Row],[TotalDft]]/Prod[[#This Row],[Total]])</f>
        <v>2.0234722784297854E-3</v>
      </c>
      <c r="AC91" s="131" t="s">
        <v>222</v>
      </c>
      <c r="AD91" s="120">
        <v>0</v>
      </c>
      <c r="AE91" s="120">
        <v>0</v>
      </c>
      <c r="AF91" s="120">
        <v>10</v>
      </c>
      <c r="AG91" s="120">
        <v>0</v>
      </c>
      <c r="AH91" s="120">
        <v>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32">
        <f>IF(Prod[[#This Row],[S1Hrs]]=0,0,Prod[[#This Row],[S1Shot]]*Prod[[#This Row],[S1Cycle]]/(Prod[[#This Row],[S1Hrs]]*60*60))</f>
        <v>0</v>
      </c>
      <c r="AT91" s="132">
        <f>IF(Prod[[#This Row],[S2Hrs]]=0,0,Prod[[#This Row],[S2Shot]]*Prod[[#This Row],[S2Cycle]]/(Prod[[#This Row],[S2Hrs]]*60*60))</f>
        <v>0</v>
      </c>
      <c r="AU91" s="132">
        <f>IF(Prod[[#This Row],[S3Hrs]]=0,0,Prod[[#This Row],[S3Shot]]*Prod[[#This Row],[S3Cycle]]/(Prod[[#This Row],[S3Hrs]]*60*60))</f>
        <v>0.89497083333333338</v>
      </c>
      <c r="AV91" s="132">
        <f>IFERROR(AVERAGEIF(Prod[[#This Row],[S1%]:[S3%]], "&lt;&gt;0"),0)</f>
        <v>0.89497083333333338</v>
      </c>
      <c r="AW91" s="132">
        <v>0.5</v>
      </c>
      <c r="AX91" s="132">
        <v>0</v>
      </c>
      <c r="AY91" s="132">
        <v>0</v>
      </c>
      <c r="AZ91" s="175">
        <f>IF(Prod[[#This Row],[S1Cycle]]&lt;&gt;0,1,0)</f>
        <v>0</v>
      </c>
      <c r="BA91" s="175">
        <f>IF(Prod[[#This Row],[S2Cycle]]&lt;&gt;0,1,0)</f>
        <v>0</v>
      </c>
      <c r="BB91" s="175">
        <f>IF(Prod[[#This Row],[S3Cycle]]&lt;&gt;0,1,0)</f>
        <v>1</v>
      </c>
      <c r="BC91" s="175">
        <f>MAX(Prod[[#This Row],[S1Cavity]],Prod[[#This Row],[S2Cavity]],Prod[[#This Row],[S3Cavity]])</f>
        <v>8</v>
      </c>
      <c r="BD91" s="175" t="b">
        <f>RegExpMatch(Prod[[#This Row],[MoldNo]], "^DEO-(B|C)")</f>
        <v>1</v>
      </c>
      <c r="BE91" s="175" t="b">
        <f>RegExpMatch(Prod[[#This Row],[MoldNo]], "^JAC")</f>
        <v>0</v>
      </c>
    </row>
    <row r="92" spans="1:57" x14ac:dyDescent="0.2">
      <c r="A92" s="117">
        <v>45449</v>
      </c>
      <c r="B92" s="120" t="s">
        <v>85</v>
      </c>
      <c r="C92" s="119" t="s">
        <v>165</v>
      </c>
      <c r="D92" s="119">
        <v>27501</v>
      </c>
      <c r="E92" s="131" t="s">
        <v>199</v>
      </c>
      <c r="F92" s="119">
        <v>6331</v>
      </c>
      <c r="G92" s="119" t="str">
        <f>IF(OR(Prod[[#This Row],[S1Hrs]]&gt;0,Prod[[#This Row],[S2Hrs]]&gt;0,Prod[[#This Row],[S3Hrs]]&gt;0),"Running","Down")</f>
        <v>Running</v>
      </c>
      <c r="H92" s="187">
        <v>20.43</v>
      </c>
      <c r="I92" s="141">
        <v>8</v>
      </c>
      <c r="J92" s="120">
        <v>1230</v>
      </c>
      <c r="K92" s="130">
        <v>16</v>
      </c>
      <c r="L92" s="120">
        <f>Prod[[#This Row],[S1Shot]]*Prod[[#This Row],[S1Cavity]]-Prod[[#This Row],[S1Dft]]</f>
        <v>19680</v>
      </c>
      <c r="M92" s="134"/>
      <c r="N92" s="187">
        <v>20.43</v>
      </c>
      <c r="O92" s="141">
        <v>8</v>
      </c>
      <c r="P92" s="120">
        <v>1504</v>
      </c>
      <c r="Q92" s="130">
        <v>16</v>
      </c>
      <c r="R92" s="120">
        <f>Prod[[#This Row],[S2Shot]]*Prod[[#This Row],[S2Cavity]]-Prod[[#This Row],[S2Dft]]</f>
        <v>24064</v>
      </c>
      <c r="S92" s="134"/>
      <c r="T92" s="187">
        <v>20.420000000000002</v>
      </c>
      <c r="U92" s="141">
        <v>8</v>
      </c>
      <c r="V92" s="120">
        <v>1416</v>
      </c>
      <c r="W92" s="130">
        <v>16</v>
      </c>
      <c r="X92" s="120">
        <f>Prod[[#This Row],[S3Shot]]*Prod[[#This Row],[S3Cavity]]-Prod[[#This Row],[S3Dft]]</f>
        <v>22656</v>
      </c>
      <c r="Y92" s="134"/>
      <c r="Z92" s="120">
        <f>SUM(Prod[[#This Row],[S1Qty]],Prod[[#This Row],[S2Qty]],Prod[[#This Row],[S3Qty]])</f>
        <v>66400</v>
      </c>
      <c r="AA92" s="134"/>
      <c r="AB92" s="135"/>
      <c r="AC92" s="118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2">
        <f>IF(Prod[[#This Row],[S1Hrs]]=0,0,Prod[[#This Row],[S1Shot]]*Prod[[#This Row],[S1Cycle]]/(Prod[[#This Row],[S1Hrs]]*60*60))</f>
        <v>0.87253125000000009</v>
      </c>
      <c r="AT92" s="132">
        <f>IF(Prod[[#This Row],[S2Hrs]]=0,0,Prod[[#This Row],[S2Shot]]*Prod[[#This Row],[S2Cycle]]/(Prod[[#This Row],[S2Hrs]]*60*60))</f>
        <v>1.0669</v>
      </c>
      <c r="AU92" s="132">
        <f>IF(Prod[[#This Row],[S3Hrs]]=0,0,Prod[[#This Row],[S3Shot]]*Prod[[#This Row],[S3Cycle]]/(Prod[[#This Row],[S3Hrs]]*60*60))</f>
        <v>1.0039833333333334</v>
      </c>
      <c r="AV92" s="132">
        <f>IFERROR(AVERAGEIF(Prod[[#This Row],[S1%]:[S3%]], "&lt;&gt;0"),0)</f>
        <v>0.9811381944444445</v>
      </c>
      <c r="AW92" s="132">
        <v>0</v>
      </c>
      <c r="AX92" s="132">
        <v>0</v>
      </c>
      <c r="AY92" s="132">
        <v>0</v>
      </c>
      <c r="AZ92" s="175">
        <f>IF(Prod[[#This Row],[S1Cycle]]&lt;&gt;0,1,0)</f>
        <v>1</v>
      </c>
      <c r="BA92" s="175">
        <f>IF(Prod[[#This Row],[S2Cycle]]&lt;&gt;0,1,0)</f>
        <v>1</v>
      </c>
      <c r="BB92" s="175">
        <f>IF(Prod[[#This Row],[S3Cycle]]&lt;&gt;0,1,0)</f>
        <v>1</v>
      </c>
      <c r="BC92" s="175">
        <f>MAX(Prod[[#This Row],[S1Cavity]],Prod[[#This Row],[S2Cavity]],Prod[[#This Row],[S3Cavity]])</f>
        <v>16</v>
      </c>
      <c r="BD92" s="175" t="b">
        <f>RegExpMatch(Prod[[#This Row],[MoldNo]], "^DEO-(B|C)")</f>
        <v>0</v>
      </c>
      <c r="BE92" s="175" t="b">
        <f>RegExpMatch(Prod[[#This Row],[MoldNo]], "^JAC")</f>
        <v>0</v>
      </c>
    </row>
    <row r="93" spans="1:57" x14ac:dyDescent="0.2">
      <c r="A93" s="117">
        <v>45449</v>
      </c>
      <c r="B93" s="120" t="s">
        <v>196</v>
      </c>
      <c r="C93" s="119" t="s">
        <v>82</v>
      </c>
      <c r="D93" s="119">
        <v>27501</v>
      </c>
      <c r="E93" s="131" t="s">
        <v>199</v>
      </c>
      <c r="F93" s="119">
        <v>6331</v>
      </c>
      <c r="G93" s="119" t="str">
        <f>IF(OR(Prod[[#This Row],[S1Hrs]]&gt;0,Prod[[#This Row],[S2Hrs]]&gt;0,Prod[[#This Row],[S3Hrs]]&gt;0),"Running","Down")</f>
        <v>Running</v>
      </c>
      <c r="H93" s="187">
        <v>18.71</v>
      </c>
      <c r="I93" s="141">
        <v>4</v>
      </c>
      <c r="J93" s="120">
        <v>786</v>
      </c>
      <c r="K93" s="130">
        <v>15</v>
      </c>
      <c r="L93" s="120">
        <f>Prod[[#This Row],[S1Shot]]*Prod[[#This Row],[S1Cavity]]-Prod[[#This Row],[S1Dft]]</f>
        <v>11790</v>
      </c>
      <c r="M93" s="134"/>
      <c r="N93" s="187">
        <v>0</v>
      </c>
      <c r="O93" s="141">
        <v>0</v>
      </c>
      <c r="P93" s="120">
        <v>0</v>
      </c>
      <c r="Q93" s="130">
        <v>0</v>
      </c>
      <c r="R93" s="120">
        <f>Prod[[#This Row],[S2Shot]]*Prod[[#This Row],[S2Cavity]]-Prod[[#This Row],[S2Dft]]</f>
        <v>0</v>
      </c>
      <c r="S93" s="134"/>
      <c r="T93" s="187">
        <v>0</v>
      </c>
      <c r="U93" s="141">
        <v>0</v>
      </c>
      <c r="V93" s="120">
        <v>0</v>
      </c>
      <c r="W93" s="130">
        <v>0</v>
      </c>
      <c r="X93" s="120">
        <f>Prod[[#This Row],[S3Shot]]*Prod[[#This Row],[S3Cavity]]-Prod[[#This Row],[S3Dft]]</f>
        <v>0</v>
      </c>
      <c r="Y93" s="134"/>
      <c r="Z93" s="120">
        <f>SUM(Prod[[#This Row],[S1Qty]],Prod[[#This Row],[S2Qty]],Prod[[#This Row],[S3Qty]])</f>
        <v>11790</v>
      </c>
      <c r="AA93" s="134"/>
      <c r="AB93" s="135"/>
      <c r="AC93" s="118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2">
        <f>IF(Prod[[#This Row],[S1Hrs]]=0,0,Prod[[#This Row],[S1Shot]]*Prod[[#This Row],[S1Cycle]]/(Prod[[#This Row],[S1Hrs]]*60*60))</f>
        <v>1.0212541666666668</v>
      </c>
      <c r="AT93" s="132">
        <f>IF(Prod[[#This Row],[S2Hrs]]=0,0,Prod[[#This Row],[S2Shot]]*Prod[[#This Row],[S2Cycle]]/(Prod[[#This Row],[S2Hrs]]*60*60))</f>
        <v>0</v>
      </c>
      <c r="AU93" s="132">
        <f>IF(Prod[[#This Row],[S3Hrs]]=0,0,Prod[[#This Row],[S3Shot]]*Prod[[#This Row],[S3Cycle]]/(Prod[[#This Row],[S3Hrs]]*60*60))</f>
        <v>0</v>
      </c>
      <c r="AV93" s="132">
        <f>IFERROR(AVERAGEIF(Prod[[#This Row],[S1%]:[S3%]], "&lt;&gt;0"),0)</f>
        <v>1.0212541666666668</v>
      </c>
      <c r="AW93" s="132">
        <v>0.5</v>
      </c>
      <c r="AX93" s="132">
        <v>0</v>
      </c>
      <c r="AY93" s="132">
        <v>0</v>
      </c>
      <c r="AZ93" s="175">
        <f>IF(Prod[[#This Row],[S1Cycle]]&lt;&gt;0,1,0)</f>
        <v>1</v>
      </c>
      <c r="BA93" s="175">
        <f>IF(Prod[[#This Row],[S2Cycle]]&lt;&gt;0,1,0)</f>
        <v>0</v>
      </c>
      <c r="BB93" s="175">
        <f>IF(Prod[[#This Row],[S3Cycle]]&lt;&gt;0,1,0)</f>
        <v>0</v>
      </c>
      <c r="BC93" s="175">
        <f>MAX(Prod[[#This Row],[S1Cavity]],Prod[[#This Row],[S2Cavity]],Prod[[#This Row],[S3Cavity]])</f>
        <v>15</v>
      </c>
      <c r="BD93" s="175" t="b">
        <f>RegExpMatch(Prod[[#This Row],[MoldNo]], "^DEO-(B|C)")</f>
        <v>0</v>
      </c>
      <c r="BE93" s="175" t="b">
        <f>RegExpMatch(Prod[[#This Row],[MoldNo]], "^JAC")</f>
        <v>0</v>
      </c>
    </row>
    <row r="94" spans="1:57" x14ac:dyDescent="0.2">
      <c r="A94" s="117">
        <v>45449</v>
      </c>
      <c r="B94" s="120" t="s">
        <v>192</v>
      </c>
      <c r="C94" s="131" t="s">
        <v>193</v>
      </c>
      <c r="D94" s="119">
        <v>27430</v>
      </c>
      <c r="E94" s="131" t="s">
        <v>199</v>
      </c>
      <c r="F94" s="119">
        <v>6331</v>
      </c>
      <c r="G94" s="119" t="str">
        <f>IF(OR(Prod[[#This Row],[S1Hrs]]&gt;0,Prod[[#This Row],[S2Hrs]]&gt;0,Prod[[#This Row],[S3Hrs]]&gt;0),"Running","Down")</f>
        <v>Running</v>
      </c>
      <c r="H94" s="187">
        <v>0</v>
      </c>
      <c r="I94" s="141">
        <v>0</v>
      </c>
      <c r="J94" s="120">
        <v>0</v>
      </c>
      <c r="K94" s="130">
        <v>0</v>
      </c>
      <c r="L94" s="120">
        <f>Prod[[#This Row],[S1Shot]]*Prod[[#This Row],[S1Cavity]]-Prod[[#This Row],[S1Dft]]</f>
        <v>0</v>
      </c>
      <c r="M94" s="134"/>
      <c r="N94" s="187">
        <v>0</v>
      </c>
      <c r="O94" s="141">
        <v>0</v>
      </c>
      <c r="P94" s="120">
        <v>0</v>
      </c>
      <c r="Q94" s="130">
        <v>0</v>
      </c>
      <c r="R94" s="120">
        <f>Prod[[#This Row],[S2Shot]]*Prod[[#This Row],[S2Cavity]]-Prod[[#This Row],[S2Dft]]</f>
        <v>0</v>
      </c>
      <c r="S94" s="134"/>
      <c r="T94" s="187">
        <v>17.25</v>
      </c>
      <c r="U94" s="141">
        <v>6</v>
      </c>
      <c r="V94" s="120">
        <v>1237</v>
      </c>
      <c r="W94" s="130">
        <v>24</v>
      </c>
      <c r="X94" s="120">
        <f>Prod[[#This Row],[S3Shot]]*Prod[[#This Row],[S3Cavity]]-Prod[[#This Row],[S3Dft]]</f>
        <v>29688</v>
      </c>
      <c r="Y94" s="134"/>
      <c r="Z94" s="120">
        <f>SUM(Prod[[#This Row],[S1Qty]],Prod[[#This Row],[S2Qty]],Prod[[#This Row],[S3Qty]])</f>
        <v>29688</v>
      </c>
      <c r="AA94" s="134"/>
      <c r="AB94" s="135"/>
      <c r="AC94" s="118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2">
        <f>IF(Prod[[#This Row],[S1Hrs]]=0,0,Prod[[#This Row],[S1Shot]]*Prod[[#This Row],[S1Cycle]]/(Prod[[#This Row],[S1Hrs]]*60*60))</f>
        <v>0</v>
      </c>
      <c r="AT94" s="132">
        <f>IF(Prod[[#This Row],[S2Hrs]]=0,0,Prod[[#This Row],[S2Shot]]*Prod[[#This Row],[S2Cycle]]/(Prod[[#This Row],[S2Hrs]]*60*60))</f>
        <v>0</v>
      </c>
      <c r="AU94" s="132">
        <f>IF(Prod[[#This Row],[S3Hrs]]=0,0,Prod[[#This Row],[S3Shot]]*Prod[[#This Row],[S3Cycle]]/(Prod[[#This Row],[S3Hrs]]*60*60))</f>
        <v>0.98788194444444444</v>
      </c>
      <c r="AV94" s="132">
        <f>IFERROR(AVERAGEIF(Prod[[#This Row],[S1%]:[S3%]], "&lt;&gt;0"),0)</f>
        <v>0.98788194444444444</v>
      </c>
      <c r="AW94" s="132">
        <v>0.5</v>
      </c>
      <c r="AX94" s="132">
        <v>0</v>
      </c>
      <c r="AY94" s="132">
        <v>0</v>
      </c>
      <c r="AZ94" s="175">
        <f>IF(Prod[[#This Row],[S1Cycle]]&lt;&gt;0,1,0)</f>
        <v>0</v>
      </c>
      <c r="BA94" s="175">
        <f>IF(Prod[[#This Row],[S2Cycle]]&lt;&gt;0,1,0)</f>
        <v>0</v>
      </c>
      <c r="BB94" s="175">
        <f>IF(Prod[[#This Row],[S3Cycle]]&lt;&gt;0,1,0)</f>
        <v>1</v>
      </c>
      <c r="BC94" s="175">
        <f>MAX(Prod[[#This Row],[S1Cavity]],Prod[[#This Row],[S2Cavity]],Prod[[#This Row],[S3Cavity]])</f>
        <v>24</v>
      </c>
      <c r="BD94" s="175" t="b">
        <f>RegExpMatch(Prod[[#This Row],[MoldNo]], "^DEO-(B|C)")</f>
        <v>0</v>
      </c>
      <c r="BE94" s="175" t="b">
        <f>RegExpMatch(Prod[[#This Row],[MoldNo]], "^JAC")</f>
        <v>0</v>
      </c>
    </row>
    <row r="95" spans="1:57" x14ac:dyDescent="0.2">
      <c r="A95" s="117">
        <v>45449</v>
      </c>
      <c r="B95" s="120" t="s">
        <v>168</v>
      </c>
      <c r="C95" s="119" t="s">
        <v>169</v>
      </c>
      <c r="D95" s="119"/>
      <c r="E95" s="131"/>
      <c r="F95" s="119"/>
      <c r="G95" s="119" t="str">
        <f>IF(OR(Prod[[#This Row],[S1Hrs]]&gt;0,Prod[[#This Row],[S2Hrs]]&gt;0,Prod[[#This Row],[S3Hrs]]&gt;0),"Running","Down")</f>
        <v>Down</v>
      </c>
      <c r="H95" s="187">
        <v>0</v>
      </c>
      <c r="I95" s="141">
        <v>0</v>
      </c>
      <c r="J95" s="120">
        <v>0</v>
      </c>
      <c r="K95" s="130">
        <v>0</v>
      </c>
      <c r="L95" s="120">
        <f>Prod[[#This Row],[S1Shot]]*Prod[[#This Row],[S1Cavity]]-Prod[[#This Row],[S1Dft]]</f>
        <v>0</v>
      </c>
      <c r="M95" s="134"/>
      <c r="N95" s="187">
        <v>0</v>
      </c>
      <c r="O95" s="141">
        <v>0</v>
      </c>
      <c r="P95" s="120">
        <v>0</v>
      </c>
      <c r="Q95" s="130">
        <v>0</v>
      </c>
      <c r="R95" s="120">
        <f>Prod[[#This Row],[S2Shot]]*Prod[[#This Row],[S2Cavity]]-Prod[[#This Row],[S2Dft]]</f>
        <v>0</v>
      </c>
      <c r="S95" s="134"/>
      <c r="T95" s="187">
        <v>0</v>
      </c>
      <c r="U95" s="141">
        <v>0</v>
      </c>
      <c r="V95" s="120">
        <v>0</v>
      </c>
      <c r="W95" s="130">
        <v>0</v>
      </c>
      <c r="X95" s="120">
        <f>Prod[[#This Row],[S3Shot]]*Prod[[#This Row],[S3Cavity]]-Prod[[#This Row],[S3Dft]]</f>
        <v>0</v>
      </c>
      <c r="Y95" s="134"/>
      <c r="Z95" s="120">
        <f>SUM(Prod[[#This Row],[S1Qty]],Prod[[#This Row],[S2Qty]],Prod[[#This Row],[S3Qty]])</f>
        <v>0</v>
      </c>
      <c r="AA95" s="134"/>
      <c r="AB95" s="135"/>
      <c r="AC95" s="118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2">
        <f>IF(Prod[[#This Row],[S1Hrs]]=0,0,Prod[[#This Row],[S1Shot]]*Prod[[#This Row],[S1Cycle]]/(Prod[[#This Row],[S1Hrs]]*60*60))</f>
        <v>0</v>
      </c>
      <c r="AT95" s="132">
        <f>IF(Prod[[#This Row],[S2Hrs]]=0,0,Prod[[#This Row],[S2Shot]]*Prod[[#This Row],[S2Cycle]]/(Prod[[#This Row],[S2Hrs]]*60*60))</f>
        <v>0</v>
      </c>
      <c r="AU95" s="132">
        <f>IF(Prod[[#This Row],[S3Hrs]]=0,0,Prod[[#This Row],[S3Shot]]*Prod[[#This Row],[S3Cycle]]/(Prod[[#This Row],[S3Hrs]]*60*60))</f>
        <v>0</v>
      </c>
      <c r="AV95" s="132">
        <f>IFERROR(AVERAGEIF(Prod[[#This Row],[S1%]:[S3%]], "&lt;&gt;0"),0)</f>
        <v>0</v>
      </c>
      <c r="AW95" s="132">
        <v>0</v>
      </c>
      <c r="AX95" s="132">
        <v>0</v>
      </c>
      <c r="AY95" s="132">
        <v>0</v>
      </c>
      <c r="AZ95" s="175">
        <f>IF(Prod[[#This Row],[S1Cycle]]&lt;&gt;0,1,0)</f>
        <v>0</v>
      </c>
      <c r="BA95" s="175">
        <f>IF(Prod[[#This Row],[S2Cycle]]&lt;&gt;0,1,0)</f>
        <v>0</v>
      </c>
      <c r="BB95" s="175">
        <f>IF(Prod[[#This Row],[S3Cycle]]&lt;&gt;0,1,0)</f>
        <v>0</v>
      </c>
      <c r="BC95" s="175">
        <f>MAX(Prod[[#This Row],[S1Cavity]],Prod[[#This Row],[S2Cavity]],Prod[[#This Row],[S3Cavity]])</f>
        <v>0</v>
      </c>
      <c r="BD95" s="175" t="b">
        <f>RegExpMatch(Prod[[#This Row],[MoldNo]], "^DEO-(B|C)")</f>
        <v>0</v>
      </c>
      <c r="BE95" s="175" t="b">
        <f>RegExpMatch(Prod[[#This Row],[MoldNo]], "^JAC")</f>
        <v>0</v>
      </c>
    </row>
    <row r="96" spans="1:57" x14ac:dyDescent="0.2">
      <c r="A96" s="117">
        <v>45449</v>
      </c>
      <c r="B96" s="120" t="s">
        <v>146</v>
      </c>
      <c r="C96" s="119" t="s">
        <v>84</v>
      </c>
      <c r="D96" s="119"/>
      <c r="E96" s="131"/>
      <c r="F96" s="119"/>
      <c r="G96" s="119" t="str">
        <f>IF(OR(Prod[[#This Row],[S1Hrs]]&gt;0,Prod[[#This Row],[S2Hrs]]&gt;0,Prod[[#This Row],[S3Hrs]]&gt;0),"Running","Down")</f>
        <v>Down</v>
      </c>
      <c r="H96" s="187">
        <v>0</v>
      </c>
      <c r="I96" s="141">
        <v>0</v>
      </c>
      <c r="J96" s="120">
        <v>0</v>
      </c>
      <c r="K96" s="130">
        <v>0</v>
      </c>
      <c r="L96" s="120">
        <f>Prod[[#This Row],[S1Shot]]*Prod[[#This Row],[S1Cavity]]-Prod[[#This Row],[S1Dft]]</f>
        <v>0</v>
      </c>
      <c r="M96" s="134"/>
      <c r="N96" s="187">
        <v>0</v>
      </c>
      <c r="O96" s="141">
        <v>0</v>
      </c>
      <c r="P96" s="120">
        <v>0</v>
      </c>
      <c r="Q96" s="130">
        <v>0</v>
      </c>
      <c r="R96" s="120">
        <f>Prod[[#This Row],[S2Shot]]*Prod[[#This Row],[S2Cavity]]-Prod[[#This Row],[S2Dft]]</f>
        <v>0</v>
      </c>
      <c r="S96" s="134"/>
      <c r="T96" s="187">
        <v>0</v>
      </c>
      <c r="U96" s="141">
        <v>0</v>
      </c>
      <c r="V96" s="120">
        <v>0</v>
      </c>
      <c r="W96" s="130">
        <v>0</v>
      </c>
      <c r="X96" s="120">
        <f>Prod[[#This Row],[S3Shot]]*Prod[[#This Row],[S3Cavity]]-Prod[[#This Row],[S3Dft]]</f>
        <v>0</v>
      </c>
      <c r="Y96" s="134"/>
      <c r="Z96" s="120">
        <f>SUM(Prod[[#This Row],[S1Qty]],Prod[[#This Row],[S2Qty]],Prod[[#This Row],[S3Qty]])</f>
        <v>0</v>
      </c>
      <c r="AA96" s="134"/>
      <c r="AB96" s="135"/>
      <c r="AC96" s="118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2">
        <f>IF(Prod[[#This Row],[S1Hrs]]=0,0,Prod[[#This Row],[S1Shot]]*Prod[[#This Row],[S1Cycle]]/(Prod[[#This Row],[S1Hrs]]*60*60))</f>
        <v>0</v>
      </c>
      <c r="AT96" s="132">
        <f>IF(Prod[[#This Row],[S2Hrs]]=0,0,Prod[[#This Row],[S2Shot]]*Prod[[#This Row],[S2Cycle]]/(Prod[[#This Row],[S2Hrs]]*60*60))</f>
        <v>0</v>
      </c>
      <c r="AU96" s="132">
        <f>IF(Prod[[#This Row],[S3Hrs]]=0,0,Prod[[#This Row],[S3Shot]]*Prod[[#This Row],[S3Cycle]]/(Prod[[#This Row],[S3Hrs]]*60*60))</f>
        <v>0</v>
      </c>
      <c r="AV96" s="132">
        <f>IFERROR(AVERAGEIF(Prod[[#This Row],[S1%]:[S3%]], "&lt;&gt;0"),0)</f>
        <v>0</v>
      </c>
      <c r="AW96" s="132">
        <v>0</v>
      </c>
      <c r="AX96" s="132">
        <v>0</v>
      </c>
      <c r="AY96" s="132">
        <v>0</v>
      </c>
      <c r="AZ96" s="175">
        <f>IF(Prod[[#This Row],[S1Cycle]]&lt;&gt;0,1,0)</f>
        <v>0</v>
      </c>
      <c r="BA96" s="175">
        <f>IF(Prod[[#This Row],[S2Cycle]]&lt;&gt;0,1,0)</f>
        <v>0</v>
      </c>
      <c r="BB96" s="175">
        <f>IF(Prod[[#This Row],[S3Cycle]]&lt;&gt;0,1,0)</f>
        <v>0</v>
      </c>
      <c r="BC96" s="175">
        <f>MAX(Prod[[#This Row],[S1Cavity]],Prod[[#This Row],[S2Cavity]],Prod[[#This Row],[S3Cavity]])</f>
        <v>0</v>
      </c>
      <c r="BD96" s="175" t="b">
        <f>RegExpMatch(Prod[[#This Row],[MoldNo]], "^DEO-(B|C)")</f>
        <v>0</v>
      </c>
      <c r="BE96" s="175" t="b">
        <f>RegExpMatch(Prod[[#This Row],[MoldNo]], "^JAC")</f>
        <v>0</v>
      </c>
    </row>
    <row r="97" spans="1:57" x14ac:dyDescent="0.2">
      <c r="A97" s="117">
        <v>45449</v>
      </c>
      <c r="B97" s="130" t="s">
        <v>194</v>
      </c>
      <c r="C97" s="131" t="s">
        <v>9</v>
      </c>
      <c r="D97" s="119">
        <v>27578</v>
      </c>
      <c r="E97" s="131" t="s">
        <v>199</v>
      </c>
      <c r="F97" s="119">
        <v>6331</v>
      </c>
      <c r="G97" s="119" t="str">
        <f>IF(OR(Prod[[#This Row],[S1Hrs]]&gt;0,Prod[[#This Row],[S2Hrs]]&gt;0,Prod[[#This Row],[S3Hrs]]&gt;0),"Running","Down")</f>
        <v>Running</v>
      </c>
      <c r="H97" s="187">
        <v>15.94</v>
      </c>
      <c r="I97" s="141">
        <v>6</v>
      </c>
      <c r="J97" s="120">
        <v>1297</v>
      </c>
      <c r="K97" s="130">
        <v>8</v>
      </c>
      <c r="L97" s="120">
        <f>Prod[[#This Row],[S1Shot]]*Prod[[#This Row],[S1Cavity]]-Prod[[#This Row],[S1Dft]]</f>
        <v>10376</v>
      </c>
      <c r="M97" s="134"/>
      <c r="N97" s="187">
        <v>0</v>
      </c>
      <c r="O97" s="141">
        <v>0</v>
      </c>
      <c r="P97" s="120">
        <v>0</v>
      </c>
      <c r="Q97" s="130">
        <v>0</v>
      </c>
      <c r="R97" s="120">
        <f>Prod[[#This Row],[S2Shot]]*Prod[[#This Row],[S2Cavity]]-Prod[[#This Row],[S2Dft]]</f>
        <v>0</v>
      </c>
      <c r="S97" s="134"/>
      <c r="T97" s="187">
        <v>0</v>
      </c>
      <c r="U97" s="141">
        <v>0</v>
      </c>
      <c r="V97" s="120">
        <v>0</v>
      </c>
      <c r="W97" s="130">
        <v>0</v>
      </c>
      <c r="X97" s="120">
        <f>Prod[[#This Row],[S3Shot]]*Prod[[#This Row],[S3Cavity]]-Prod[[#This Row],[S3Dft]]</f>
        <v>0</v>
      </c>
      <c r="Y97" s="134"/>
      <c r="Z97" s="120">
        <f>SUM(Prod[[#This Row],[S1Qty]],Prod[[#This Row],[S2Qty]],Prod[[#This Row],[S3Qty]])</f>
        <v>10376</v>
      </c>
      <c r="AA97" s="134"/>
      <c r="AB97" s="135"/>
      <c r="AC97" s="118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2">
        <f>IF(Prod[[#This Row],[S1Hrs]]=0,0,Prod[[#This Row],[S1Shot]]*Prod[[#This Row],[S1Cycle]]/(Prod[[#This Row],[S1Hrs]]*60*60))</f>
        <v>0.95713796296296294</v>
      </c>
      <c r="AT97" s="132">
        <f>IF(Prod[[#This Row],[S2Hrs]]=0,0,Prod[[#This Row],[S2Shot]]*Prod[[#This Row],[S2Cycle]]/(Prod[[#This Row],[S2Hrs]]*60*60))</f>
        <v>0</v>
      </c>
      <c r="AU97" s="132">
        <f>IF(Prod[[#This Row],[S3Hrs]]=0,0,Prod[[#This Row],[S3Shot]]*Prod[[#This Row],[S3Cycle]]/(Prod[[#This Row],[S3Hrs]]*60*60))</f>
        <v>0</v>
      </c>
      <c r="AV97" s="132">
        <f>IFERROR(AVERAGEIF(Prod[[#This Row],[S1%]:[S3%]], "&lt;&gt;0"),0)</f>
        <v>0.95713796296296294</v>
      </c>
      <c r="AW97" s="132">
        <v>0</v>
      </c>
      <c r="AX97" s="132">
        <v>0</v>
      </c>
      <c r="AY97" s="132">
        <v>0</v>
      </c>
      <c r="AZ97" s="175">
        <f>IF(Prod[[#This Row],[S1Cycle]]&lt;&gt;0,1,0)</f>
        <v>1</v>
      </c>
      <c r="BA97" s="175">
        <f>IF(Prod[[#This Row],[S2Cycle]]&lt;&gt;0,1,0)</f>
        <v>0</v>
      </c>
      <c r="BB97" s="175">
        <f>IF(Prod[[#This Row],[S3Cycle]]&lt;&gt;0,1,0)</f>
        <v>0</v>
      </c>
      <c r="BC97" s="175">
        <f>MAX(Prod[[#This Row],[S1Cavity]],Prod[[#This Row],[S2Cavity]],Prod[[#This Row],[S3Cavity]])</f>
        <v>8</v>
      </c>
      <c r="BD97" s="175" t="b">
        <f>RegExpMatch(Prod[[#This Row],[MoldNo]], "^DEO-(B|C)")</f>
        <v>0</v>
      </c>
      <c r="BE97" s="175" t="b">
        <f>RegExpMatch(Prod[[#This Row],[MoldNo]], "^JAC")</f>
        <v>0</v>
      </c>
    </row>
    <row r="98" spans="1:57" x14ac:dyDescent="0.2">
      <c r="A98" s="117">
        <v>45449</v>
      </c>
      <c r="B98" s="130" t="s">
        <v>164</v>
      </c>
      <c r="C98" s="131" t="s">
        <v>144</v>
      </c>
      <c r="D98" s="119"/>
      <c r="E98" s="131"/>
      <c r="F98" s="119"/>
      <c r="G98" s="119" t="str">
        <f>IF(OR(Prod[[#This Row],[S1Hrs]]&gt;0,Prod[[#This Row],[S2Hrs]]&gt;0,Prod[[#This Row],[S3Hrs]]&gt;0),"Running","Down")</f>
        <v>Down</v>
      </c>
      <c r="H98" s="187">
        <v>0</v>
      </c>
      <c r="I98" s="141">
        <v>0</v>
      </c>
      <c r="J98" s="120">
        <v>0</v>
      </c>
      <c r="K98" s="130">
        <v>0</v>
      </c>
      <c r="L98" s="120">
        <f>Prod[[#This Row],[S1Shot]]*Prod[[#This Row],[S1Cavity]]-Prod[[#This Row],[S1Dft]]</f>
        <v>0</v>
      </c>
      <c r="M98" s="136">
        <f>SUM(Prod[[#This Row],[S1Mold]],Prod[[#This Row],[S1Print]],Prod[[#This Row],[S1Ovlp]],Prod[[#This Row],[S1Seam]],Prod[[#This Row],[S1Dmg]])</f>
        <v>0</v>
      </c>
      <c r="N98" s="187">
        <v>0</v>
      </c>
      <c r="O98" s="141">
        <v>0</v>
      </c>
      <c r="P98" s="120">
        <v>0</v>
      </c>
      <c r="Q98" s="130">
        <v>0</v>
      </c>
      <c r="R98" s="120">
        <f>Prod[[#This Row],[S2Shot]]*Prod[[#This Row],[S2Cavity]]-Prod[[#This Row],[S2Dft]]</f>
        <v>0</v>
      </c>
      <c r="S98" s="136">
        <f>SUM(Prod[[#This Row],[S2Mold]],Prod[[#This Row],[S2Print]],Prod[[#This Row],[S2Ovlp]],Prod[[#This Row],[S2Seam]],Prod[[#This Row],[S2Dmg]])</f>
        <v>0</v>
      </c>
      <c r="T98" s="187">
        <v>0</v>
      </c>
      <c r="U98" s="141">
        <v>0</v>
      </c>
      <c r="V98" s="120">
        <v>0</v>
      </c>
      <c r="W98" s="130">
        <v>0</v>
      </c>
      <c r="X98" s="120">
        <f>Prod[[#This Row],[S3Shot]]*Prod[[#This Row],[S3Cavity]]-Prod[[#This Row],[S3Dft]]</f>
        <v>0</v>
      </c>
      <c r="Y98" s="120">
        <f>SUM(Prod[[#This Row],[S3Mold]],Prod[[#This Row],[S3Print]],Prod[[#This Row],[S3Ovlp]],Prod[[#This Row],[S3Seam]],Prod[[#This Row],[S3Dmg]])</f>
        <v>0</v>
      </c>
      <c r="Z98" s="120">
        <f>SUM(Prod[[#This Row],[S1Qty]],Prod[[#This Row],[S2Qty]],Prod[[#This Row],[S3Qty]])</f>
        <v>0</v>
      </c>
      <c r="AA98" s="120">
        <f>SUM(Prod[[#This Row],[S1Dft]],Prod[[#This Row],[S2Dft]],Prod[[#This Row],[S3Dft]])</f>
        <v>0</v>
      </c>
      <c r="AB98" s="121">
        <f>IF(Prod[[#This Row],[Total]]=0,0,Prod[[#This Row],[TotalDft]]/Prod[[#This Row],[Total]])</f>
        <v>0</v>
      </c>
      <c r="AC98" s="118"/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32">
        <f>IF(Prod[[#This Row],[S1Hrs]]=0,0,Prod[[#This Row],[S1Shot]]*Prod[[#This Row],[S1Cycle]]/(Prod[[#This Row],[S1Hrs]]*60*60))</f>
        <v>0</v>
      </c>
      <c r="AT98" s="132">
        <f>IF(Prod[[#This Row],[S2Hrs]]=0,0,Prod[[#This Row],[S2Shot]]*Prod[[#This Row],[S2Cycle]]/(Prod[[#This Row],[S2Hrs]]*60*60))</f>
        <v>0</v>
      </c>
      <c r="AU98" s="132">
        <f>IF(Prod[[#This Row],[S3Hrs]]=0,0,Prod[[#This Row],[S3Shot]]*Prod[[#This Row],[S3Cycle]]/(Prod[[#This Row],[S3Hrs]]*60*60))</f>
        <v>0</v>
      </c>
      <c r="AV98" s="132">
        <f>IFERROR(AVERAGEIF(Prod[[#This Row],[S1%]:[S3%]], "&lt;&gt;0"),0)</f>
        <v>0</v>
      </c>
      <c r="AW98" s="132">
        <v>0</v>
      </c>
      <c r="AX98" s="132">
        <v>0</v>
      </c>
      <c r="AY98" s="132">
        <v>0</v>
      </c>
      <c r="AZ98" s="175">
        <f>IF(Prod[[#This Row],[S1Cycle]]&lt;&gt;0,1,0)</f>
        <v>0</v>
      </c>
      <c r="BA98" s="175">
        <f>IF(Prod[[#This Row],[S2Cycle]]&lt;&gt;0,1,0)</f>
        <v>0</v>
      </c>
      <c r="BB98" s="175">
        <f>IF(Prod[[#This Row],[S3Cycle]]&lt;&gt;0,1,0)</f>
        <v>0</v>
      </c>
      <c r="BC98" s="175">
        <f>MAX(Prod[[#This Row],[S1Cavity]],Prod[[#This Row],[S2Cavity]],Prod[[#This Row],[S3Cavity]])</f>
        <v>0</v>
      </c>
      <c r="BD98" s="175" t="b">
        <f>RegExpMatch(Prod[[#This Row],[MoldNo]], "^DEO-(B|C)")</f>
        <v>1</v>
      </c>
      <c r="BE98" s="175" t="b">
        <f>RegExpMatch(Prod[[#This Row],[MoldNo]], "^JAC")</f>
        <v>0</v>
      </c>
    </row>
    <row r="99" spans="1:57" x14ac:dyDescent="0.2">
      <c r="A99" s="117">
        <v>45449</v>
      </c>
      <c r="B99" s="130" t="s">
        <v>162</v>
      </c>
      <c r="C99" s="131" t="s">
        <v>163</v>
      </c>
      <c r="D99" s="119"/>
      <c r="E99" s="131"/>
      <c r="F99" s="119"/>
      <c r="G99" s="119" t="str">
        <f>IF(OR(Prod[[#This Row],[S1Hrs]]&gt;0,Prod[[#This Row],[S2Hrs]]&gt;0,Prod[[#This Row],[S3Hrs]]&gt;0),"Running","Down")</f>
        <v>Down</v>
      </c>
      <c r="H99" s="187">
        <v>0</v>
      </c>
      <c r="I99" s="141">
        <v>0</v>
      </c>
      <c r="J99" s="120">
        <v>0</v>
      </c>
      <c r="K99" s="130">
        <v>0</v>
      </c>
      <c r="L99" s="120">
        <f>Prod[[#This Row],[S1Shot]]*Prod[[#This Row],[S1Cavity]]-Prod[[#This Row],[S1Dft]]</f>
        <v>0</v>
      </c>
      <c r="M99" s="136">
        <f>SUM(Prod[[#This Row],[S1Mold]],Prod[[#This Row],[S1Print]],Prod[[#This Row],[S1Ovlp]],Prod[[#This Row],[S1Seam]],Prod[[#This Row],[S1Dmg]])</f>
        <v>0</v>
      </c>
      <c r="N99" s="187">
        <v>0</v>
      </c>
      <c r="O99" s="141">
        <v>0</v>
      </c>
      <c r="P99" s="120">
        <v>0</v>
      </c>
      <c r="Q99" s="130">
        <v>0</v>
      </c>
      <c r="R99" s="120">
        <f>Prod[[#This Row],[S2Shot]]*Prod[[#This Row],[S2Cavity]]-Prod[[#This Row],[S2Dft]]</f>
        <v>0</v>
      </c>
      <c r="S99" s="136">
        <f>SUM(Prod[[#This Row],[S2Mold]],Prod[[#This Row],[S2Print]],Prod[[#This Row],[S2Ovlp]],Prod[[#This Row],[S2Seam]],Prod[[#This Row],[S2Dmg]])</f>
        <v>0</v>
      </c>
      <c r="T99" s="187">
        <v>0</v>
      </c>
      <c r="U99" s="141">
        <v>0</v>
      </c>
      <c r="V99" s="120">
        <v>0</v>
      </c>
      <c r="W99" s="130">
        <v>0</v>
      </c>
      <c r="X99" s="120">
        <f>Prod[[#This Row],[S3Shot]]*Prod[[#This Row],[S3Cavity]]-Prod[[#This Row],[S3Dft]]</f>
        <v>0</v>
      </c>
      <c r="Y99" s="120">
        <f>SUM(Prod[[#This Row],[S3Mold]],Prod[[#This Row],[S3Print]],Prod[[#This Row],[S3Ovlp]],Prod[[#This Row],[S3Seam]],Prod[[#This Row],[S3Dmg]])</f>
        <v>0</v>
      </c>
      <c r="Z99" s="120">
        <f>SUM(Prod[[#This Row],[S1Qty]],Prod[[#This Row],[S2Qty]],Prod[[#This Row],[S3Qty]])</f>
        <v>0</v>
      </c>
      <c r="AA99" s="120">
        <f>SUM(Prod[[#This Row],[S1Dft]],Prod[[#This Row],[S2Dft]],Prod[[#This Row],[S3Dft]])</f>
        <v>0</v>
      </c>
      <c r="AB99" s="121">
        <f>IF(Prod[[#This Row],[Total]]=0,0,Prod[[#This Row],[TotalDft]]/Prod[[#This Row],[Total]])</f>
        <v>0</v>
      </c>
      <c r="AC99" s="118"/>
      <c r="AD99" s="120">
        <v>0</v>
      </c>
      <c r="AE99" s="120">
        <v>0</v>
      </c>
      <c r="AF99" s="120">
        <v>0</v>
      </c>
      <c r="AG99" s="120">
        <v>0</v>
      </c>
      <c r="AH99" s="120">
        <v>0</v>
      </c>
      <c r="AI99" s="120">
        <v>0</v>
      </c>
      <c r="AJ99" s="120">
        <v>0</v>
      </c>
      <c r="AK99" s="120">
        <v>0</v>
      </c>
      <c r="AL99" s="120">
        <v>0</v>
      </c>
      <c r="AM99" s="120">
        <v>0</v>
      </c>
      <c r="AN99" s="120">
        <v>0</v>
      </c>
      <c r="AO99" s="120">
        <v>0</v>
      </c>
      <c r="AP99" s="120">
        <v>0</v>
      </c>
      <c r="AQ99" s="120">
        <v>0</v>
      </c>
      <c r="AR99" s="120">
        <v>0</v>
      </c>
      <c r="AS99" s="132">
        <f>IF(Prod[[#This Row],[S1Hrs]]=0,0,Prod[[#This Row],[S1Shot]]*Prod[[#This Row],[S1Cycle]]/(Prod[[#This Row],[S1Hrs]]*60*60))</f>
        <v>0</v>
      </c>
      <c r="AT99" s="132">
        <f>IF(Prod[[#This Row],[S2Hrs]]=0,0,Prod[[#This Row],[S2Shot]]*Prod[[#This Row],[S2Cycle]]/(Prod[[#This Row],[S2Hrs]]*60*60))</f>
        <v>0</v>
      </c>
      <c r="AU99" s="132">
        <f>IF(Prod[[#This Row],[S3Hrs]]=0,0,Prod[[#This Row],[S3Shot]]*Prod[[#This Row],[S3Cycle]]/(Prod[[#This Row],[S3Hrs]]*60*60))</f>
        <v>0</v>
      </c>
      <c r="AV99" s="132">
        <f>IFERROR(AVERAGEIF(Prod[[#This Row],[S1%]:[S3%]], "&lt;&gt;0"),0)</f>
        <v>0</v>
      </c>
      <c r="AW99" s="132">
        <v>0</v>
      </c>
      <c r="AX99" s="132">
        <v>0</v>
      </c>
      <c r="AY99" s="132">
        <v>0</v>
      </c>
      <c r="AZ99" s="175">
        <f>IF(Prod[[#This Row],[S1Cycle]]&lt;&gt;0,1,0)</f>
        <v>0</v>
      </c>
      <c r="BA99" s="175">
        <f>IF(Prod[[#This Row],[S2Cycle]]&lt;&gt;0,1,0)</f>
        <v>0</v>
      </c>
      <c r="BB99" s="175">
        <f>IF(Prod[[#This Row],[S3Cycle]]&lt;&gt;0,1,0)</f>
        <v>0</v>
      </c>
      <c r="BC99" s="175">
        <f>MAX(Prod[[#This Row],[S1Cavity]],Prod[[#This Row],[S2Cavity]],Prod[[#This Row],[S3Cavity]])</f>
        <v>0</v>
      </c>
      <c r="BD99" s="175" t="b">
        <f>RegExpMatch(Prod[[#This Row],[MoldNo]], "^DEO-(B|C)")</f>
        <v>1</v>
      </c>
      <c r="BE99" s="175" t="b">
        <f>RegExpMatch(Prod[[#This Row],[MoldNo]], "^JAC")</f>
        <v>0</v>
      </c>
    </row>
    <row r="100" spans="1:57" x14ac:dyDescent="0.2">
      <c r="A100" s="117">
        <v>45449</v>
      </c>
      <c r="B100" s="130" t="s">
        <v>174</v>
      </c>
      <c r="C100" s="131" t="s">
        <v>175</v>
      </c>
      <c r="D100" s="119">
        <v>27430</v>
      </c>
      <c r="E100" s="131" t="s">
        <v>209</v>
      </c>
      <c r="F100" s="119">
        <v>6331</v>
      </c>
      <c r="G100" s="119" t="str">
        <f>IF(OR(Prod[[#This Row],[S1Hrs]]&gt;0,Prod[[#This Row],[S2Hrs]]&gt;0,Prod[[#This Row],[S3Hrs]]&gt;0),"Running","Down")</f>
        <v>Running</v>
      </c>
      <c r="H100" s="187">
        <v>20.79</v>
      </c>
      <c r="I100" s="141">
        <v>5.5</v>
      </c>
      <c r="J100" s="120">
        <v>891</v>
      </c>
      <c r="K100" s="130">
        <v>8</v>
      </c>
      <c r="L100" s="120">
        <f>Prod[[#This Row],[S1Shot]]*Prod[[#This Row],[S1Cavity]]-Prod[[#This Row],[S1Dft]]</f>
        <v>7038</v>
      </c>
      <c r="M100" s="136">
        <f>SUM(Prod[[#This Row],[S1Mold]],Prod[[#This Row],[S1Print]],Prod[[#This Row],[S1Ovlp]],Prod[[#This Row],[S1Seam]],Prod[[#This Row],[S1Dmg]])</f>
        <v>90</v>
      </c>
      <c r="N100" s="187">
        <v>20.98</v>
      </c>
      <c r="O100" s="141">
        <v>6</v>
      </c>
      <c r="P100" s="120">
        <v>1014</v>
      </c>
      <c r="Q100" s="130">
        <v>8</v>
      </c>
      <c r="R100" s="120">
        <f>Prod[[#This Row],[S2Shot]]*Prod[[#This Row],[S2Cavity]]-Prod[[#This Row],[S2Dft]]</f>
        <v>8032</v>
      </c>
      <c r="S100" s="136">
        <f>SUM(Prod[[#This Row],[S2Mold]],Prod[[#This Row],[S2Print]],Prod[[#This Row],[S2Ovlp]],Prod[[#This Row],[S2Seam]],Prod[[#This Row],[S2Dmg]])</f>
        <v>80</v>
      </c>
      <c r="T100" s="187">
        <v>0</v>
      </c>
      <c r="U100" s="141">
        <v>0</v>
      </c>
      <c r="V100" s="120">
        <v>0</v>
      </c>
      <c r="W100" s="130">
        <v>0</v>
      </c>
      <c r="X100" s="120">
        <f>Prod[[#This Row],[S3Shot]]*Prod[[#This Row],[S3Cavity]]-Prod[[#This Row],[S3Dft]]</f>
        <v>0</v>
      </c>
      <c r="Y100" s="120">
        <f>SUM(Prod[[#This Row],[S3Mold]],Prod[[#This Row],[S3Print]],Prod[[#This Row],[S3Ovlp]],Prod[[#This Row],[S3Seam]],Prod[[#This Row],[S3Dmg]])</f>
        <v>0</v>
      </c>
      <c r="Z100" s="120">
        <f>SUM(Prod[[#This Row],[S1Qty]],Prod[[#This Row],[S2Qty]],Prod[[#This Row],[S3Qty]])</f>
        <v>15070</v>
      </c>
      <c r="AA100" s="120">
        <f>SUM(Prod[[#This Row],[S1Dft]],Prod[[#This Row],[S2Dft]],Prod[[#This Row],[S3Dft]])</f>
        <v>170</v>
      </c>
      <c r="AB100" s="121">
        <f>IF(Prod[[#This Row],[Total]]=0,0,Prod[[#This Row],[TotalDft]]/Prod[[#This Row],[Total]])</f>
        <v>1.12806901128069E-2</v>
      </c>
      <c r="AC100" s="131" t="s">
        <v>223</v>
      </c>
      <c r="AD100" s="120">
        <v>15</v>
      </c>
      <c r="AE100" s="120">
        <v>15</v>
      </c>
      <c r="AF100" s="120">
        <v>0</v>
      </c>
      <c r="AG100" s="120">
        <v>75</v>
      </c>
      <c r="AH100" s="120">
        <v>65</v>
      </c>
      <c r="AI100" s="120">
        <v>0</v>
      </c>
      <c r="AJ100" s="120">
        <v>0</v>
      </c>
      <c r="AK100" s="120">
        <v>0</v>
      </c>
      <c r="AL100" s="120">
        <v>0</v>
      </c>
      <c r="AM100" s="120">
        <v>0</v>
      </c>
      <c r="AN100" s="120">
        <v>0</v>
      </c>
      <c r="AO100" s="120">
        <v>0</v>
      </c>
      <c r="AP100" s="120">
        <v>0</v>
      </c>
      <c r="AQ100" s="120">
        <v>0</v>
      </c>
      <c r="AR100" s="120">
        <v>0</v>
      </c>
      <c r="AS100" s="132">
        <f>IF(Prod[[#This Row],[S1Hrs]]=0,0,Prod[[#This Row],[S1Shot]]*Prod[[#This Row],[S1Cycle]]/(Prod[[#This Row],[S1Hrs]]*60*60))</f>
        <v>0.93554999999999999</v>
      </c>
      <c r="AT100" s="132">
        <f>IF(Prod[[#This Row],[S2Hrs]]=0,0,Prod[[#This Row],[S2Shot]]*Prod[[#This Row],[S2Cycle]]/(Prod[[#This Row],[S2Hrs]]*60*60))</f>
        <v>0.98489444444444452</v>
      </c>
      <c r="AU100" s="132">
        <f>IF(Prod[[#This Row],[S3Hrs]]=0,0,Prod[[#This Row],[S3Shot]]*Prod[[#This Row],[S3Cycle]]/(Prod[[#This Row],[S3Hrs]]*60*60))</f>
        <v>0</v>
      </c>
      <c r="AV100" s="132">
        <f>IFERROR(AVERAGEIF(Prod[[#This Row],[S1%]:[S3%]], "&lt;&gt;0"),0)</f>
        <v>0.96022222222222231</v>
      </c>
      <c r="AW100" s="132">
        <v>0</v>
      </c>
      <c r="AX100" s="132">
        <v>2.5</v>
      </c>
      <c r="AY100" s="132">
        <v>0</v>
      </c>
      <c r="AZ100" s="175">
        <f>IF(Prod[[#This Row],[S1Cycle]]&lt;&gt;0,1,0)</f>
        <v>1</v>
      </c>
      <c r="BA100" s="175">
        <f>IF(Prod[[#This Row],[S2Cycle]]&lt;&gt;0,1,0)</f>
        <v>1</v>
      </c>
      <c r="BB100" s="175">
        <f>IF(Prod[[#This Row],[S3Cycle]]&lt;&gt;0,1,0)</f>
        <v>0</v>
      </c>
      <c r="BC100" s="175">
        <f>MAX(Prod[[#This Row],[S1Cavity]],Prod[[#This Row],[S2Cavity]],Prod[[#This Row],[S3Cavity]])</f>
        <v>8</v>
      </c>
      <c r="BD100" s="175" t="b">
        <f>RegExpMatch(Prod[[#This Row],[MoldNo]], "^DEO-(B|C)")</f>
        <v>1</v>
      </c>
      <c r="BE100" s="175" t="b">
        <f>RegExpMatch(Prod[[#This Row],[MoldNo]], "^JAC")</f>
        <v>0</v>
      </c>
    </row>
    <row r="101" spans="1:57" x14ac:dyDescent="0.2">
      <c r="A101" s="117">
        <v>45449</v>
      </c>
      <c r="B101" s="130" t="s">
        <v>174</v>
      </c>
      <c r="C101" s="131" t="s">
        <v>175</v>
      </c>
      <c r="D101" s="119">
        <v>27716</v>
      </c>
      <c r="E101" s="131" t="s">
        <v>199</v>
      </c>
      <c r="F101" s="119">
        <v>814</v>
      </c>
      <c r="G101" s="119" t="str">
        <f>IF(OR(Prod[[#This Row],[S1Hrs]]&gt;0,Prod[[#This Row],[S2Hrs]]&gt;0,Prod[[#This Row],[S3Hrs]]&gt;0),"Running","Down")</f>
        <v>Running</v>
      </c>
      <c r="H101" s="187">
        <v>0</v>
      </c>
      <c r="I101" s="141">
        <v>0</v>
      </c>
      <c r="J101" s="120">
        <v>0</v>
      </c>
      <c r="K101" s="130">
        <v>0</v>
      </c>
      <c r="L101" s="120">
        <f>Prod[[#This Row],[S1Shot]]*Prod[[#This Row],[S1Cavity]]-Prod[[#This Row],[S1Dft]]</f>
        <v>0</v>
      </c>
      <c r="M101" s="136">
        <f>SUM(Prod[[#This Row],[S1Mold]],Prod[[#This Row],[S1Print]],Prod[[#This Row],[S1Ovlp]],Prod[[#This Row],[S1Seam]],Prod[[#This Row],[S1Dmg]])</f>
        <v>0</v>
      </c>
      <c r="N101" s="187">
        <v>0</v>
      </c>
      <c r="O101" s="141">
        <v>0</v>
      </c>
      <c r="P101" s="120">
        <v>0</v>
      </c>
      <c r="Q101" s="130">
        <v>0</v>
      </c>
      <c r="R101" s="120">
        <f>Prod[[#This Row],[S2Shot]]*Prod[[#This Row],[S2Cavity]]-Prod[[#This Row],[S2Dft]]</f>
        <v>0</v>
      </c>
      <c r="S101" s="136">
        <f>SUM(Prod[[#This Row],[S2Mold]],Prod[[#This Row],[S2Print]],Prod[[#This Row],[S2Ovlp]],Prod[[#This Row],[S2Seam]],Prod[[#This Row],[S2Dmg]])</f>
        <v>0</v>
      </c>
      <c r="T101" s="187">
        <v>20.9</v>
      </c>
      <c r="U101" s="141">
        <v>8</v>
      </c>
      <c r="V101" s="120">
        <v>1327</v>
      </c>
      <c r="W101" s="130">
        <v>8</v>
      </c>
      <c r="X101" s="120">
        <f>Prod[[#This Row],[S3Shot]]*Prod[[#This Row],[S3Cavity]]-Prod[[#This Row],[S3Dft]]</f>
        <v>10496</v>
      </c>
      <c r="Y101" s="120">
        <f>SUM(Prod[[#This Row],[S3Mold]],Prod[[#This Row],[S3Print]],Prod[[#This Row],[S3Ovlp]],Prod[[#This Row],[S3Seam]],Prod[[#This Row],[S3Dmg]])</f>
        <v>120</v>
      </c>
      <c r="Z101" s="120">
        <f>SUM(Prod[[#This Row],[S1Qty]],Prod[[#This Row],[S2Qty]],Prod[[#This Row],[S3Qty]])</f>
        <v>10496</v>
      </c>
      <c r="AA101" s="120">
        <f>SUM(Prod[[#This Row],[S1Dft]],Prod[[#This Row],[S2Dft]],Prod[[#This Row],[S3Dft]])</f>
        <v>120</v>
      </c>
      <c r="AB101" s="121">
        <f>IF(Prod[[#This Row],[Total]]=0,0,Prod[[#This Row],[TotalDft]]/Prod[[#This Row],[Total]])</f>
        <v>1.1432926829268292E-2</v>
      </c>
      <c r="AC101" s="131"/>
      <c r="AD101" s="120">
        <v>0</v>
      </c>
      <c r="AE101" s="120">
        <v>0</v>
      </c>
      <c r="AF101" s="120">
        <v>25</v>
      </c>
      <c r="AG101" s="120">
        <v>0</v>
      </c>
      <c r="AH101" s="120">
        <v>0</v>
      </c>
      <c r="AI101" s="120">
        <v>95</v>
      </c>
      <c r="AJ101" s="120">
        <v>0</v>
      </c>
      <c r="AK101" s="120">
        <v>0</v>
      </c>
      <c r="AL101" s="120">
        <v>0</v>
      </c>
      <c r="AM101" s="120">
        <v>0</v>
      </c>
      <c r="AN101" s="120">
        <v>0</v>
      </c>
      <c r="AO101" s="120">
        <v>0</v>
      </c>
      <c r="AP101" s="120">
        <v>0</v>
      </c>
      <c r="AQ101" s="120">
        <v>0</v>
      </c>
      <c r="AR101" s="120">
        <v>0</v>
      </c>
      <c r="AS101" s="132">
        <f>IF(Prod[[#This Row],[S1Hrs]]=0,0,Prod[[#This Row],[S1Shot]]*Prod[[#This Row],[S1Cycle]]/(Prod[[#This Row],[S1Hrs]]*60*60))</f>
        <v>0</v>
      </c>
      <c r="AT101" s="132">
        <f>IF(Prod[[#This Row],[S2Hrs]]=0,0,Prod[[#This Row],[S2Shot]]*Prod[[#This Row],[S2Cycle]]/(Prod[[#This Row],[S2Hrs]]*60*60))</f>
        <v>0</v>
      </c>
      <c r="AU101" s="132">
        <f>IF(Prod[[#This Row],[S3Hrs]]=0,0,Prod[[#This Row],[S3Shot]]*Prod[[#This Row],[S3Cycle]]/(Prod[[#This Row],[S3Hrs]]*60*60))</f>
        <v>0.96299652777777778</v>
      </c>
      <c r="AV101" s="132">
        <f>IFERROR(AVERAGEIF(Prod[[#This Row],[S1%]:[S3%]], "&lt;&gt;0"),0)</f>
        <v>0.96299652777777778</v>
      </c>
      <c r="AW101" s="132">
        <v>0.5</v>
      </c>
      <c r="AX101" s="132">
        <v>0</v>
      </c>
      <c r="AY101" s="132">
        <v>0</v>
      </c>
      <c r="AZ101" s="175">
        <f>IF(Prod[[#This Row],[S1Cycle]]&lt;&gt;0,1,0)</f>
        <v>0</v>
      </c>
      <c r="BA101" s="175">
        <f>IF(Prod[[#This Row],[S2Cycle]]&lt;&gt;0,1,0)</f>
        <v>0</v>
      </c>
      <c r="BB101" s="175">
        <f>IF(Prod[[#This Row],[S3Cycle]]&lt;&gt;0,1,0)</f>
        <v>1</v>
      </c>
      <c r="BC101" s="175">
        <f>MAX(Prod[[#This Row],[S1Cavity]],Prod[[#This Row],[S2Cavity]],Prod[[#This Row],[S3Cavity]])</f>
        <v>8</v>
      </c>
      <c r="BD101" s="175" t="b">
        <f>RegExpMatch(Prod[[#This Row],[MoldNo]], "^DEO-(B|C)")</f>
        <v>1</v>
      </c>
      <c r="BE101" s="175" t="b">
        <f>RegExpMatch(Prod[[#This Row],[MoldNo]], "^JAC")</f>
        <v>0</v>
      </c>
    </row>
    <row r="102" spans="1:57" x14ac:dyDescent="0.2">
      <c r="A102" s="117">
        <v>45449</v>
      </c>
      <c r="B102" s="130" t="s">
        <v>176</v>
      </c>
      <c r="C102" s="131" t="s">
        <v>81</v>
      </c>
      <c r="D102" s="119">
        <v>27430</v>
      </c>
      <c r="E102" s="119" t="s">
        <v>209</v>
      </c>
      <c r="F102" s="119">
        <v>6331</v>
      </c>
      <c r="G102" s="119" t="str">
        <f>IF(OR(Prod[[#This Row],[S1Hrs]]&gt;0,Prod[[#This Row],[S2Hrs]]&gt;0,Prod[[#This Row],[S3Hrs]]&gt;0),"Running","Down")</f>
        <v>Running</v>
      </c>
      <c r="H102" s="187">
        <v>21.78</v>
      </c>
      <c r="I102" s="141">
        <v>8</v>
      </c>
      <c r="J102" s="120">
        <v>1216</v>
      </c>
      <c r="K102" s="130">
        <v>8</v>
      </c>
      <c r="L102" s="120">
        <f>Prod[[#This Row],[S1Shot]]*Prod[[#This Row],[S1Cavity]]-Prod[[#This Row],[S1Dft]]</f>
        <v>9608</v>
      </c>
      <c r="M102" s="136">
        <f>SUM(Prod[[#This Row],[S1Mold]],Prod[[#This Row],[S1Print]],Prod[[#This Row],[S1Ovlp]],Prod[[#This Row],[S1Seam]],Prod[[#This Row],[S1Dmg]])</f>
        <v>120</v>
      </c>
      <c r="N102" s="187">
        <v>21.79</v>
      </c>
      <c r="O102" s="141">
        <v>5.5</v>
      </c>
      <c r="P102" s="120">
        <v>909</v>
      </c>
      <c r="Q102" s="130">
        <v>8</v>
      </c>
      <c r="R102" s="120">
        <f>Prod[[#This Row],[S2Shot]]*Prod[[#This Row],[S2Cavity]]-Prod[[#This Row],[S2Dft]]</f>
        <v>7202</v>
      </c>
      <c r="S102" s="136">
        <f>SUM(Prod[[#This Row],[S2Mold]],Prod[[#This Row],[S2Print]],Prod[[#This Row],[S2Ovlp]],Prod[[#This Row],[S2Seam]],Prod[[#This Row],[S2Dmg]])</f>
        <v>70</v>
      </c>
      <c r="T102" s="187">
        <v>0</v>
      </c>
      <c r="U102" s="141">
        <v>0</v>
      </c>
      <c r="V102" s="120">
        <v>0</v>
      </c>
      <c r="W102" s="130">
        <v>0</v>
      </c>
      <c r="X102" s="120">
        <f>Prod[[#This Row],[S3Shot]]*Prod[[#This Row],[S3Cavity]]-Prod[[#This Row],[S3Dft]]</f>
        <v>0</v>
      </c>
      <c r="Y102" s="120">
        <f>SUM(Prod[[#This Row],[S3Mold]],Prod[[#This Row],[S3Print]],Prod[[#This Row],[S3Ovlp]],Prod[[#This Row],[S3Seam]],Prod[[#This Row],[S3Dmg]])</f>
        <v>0</v>
      </c>
      <c r="Z102" s="120">
        <f>SUM(Prod[[#This Row],[S1Qty]],Prod[[#This Row],[S2Qty]],Prod[[#This Row],[S3Qty]])</f>
        <v>16810</v>
      </c>
      <c r="AA102" s="120">
        <f>SUM(Prod[[#This Row],[S1Dft]],Prod[[#This Row],[S2Dft]],Prod[[#This Row],[S3Dft]])</f>
        <v>190</v>
      </c>
      <c r="AB102" s="121">
        <f>IF(Prod[[#This Row],[Total]]=0,0,Prod[[#This Row],[TotalDft]]/Prod[[#This Row],[Total]])</f>
        <v>1.1302795954788817E-2</v>
      </c>
      <c r="AC102" s="131"/>
      <c r="AD102" s="120">
        <v>20</v>
      </c>
      <c r="AE102" s="120">
        <v>15</v>
      </c>
      <c r="AF102" s="120">
        <v>0</v>
      </c>
      <c r="AG102" s="120">
        <v>100</v>
      </c>
      <c r="AH102" s="120">
        <v>55</v>
      </c>
      <c r="AI102" s="120">
        <v>0</v>
      </c>
      <c r="AJ102" s="120">
        <v>0</v>
      </c>
      <c r="AK102" s="120">
        <v>0</v>
      </c>
      <c r="AL102" s="120">
        <v>0</v>
      </c>
      <c r="AM102" s="120">
        <v>0</v>
      </c>
      <c r="AN102" s="120">
        <v>0</v>
      </c>
      <c r="AO102" s="120">
        <v>0</v>
      </c>
      <c r="AP102" s="120">
        <v>0</v>
      </c>
      <c r="AQ102" s="120">
        <v>0</v>
      </c>
      <c r="AR102" s="120">
        <v>0</v>
      </c>
      <c r="AS102" s="132">
        <f>IF(Prod[[#This Row],[S1Hrs]]=0,0,Prod[[#This Row],[S1Shot]]*Prod[[#This Row],[S1Cycle]]/(Prod[[#This Row],[S1Hrs]]*60*60))</f>
        <v>0.91960000000000008</v>
      </c>
      <c r="AT102" s="132">
        <f>IF(Prod[[#This Row],[S2Hrs]]=0,0,Prod[[#This Row],[S2Shot]]*Prod[[#This Row],[S2Cycle]]/(Prod[[#This Row],[S2Hrs]]*60*60))</f>
        <v>1.0003590909090909</v>
      </c>
      <c r="AU102" s="132">
        <f>IF(Prod[[#This Row],[S3Hrs]]=0,0,Prod[[#This Row],[S3Shot]]*Prod[[#This Row],[S3Cycle]]/(Prod[[#This Row],[S3Hrs]]*60*60))</f>
        <v>0</v>
      </c>
      <c r="AV102" s="132">
        <f>IFERROR(AVERAGEIF(Prod[[#This Row],[S1%]:[S3%]], "&lt;&gt;0"),0)</f>
        <v>0.95997954545454545</v>
      </c>
      <c r="AW102" s="132">
        <v>0.5</v>
      </c>
      <c r="AX102" s="132">
        <v>0</v>
      </c>
      <c r="AY102" s="132">
        <v>0</v>
      </c>
      <c r="AZ102" s="175">
        <f>IF(Prod[[#This Row],[S1Cycle]]&lt;&gt;0,1,0)</f>
        <v>1</v>
      </c>
      <c r="BA102" s="175">
        <f>IF(Prod[[#This Row],[S2Cycle]]&lt;&gt;0,1,0)</f>
        <v>1</v>
      </c>
      <c r="BB102" s="175">
        <f>IF(Prod[[#This Row],[S3Cycle]]&lt;&gt;0,1,0)</f>
        <v>0</v>
      </c>
      <c r="BC102" s="175">
        <f>MAX(Prod[[#This Row],[S1Cavity]],Prod[[#This Row],[S2Cavity]],Prod[[#This Row],[S3Cavity]])</f>
        <v>8</v>
      </c>
      <c r="BD102" s="175" t="b">
        <f>RegExpMatch(Prod[[#This Row],[MoldNo]], "^DEO-(B|C)")</f>
        <v>1</v>
      </c>
      <c r="BE102" s="175" t="b">
        <f>RegExpMatch(Prod[[#This Row],[MoldNo]], "^JAC")</f>
        <v>0</v>
      </c>
    </row>
    <row r="103" spans="1:57" x14ac:dyDescent="0.2">
      <c r="A103" s="117">
        <v>45449</v>
      </c>
      <c r="B103" s="130" t="s">
        <v>176</v>
      </c>
      <c r="C103" s="131" t="s">
        <v>81</v>
      </c>
      <c r="D103" s="119">
        <v>27716</v>
      </c>
      <c r="E103" s="119" t="s">
        <v>199</v>
      </c>
      <c r="F103" s="119">
        <v>814</v>
      </c>
      <c r="G103" s="119" t="str">
        <f>IF(OR(Prod[[#This Row],[S1Hrs]]&gt;0,Prod[[#This Row],[S2Hrs]]&gt;0,Prod[[#This Row],[S3Hrs]]&gt;0),"Running","Down")</f>
        <v>Running</v>
      </c>
      <c r="H103" s="187">
        <v>0</v>
      </c>
      <c r="I103" s="141">
        <v>0</v>
      </c>
      <c r="J103" s="120">
        <v>0</v>
      </c>
      <c r="K103" s="130">
        <v>0</v>
      </c>
      <c r="L103" s="120">
        <f>Prod[[#This Row],[S1Shot]]*Prod[[#This Row],[S1Cavity]]-Prod[[#This Row],[S1Dft]]</f>
        <v>0</v>
      </c>
      <c r="M103" s="136">
        <f>SUM(Prod[[#This Row],[S1Mold]],Prod[[#This Row],[S1Print]],Prod[[#This Row],[S1Ovlp]],Prod[[#This Row],[S1Seam]],Prod[[#This Row],[S1Dmg]])</f>
        <v>0</v>
      </c>
      <c r="N103" s="187">
        <v>0</v>
      </c>
      <c r="O103" s="141">
        <v>0</v>
      </c>
      <c r="P103" s="120">
        <v>0</v>
      </c>
      <c r="Q103" s="130">
        <v>0</v>
      </c>
      <c r="R103" s="120">
        <f>Prod[[#This Row],[S2Shot]]*Prod[[#This Row],[S2Cavity]]-Prod[[#This Row],[S2Dft]]</f>
        <v>0</v>
      </c>
      <c r="S103" s="136">
        <f>SUM(Prod[[#This Row],[S2Mold]],Prod[[#This Row],[S2Print]],Prod[[#This Row],[S2Ovlp]],Prod[[#This Row],[S2Seam]],Prod[[#This Row],[S2Dmg]])</f>
        <v>0</v>
      </c>
      <c r="T103" s="187">
        <v>21.88</v>
      </c>
      <c r="U103" s="141">
        <v>8</v>
      </c>
      <c r="V103" s="120">
        <v>1252</v>
      </c>
      <c r="W103" s="130">
        <v>8</v>
      </c>
      <c r="X103" s="120">
        <f>Prod[[#This Row],[S3Shot]]*Prod[[#This Row],[S3Cavity]]-Prod[[#This Row],[S3Dft]]</f>
        <v>9906</v>
      </c>
      <c r="Y103" s="120">
        <f>SUM(Prod[[#This Row],[S3Mold]],Prod[[#This Row],[S3Print]],Prod[[#This Row],[S3Ovlp]],Prod[[#This Row],[S3Seam]],Prod[[#This Row],[S3Dmg]])</f>
        <v>110</v>
      </c>
      <c r="Z103" s="120">
        <f>SUM(Prod[[#This Row],[S1Qty]],Prod[[#This Row],[S2Qty]],Prod[[#This Row],[S3Qty]])</f>
        <v>9906</v>
      </c>
      <c r="AA103" s="120">
        <f>SUM(Prod[[#This Row],[S1Dft]],Prod[[#This Row],[S2Dft]],Prod[[#This Row],[S3Dft]])</f>
        <v>110</v>
      </c>
      <c r="AB103" s="121">
        <f>IF(Prod[[#This Row],[Total]]=0,0,Prod[[#This Row],[TotalDft]]/Prod[[#This Row],[Total]])</f>
        <v>1.1104381183121341E-2</v>
      </c>
      <c r="AC103" s="131"/>
      <c r="AD103" s="120">
        <v>0</v>
      </c>
      <c r="AE103" s="120">
        <v>0</v>
      </c>
      <c r="AF103" s="120">
        <v>25</v>
      </c>
      <c r="AG103" s="120">
        <v>0</v>
      </c>
      <c r="AH103" s="120">
        <v>0</v>
      </c>
      <c r="AI103" s="120">
        <v>85</v>
      </c>
      <c r="AJ103" s="120">
        <v>0</v>
      </c>
      <c r="AK103" s="120">
        <v>0</v>
      </c>
      <c r="AL103" s="120">
        <v>0</v>
      </c>
      <c r="AM103" s="120">
        <v>0</v>
      </c>
      <c r="AN103" s="120">
        <v>0</v>
      </c>
      <c r="AO103" s="120">
        <v>0</v>
      </c>
      <c r="AP103" s="120">
        <v>0</v>
      </c>
      <c r="AQ103" s="120">
        <v>0</v>
      </c>
      <c r="AR103" s="120">
        <v>0</v>
      </c>
      <c r="AS103" s="132">
        <f>IF(Prod[[#This Row],[S1Hrs]]=0,0,Prod[[#This Row],[S1Shot]]*Prod[[#This Row],[S1Cycle]]/(Prod[[#This Row],[S1Hrs]]*60*60))</f>
        <v>0</v>
      </c>
      <c r="AT103" s="132">
        <f>IF(Prod[[#This Row],[S2Hrs]]=0,0,Prod[[#This Row],[S2Shot]]*Prod[[#This Row],[S2Cycle]]/(Prod[[#This Row],[S2Hrs]]*60*60))</f>
        <v>0</v>
      </c>
      <c r="AU103" s="132">
        <f>IF(Prod[[#This Row],[S3Hrs]]=0,0,Prod[[#This Row],[S3Shot]]*Prod[[#This Row],[S3Cycle]]/(Prod[[#This Row],[S3Hrs]]*60*60))</f>
        <v>0.9511722222222222</v>
      </c>
      <c r="AV103" s="132">
        <f>IFERROR(AVERAGEIF(Prod[[#This Row],[S1%]:[S3%]], "&lt;&gt;0"),0)</f>
        <v>0.9511722222222222</v>
      </c>
      <c r="AW103" s="132">
        <v>0</v>
      </c>
      <c r="AX103" s="132">
        <v>0</v>
      </c>
      <c r="AY103" s="132">
        <v>0</v>
      </c>
      <c r="AZ103" s="175">
        <f>IF(Prod[[#This Row],[S1Cycle]]&lt;&gt;0,1,0)</f>
        <v>0</v>
      </c>
      <c r="BA103" s="175">
        <f>IF(Prod[[#This Row],[S2Cycle]]&lt;&gt;0,1,0)</f>
        <v>0</v>
      </c>
      <c r="BB103" s="175">
        <f>IF(Prod[[#This Row],[S3Cycle]]&lt;&gt;0,1,0)</f>
        <v>1</v>
      </c>
      <c r="BC103" s="175">
        <f>MAX(Prod[[#This Row],[S1Cavity]],Prod[[#This Row],[S2Cavity]],Prod[[#This Row],[S3Cavity]])</f>
        <v>8</v>
      </c>
      <c r="BD103" s="175" t="b">
        <f>RegExpMatch(Prod[[#This Row],[MoldNo]], "^DEO-(B|C)")</f>
        <v>1</v>
      </c>
      <c r="BE103" s="175" t="b">
        <f>RegExpMatch(Prod[[#This Row],[MoldNo]], "^JAC")</f>
        <v>0</v>
      </c>
    </row>
    <row r="104" spans="1:57" x14ac:dyDescent="0.2">
      <c r="A104" s="117">
        <v>45449</v>
      </c>
      <c r="B104" s="130" t="s">
        <v>195</v>
      </c>
      <c r="C104" s="119" t="s">
        <v>145</v>
      </c>
      <c r="D104" s="119">
        <v>27761</v>
      </c>
      <c r="E104" s="131" t="s">
        <v>199</v>
      </c>
      <c r="F104" s="119">
        <v>814</v>
      </c>
      <c r="G104" s="119" t="str">
        <f>IF(OR(Prod[[#This Row],[S1Hrs]]&gt;0,Prod[[#This Row],[S2Hrs]]&gt;0,Prod[[#This Row],[S3Hrs]]&gt;0),"Running","Down")</f>
        <v>Running</v>
      </c>
      <c r="H104" s="187">
        <v>13.46</v>
      </c>
      <c r="I104" s="141">
        <v>8</v>
      </c>
      <c r="J104" s="120">
        <v>1992</v>
      </c>
      <c r="K104" s="130">
        <v>16</v>
      </c>
      <c r="L104" s="120">
        <f>Prod[[#This Row],[S1Shot]]*Prod[[#This Row],[S1Cavity]]-Prod[[#This Row],[S1Dft]]</f>
        <v>31872</v>
      </c>
      <c r="M104" s="134"/>
      <c r="N104" s="187">
        <v>13.47</v>
      </c>
      <c r="O104" s="141">
        <v>8</v>
      </c>
      <c r="P104" s="120">
        <v>2266</v>
      </c>
      <c r="Q104" s="130">
        <v>16</v>
      </c>
      <c r="R104" s="120">
        <f>Prod[[#This Row],[S2Shot]]*Prod[[#This Row],[S2Cavity]]-Prod[[#This Row],[S2Dft]]</f>
        <v>36256</v>
      </c>
      <c r="S104" s="134"/>
      <c r="T104" s="187">
        <v>13.44</v>
      </c>
      <c r="U104" s="141">
        <v>8</v>
      </c>
      <c r="V104" s="120">
        <v>2138</v>
      </c>
      <c r="W104" s="130">
        <v>16</v>
      </c>
      <c r="X104" s="120">
        <f>Prod[[#This Row],[S3Shot]]*Prod[[#This Row],[S3Cavity]]-Prod[[#This Row],[S3Dft]]</f>
        <v>34208</v>
      </c>
      <c r="Y104" s="134"/>
      <c r="Z104" s="120">
        <f>SUM(Prod[[#This Row],[S1Qty]],Prod[[#This Row],[S2Qty]],Prod[[#This Row],[S3Qty]])</f>
        <v>102336</v>
      </c>
      <c r="AA104" s="134"/>
      <c r="AB104" s="135"/>
      <c r="AC104" s="118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2">
        <f>IF(Prod[[#This Row],[S1Hrs]]=0,0,Prod[[#This Row],[S1Shot]]*Prod[[#This Row],[S1Cycle]]/(Prod[[#This Row],[S1Hrs]]*60*60))</f>
        <v>0.9309833333333335</v>
      </c>
      <c r="AT104" s="132">
        <f>IF(Prod[[#This Row],[S2Hrs]]=0,0,Prod[[#This Row],[S2Shot]]*Prod[[#This Row],[S2Cycle]]/(Prod[[#This Row],[S2Hrs]]*60*60))</f>
        <v>1.0598270833333334</v>
      </c>
      <c r="AU104" s="132">
        <f>IF(Prod[[#This Row],[S3Hrs]]=0,0,Prod[[#This Row],[S3Shot]]*Prod[[#This Row],[S3Cycle]]/(Prod[[#This Row],[S3Hrs]]*60*60))</f>
        <v>0.99773333333333325</v>
      </c>
      <c r="AV104" s="132">
        <f>IFERROR(AVERAGEIF(Prod[[#This Row],[S1%]:[S3%]], "&lt;&gt;0"),0)</f>
        <v>0.99618125000000013</v>
      </c>
      <c r="AW104" s="132">
        <v>0</v>
      </c>
      <c r="AX104" s="132">
        <v>0</v>
      </c>
      <c r="AY104" s="132">
        <v>0</v>
      </c>
      <c r="AZ104" s="175">
        <f>IF(Prod[[#This Row],[S1Cycle]]&lt;&gt;0,1,0)</f>
        <v>1</v>
      </c>
      <c r="BA104" s="175">
        <f>IF(Prod[[#This Row],[S2Cycle]]&lt;&gt;0,1,0)</f>
        <v>1</v>
      </c>
      <c r="BB104" s="175">
        <f>IF(Prod[[#This Row],[S3Cycle]]&lt;&gt;0,1,0)</f>
        <v>1</v>
      </c>
      <c r="BC104" s="175">
        <f>MAX(Prod[[#This Row],[S1Cavity]],Prod[[#This Row],[S2Cavity]],Prod[[#This Row],[S3Cavity]])</f>
        <v>16</v>
      </c>
      <c r="BD104" s="175" t="b">
        <f>RegExpMatch(Prod[[#This Row],[MoldNo]], "^DEO-(B|C)")</f>
        <v>0</v>
      </c>
      <c r="BE104" s="175" t="b">
        <f>RegExpMatch(Prod[[#This Row],[MoldNo]], "^JAC")</f>
        <v>0</v>
      </c>
    </row>
    <row r="105" spans="1:57" x14ac:dyDescent="0.2">
      <c r="A105" s="117">
        <v>45450</v>
      </c>
      <c r="B105" s="120" t="s">
        <v>190</v>
      </c>
      <c r="C105" s="119" t="s">
        <v>153</v>
      </c>
      <c r="D105" s="119">
        <v>27422</v>
      </c>
      <c r="E105" s="131" t="s">
        <v>199</v>
      </c>
      <c r="F105" s="119">
        <v>6331</v>
      </c>
      <c r="G105" s="119" t="str">
        <f>IF(OR(Prod[[#This Row],[S1Hrs]]&gt;0,Prod[[#This Row],[S2Hrs]]&gt;0,Prod[[#This Row],[S3Hrs]]&gt;0),"Running","Down")</f>
        <v>Running</v>
      </c>
      <c r="H105" s="187">
        <v>22.7</v>
      </c>
      <c r="I105" s="141">
        <v>8</v>
      </c>
      <c r="J105" s="120">
        <v>1225</v>
      </c>
      <c r="K105" s="130">
        <v>4</v>
      </c>
      <c r="L105" s="120">
        <f>Prod[[#This Row],[S1Shot]]*Prod[[#This Row],[S1Cavity]]-Prod[[#This Row],[S1Dft]]</f>
        <v>4894</v>
      </c>
      <c r="M105" s="136">
        <f>SUM(Prod[[#This Row],[S1Mold]],Prod[[#This Row],[S1Print]],Prod[[#This Row],[S1Ovlp]],Prod[[#This Row],[S1Seam]],Prod[[#This Row],[S1Dmg]])</f>
        <v>6</v>
      </c>
      <c r="N105" s="187">
        <v>22.68</v>
      </c>
      <c r="O105" s="141">
        <v>8</v>
      </c>
      <c r="P105" s="120">
        <v>1386</v>
      </c>
      <c r="Q105" s="130">
        <v>4</v>
      </c>
      <c r="R105" s="120">
        <f>Prod[[#This Row],[S2Shot]]*Prod[[#This Row],[S2Cavity]]-Prod[[#This Row],[S2Dft]]</f>
        <v>5537</v>
      </c>
      <c r="S105" s="136">
        <f>SUM(Prod[[#This Row],[S2Mold]],Prod[[#This Row],[S2Print]],Prod[[#This Row],[S2Ovlp]],Prod[[#This Row],[S2Seam]],Prod[[#This Row],[S2Dmg]])</f>
        <v>7</v>
      </c>
      <c r="T105" s="187">
        <v>22.72</v>
      </c>
      <c r="U105" s="141">
        <v>8</v>
      </c>
      <c r="V105" s="120">
        <v>1164</v>
      </c>
      <c r="W105" s="130">
        <v>4</v>
      </c>
      <c r="X105" s="120">
        <f>Prod[[#This Row],[S3Shot]]*Prod[[#This Row],[S3Cavity]]-Prod[[#This Row],[S3Dft]]</f>
        <v>4648</v>
      </c>
      <c r="Y105" s="120">
        <f>SUM(Prod[[#This Row],[S3Mold]],Prod[[#This Row],[S3Print]],Prod[[#This Row],[S3Ovlp]],Prod[[#This Row],[S3Seam]],Prod[[#This Row],[S3Dmg]])</f>
        <v>8</v>
      </c>
      <c r="Z105" s="120">
        <f>SUM(Prod[[#This Row],[S1Qty]],Prod[[#This Row],[S2Qty]],Prod[[#This Row],[S3Qty]])</f>
        <v>15079</v>
      </c>
      <c r="AA105" s="120">
        <f>SUM(Prod[[#This Row],[S1Dft]],Prod[[#This Row],[S2Dft]],Prod[[#This Row],[S3Dft]])</f>
        <v>21</v>
      </c>
      <c r="AB105" s="121">
        <f>IF(Prod[[#This Row],[Total]]=0,0,Prod[[#This Row],[TotalDft]]/Prod[[#This Row],[Total]])</f>
        <v>1.3926652961071689E-3</v>
      </c>
      <c r="AC105" s="118"/>
      <c r="AD105" s="120">
        <v>6</v>
      </c>
      <c r="AE105" s="120">
        <v>7</v>
      </c>
      <c r="AF105" s="120">
        <v>8</v>
      </c>
      <c r="AG105" s="120">
        <v>0</v>
      </c>
      <c r="AH105" s="120">
        <v>0</v>
      </c>
      <c r="AI105" s="120">
        <v>0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32">
        <f>IF(Prod[[#This Row],[S1Hrs]]=0,0,Prod[[#This Row],[S1Shot]]*Prod[[#This Row],[S1Cycle]]/(Prod[[#This Row],[S1Hrs]]*60*60))</f>
        <v>0.96553819444444444</v>
      </c>
      <c r="AT105" s="132">
        <f>IF(Prod[[#This Row],[S2Hrs]]=0,0,Prod[[#This Row],[S2Shot]]*Prod[[#This Row],[S2Cycle]]/(Prod[[#This Row],[S2Hrs]]*60*60))</f>
        <v>1.091475</v>
      </c>
      <c r="AU105" s="132">
        <f>IF(Prod[[#This Row],[S3Hrs]]=0,0,Prod[[#This Row],[S3Shot]]*Prod[[#This Row],[S3Cycle]]/(Prod[[#This Row],[S3Hrs]]*60*60))</f>
        <v>0.91826666666666656</v>
      </c>
      <c r="AV105" s="132">
        <f>IFERROR(AVERAGEIF(Prod[[#This Row],[S1%]:[S3%]], "&lt;&gt;0"),0)</f>
        <v>0.99175995370370362</v>
      </c>
      <c r="AW105" s="132">
        <v>0</v>
      </c>
      <c r="AX105" s="132">
        <v>0</v>
      </c>
      <c r="AY105" s="132">
        <v>0</v>
      </c>
      <c r="AZ105" s="175">
        <f>IF(Prod[[#This Row],[S1Cycle]]&lt;&gt;0,1,0)</f>
        <v>1</v>
      </c>
      <c r="BA105" s="175">
        <f>IF(Prod[[#This Row],[S2Cycle]]&lt;&gt;0,1,0)</f>
        <v>1</v>
      </c>
      <c r="BB105" s="175">
        <f>IF(Prod[[#This Row],[S3Cycle]]&lt;&gt;0,1,0)</f>
        <v>1</v>
      </c>
      <c r="BC105" s="175">
        <f>MAX(Prod[[#This Row],[S1Cavity]],Prod[[#This Row],[S2Cavity]],Prod[[#This Row],[S3Cavity]])</f>
        <v>4</v>
      </c>
      <c r="BD105" s="175" t="b">
        <f>RegExpMatch(Prod[[#This Row],[MoldNo]], "^DEO-(B|C)")</f>
        <v>0</v>
      </c>
      <c r="BE105" s="175" t="b">
        <f>RegExpMatch(Prod[[#This Row],[MoldNo]], "^JAC")</f>
        <v>1</v>
      </c>
    </row>
    <row r="106" spans="1:57" x14ac:dyDescent="0.2">
      <c r="A106" s="117">
        <v>45450</v>
      </c>
      <c r="B106" s="130" t="s">
        <v>6</v>
      </c>
      <c r="C106" s="131" t="s">
        <v>8</v>
      </c>
      <c r="D106" s="119">
        <v>27937</v>
      </c>
      <c r="E106" s="131" t="s">
        <v>199</v>
      </c>
      <c r="F106" s="119">
        <v>6331</v>
      </c>
      <c r="G106" s="119" t="str">
        <f>IF(OR(Prod[[#This Row],[S1Hrs]]&gt;0,Prod[[#This Row],[S2Hrs]]&gt;0,Prod[[#This Row],[S3Hrs]]&gt;0),"Running","Down")</f>
        <v>Running</v>
      </c>
      <c r="H106" s="187">
        <v>0</v>
      </c>
      <c r="I106" s="141">
        <v>0</v>
      </c>
      <c r="J106" s="120">
        <v>0</v>
      </c>
      <c r="K106" s="130">
        <v>0</v>
      </c>
      <c r="L106" s="120">
        <f>Prod[[#This Row],[S1Shot]]*Prod[[#This Row],[S1Cavity]]-Prod[[#This Row],[S1Dft]]</f>
        <v>0</v>
      </c>
      <c r="M106" s="136">
        <f>SUM(Prod[[#This Row],[S1Mold]],Prod[[#This Row],[S1Print]],Prod[[#This Row],[S1Ovlp]],Prod[[#This Row],[S1Seam]],Prod[[#This Row],[S1Dmg]])</f>
        <v>0</v>
      </c>
      <c r="N106" s="187">
        <v>22.18</v>
      </c>
      <c r="O106" s="141">
        <v>5.5</v>
      </c>
      <c r="P106" s="120">
        <v>847</v>
      </c>
      <c r="Q106" s="130">
        <v>8</v>
      </c>
      <c r="R106" s="120">
        <f>Prod[[#This Row],[S2Shot]]*Prod[[#This Row],[S2Cavity]]-Prod[[#This Row],[S2Dft]]</f>
        <v>6701</v>
      </c>
      <c r="S106" s="136">
        <f>SUM(Prod[[#This Row],[S2Mold]],Prod[[#This Row],[S2Print]],Prod[[#This Row],[S2Ovlp]],Prod[[#This Row],[S2Seam]],Prod[[#This Row],[S2Dmg]])</f>
        <v>75</v>
      </c>
      <c r="T106" s="187">
        <v>17.22</v>
      </c>
      <c r="U106" s="141">
        <v>7</v>
      </c>
      <c r="V106" s="120">
        <v>1403</v>
      </c>
      <c r="W106" s="130">
        <v>8</v>
      </c>
      <c r="X106" s="120">
        <f>Prod[[#This Row],[S3Shot]]*Prod[[#This Row],[S3Cavity]]-Prod[[#This Row],[S3Dft]]</f>
        <v>11099</v>
      </c>
      <c r="Y106" s="120">
        <f>SUM(Prod[[#This Row],[S3Mold]],Prod[[#This Row],[S3Print]],Prod[[#This Row],[S3Ovlp]],Prod[[#This Row],[S3Seam]],Prod[[#This Row],[S3Dmg]])</f>
        <v>125</v>
      </c>
      <c r="Z106" s="120">
        <f>SUM(Prod[[#This Row],[S1Qty]],Prod[[#This Row],[S2Qty]],Prod[[#This Row],[S3Qty]])</f>
        <v>17800</v>
      </c>
      <c r="AA106" s="120">
        <f>SUM(Prod[[#This Row],[S1Dft]],Prod[[#This Row],[S2Dft]],Prod[[#This Row],[S3Dft]])</f>
        <v>200</v>
      </c>
      <c r="AB106" s="121">
        <f>IF(Prod[[#This Row],[Total]]=0,0,Prod[[#This Row],[TotalDft]]/Prod[[#This Row],[Total]])</f>
        <v>1.1235955056179775E-2</v>
      </c>
      <c r="AC106" s="131" t="s">
        <v>226</v>
      </c>
      <c r="AD106" s="120">
        <v>0</v>
      </c>
      <c r="AE106" s="120">
        <v>10</v>
      </c>
      <c r="AF106" s="120">
        <v>20</v>
      </c>
      <c r="AG106" s="120">
        <v>0</v>
      </c>
      <c r="AH106" s="120">
        <v>65</v>
      </c>
      <c r="AI106" s="120">
        <v>105</v>
      </c>
      <c r="AJ106" s="120">
        <v>0</v>
      </c>
      <c r="AK106" s="120">
        <v>0</v>
      </c>
      <c r="AL106" s="120">
        <v>0</v>
      </c>
      <c r="AM106" s="120">
        <v>0</v>
      </c>
      <c r="AN106" s="120">
        <v>0</v>
      </c>
      <c r="AO106" s="120">
        <v>0</v>
      </c>
      <c r="AP106" s="120">
        <v>0</v>
      </c>
      <c r="AQ106" s="120">
        <v>0</v>
      </c>
      <c r="AR106" s="120">
        <v>0</v>
      </c>
      <c r="AS106" s="132">
        <f>IF(Prod[[#This Row],[S1Hrs]]=0,0,Prod[[#This Row],[S1Shot]]*Prod[[#This Row],[S1Cycle]]/(Prod[[#This Row],[S1Hrs]]*60*60))</f>
        <v>0</v>
      </c>
      <c r="AT106" s="132">
        <f>IF(Prod[[#This Row],[S2Hrs]]=0,0,Prod[[#This Row],[S2Shot]]*Prod[[#This Row],[S2Cycle]]/(Prod[[#This Row],[S2Hrs]]*60*60))</f>
        <v>0.94881111111111105</v>
      </c>
      <c r="AU106" s="132">
        <f>IF(Prod[[#This Row],[S3Hrs]]=0,0,Prod[[#This Row],[S3Shot]]*Prod[[#This Row],[S3Cycle]]/(Prod[[#This Row],[S3Hrs]]*60*60))</f>
        <v>0.95871666666666666</v>
      </c>
      <c r="AV106" s="132">
        <f>IFERROR(AVERAGEIF(Prod[[#This Row],[S1%]:[S3%]], "&lt;&gt;0"),0)</f>
        <v>0.95376388888888886</v>
      </c>
      <c r="AW106" s="132">
        <v>0</v>
      </c>
      <c r="AX106" s="132">
        <v>2.5</v>
      </c>
      <c r="AY106" s="132">
        <v>0</v>
      </c>
      <c r="AZ106" s="175">
        <f>IF(Prod[[#This Row],[S1Cycle]]&lt;&gt;0,1,0)</f>
        <v>0</v>
      </c>
      <c r="BA106" s="175">
        <f>IF(Prod[[#This Row],[S2Cycle]]&lt;&gt;0,1,0)</f>
        <v>1</v>
      </c>
      <c r="BB106" s="175">
        <f>IF(Prod[[#This Row],[S3Cycle]]&lt;&gt;0,1,0)</f>
        <v>1</v>
      </c>
      <c r="BC106" s="175">
        <f>MAX(Prod[[#This Row],[S1Cavity]],Prod[[#This Row],[S2Cavity]],Prod[[#This Row],[S3Cavity]])</f>
        <v>8</v>
      </c>
      <c r="BD106" s="175" t="b">
        <f>RegExpMatch(Prod[[#This Row],[MoldNo]], "^DEO-(B|C)")</f>
        <v>1</v>
      </c>
      <c r="BE106" s="175" t="b">
        <f>RegExpMatch(Prod[[#This Row],[MoldNo]], "^JAC")</f>
        <v>0</v>
      </c>
    </row>
    <row r="107" spans="1:57" x14ac:dyDescent="0.2">
      <c r="A107" s="117">
        <v>45450</v>
      </c>
      <c r="B107" s="120" t="s">
        <v>7</v>
      </c>
      <c r="C107" s="119" t="s">
        <v>172</v>
      </c>
      <c r="D107" s="119">
        <v>27575</v>
      </c>
      <c r="E107" s="131" t="s">
        <v>199</v>
      </c>
      <c r="F107" s="119">
        <v>814</v>
      </c>
      <c r="G107" s="119" t="str">
        <f>IF(OR(Prod[[#This Row],[S1Hrs]]&gt;0,Prod[[#This Row],[S2Hrs]]&gt;0,Prod[[#This Row],[S3Hrs]]&gt;0),"Running","Down")</f>
        <v>Running</v>
      </c>
      <c r="H107" s="187">
        <v>0</v>
      </c>
      <c r="I107" s="141">
        <v>0</v>
      </c>
      <c r="J107" s="120">
        <v>0</v>
      </c>
      <c r="K107" s="130">
        <v>0</v>
      </c>
      <c r="L107" s="120">
        <f>Prod[[#This Row],[S1Shot]]*Prod[[#This Row],[S1Cavity]]-Prod[[#This Row],[S1Dft]]</f>
        <v>0</v>
      </c>
      <c r="M107" s="136">
        <f>SUM(Prod[[#This Row],[S1Mold]],Prod[[#This Row],[S1Print]],Prod[[#This Row],[S1Ovlp]],Prod[[#This Row],[S1Seam]],Prod[[#This Row],[S1Dmg]])</f>
        <v>0</v>
      </c>
      <c r="N107" s="187">
        <v>20.79</v>
      </c>
      <c r="O107" s="141">
        <v>7.5</v>
      </c>
      <c r="P107" s="120">
        <v>1376</v>
      </c>
      <c r="Q107" s="130">
        <v>8</v>
      </c>
      <c r="R107" s="120">
        <f>Prod[[#This Row],[S2Shot]]*Prod[[#This Row],[S2Cavity]]-Prod[[#This Row],[S2Dft]]</f>
        <v>10903</v>
      </c>
      <c r="S107" s="136">
        <f>SUM(Prod[[#This Row],[S2Mold]],Prod[[#This Row],[S2Print]],Prod[[#This Row],[S2Ovlp]],Prod[[#This Row],[S2Seam]],Prod[[#This Row],[S2Dmg]])</f>
        <v>105</v>
      </c>
      <c r="T107" s="187">
        <v>20.9</v>
      </c>
      <c r="U107" s="141">
        <v>8</v>
      </c>
      <c r="V107" s="120">
        <v>1113</v>
      </c>
      <c r="W107" s="130">
        <v>8</v>
      </c>
      <c r="X107" s="120">
        <f>Prod[[#This Row],[S3Shot]]*Prod[[#This Row],[S3Cavity]]-Prod[[#This Row],[S3Dft]]</f>
        <v>8789</v>
      </c>
      <c r="Y107" s="120">
        <f>SUM(Prod[[#This Row],[S3Mold]],Prod[[#This Row],[S3Print]],Prod[[#This Row],[S3Ovlp]],Prod[[#This Row],[S3Seam]],Prod[[#This Row],[S3Dmg]])</f>
        <v>115</v>
      </c>
      <c r="Z107" s="120">
        <f>SUM(Prod[[#This Row],[S1Qty]],Prod[[#This Row],[S2Qty]],Prod[[#This Row],[S3Qty]])</f>
        <v>19692</v>
      </c>
      <c r="AA107" s="120">
        <f>SUM(Prod[[#This Row],[S1Dft]],Prod[[#This Row],[S2Dft]],Prod[[#This Row],[S3Dft]])</f>
        <v>220</v>
      </c>
      <c r="AB107" s="121">
        <f>IF(Prod[[#This Row],[Total]]=0,0,Prod[[#This Row],[TotalDft]]/Prod[[#This Row],[Total]])</f>
        <v>1.1172049563274427E-2</v>
      </c>
      <c r="AC107" s="131"/>
      <c r="AD107" s="120">
        <v>0</v>
      </c>
      <c r="AE107" s="120">
        <v>15</v>
      </c>
      <c r="AF107" s="120">
        <v>20</v>
      </c>
      <c r="AG107" s="120">
        <v>0</v>
      </c>
      <c r="AH107" s="120">
        <v>90</v>
      </c>
      <c r="AI107" s="120">
        <v>95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32">
        <f>IF(Prod[[#This Row],[S1Hrs]]=0,0,Prod[[#This Row],[S1Shot]]*Prod[[#This Row],[S1Cycle]]/(Prod[[#This Row],[S1Hrs]]*60*60))</f>
        <v>0</v>
      </c>
      <c r="AT107" s="132">
        <f>IF(Prod[[#This Row],[S2Hrs]]=0,0,Prod[[#This Row],[S2Shot]]*Prod[[#This Row],[S2Cycle]]/(Prod[[#This Row],[S2Hrs]]*60*60))</f>
        <v>1.0595199999999998</v>
      </c>
      <c r="AU107" s="132">
        <f>IF(Prod[[#This Row],[S3Hrs]]=0,0,Prod[[#This Row],[S3Shot]]*Prod[[#This Row],[S3Cycle]]/(Prod[[#This Row],[S3Hrs]]*60*60))</f>
        <v>0.80769791666666657</v>
      </c>
      <c r="AV107" s="132">
        <f>IFERROR(AVERAGEIF(Prod[[#This Row],[S1%]:[S3%]], "&lt;&gt;0"),0)</f>
        <v>0.93360895833333313</v>
      </c>
      <c r="AW107" s="132">
        <v>0.5</v>
      </c>
      <c r="AX107" s="132">
        <v>0</v>
      </c>
      <c r="AY107" s="132">
        <v>0</v>
      </c>
      <c r="AZ107" s="175">
        <f>IF(Prod[[#This Row],[S1Cycle]]&lt;&gt;0,1,0)</f>
        <v>0</v>
      </c>
      <c r="BA107" s="175">
        <f>IF(Prod[[#This Row],[S2Cycle]]&lt;&gt;0,1,0)</f>
        <v>1</v>
      </c>
      <c r="BB107" s="175">
        <f>IF(Prod[[#This Row],[S3Cycle]]&lt;&gt;0,1,0)</f>
        <v>1</v>
      </c>
      <c r="BC107" s="175">
        <f>MAX(Prod[[#This Row],[S1Cavity]],Prod[[#This Row],[S2Cavity]],Prod[[#This Row],[S3Cavity]])</f>
        <v>8</v>
      </c>
      <c r="BD107" s="175" t="b">
        <f>RegExpMatch(Prod[[#This Row],[MoldNo]], "^DEO-(B|C)")</f>
        <v>1</v>
      </c>
      <c r="BE107" s="175" t="b">
        <f>RegExpMatch(Prod[[#This Row],[MoldNo]], "^JAC")</f>
        <v>0</v>
      </c>
    </row>
    <row r="108" spans="1:57" x14ac:dyDescent="0.2">
      <c r="A108" s="117">
        <v>45450</v>
      </c>
      <c r="B108" s="120" t="s">
        <v>85</v>
      </c>
      <c r="C108" s="119" t="s">
        <v>165</v>
      </c>
      <c r="D108" s="119">
        <v>27430</v>
      </c>
      <c r="E108" s="131" t="s">
        <v>199</v>
      </c>
      <c r="F108" s="119">
        <v>6331</v>
      </c>
      <c r="G108" s="119" t="str">
        <f>IF(OR(Prod[[#This Row],[S1Hrs]]&gt;0,Prod[[#This Row],[S2Hrs]]&gt;0,Prod[[#This Row],[S3Hrs]]&gt;0),"Running","Down")</f>
        <v>Running</v>
      </c>
      <c r="H108" s="187">
        <v>20.43</v>
      </c>
      <c r="I108" s="141">
        <v>8</v>
      </c>
      <c r="J108" s="120">
        <v>1304</v>
      </c>
      <c r="K108" s="130">
        <v>8</v>
      </c>
      <c r="L108" s="120">
        <f>Prod[[#This Row],[S1Shot]]*Prod[[#This Row],[S1Cavity]]-Prod[[#This Row],[S1Dft]]</f>
        <v>10432</v>
      </c>
      <c r="M108" s="134"/>
      <c r="N108" s="187">
        <v>20.43</v>
      </c>
      <c r="O108" s="141">
        <v>8</v>
      </c>
      <c r="P108" s="120">
        <v>1460</v>
      </c>
      <c r="Q108" s="130">
        <v>8</v>
      </c>
      <c r="R108" s="120">
        <f>Prod[[#This Row],[S2Shot]]*Prod[[#This Row],[S2Cavity]]-Prod[[#This Row],[S2Dft]]</f>
        <v>11680</v>
      </c>
      <c r="S108" s="134"/>
      <c r="T108" s="187">
        <v>20.43</v>
      </c>
      <c r="U108" s="141">
        <v>8</v>
      </c>
      <c r="V108" s="120">
        <v>1301</v>
      </c>
      <c r="W108" s="130">
        <v>16</v>
      </c>
      <c r="X108" s="120">
        <f>Prod[[#This Row],[S3Shot]]*Prod[[#This Row],[S3Cavity]]-Prod[[#This Row],[S3Dft]]</f>
        <v>20816</v>
      </c>
      <c r="Y108" s="134"/>
      <c r="Z108" s="120">
        <f>SUM(Prod[[#This Row],[S1Qty]],Prod[[#This Row],[S2Qty]],Prod[[#This Row],[S3Qty]])</f>
        <v>42928</v>
      </c>
      <c r="AA108" s="134"/>
      <c r="AB108" s="135"/>
      <c r="AC108" s="118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2">
        <f>IF(Prod[[#This Row],[S1Hrs]]=0,0,Prod[[#This Row],[S1Shot]]*Prod[[#This Row],[S1Cycle]]/(Prod[[#This Row],[S1Hrs]]*60*60))</f>
        <v>0.92502499999999999</v>
      </c>
      <c r="AT108" s="132">
        <f>IF(Prod[[#This Row],[S2Hrs]]=0,0,Prod[[#This Row],[S2Shot]]*Prod[[#This Row],[S2Cycle]]/(Prod[[#This Row],[S2Hrs]]*60*60))</f>
        <v>1.0356874999999999</v>
      </c>
      <c r="AU108" s="132">
        <f>IF(Prod[[#This Row],[S3Hrs]]=0,0,Prod[[#This Row],[S3Shot]]*Prod[[#This Row],[S3Cycle]]/(Prod[[#This Row],[S3Hrs]]*60*60))</f>
        <v>0.92289687500000006</v>
      </c>
      <c r="AV108" s="132">
        <f>IFERROR(AVERAGEIF(Prod[[#This Row],[S1%]:[S3%]], "&lt;&gt;0"),0)</f>
        <v>0.96120312499999994</v>
      </c>
      <c r="AW108" s="132">
        <v>0</v>
      </c>
      <c r="AX108" s="132">
        <v>0</v>
      </c>
      <c r="AY108" s="132">
        <v>0</v>
      </c>
      <c r="AZ108" s="175">
        <f>IF(Prod[[#This Row],[S1Cycle]]&lt;&gt;0,1,0)</f>
        <v>1</v>
      </c>
      <c r="BA108" s="175">
        <f>IF(Prod[[#This Row],[S2Cycle]]&lt;&gt;0,1,0)</f>
        <v>1</v>
      </c>
      <c r="BB108" s="175">
        <f>IF(Prod[[#This Row],[S3Cycle]]&lt;&gt;0,1,0)</f>
        <v>1</v>
      </c>
      <c r="BC108" s="175">
        <f>MAX(Prod[[#This Row],[S1Cavity]],Prod[[#This Row],[S2Cavity]],Prod[[#This Row],[S3Cavity]])</f>
        <v>16</v>
      </c>
      <c r="BD108" s="175" t="b">
        <f>RegExpMatch(Prod[[#This Row],[MoldNo]], "^DEO-(B|C)")</f>
        <v>0</v>
      </c>
      <c r="BE108" s="175" t="b">
        <f>RegExpMatch(Prod[[#This Row],[MoldNo]], "^JAC")</f>
        <v>0</v>
      </c>
    </row>
    <row r="109" spans="1:57" x14ac:dyDescent="0.2">
      <c r="A109" s="117">
        <v>45450</v>
      </c>
      <c r="B109" s="120" t="s">
        <v>196</v>
      </c>
      <c r="C109" s="119" t="s">
        <v>82</v>
      </c>
      <c r="D109" s="119"/>
      <c r="E109" s="131"/>
      <c r="F109" s="119"/>
      <c r="G109" s="119" t="str">
        <f>IF(OR(Prod[[#This Row],[S1Hrs]]&gt;0,Prod[[#This Row],[S2Hrs]]&gt;0,Prod[[#This Row],[S3Hrs]]&gt;0),"Running","Down")</f>
        <v>Down</v>
      </c>
      <c r="H109" s="187">
        <v>0</v>
      </c>
      <c r="I109" s="141">
        <v>0</v>
      </c>
      <c r="J109" s="120">
        <v>0</v>
      </c>
      <c r="K109" s="130">
        <v>0</v>
      </c>
      <c r="L109" s="120">
        <f>Prod[[#This Row],[S1Shot]]*Prod[[#This Row],[S1Cavity]]-Prod[[#This Row],[S1Dft]]</f>
        <v>0</v>
      </c>
      <c r="M109" s="134"/>
      <c r="N109" s="187">
        <v>0</v>
      </c>
      <c r="O109" s="141">
        <v>0</v>
      </c>
      <c r="P109" s="120">
        <v>0</v>
      </c>
      <c r="Q109" s="130">
        <v>0</v>
      </c>
      <c r="R109" s="120">
        <f>Prod[[#This Row],[S2Shot]]*Prod[[#This Row],[S2Cavity]]-Prod[[#This Row],[S2Dft]]</f>
        <v>0</v>
      </c>
      <c r="S109" s="134"/>
      <c r="T109" s="187">
        <v>0</v>
      </c>
      <c r="U109" s="141">
        <v>0</v>
      </c>
      <c r="V109" s="120">
        <v>0</v>
      </c>
      <c r="W109" s="130">
        <v>0</v>
      </c>
      <c r="X109" s="120">
        <f>Prod[[#This Row],[S3Shot]]*Prod[[#This Row],[S3Cavity]]-Prod[[#This Row],[S3Dft]]</f>
        <v>0</v>
      </c>
      <c r="Y109" s="134"/>
      <c r="Z109" s="120">
        <f>SUM(Prod[[#This Row],[S1Qty]],Prod[[#This Row],[S2Qty]],Prod[[#This Row],[S3Qty]])</f>
        <v>0</v>
      </c>
      <c r="AA109" s="134"/>
      <c r="AB109" s="135"/>
      <c r="AC109" s="118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2">
        <f>IF(Prod[[#This Row],[S1Hrs]]=0,0,Prod[[#This Row],[S1Shot]]*Prod[[#This Row],[S1Cycle]]/(Prod[[#This Row],[S1Hrs]]*60*60))</f>
        <v>0</v>
      </c>
      <c r="AT109" s="132">
        <f>IF(Prod[[#This Row],[S2Hrs]]=0,0,Prod[[#This Row],[S2Shot]]*Prod[[#This Row],[S2Cycle]]/(Prod[[#This Row],[S2Hrs]]*60*60))</f>
        <v>0</v>
      </c>
      <c r="AU109" s="132">
        <f>IF(Prod[[#This Row],[S3Hrs]]=0,0,Prod[[#This Row],[S3Shot]]*Prod[[#This Row],[S3Cycle]]/(Prod[[#This Row],[S3Hrs]]*60*60))</f>
        <v>0</v>
      </c>
      <c r="AV109" s="132">
        <f>IFERROR(AVERAGEIF(Prod[[#This Row],[S1%]:[S3%]], "&lt;&gt;0"),0)</f>
        <v>0</v>
      </c>
      <c r="AW109" s="132">
        <v>0</v>
      </c>
      <c r="AX109" s="132">
        <v>0</v>
      </c>
      <c r="AY109" s="132">
        <v>0</v>
      </c>
      <c r="AZ109" s="175">
        <f>IF(Prod[[#This Row],[S1Cycle]]&lt;&gt;0,1,0)</f>
        <v>0</v>
      </c>
      <c r="BA109" s="175">
        <f>IF(Prod[[#This Row],[S2Cycle]]&lt;&gt;0,1,0)</f>
        <v>0</v>
      </c>
      <c r="BB109" s="175">
        <f>IF(Prod[[#This Row],[S3Cycle]]&lt;&gt;0,1,0)</f>
        <v>0</v>
      </c>
      <c r="BC109" s="175">
        <f>MAX(Prod[[#This Row],[S1Cavity]],Prod[[#This Row],[S2Cavity]],Prod[[#This Row],[S3Cavity]])</f>
        <v>0</v>
      </c>
      <c r="BD109" s="175" t="b">
        <f>RegExpMatch(Prod[[#This Row],[MoldNo]], "^DEO-(B|C)")</f>
        <v>0</v>
      </c>
      <c r="BE109" s="175" t="b">
        <f>RegExpMatch(Prod[[#This Row],[MoldNo]], "^JAC")</f>
        <v>0</v>
      </c>
    </row>
    <row r="110" spans="1:57" x14ac:dyDescent="0.2">
      <c r="A110" s="117">
        <v>45450</v>
      </c>
      <c r="B110" s="120" t="s">
        <v>192</v>
      </c>
      <c r="C110" s="131" t="s">
        <v>193</v>
      </c>
      <c r="D110" s="119">
        <v>27575</v>
      </c>
      <c r="E110" s="131" t="s">
        <v>199</v>
      </c>
      <c r="F110" s="119">
        <v>814</v>
      </c>
      <c r="G110" s="119" t="str">
        <f>IF(OR(Prod[[#This Row],[S1Hrs]]&gt;0,Prod[[#This Row],[S2Hrs]]&gt;0,Prod[[#This Row],[S3Hrs]]&gt;0),"Running","Down")</f>
        <v>Running</v>
      </c>
      <c r="H110" s="187">
        <v>0</v>
      </c>
      <c r="I110" s="141">
        <v>0</v>
      </c>
      <c r="J110" s="120">
        <v>0</v>
      </c>
      <c r="K110" s="130">
        <v>0</v>
      </c>
      <c r="L110" s="120">
        <f>Prod[[#This Row],[S1Shot]]*Prod[[#This Row],[S1Cavity]]-Prod[[#This Row],[S1Dft]]</f>
        <v>0</v>
      </c>
      <c r="M110" s="134"/>
      <c r="N110" s="187">
        <v>17.25</v>
      </c>
      <c r="O110" s="141">
        <v>8</v>
      </c>
      <c r="P110" s="120">
        <v>1679</v>
      </c>
      <c r="Q110" s="130">
        <v>24</v>
      </c>
      <c r="R110" s="120">
        <f>Prod[[#This Row],[S2Shot]]*Prod[[#This Row],[S2Cavity]]-Prod[[#This Row],[S2Dft]]</f>
        <v>40296</v>
      </c>
      <c r="S110" s="134"/>
      <c r="T110" s="187">
        <v>17.25</v>
      </c>
      <c r="U110" s="141">
        <v>8</v>
      </c>
      <c r="V110" s="120">
        <v>1695</v>
      </c>
      <c r="W110" s="130">
        <v>24</v>
      </c>
      <c r="X110" s="120">
        <f>Prod[[#This Row],[S3Shot]]*Prod[[#This Row],[S3Cavity]]-Prod[[#This Row],[S3Dft]]</f>
        <v>40680</v>
      </c>
      <c r="Y110" s="134"/>
      <c r="Z110" s="120">
        <f>SUM(Prod[[#This Row],[S1Qty]],Prod[[#This Row],[S2Qty]],Prod[[#This Row],[S3Qty]])</f>
        <v>80976</v>
      </c>
      <c r="AA110" s="134"/>
      <c r="AB110" s="135"/>
      <c r="AC110" s="118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2">
        <f>IF(Prod[[#This Row],[S1Hrs]]=0,0,Prod[[#This Row],[S1Shot]]*Prod[[#This Row],[S1Cycle]]/(Prod[[#This Row],[S1Hrs]]*60*60))</f>
        <v>0</v>
      </c>
      <c r="AT110" s="132">
        <f>IF(Prod[[#This Row],[S2Hrs]]=0,0,Prod[[#This Row],[S2Shot]]*Prod[[#This Row],[S2Cycle]]/(Prod[[#This Row],[S2Hrs]]*60*60))</f>
        <v>1.0056510416666666</v>
      </c>
      <c r="AU110" s="132">
        <f>IF(Prod[[#This Row],[S3Hrs]]=0,0,Prod[[#This Row],[S3Shot]]*Prod[[#This Row],[S3Cycle]]/(Prod[[#This Row],[S3Hrs]]*60*60))</f>
        <v>1.0152343749999999</v>
      </c>
      <c r="AV110" s="132">
        <f>IFERROR(AVERAGEIF(Prod[[#This Row],[S1%]:[S3%]], "&lt;&gt;0"),0)</f>
        <v>1.0104427083333332</v>
      </c>
      <c r="AW110" s="132">
        <v>0</v>
      </c>
      <c r="AX110" s="132">
        <v>0</v>
      </c>
      <c r="AY110" s="132">
        <v>0</v>
      </c>
      <c r="AZ110" s="175">
        <f>IF(Prod[[#This Row],[S1Cycle]]&lt;&gt;0,1,0)</f>
        <v>0</v>
      </c>
      <c r="BA110" s="175">
        <f>IF(Prod[[#This Row],[S2Cycle]]&lt;&gt;0,1,0)</f>
        <v>1</v>
      </c>
      <c r="BB110" s="175">
        <f>IF(Prod[[#This Row],[S3Cycle]]&lt;&gt;0,1,0)</f>
        <v>1</v>
      </c>
      <c r="BC110" s="175">
        <f>MAX(Prod[[#This Row],[S1Cavity]],Prod[[#This Row],[S2Cavity]],Prod[[#This Row],[S3Cavity]])</f>
        <v>24</v>
      </c>
      <c r="BD110" s="175" t="b">
        <f>RegExpMatch(Prod[[#This Row],[MoldNo]], "^DEO-(B|C)")</f>
        <v>0</v>
      </c>
      <c r="BE110" s="175" t="b">
        <f>RegExpMatch(Prod[[#This Row],[MoldNo]], "^JAC")</f>
        <v>0</v>
      </c>
    </row>
    <row r="111" spans="1:57" x14ac:dyDescent="0.2">
      <c r="A111" s="117">
        <v>45450</v>
      </c>
      <c r="B111" s="120" t="s">
        <v>168</v>
      </c>
      <c r="C111" s="119" t="s">
        <v>169</v>
      </c>
      <c r="D111" s="119"/>
      <c r="E111" s="131"/>
      <c r="F111" s="119"/>
      <c r="G111" s="119" t="str">
        <f>IF(OR(Prod[[#This Row],[S1Hrs]]&gt;0,Prod[[#This Row],[S2Hrs]]&gt;0,Prod[[#This Row],[S3Hrs]]&gt;0),"Running","Down")</f>
        <v>Down</v>
      </c>
      <c r="H111" s="187">
        <v>0</v>
      </c>
      <c r="I111" s="141">
        <v>0</v>
      </c>
      <c r="J111" s="120">
        <v>0</v>
      </c>
      <c r="K111" s="130">
        <v>0</v>
      </c>
      <c r="L111" s="120">
        <f>Prod[[#This Row],[S1Shot]]*Prod[[#This Row],[S1Cavity]]-Prod[[#This Row],[S1Dft]]</f>
        <v>0</v>
      </c>
      <c r="M111" s="134"/>
      <c r="N111" s="187">
        <v>0</v>
      </c>
      <c r="O111" s="141">
        <v>0</v>
      </c>
      <c r="P111" s="120">
        <v>0</v>
      </c>
      <c r="Q111" s="130">
        <v>0</v>
      </c>
      <c r="R111" s="120">
        <f>Prod[[#This Row],[S2Shot]]*Prod[[#This Row],[S2Cavity]]-Prod[[#This Row],[S2Dft]]</f>
        <v>0</v>
      </c>
      <c r="S111" s="134"/>
      <c r="T111" s="187">
        <v>0</v>
      </c>
      <c r="U111" s="141">
        <v>0</v>
      </c>
      <c r="V111" s="120">
        <v>0</v>
      </c>
      <c r="W111" s="130">
        <v>0</v>
      </c>
      <c r="X111" s="120">
        <f>Prod[[#This Row],[S3Shot]]*Prod[[#This Row],[S3Cavity]]-Prod[[#This Row],[S3Dft]]</f>
        <v>0</v>
      </c>
      <c r="Y111" s="134"/>
      <c r="Z111" s="120">
        <f>SUM(Prod[[#This Row],[S1Qty]],Prod[[#This Row],[S2Qty]],Prod[[#This Row],[S3Qty]])</f>
        <v>0</v>
      </c>
      <c r="AA111" s="134"/>
      <c r="AB111" s="135"/>
      <c r="AC111" s="118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2">
        <f>IF(Prod[[#This Row],[S1Hrs]]=0,0,Prod[[#This Row],[S1Shot]]*Prod[[#This Row],[S1Cycle]]/(Prod[[#This Row],[S1Hrs]]*60*60))</f>
        <v>0</v>
      </c>
      <c r="AT111" s="132">
        <f>IF(Prod[[#This Row],[S2Hrs]]=0,0,Prod[[#This Row],[S2Shot]]*Prod[[#This Row],[S2Cycle]]/(Prod[[#This Row],[S2Hrs]]*60*60))</f>
        <v>0</v>
      </c>
      <c r="AU111" s="132">
        <f>IF(Prod[[#This Row],[S3Hrs]]=0,0,Prod[[#This Row],[S3Shot]]*Prod[[#This Row],[S3Cycle]]/(Prod[[#This Row],[S3Hrs]]*60*60))</f>
        <v>0</v>
      </c>
      <c r="AV111" s="132">
        <f>IFERROR(AVERAGEIF(Prod[[#This Row],[S1%]:[S3%]], "&lt;&gt;0"),0)</f>
        <v>0</v>
      </c>
      <c r="AW111" s="132">
        <v>0</v>
      </c>
      <c r="AX111" s="132">
        <v>0</v>
      </c>
      <c r="AY111" s="132">
        <v>0</v>
      </c>
      <c r="AZ111" s="175">
        <f>IF(Prod[[#This Row],[S1Cycle]]&lt;&gt;0,1,0)</f>
        <v>0</v>
      </c>
      <c r="BA111" s="175">
        <f>IF(Prod[[#This Row],[S2Cycle]]&lt;&gt;0,1,0)</f>
        <v>0</v>
      </c>
      <c r="BB111" s="175">
        <f>IF(Prod[[#This Row],[S3Cycle]]&lt;&gt;0,1,0)</f>
        <v>0</v>
      </c>
      <c r="BC111" s="175">
        <f>MAX(Prod[[#This Row],[S1Cavity]],Prod[[#This Row],[S2Cavity]],Prod[[#This Row],[S3Cavity]])</f>
        <v>0</v>
      </c>
      <c r="BD111" s="175" t="b">
        <f>RegExpMatch(Prod[[#This Row],[MoldNo]], "^DEO-(B|C)")</f>
        <v>0</v>
      </c>
      <c r="BE111" s="175" t="b">
        <f>RegExpMatch(Prod[[#This Row],[MoldNo]], "^JAC")</f>
        <v>0</v>
      </c>
    </row>
    <row r="112" spans="1:57" x14ac:dyDescent="0.2">
      <c r="A112" s="117">
        <v>45450</v>
      </c>
      <c r="B112" s="120" t="s">
        <v>146</v>
      </c>
      <c r="C112" s="119" t="s">
        <v>84</v>
      </c>
      <c r="D112" s="119"/>
      <c r="E112" s="131"/>
      <c r="F112" s="119"/>
      <c r="G112" s="119" t="str">
        <f>IF(OR(Prod[[#This Row],[S1Hrs]]&gt;0,Prod[[#This Row],[S2Hrs]]&gt;0,Prod[[#This Row],[S3Hrs]]&gt;0),"Running","Down")</f>
        <v>Down</v>
      </c>
      <c r="H112" s="187">
        <v>0</v>
      </c>
      <c r="I112" s="141">
        <v>0</v>
      </c>
      <c r="J112" s="120">
        <v>0</v>
      </c>
      <c r="K112" s="130">
        <v>0</v>
      </c>
      <c r="L112" s="120">
        <f>Prod[[#This Row],[S1Shot]]*Prod[[#This Row],[S1Cavity]]-Prod[[#This Row],[S1Dft]]</f>
        <v>0</v>
      </c>
      <c r="M112" s="134"/>
      <c r="N112" s="187">
        <v>0</v>
      </c>
      <c r="O112" s="141">
        <v>0</v>
      </c>
      <c r="P112" s="120">
        <v>0</v>
      </c>
      <c r="Q112" s="130">
        <v>0</v>
      </c>
      <c r="R112" s="120">
        <f>Prod[[#This Row],[S2Shot]]*Prod[[#This Row],[S2Cavity]]-Prod[[#This Row],[S2Dft]]</f>
        <v>0</v>
      </c>
      <c r="S112" s="134"/>
      <c r="T112" s="187">
        <v>0</v>
      </c>
      <c r="U112" s="141">
        <v>0</v>
      </c>
      <c r="V112" s="120">
        <v>0</v>
      </c>
      <c r="W112" s="130">
        <v>0</v>
      </c>
      <c r="X112" s="120">
        <f>Prod[[#This Row],[S3Shot]]*Prod[[#This Row],[S3Cavity]]-Prod[[#This Row],[S3Dft]]</f>
        <v>0</v>
      </c>
      <c r="Y112" s="134"/>
      <c r="Z112" s="120">
        <f>SUM(Prod[[#This Row],[S1Qty]],Prod[[#This Row],[S2Qty]],Prod[[#This Row],[S3Qty]])</f>
        <v>0</v>
      </c>
      <c r="AA112" s="134"/>
      <c r="AB112" s="135"/>
      <c r="AC112" s="118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2">
        <f>IF(Prod[[#This Row],[S1Hrs]]=0,0,Prod[[#This Row],[S1Shot]]*Prod[[#This Row],[S1Cycle]]/(Prod[[#This Row],[S1Hrs]]*60*60))</f>
        <v>0</v>
      </c>
      <c r="AT112" s="132">
        <f>IF(Prod[[#This Row],[S2Hrs]]=0,0,Prod[[#This Row],[S2Shot]]*Prod[[#This Row],[S2Cycle]]/(Prod[[#This Row],[S2Hrs]]*60*60))</f>
        <v>0</v>
      </c>
      <c r="AU112" s="132">
        <f>IF(Prod[[#This Row],[S3Hrs]]=0,0,Prod[[#This Row],[S3Shot]]*Prod[[#This Row],[S3Cycle]]/(Prod[[#This Row],[S3Hrs]]*60*60))</f>
        <v>0</v>
      </c>
      <c r="AV112" s="132">
        <f>IFERROR(AVERAGEIF(Prod[[#This Row],[S1%]:[S3%]], "&lt;&gt;0"),0)</f>
        <v>0</v>
      </c>
      <c r="AW112" s="132">
        <v>0</v>
      </c>
      <c r="AX112" s="132">
        <v>0</v>
      </c>
      <c r="AY112" s="132">
        <v>0</v>
      </c>
      <c r="AZ112" s="175">
        <f>IF(Prod[[#This Row],[S1Cycle]]&lt;&gt;0,1,0)</f>
        <v>0</v>
      </c>
      <c r="BA112" s="175">
        <f>IF(Prod[[#This Row],[S2Cycle]]&lt;&gt;0,1,0)</f>
        <v>0</v>
      </c>
      <c r="BB112" s="175">
        <f>IF(Prod[[#This Row],[S3Cycle]]&lt;&gt;0,1,0)</f>
        <v>0</v>
      </c>
      <c r="BC112" s="175">
        <f>MAX(Prod[[#This Row],[S1Cavity]],Prod[[#This Row],[S2Cavity]],Prod[[#This Row],[S3Cavity]])</f>
        <v>0</v>
      </c>
      <c r="BD112" s="175" t="b">
        <f>RegExpMatch(Prod[[#This Row],[MoldNo]], "^DEO-(B|C)")</f>
        <v>0</v>
      </c>
      <c r="BE112" s="175" t="b">
        <f>RegExpMatch(Prod[[#This Row],[MoldNo]], "^JAC")</f>
        <v>0</v>
      </c>
    </row>
    <row r="113" spans="1:57" x14ac:dyDescent="0.2">
      <c r="A113" s="117">
        <v>45450</v>
      </c>
      <c r="B113" s="130" t="s">
        <v>194</v>
      </c>
      <c r="C113" s="131" t="s">
        <v>9</v>
      </c>
      <c r="D113" s="119"/>
      <c r="E113" s="131"/>
      <c r="F113" s="119"/>
      <c r="G113" s="119" t="str">
        <f>IF(OR(Prod[[#This Row],[S1Hrs]]&gt;0,Prod[[#This Row],[S2Hrs]]&gt;0,Prod[[#This Row],[S3Hrs]]&gt;0),"Running","Down")</f>
        <v>Down</v>
      </c>
      <c r="H113" s="187">
        <v>0</v>
      </c>
      <c r="I113" s="141">
        <v>0</v>
      </c>
      <c r="J113" s="120">
        <v>0</v>
      </c>
      <c r="K113" s="130">
        <v>0</v>
      </c>
      <c r="L113" s="120">
        <f>Prod[[#This Row],[S1Shot]]*Prod[[#This Row],[S1Cavity]]-Prod[[#This Row],[S1Dft]]</f>
        <v>0</v>
      </c>
      <c r="M113" s="134"/>
      <c r="N113" s="187">
        <v>0</v>
      </c>
      <c r="O113" s="141">
        <v>0</v>
      </c>
      <c r="P113" s="120">
        <v>0</v>
      </c>
      <c r="Q113" s="130">
        <v>0</v>
      </c>
      <c r="R113" s="120">
        <f>Prod[[#This Row],[S2Shot]]*Prod[[#This Row],[S2Cavity]]-Prod[[#This Row],[S2Dft]]</f>
        <v>0</v>
      </c>
      <c r="S113" s="134"/>
      <c r="T113" s="187">
        <v>0</v>
      </c>
      <c r="U113" s="141">
        <v>0</v>
      </c>
      <c r="V113" s="120">
        <v>0</v>
      </c>
      <c r="W113" s="130">
        <v>0</v>
      </c>
      <c r="X113" s="120">
        <f>Prod[[#This Row],[S3Shot]]*Prod[[#This Row],[S3Cavity]]-Prod[[#This Row],[S3Dft]]</f>
        <v>0</v>
      </c>
      <c r="Y113" s="134"/>
      <c r="Z113" s="120">
        <f>SUM(Prod[[#This Row],[S1Qty]],Prod[[#This Row],[S2Qty]],Prod[[#This Row],[S3Qty]])</f>
        <v>0</v>
      </c>
      <c r="AA113" s="134"/>
      <c r="AB113" s="135"/>
      <c r="AC113" s="118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2">
        <f>IF(Prod[[#This Row],[S1Hrs]]=0,0,Prod[[#This Row],[S1Shot]]*Prod[[#This Row],[S1Cycle]]/(Prod[[#This Row],[S1Hrs]]*60*60))</f>
        <v>0</v>
      </c>
      <c r="AT113" s="132">
        <f>IF(Prod[[#This Row],[S2Hrs]]=0,0,Prod[[#This Row],[S2Shot]]*Prod[[#This Row],[S2Cycle]]/(Prod[[#This Row],[S2Hrs]]*60*60))</f>
        <v>0</v>
      </c>
      <c r="AU113" s="132">
        <f>IF(Prod[[#This Row],[S3Hrs]]=0,0,Prod[[#This Row],[S3Shot]]*Prod[[#This Row],[S3Cycle]]/(Prod[[#This Row],[S3Hrs]]*60*60))</f>
        <v>0</v>
      </c>
      <c r="AV113" s="132">
        <f>IFERROR(AVERAGEIF(Prod[[#This Row],[S1%]:[S3%]], "&lt;&gt;0"),0)</f>
        <v>0</v>
      </c>
      <c r="AW113" s="132">
        <v>0</v>
      </c>
      <c r="AX113" s="132">
        <v>0</v>
      </c>
      <c r="AY113" s="132">
        <v>0</v>
      </c>
      <c r="AZ113" s="175">
        <f>IF(Prod[[#This Row],[S1Cycle]]&lt;&gt;0,1,0)</f>
        <v>0</v>
      </c>
      <c r="BA113" s="175">
        <f>IF(Prod[[#This Row],[S2Cycle]]&lt;&gt;0,1,0)</f>
        <v>0</v>
      </c>
      <c r="BB113" s="175">
        <f>IF(Prod[[#This Row],[S3Cycle]]&lt;&gt;0,1,0)</f>
        <v>0</v>
      </c>
      <c r="BC113" s="175">
        <f>MAX(Prod[[#This Row],[S1Cavity]],Prod[[#This Row],[S2Cavity]],Prod[[#This Row],[S3Cavity]])</f>
        <v>0</v>
      </c>
      <c r="BD113" s="175" t="b">
        <f>RegExpMatch(Prod[[#This Row],[MoldNo]], "^DEO-(B|C)")</f>
        <v>0</v>
      </c>
      <c r="BE113" s="175" t="b">
        <f>RegExpMatch(Prod[[#This Row],[MoldNo]], "^JAC")</f>
        <v>0</v>
      </c>
    </row>
    <row r="114" spans="1:57" x14ac:dyDescent="0.2">
      <c r="A114" s="117">
        <v>45450</v>
      </c>
      <c r="B114" s="130" t="s">
        <v>164</v>
      </c>
      <c r="C114" s="131" t="s">
        <v>144</v>
      </c>
      <c r="D114" s="119"/>
      <c r="E114" s="131"/>
      <c r="F114" s="119"/>
      <c r="G114" s="119" t="str">
        <f>IF(OR(Prod[[#This Row],[S1Hrs]]&gt;0,Prod[[#This Row],[S2Hrs]]&gt;0,Prod[[#This Row],[S3Hrs]]&gt;0),"Running","Down")</f>
        <v>Down</v>
      </c>
      <c r="H114" s="187">
        <v>0</v>
      </c>
      <c r="I114" s="141">
        <v>0</v>
      </c>
      <c r="J114" s="120">
        <v>0</v>
      </c>
      <c r="K114" s="130">
        <v>0</v>
      </c>
      <c r="L114" s="120">
        <f>Prod[[#This Row],[S1Shot]]*Prod[[#This Row],[S1Cavity]]-Prod[[#This Row],[S1Dft]]</f>
        <v>0</v>
      </c>
      <c r="M114" s="136">
        <f>SUM(Prod[[#This Row],[S1Mold]],Prod[[#This Row],[S1Print]],Prod[[#This Row],[S1Ovlp]],Prod[[#This Row],[S1Seam]],Prod[[#This Row],[S1Dmg]])</f>
        <v>0</v>
      </c>
      <c r="N114" s="187">
        <v>0</v>
      </c>
      <c r="O114" s="141">
        <v>0</v>
      </c>
      <c r="P114" s="120">
        <v>0</v>
      </c>
      <c r="Q114" s="130">
        <v>0</v>
      </c>
      <c r="R114" s="120">
        <f>Prod[[#This Row],[S2Shot]]*Prod[[#This Row],[S2Cavity]]-Prod[[#This Row],[S2Dft]]</f>
        <v>0</v>
      </c>
      <c r="S114" s="136">
        <f>SUM(Prod[[#This Row],[S2Mold]],Prod[[#This Row],[S2Print]],Prod[[#This Row],[S2Ovlp]],Prod[[#This Row],[S2Seam]],Prod[[#This Row],[S2Dmg]])</f>
        <v>0</v>
      </c>
      <c r="T114" s="187">
        <v>0</v>
      </c>
      <c r="U114" s="141">
        <v>0</v>
      </c>
      <c r="V114" s="120">
        <v>0</v>
      </c>
      <c r="W114" s="130">
        <v>0</v>
      </c>
      <c r="X114" s="120">
        <f>Prod[[#This Row],[S3Shot]]*Prod[[#This Row],[S3Cavity]]-Prod[[#This Row],[S3Dft]]</f>
        <v>0</v>
      </c>
      <c r="Y114" s="120">
        <f>SUM(Prod[[#This Row],[S3Mold]],Prod[[#This Row],[S3Print]],Prod[[#This Row],[S3Ovlp]],Prod[[#This Row],[S3Seam]],Prod[[#This Row],[S3Dmg]])</f>
        <v>0</v>
      </c>
      <c r="Z114" s="120">
        <f>SUM(Prod[[#This Row],[S1Qty]],Prod[[#This Row],[S2Qty]],Prod[[#This Row],[S3Qty]])</f>
        <v>0</v>
      </c>
      <c r="AA114" s="120">
        <f>SUM(Prod[[#This Row],[S1Dft]],Prod[[#This Row],[S2Dft]],Prod[[#This Row],[S3Dft]])</f>
        <v>0</v>
      </c>
      <c r="AB114" s="121">
        <f>IF(Prod[[#This Row],[Total]]=0,0,Prod[[#This Row],[TotalDft]]/Prod[[#This Row],[Total]])</f>
        <v>0</v>
      </c>
      <c r="AC114" s="118"/>
      <c r="AD114" s="120">
        <v>0</v>
      </c>
      <c r="AE114" s="120">
        <v>0</v>
      </c>
      <c r="AF114" s="120">
        <v>0</v>
      </c>
      <c r="AG114" s="120">
        <v>0</v>
      </c>
      <c r="AH114" s="120">
        <v>0</v>
      </c>
      <c r="AI114" s="120">
        <v>0</v>
      </c>
      <c r="AJ114" s="120">
        <v>0</v>
      </c>
      <c r="AK114" s="120">
        <v>0</v>
      </c>
      <c r="AL114" s="120">
        <v>0</v>
      </c>
      <c r="AM114" s="120">
        <v>0</v>
      </c>
      <c r="AN114" s="120">
        <v>0</v>
      </c>
      <c r="AO114" s="120">
        <v>0</v>
      </c>
      <c r="AP114" s="120">
        <v>0</v>
      </c>
      <c r="AQ114" s="120">
        <v>0</v>
      </c>
      <c r="AR114" s="120">
        <v>0</v>
      </c>
      <c r="AS114" s="132">
        <f>IF(Prod[[#This Row],[S1Hrs]]=0,0,Prod[[#This Row],[S1Shot]]*Prod[[#This Row],[S1Cycle]]/(Prod[[#This Row],[S1Hrs]]*60*60))</f>
        <v>0</v>
      </c>
      <c r="AT114" s="132">
        <f>IF(Prod[[#This Row],[S2Hrs]]=0,0,Prod[[#This Row],[S2Shot]]*Prod[[#This Row],[S2Cycle]]/(Prod[[#This Row],[S2Hrs]]*60*60))</f>
        <v>0</v>
      </c>
      <c r="AU114" s="132">
        <f>IF(Prod[[#This Row],[S3Hrs]]=0,0,Prod[[#This Row],[S3Shot]]*Prod[[#This Row],[S3Cycle]]/(Prod[[#This Row],[S3Hrs]]*60*60))</f>
        <v>0</v>
      </c>
      <c r="AV114" s="132">
        <f>IFERROR(AVERAGEIF(Prod[[#This Row],[S1%]:[S3%]], "&lt;&gt;0"),0)</f>
        <v>0</v>
      </c>
      <c r="AW114" s="132">
        <v>0</v>
      </c>
      <c r="AX114" s="132">
        <v>0</v>
      </c>
      <c r="AY114" s="132">
        <v>0</v>
      </c>
      <c r="AZ114" s="175">
        <f>IF(Prod[[#This Row],[S1Cycle]]&lt;&gt;0,1,0)</f>
        <v>0</v>
      </c>
      <c r="BA114" s="175">
        <f>IF(Prod[[#This Row],[S2Cycle]]&lt;&gt;0,1,0)</f>
        <v>0</v>
      </c>
      <c r="BB114" s="175">
        <f>IF(Prod[[#This Row],[S3Cycle]]&lt;&gt;0,1,0)</f>
        <v>0</v>
      </c>
      <c r="BC114" s="175">
        <f>MAX(Prod[[#This Row],[S1Cavity]],Prod[[#This Row],[S2Cavity]],Prod[[#This Row],[S3Cavity]])</f>
        <v>0</v>
      </c>
      <c r="BD114" s="175" t="b">
        <f>RegExpMatch(Prod[[#This Row],[MoldNo]], "^DEO-(B|C)")</f>
        <v>1</v>
      </c>
      <c r="BE114" s="175" t="b">
        <f>RegExpMatch(Prod[[#This Row],[MoldNo]], "^JAC")</f>
        <v>0</v>
      </c>
    </row>
    <row r="115" spans="1:57" x14ac:dyDescent="0.2">
      <c r="A115" s="117">
        <v>45450</v>
      </c>
      <c r="B115" s="130" t="s">
        <v>162</v>
      </c>
      <c r="C115" s="131" t="s">
        <v>163</v>
      </c>
      <c r="D115" s="119"/>
      <c r="E115" s="131"/>
      <c r="F115" s="119"/>
      <c r="G115" s="119" t="str">
        <f>IF(OR(Prod[[#This Row],[S1Hrs]]&gt;0,Prod[[#This Row],[S2Hrs]]&gt;0,Prod[[#This Row],[S3Hrs]]&gt;0),"Running","Down")</f>
        <v>Down</v>
      </c>
      <c r="H115" s="187">
        <v>0</v>
      </c>
      <c r="I115" s="141">
        <v>0</v>
      </c>
      <c r="J115" s="120">
        <v>0</v>
      </c>
      <c r="K115" s="130">
        <v>0</v>
      </c>
      <c r="L115" s="120">
        <f>Prod[[#This Row],[S1Shot]]*Prod[[#This Row],[S1Cavity]]-Prod[[#This Row],[S1Dft]]</f>
        <v>0</v>
      </c>
      <c r="M115" s="136">
        <f>SUM(Prod[[#This Row],[S1Mold]],Prod[[#This Row],[S1Print]],Prod[[#This Row],[S1Ovlp]],Prod[[#This Row],[S1Seam]],Prod[[#This Row],[S1Dmg]])</f>
        <v>0</v>
      </c>
      <c r="N115" s="187">
        <v>0</v>
      </c>
      <c r="O115" s="141">
        <v>0</v>
      </c>
      <c r="P115" s="120">
        <v>0</v>
      </c>
      <c r="Q115" s="130">
        <v>0</v>
      </c>
      <c r="R115" s="120">
        <f>Prod[[#This Row],[S2Shot]]*Prod[[#This Row],[S2Cavity]]-Prod[[#This Row],[S2Dft]]</f>
        <v>0</v>
      </c>
      <c r="S115" s="136">
        <f>SUM(Prod[[#This Row],[S2Mold]],Prod[[#This Row],[S2Print]],Prod[[#This Row],[S2Ovlp]],Prod[[#This Row],[S2Seam]],Prod[[#This Row],[S2Dmg]])</f>
        <v>0</v>
      </c>
      <c r="T115" s="187">
        <v>0</v>
      </c>
      <c r="U115" s="141">
        <v>0</v>
      </c>
      <c r="V115" s="120">
        <v>0</v>
      </c>
      <c r="W115" s="130">
        <v>0</v>
      </c>
      <c r="X115" s="120">
        <f>Prod[[#This Row],[S3Shot]]*Prod[[#This Row],[S3Cavity]]-Prod[[#This Row],[S3Dft]]</f>
        <v>0</v>
      </c>
      <c r="Y115" s="120">
        <f>SUM(Prod[[#This Row],[S3Mold]],Prod[[#This Row],[S3Print]],Prod[[#This Row],[S3Ovlp]],Prod[[#This Row],[S3Seam]],Prod[[#This Row],[S3Dmg]])</f>
        <v>0</v>
      </c>
      <c r="Z115" s="120">
        <f>SUM(Prod[[#This Row],[S1Qty]],Prod[[#This Row],[S2Qty]],Prod[[#This Row],[S3Qty]])</f>
        <v>0</v>
      </c>
      <c r="AA115" s="120">
        <f>SUM(Prod[[#This Row],[S1Dft]],Prod[[#This Row],[S2Dft]],Prod[[#This Row],[S3Dft]])</f>
        <v>0</v>
      </c>
      <c r="AB115" s="121">
        <f>IF(Prod[[#This Row],[Total]]=0,0,Prod[[#This Row],[TotalDft]]/Prod[[#This Row],[Total]])</f>
        <v>0</v>
      </c>
      <c r="AC115" s="118"/>
      <c r="AD115" s="120">
        <v>0</v>
      </c>
      <c r="AE115" s="120">
        <v>0</v>
      </c>
      <c r="AF115" s="120">
        <v>0</v>
      </c>
      <c r="AG115" s="120">
        <v>0</v>
      </c>
      <c r="AH115" s="120">
        <v>0</v>
      </c>
      <c r="AI115" s="120">
        <v>0</v>
      </c>
      <c r="AJ115" s="120">
        <v>0</v>
      </c>
      <c r="AK115" s="120">
        <v>0</v>
      </c>
      <c r="AL115" s="120">
        <v>0</v>
      </c>
      <c r="AM115" s="120">
        <v>0</v>
      </c>
      <c r="AN115" s="120">
        <v>0</v>
      </c>
      <c r="AO115" s="120">
        <v>0</v>
      </c>
      <c r="AP115" s="120">
        <v>0</v>
      </c>
      <c r="AQ115" s="120">
        <v>0</v>
      </c>
      <c r="AR115" s="120">
        <v>0</v>
      </c>
      <c r="AS115" s="132">
        <f>IF(Prod[[#This Row],[S1Hrs]]=0,0,Prod[[#This Row],[S1Shot]]*Prod[[#This Row],[S1Cycle]]/(Prod[[#This Row],[S1Hrs]]*60*60))</f>
        <v>0</v>
      </c>
      <c r="AT115" s="132">
        <f>IF(Prod[[#This Row],[S2Hrs]]=0,0,Prod[[#This Row],[S2Shot]]*Prod[[#This Row],[S2Cycle]]/(Prod[[#This Row],[S2Hrs]]*60*60))</f>
        <v>0</v>
      </c>
      <c r="AU115" s="132">
        <f>IF(Prod[[#This Row],[S3Hrs]]=0,0,Prod[[#This Row],[S3Shot]]*Prod[[#This Row],[S3Cycle]]/(Prod[[#This Row],[S3Hrs]]*60*60))</f>
        <v>0</v>
      </c>
      <c r="AV115" s="132">
        <f>IFERROR(AVERAGEIF(Prod[[#This Row],[S1%]:[S3%]], "&lt;&gt;0"),0)</f>
        <v>0</v>
      </c>
      <c r="AW115" s="132">
        <v>0</v>
      </c>
      <c r="AX115" s="132">
        <v>0</v>
      </c>
      <c r="AY115" s="132">
        <v>0</v>
      </c>
      <c r="AZ115" s="175">
        <f>IF(Prod[[#This Row],[S1Cycle]]&lt;&gt;0,1,0)</f>
        <v>0</v>
      </c>
      <c r="BA115" s="175">
        <f>IF(Prod[[#This Row],[S2Cycle]]&lt;&gt;0,1,0)</f>
        <v>0</v>
      </c>
      <c r="BB115" s="175">
        <f>IF(Prod[[#This Row],[S3Cycle]]&lt;&gt;0,1,0)</f>
        <v>0</v>
      </c>
      <c r="BC115" s="175">
        <f>MAX(Prod[[#This Row],[S1Cavity]],Prod[[#This Row],[S2Cavity]],Prod[[#This Row],[S3Cavity]])</f>
        <v>0</v>
      </c>
      <c r="BD115" s="175" t="b">
        <f>RegExpMatch(Prod[[#This Row],[MoldNo]], "^DEO-(B|C)")</f>
        <v>1</v>
      </c>
      <c r="BE115" s="175" t="b">
        <f>RegExpMatch(Prod[[#This Row],[MoldNo]], "^JAC")</f>
        <v>0</v>
      </c>
    </row>
    <row r="116" spans="1:57" x14ac:dyDescent="0.2">
      <c r="A116" s="117">
        <v>45450</v>
      </c>
      <c r="B116" s="130" t="s">
        <v>174</v>
      </c>
      <c r="C116" s="131" t="s">
        <v>175</v>
      </c>
      <c r="D116" s="119">
        <v>27716</v>
      </c>
      <c r="E116" s="131" t="s">
        <v>199</v>
      </c>
      <c r="F116" s="119">
        <v>814</v>
      </c>
      <c r="G116" s="119" t="str">
        <f>IF(OR(Prod[[#This Row],[S1Hrs]]&gt;0,Prod[[#This Row],[S2Hrs]]&gt;0,Prod[[#This Row],[S3Hrs]]&gt;0),"Running","Down")</f>
        <v>Running</v>
      </c>
      <c r="H116" s="187">
        <v>20.89</v>
      </c>
      <c r="I116" s="141">
        <v>8</v>
      </c>
      <c r="J116" s="120">
        <v>1422</v>
      </c>
      <c r="K116" s="130">
        <v>8</v>
      </c>
      <c r="L116" s="120">
        <f>Prod[[#This Row],[S1Shot]]*Prod[[#This Row],[S1Cavity]]-Prod[[#This Row],[S1Dft]]</f>
        <v>11246</v>
      </c>
      <c r="M116" s="136">
        <f>SUM(Prod[[#This Row],[S1Mold]],Prod[[#This Row],[S1Print]],Prod[[#This Row],[S1Ovlp]],Prod[[#This Row],[S1Seam]],Prod[[#This Row],[S1Dmg]])</f>
        <v>130</v>
      </c>
      <c r="N116" s="187">
        <v>20.98</v>
      </c>
      <c r="O116" s="141">
        <v>8</v>
      </c>
      <c r="P116" s="120">
        <v>1492</v>
      </c>
      <c r="Q116" s="130">
        <v>8</v>
      </c>
      <c r="R116" s="120">
        <f>Prod[[#This Row],[S2Shot]]*Prod[[#This Row],[S2Cavity]]-Prod[[#This Row],[S2Dft]]</f>
        <v>11806</v>
      </c>
      <c r="S116" s="136">
        <f>SUM(Prod[[#This Row],[S2Mold]],Prod[[#This Row],[S2Print]],Prod[[#This Row],[S2Ovlp]],Prod[[#This Row],[S2Seam]],Prod[[#This Row],[S2Dmg]])</f>
        <v>130</v>
      </c>
      <c r="T116" s="187">
        <v>22.99</v>
      </c>
      <c r="U116" s="141">
        <v>8</v>
      </c>
      <c r="V116" s="120">
        <v>1241</v>
      </c>
      <c r="W116" s="130">
        <v>8</v>
      </c>
      <c r="X116" s="120">
        <f>Prod[[#This Row],[S3Shot]]*Prod[[#This Row],[S3Cavity]]-Prod[[#This Row],[S3Dft]]</f>
        <v>9813</v>
      </c>
      <c r="Y116" s="120">
        <f>SUM(Prod[[#This Row],[S3Mold]],Prod[[#This Row],[S3Print]],Prod[[#This Row],[S3Ovlp]],Prod[[#This Row],[S3Seam]],Prod[[#This Row],[S3Dmg]])</f>
        <v>115</v>
      </c>
      <c r="Z116" s="120">
        <f>SUM(Prod[[#This Row],[S1Qty]],Prod[[#This Row],[S2Qty]],Prod[[#This Row],[S3Qty]])</f>
        <v>32865</v>
      </c>
      <c r="AA116" s="120">
        <f>SUM(Prod[[#This Row],[S1Dft]],Prod[[#This Row],[S2Dft]],Prod[[#This Row],[S3Dft]])</f>
        <v>375</v>
      </c>
      <c r="AB116" s="121">
        <f>IF(Prod[[#This Row],[Total]]=0,0,Prod[[#This Row],[TotalDft]]/Prod[[#This Row],[Total]])</f>
        <v>1.1410314924691922E-2</v>
      </c>
      <c r="AC116" s="131"/>
      <c r="AD116" s="120">
        <v>20</v>
      </c>
      <c r="AE116" s="120">
        <v>25</v>
      </c>
      <c r="AF116" s="120">
        <v>20</v>
      </c>
      <c r="AG116" s="120">
        <v>110</v>
      </c>
      <c r="AH116" s="120">
        <v>105</v>
      </c>
      <c r="AI116" s="120">
        <v>95</v>
      </c>
      <c r="AJ116" s="120">
        <v>0</v>
      </c>
      <c r="AK116" s="120">
        <v>0</v>
      </c>
      <c r="AL116" s="120">
        <v>0</v>
      </c>
      <c r="AM116" s="120">
        <v>0</v>
      </c>
      <c r="AN116" s="120">
        <v>0</v>
      </c>
      <c r="AO116" s="120">
        <v>0</v>
      </c>
      <c r="AP116" s="120">
        <v>0</v>
      </c>
      <c r="AQ116" s="120">
        <v>0</v>
      </c>
      <c r="AR116" s="120">
        <v>0</v>
      </c>
      <c r="AS116" s="132">
        <f>IF(Prod[[#This Row],[S1Hrs]]=0,0,Prod[[#This Row],[S1Shot]]*Prod[[#This Row],[S1Cycle]]/(Prod[[#This Row],[S1Hrs]]*60*60))</f>
        <v>1.03144375</v>
      </c>
      <c r="AT116" s="132">
        <f>IF(Prod[[#This Row],[S2Hrs]]=0,0,Prod[[#This Row],[S2Shot]]*Prod[[#This Row],[S2Cycle]]/(Prod[[#This Row],[S2Hrs]]*60*60))</f>
        <v>1.0868805555555556</v>
      </c>
      <c r="AU116" s="132">
        <f>IF(Prod[[#This Row],[S3Hrs]]=0,0,Prod[[#This Row],[S3Shot]]*Prod[[#This Row],[S3Cycle]]/(Prod[[#This Row],[S3Hrs]]*60*60))</f>
        <v>0.99064548611111103</v>
      </c>
      <c r="AV116" s="132">
        <f>IFERROR(AVERAGEIF(Prod[[#This Row],[S1%]:[S3%]], "&lt;&gt;0"),0)</f>
        <v>1.0363232638888888</v>
      </c>
      <c r="AW116" s="132">
        <v>0</v>
      </c>
      <c r="AX116" s="132">
        <v>0</v>
      </c>
      <c r="AY116" s="132">
        <v>0</v>
      </c>
      <c r="AZ116" s="175">
        <f>IF(Prod[[#This Row],[S1Cycle]]&lt;&gt;0,1,0)</f>
        <v>1</v>
      </c>
      <c r="BA116" s="175">
        <f>IF(Prod[[#This Row],[S2Cycle]]&lt;&gt;0,1,0)</f>
        <v>1</v>
      </c>
      <c r="BB116" s="175">
        <f>IF(Prod[[#This Row],[S3Cycle]]&lt;&gt;0,1,0)</f>
        <v>1</v>
      </c>
      <c r="BC116" s="175">
        <f>MAX(Prod[[#This Row],[S1Cavity]],Prod[[#This Row],[S2Cavity]],Prod[[#This Row],[S3Cavity]])</f>
        <v>8</v>
      </c>
      <c r="BD116" s="175" t="b">
        <f>RegExpMatch(Prod[[#This Row],[MoldNo]], "^DEO-(B|C)")</f>
        <v>1</v>
      </c>
      <c r="BE116" s="175" t="b">
        <f>RegExpMatch(Prod[[#This Row],[MoldNo]], "^JAC")</f>
        <v>0</v>
      </c>
    </row>
    <row r="117" spans="1:57" x14ac:dyDescent="0.2">
      <c r="A117" s="117">
        <v>45450</v>
      </c>
      <c r="B117" s="130" t="s">
        <v>176</v>
      </c>
      <c r="C117" s="131" t="s">
        <v>81</v>
      </c>
      <c r="D117" s="119">
        <v>27716</v>
      </c>
      <c r="E117" s="119" t="s">
        <v>199</v>
      </c>
      <c r="F117" s="119">
        <v>814</v>
      </c>
      <c r="G117" s="119" t="str">
        <f>IF(OR(Prod[[#This Row],[S1Hrs]]&gt;0,Prod[[#This Row],[S2Hrs]]&gt;0,Prod[[#This Row],[S3Hrs]]&gt;0),"Running","Down")</f>
        <v>Running</v>
      </c>
      <c r="H117" s="187">
        <v>21.79</v>
      </c>
      <c r="I117" s="141">
        <v>8</v>
      </c>
      <c r="J117" s="120">
        <v>1354</v>
      </c>
      <c r="K117" s="130">
        <v>8</v>
      </c>
      <c r="L117" s="120">
        <f>Prod[[#This Row],[S1Shot]]*Prod[[#This Row],[S1Cavity]]-Prod[[#This Row],[S1Dft]]</f>
        <v>10712</v>
      </c>
      <c r="M117" s="136">
        <f>SUM(Prod[[#This Row],[S1Mold]],Prod[[#This Row],[S1Print]],Prod[[#This Row],[S1Ovlp]],Prod[[#This Row],[S1Seam]],Prod[[#This Row],[S1Dmg]])</f>
        <v>120</v>
      </c>
      <c r="N117" s="187">
        <v>21.78</v>
      </c>
      <c r="O117" s="141">
        <v>8</v>
      </c>
      <c r="P117" s="120">
        <v>1428</v>
      </c>
      <c r="Q117" s="130">
        <v>8</v>
      </c>
      <c r="R117" s="120">
        <f>Prod[[#This Row],[S2Shot]]*Prod[[#This Row],[S2Cavity]]-Prod[[#This Row],[S2Dft]]</f>
        <v>11299</v>
      </c>
      <c r="S117" s="136">
        <f>SUM(Prod[[#This Row],[S2Mold]],Prod[[#This Row],[S2Print]],Prod[[#This Row],[S2Ovlp]],Prod[[#This Row],[S2Seam]],Prod[[#This Row],[S2Dmg]])</f>
        <v>125</v>
      </c>
      <c r="T117" s="187">
        <v>21.79</v>
      </c>
      <c r="U117" s="141">
        <v>8</v>
      </c>
      <c r="V117" s="120">
        <v>1162</v>
      </c>
      <c r="W117" s="130">
        <v>8</v>
      </c>
      <c r="X117" s="120">
        <f>Prod[[#This Row],[S3Shot]]*Prod[[#This Row],[S3Cavity]]-Prod[[#This Row],[S3Dft]]</f>
        <v>9176</v>
      </c>
      <c r="Y117" s="120">
        <f>SUM(Prod[[#This Row],[S3Mold]],Prod[[#This Row],[S3Print]],Prod[[#This Row],[S3Ovlp]],Prod[[#This Row],[S3Seam]],Prod[[#This Row],[S3Dmg]])</f>
        <v>120</v>
      </c>
      <c r="Z117" s="120">
        <f>SUM(Prod[[#This Row],[S1Qty]],Prod[[#This Row],[S2Qty]],Prod[[#This Row],[S3Qty]])</f>
        <v>31187</v>
      </c>
      <c r="AA117" s="120">
        <f>SUM(Prod[[#This Row],[S1Dft]],Prod[[#This Row],[S2Dft]],Prod[[#This Row],[S3Dft]])</f>
        <v>365</v>
      </c>
      <c r="AB117" s="121">
        <f>IF(Prod[[#This Row],[Total]]=0,0,Prod[[#This Row],[TotalDft]]/Prod[[#This Row],[Total]])</f>
        <v>1.170359444640395E-2</v>
      </c>
      <c r="AC117" s="131"/>
      <c r="AD117" s="120">
        <v>25</v>
      </c>
      <c r="AE117" s="120">
        <v>20</v>
      </c>
      <c r="AF117" s="120">
        <v>20</v>
      </c>
      <c r="AG117" s="120">
        <v>95</v>
      </c>
      <c r="AH117" s="120">
        <v>105</v>
      </c>
      <c r="AI117" s="120">
        <v>100</v>
      </c>
      <c r="AJ117" s="120">
        <v>0</v>
      </c>
      <c r="AK117" s="120">
        <v>0</v>
      </c>
      <c r="AL117" s="120">
        <v>0</v>
      </c>
      <c r="AM117" s="120">
        <v>0</v>
      </c>
      <c r="AN117" s="120">
        <v>0</v>
      </c>
      <c r="AO117" s="120">
        <v>0</v>
      </c>
      <c r="AP117" s="120">
        <v>0</v>
      </c>
      <c r="AQ117" s="120">
        <v>0</v>
      </c>
      <c r="AR117" s="120">
        <v>0</v>
      </c>
      <c r="AS117" s="132">
        <f>IF(Prod[[#This Row],[S1Hrs]]=0,0,Prod[[#This Row],[S1Shot]]*Prod[[#This Row],[S1Cycle]]/(Prod[[#This Row],[S1Hrs]]*60*60))</f>
        <v>1.0244326388888889</v>
      </c>
      <c r="AT117" s="132">
        <f>IF(Prod[[#This Row],[S2Hrs]]=0,0,Prod[[#This Row],[S2Shot]]*Prod[[#This Row],[S2Cycle]]/(Prod[[#This Row],[S2Hrs]]*60*60))</f>
        <v>1.079925</v>
      </c>
      <c r="AU117" s="132">
        <f>IF(Prod[[#This Row],[S3Hrs]]=0,0,Prod[[#This Row],[S3Shot]]*Prod[[#This Row],[S3Cycle]]/(Prod[[#This Row],[S3Hrs]]*60*60))</f>
        <v>0.87916597222222226</v>
      </c>
      <c r="AV117" s="132">
        <f>IFERROR(AVERAGEIF(Prod[[#This Row],[S1%]:[S3%]], "&lt;&gt;0"),0)</f>
        <v>0.99450787037037036</v>
      </c>
      <c r="AW117" s="132">
        <v>0</v>
      </c>
      <c r="AX117" s="132">
        <v>0</v>
      </c>
      <c r="AY117" s="132">
        <v>0</v>
      </c>
      <c r="AZ117" s="175">
        <f>IF(Prod[[#This Row],[S1Cycle]]&lt;&gt;0,1,0)</f>
        <v>1</v>
      </c>
      <c r="BA117" s="175">
        <f>IF(Prod[[#This Row],[S2Cycle]]&lt;&gt;0,1,0)</f>
        <v>1</v>
      </c>
      <c r="BB117" s="175">
        <f>IF(Prod[[#This Row],[S3Cycle]]&lt;&gt;0,1,0)</f>
        <v>1</v>
      </c>
      <c r="BC117" s="175">
        <f>MAX(Prod[[#This Row],[S1Cavity]],Prod[[#This Row],[S2Cavity]],Prod[[#This Row],[S3Cavity]])</f>
        <v>8</v>
      </c>
      <c r="BD117" s="175" t="b">
        <f>RegExpMatch(Prod[[#This Row],[MoldNo]], "^DEO-(B|C)")</f>
        <v>1</v>
      </c>
      <c r="BE117" s="175" t="b">
        <f>RegExpMatch(Prod[[#This Row],[MoldNo]], "^JAC")</f>
        <v>0</v>
      </c>
    </row>
    <row r="118" spans="1:57" x14ac:dyDescent="0.2">
      <c r="A118" s="117">
        <v>45450</v>
      </c>
      <c r="B118" s="130" t="s">
        <v>195</v>
      </c>
      <c r="C118" s="119" t="s">
        <v>145</v>
      </c>
      <c r="D118" s="119">
        <v>27761</v>
      </c>
      <c r="E118" s="131" t="s">
        <v>199</v>
      </c>
      <c r="F118" s="119">
        <v>814</v>
      </c>
      <c r="G118" s="119" t="str">
        <f>IF(OR(Prod[[#This Row],[S1Hrs]]&gt;0,Prod[[#This Row],[S2Hrs]]&gt;0,Prod[[#This Row],[S3Hrs]]&gt;0),"Running","Down")</f>
        <v>Running</v>
      </c>
      <c r="H118" s="187">
        <v>13.45</v>
      </c>
      <c r="I118" s="141">
        <v>8</v>
      </c>
      <c r="J118" s="120">
        <v>2103</v>
      </c>
      <c r="K118" s="130">
        <v>16</v>
      </c>
      <c r="L118" s="120">
        <f>Prod[[#This Row],[S1Shot]]*Prod[[#This Row],[S1Cavity]]-Prod[[#This Row],[S1Dft]]</f>
        <v>33648</v>
      </c>
      <c r="M118" s="134"/>
      <c r="N118" s="187">
        <v>13.41</v>
      </c>
      <c r="O118" s="141">
        <v>8</v>
      </c>
      <c r="P118" s="120">
        <v>2179</v>
      </c>
      <c r="Q118" s="130">
        <v>16</v>
      </c>
      <c r="R118" s="120">
        <f>Prod[[#This Row],[S2Shot]]*Prod[[#This Row],[S2Cavity]]-Prod[[#This Row],[S2Dft]]</f>
        <v>34864</v>
      </c>
      <c r="S118" s="134"/>
      <c r="T118" s="187">
        <v>13.42</v>
      </c>
      <c r="U118" s="141">
        <v>8</v>
      </c>
      <c r="V118" s="120">
        <v>2144</v>
      </c>
      <c r="W118" s="130">
        <v>16</v>
      </c>
      <c r="X118" s="120">
        <f>Prod[[#This Row],[S3Shot]]*Prod[[#This Row],[S3Cavity]]-Prod[[#This Row],[S3Dft]]</f>
        <v>34304</v>
      </c>
      <c r="Y118" s="134"/>
      <c r="Z118" s="120">
        <f>SUM(Prod[[#This Row],[S1Qty]],Prod[[#This Row],[S2Qty]],Prod[[#This Row],[S3Qty]])</f>
        <v>102816</v>
      </c>
      <c r="AA118" s="134"/>
      <c r="AB118" s="135"/>
      <c r="AC118" s="118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2">
        <f>IF(Prod[[#This Row],[S1Hrs]]=0,0,Prod[[#This Row],[S1Shot]]*Prod[[#This Row],[S1Cycle]]/(Prod[[#This Row],[S1Hrs]]*60*60))</f>
        <v>0.98213020833333331</v>
      </c>
      <c r="AT118" s="132">
        <f>IF(Prod[[#This Row],[S2Hrs]]=0,0,Prod[[#This Row],[S2Shot]]*Prod[[#This Row],[S2Cycle]]/(Prod[[#This Row],[S2Hrs]]*60*60))</f>
        <v>1.0145968750000001</v>
      </c>
      <c r="AU118" s="132">
        <f>IF(Prod[[#This Row],[S3Hrs]]=0,0,Prod[[#This Row],[S3Shot]]*Prod[[#This Row],[S3Cycle]]/(Prod[[#This Row],[S3Hrs]]*60*60))</f>
        <v>0.9990444444444444</v>
      </c>
      <c r="AV118" s="132">
        <f>IFERROR(AVERAGEIF(Prod[[#This Row],[S1%]:[S3%]], "&lt;&gt;0"),0)</f>
        <v>0.9985905092592593</v>
      </c>
      <c r="AW118" s="132">
        <v>0</v>
      </c>
      <c r="AX118" s="132">
        <v>0</v>
      </c>
      <c r="AY118" s="132">
        <v>0</v>
      </c>
      <c r="AZ118" s="175">
        <f>IF(Prod[[#This Row],[S1Cycle]]&lt;&gt;0,1,0)</f>
        <v>1</v>
      </c>
      <c r="BA118" s="175">
        <f>IF(Prod[[#This Row],[S2Cycle]]&lt;&gt;0,1,0)</f>
        <v>1</v>
      </c>
      <c r="BB118" s="175">
        <f>IF(Prod[[#This Row],[S3Cycle]]&lt;&gt;0,1,0)</f>
        <v>1</v>
      </c>
      <c r="BC118" s="175">
        <f>MAX(Prod[[#This Row],[S1Cavity]],Prod[[#This Row],[S2Cavity]],Prod[[#This Row],[S3Cavity]])</f>
        <v>16</v>
      </c>
      <c r="BD118" s="175" t="b">
        <f>RegExpMatch(Prod[[#This Row],[MoldNo]], "^DEO-(B|C)")</f>
        <v>0</v>
      </c>
      <c r="BE118" s="175" t="b">
        <f>RegExpMatch(Prod[[#This Row],[MoldNo]], "^JAC")</f>
        <v>0</v>
      </c>
    </row>
    <row r="119" spans="1:57" x14ac:dyDescent="0.2">
      <c r="A119" s="117">
        <v>45451</v>
      </c>
      <c r="B119" s="120" t="s">
        <v>190</v>
      </c>
      <c r="C119" s="119" t="s">
        <v>153</v>
      </c>
      <c r="D119" s="119">
        <v>27647</v>
      </c>
      <c r="E119" s="131" t="s">
        <v>199</v>
      </c>
      <c r="F119" s="119">
        <v>6331</v>
      </c>
      <c r="G119" s="119" t="str">
        <f>IF(OR(Prod[[#This Row],[S1Hrs]]&gt;0,Prod[[#This Row],[S2Hrs]]&gt;0,Prod[[#This Row],[S3Hrs]]&gt;0),"Running","Down")</f>
        <v>Running</v>
      </c>
      <c r="H119" s="187">
        <v>22.69</v>
      </c>
      <c r="I119" s="141">
        <v>8</v>
      </c>
      <c r="J119" s="120">
        <v>1257</v>
      </c>
      <c r="K119" s="130">
        <v>4</v>
      </c>
      <c r="L119" s="120">
        <f>Prod[[#This Row],[S1Shot]]*Prod[[#This Row],[S1Cavity]]-Prod[[#This Row],[S1Dft]]</f>
        <v>5020</v>
      </c>
      <c r="M119" s="136">
        <f>SUM(Prod[[#This Row],[S1Mold]],Prod[[#This Row],[S1Print]],Prod[[#This Row],[S1Ovlp]],Prod[[#This Row],[S1Seam]],Prod[[#This Row],[S1Dmg]])</f>
        <v>8</v>
      </c>
      <c r="N119" s="187">
        <v>22.68</v>
      </c>
      <c r="O119" s="141">
        <v>8</v>
      </c>
      <c r="P119" s="120">
        <v>1323</v>
      </c>
      <c r="Q119" s="130">
        <v>4</v>
      </c>
      <c r="R119" s="120">
        <f>Prod[[#This Row],[S2Shot]]*Prod[[#This Row],[S2Cavity]]-Prod[[#This Row],[S2Dft]]</f>
        <v>5286</v>
      </c>
      <c r="S119" s="136">
        <f>SUM(Prod[[#This Row],[S2Mold]],Prod[[#This Row],[S2Print]],Prod[[#This Row],[S2Ovlp]],Prod[[#This Row],[S2Seam]],Prod[[#This Row],[S2Dmg]])</f>
        <v>6</v>
      </c>
      <c r="T119" s="187">
        <v>22.67</v>
      </c>
      <c r="U119" s="141">
        <v>8</v>
      </c>
      <c r="V119" s="120">
        <v>1221</v>
      </c>
      <c r="W119" s="130">
        <v>4</v>
      </c>
      <c r="X119" s="120">
        <f>Prod[[#This Row],[S3Shot]]*Prod[[#This Row],[S3Cavity]]-Prod[[#This Row],[S3Dft]]</f>
        <v>4877</v>
      </c>
      <c r="Y119" s="120">
        <f>SUM(Prod[[#This Row],[S3Mold]],Prod[[#This Row],[S3Print]],Prod[[#This Row],[S3Ovlp]],Prod[[#This Row],[S3Seam]],Prod[[#This Row],[S3Dmg]])</f>
        <v>7</v>
      </c>
      <c r="Z119" s="120">
        <f>SUM(Prod[[#This Row],[S1Qty]],Prod[[#This Row],[S2Qty]],Prod[[#This Row],[S3Qty]])</f>
        <v>15183</v>
      </c>
      <c r="AA119" s="120">
        <f>SUM(Prod[[#This Row],[S1Dft]],Prod[[#This Row],[S2Dft]],Prod[[#This Row],[S3Dft]])</f>
        <v>21</v>
      </c>
      <c r="AB119" s="121">
        <f>IF(Prod[[#This Row],[Total]]=0,0,Prod[[#This Row],[TotalDft]]/Prod[[#This Row],[Total]])</f>
        <v>1.3831258644536654E-3</v>
      </c>
      <c r="AC119" s="118"/>
      <c r="AD119" s="120">
        <v>8</v>
      </c>
      <c r="AE119" s="120">
        <v>6</v>
      </c>
      <c r="AF119" s="120">
        <v>7</v>
      </c>
      <c r="AG119" s="120">
        <v>0</v>
      </c>
      <c r="AH119" s="120">
        <v>0</v>
      </c>
      <c r="AI119" s="120">
        <v>0</v>
      </c>
      <c r="AJ119" s="120">
        <v>0</v>
      </c>
      <c r="AK119" s="120">
        <v>0</v>
      </c>
      <c r="AL119" s="120">
        <v>0</v>
      </c>
      <c r="AM119" s="120">
        <v>0</v>
      </c>
      <c r="AN119" s="120">
        <v>0</v>
      </c>
      <c r="AO119" s="120">
        <v>0</v>
      </c>
      <c r="AP119" s="120">
        <v>0</v>
      </c>
      <c r="AQ119" s="120">
        <v>0</v>
      </c>
      <c r="AR119" s="120">
        <v>0</v>
      </c>
      <c r="AS119" s="132">
        <f>IF(Prod[[#This Row],[S1Hrs]]=0,0,Prod[[#This Row],[S1Shot]]*Prod[[#This Row],[S1Cycle]]/(Prod[[#This Row],[S1Hrs]]*60*60))</f>
        <v>0.99032395833333342</v>
      </c>
      <c r="AT119" s="132">
        <f>IF(Prod[[#This Row],[S2Hrs]]=0,0,Prod[[#This Row],[S2Shot]]*Prod[[#This Row],[S2Cycle]]/(Prod[[#This Row],[S2Hrs]]*60*60))</f>
        <v>1.0418624999999999</v>
      </c>
      <c r="AU119" s="132">
        <f>IF(Prod[[#This Row],[S3Hrs]]=0,0,Prod[[#This Row],[S3Shot]]*Prod[[#This Row],[S3Cycle]]/(Prod[[#This Row],[S3Hrs]]*60*60))</f>
        <v>0.96111354166666674</v>
      </c>
      <c r="AV119" s="132">
        <f>IFERROR(AVERAGEIF(Prod[[#This Row],[S1%]:[S3%]], "&lt;&gt;0"),0)</f>
        <v>0.99776666666666669</v>
      </c>
      <c r="AW119" s="132">
        <v>0</v>
      </c>
      <c r="AX119" s="132">
        <v>0</v>
      </c>
      <c r="AY119" s="132">
        <v>0</v>
      </c>
      <c r="AZ119" s="175">
        <f>IF(Prod[[#This Row],[S1Cycle]]&lt;&gt;0,1,0)</f>
        <v>1</v>
      </c>
      <c r="BA119" s="175">
        <f>IF(Prod[[#This Row],[S2Cycle]]&lt;&gt;0,1,0)</f>
        <v>1</v>
      </c>
      <c r="BB119" s="175">
        <f>IF(Prod[[#This Row],[S3Cycle]]&lt;&gt;0,1,0)</f>
        <v>1</v>
      </c>
      <c r="BC119" s="175">
        <f>MAX(Prod[[#This Row],[S1Cavity]],Prod[[#This Row],[S2Cavity]],Prod[[#This Row],[S3Cavity]])</f>
        <v>4</v>
      </c>
      <c r="BD119" s="175" t="b">
        <f>RegExpMatch(Prod[[#This Row],[MoldNo]], "^DEO-(B|C)")</f>
        <v>0</v>
      </c>
      <c r="BE119" s="175" t="b">
        <f>RegExpMatch(Prod[[#This Row],[MoldNo]], "^JAC")</f>
        <v>1</v>
      </c>
    </row>
    <row r="120" spans="1:57" x14ac:dyDescent="0.2">
      <c r="A120" s="117">
        <v>45451</v>
      </c>
      <c r="B120" s="130" t="s">
        <v>6</v>
      </c>
      <c r="C120" s="131" t="s">
        <v>8</v>
      </c>
      <c r="D120" s="119">
        <v>27575</v>
      </c>
      <c r="E120" s="131" t="s">
        <v>199</v>
      </c>
      <c r="F120" s="119">
        <v>814</v>
      </c>
      <c r="G120" s="119" t="str">
        <f>IF(OR(Prod[[#This Row],[S1Hrs]]&gt;0,Prod[[#This Row],[S2Hrs]]&gt;0,Prod[[#This Row],[S3Hrs]]&gt;0),"Running","Down")</f>
        <v>Running</v>
      </c>
      <c r="H120" s="187">
        <v>20.79</v>
      </c>
      <c r="I120" s="141">
        <f>4+55/60</f>
        <v>4.916666666666667</v>
      </c>
      <c r="J120" s="120">
        <v>743</v>
      </c>
      <c r="K120" s="130">
        <v>8</v>
      </c>
      <c r="L120" s="120">
        <f>Prod[[#This Row],[S1Shot]]*Prod[[#This Row],[S1Cavity]]-Prod[[#This Row],[S1Dft]]</f>
        <v>5889</v>
      </c>
      <c r="M120" s="136">
        <f>SUM(Prod[[#This Row],[S1Mold]],Prod[[#This Row],[S1Print]],Prod[[#This Row],[S1Ovlp]],Prod[[#This Row],[S1Seam]],Prod[[#This Row],[S1Dmg]])</f>
        <v>55</v>
      </c>
      <c r="N120" s="187">
        <v>20.8</v>
      </c>
      <c r="O120" s="141">
        <v>8</v>
      </c>
      <c r="P120" s="120">
        <v>1499</v>
      </c>
      <c r="Q120" s="130">
        <v>8</v>
      </c>
      <c r="R120" s="120">
        <f>Prod[[#This Row],[S2Shot]]*Prod[[#This Row],[S2Cavity]]-Prod[[#This Row],[S2Dft]]</f>
        <v>11867</v>
      </c>
      <c r="S120" s="136">
        <f>SUM(Prod[[#This Row],[S2Mold]],Prod[[#This Row],[S2Print]],Prod[[#This Row],[S2Ovlp]],Prod[[#This Row],[S2Seam]],Prod[[#This Row],[S2Dmg]])</f>
        <v>125</v>
      </c>
      <c r="T120" s="187">
        <v>20.8</v>
      </c>
      <c r="U120" s="141">
        <v>8</v>
      </c>
      <c r="V120" s="120">
        <v>1178</v>
      </c>
      <c r="W120" s="130">
        <v>8</v>
      </c>
      <c r="X120" s="120">
        <f>Prod[[#This Row],[S3Shot]]*Prod[[#This Row],[S3Cavity]]-Prod[[#This Row],[S3Dft]]</f>
        <v>9299</v>
      </c>
      <c r="Y120" s="120">
        <f>SUM(Prod[[#This Row],[S3Mold]],Prod[[#This Row],[S3Print]],Prod[[#This Row],[S3Ovlp]],Prod[[#This Row],[S3Seam]],Prod[[#This Row],[S3Dmg]])</f>
        <v>125</v>
      </c>
      <c r="Z120" s="120">
        <f>SUM(Prod[[#This Row],[S1Qty]],Prod[[#This Row],[S2Qty]],Prod[[#This Row],[S3Qty]])</f>
        <v>27055</v>
      </c>
      <c r="AA120" s="120">
        <f>SUM(Prod[[#This Row],[S1Dft]],Prod[[#This Row],[S2Dft]],Prod[[#This Row],[S3Dft]])</f>
        <v>305</v>
      </c>
      <c r="AB120" s="121">
        <f>IF(Prod[[#This Row],[Total]]=0,0,Prod[[#This Row],[TotalDft]]/Prod[[#This Row],[Total]])</f>
        <v>1.127333210127518E-2</v>
      </c>
      <c r="AC120" s="131" t="s">
        <v>231</v>
      </c>
      <c r="AD120" s="120">
        <v>10</v>
      </c>
      <c r="AE120" s="120">
        <v>20</v>
      </c>
      <c r="AF120" s="120">
        <v>25</v>
      </c>
      <c r="AG120" s="120">
        <v>45</v>
      </c>
      <c r="AH120" s="120">
        <v>105</v>
      </c>
      <c r="AI120" s="120">
        <v>100</v>
      </c>
      <c r="AJ120" s="120">
        <v>0</v>
      </c>
      <c r="AK120" s="120">
        <v>0</v>
      </c>
      <c r="AL120" s="120">
        <v>0</v>
      </c>
      <c r="AM120" s="120">
        <v>0</v>
      </c>
      <c r="AN120" s="120">
        <v>0</v>
      </c>
      <c r="AO120" s="120">
        <v>0</v>
      </c>
      <c r="AP120" s="120">
        <v>0</v>
      </c>
      <c r="AQ120" s="120">
        <v>0</v>
      </c>
      <c r="AR120" s="120">
        <v>0</v>
      </c>
      <c r="AS120" s="132">
        <f>IF(Prod[[#This Row],[S1Hrs]]=0,0,Prod[[#This Row],[S1Shot]]*Prod[[#This Row],[S1Cycle]]/(Prod[[#This Row],[S1Hrs]]*60*60))</f>
        <v>0.87271016949152536</v>
      </c>
      <c r="AT120" s="132">
        <f>IF(Prod[[#This Row],[S2Hrs]]=0,0,Prod[[#This Row],[S2Shot]]*Prod[[#This Row],[S2Cycle]]/(Prod[[#This Row],[S2Hrs]]*60*60))</f>
        <v>1.0826111111111112</v>
      </c>
      <c r="AU120" s="132">
        <f>IF(Prod[[#This Row],[S3Hrs]]=0,0,Prod[[#This Row],[S3Shot]]*Prod[[#This Row],[S3Cycle]]/(Prod[[#This Row],[S3Hrs]]*60*60))</f>
        <v>0.85077777777777785</v>
      </c>
      <c r="AV120" s="132">
        <f>IFERROR(AVERAGEIF(Prod[[#This Row],[S1%]:[S3%]], "&lt;&gt;0"),0)</f>
        <v>0.93536635279347147</v>
      </c>
      <c r="AW120" s="132">
        <v>0</v>
      </c>
      <c r="AX120" s="132">
        <f>3+5/60</f>
        <v>3.0833333333333335</v>
      </c>
      <c r="AY120" s="132">
        <v>0</v>
      </c>
      <c r="AZ120" s="175">
        <f>IF(Prod[[#This Row],[S1Cycle]]&lt;&gt;0,1,0)</f>
        <v>1</v>
      </c>
      <c r="BA120" s="175">
        <f>IF(Prod[[#This Row],[S2Cycle]]&lt;&gt;0,1,0)</f>
        <v>1</v>
      </c>
      <c r="BB120" s="175">
        <f>IF(Prod[[#This Row],[S3Cycle]]&lt;&gt;0,1,0)</f>
        <v>1</v>
      </c>
      <c r="BC120" s="175">
        <f>MAX(Prod[[#This Row],[S1Cavity]],Prod[[#This Row],[S2Cavity]],Prod[[#This Row],[S3Cavity]])</f>
        <v>8</v>
      </c>
      <c r="BD120" s="175" t="b">
        <f>RegExpMatch(Prod[[#This Row],[MoldNo]], "^DEO-(B|C)")</f>
        <v>1</v>
      </c>
      <c r="BE120" s="175" t="b">
        <f>RegExpMatch(Prod[[#This Row],[MoldNo]], "^JAC")</f>
        <v>0</v>
      </c>
    </row>
    <row r="121" spans="1:57" x14ac:dyDescent="0.2">
      <c r="A121" s="117">
        <v>45451</v>
      </c>
      <c r="B121" s="120" t="s">
        <v>7</v>
      </c>
      <c r="C121" s="119" t="s">
        <v>172</v>
      </c>
      <c r="D121" s="119">
        <v>27575</v>
      </c>
      <c r="E121" s="131" t="s">
        <v>199</v>
      </c>
      <c r="F121" s="119">
        <v>814</v>
      </c>
      <c r="G121" s="119" t="str">
        <f>IF(OR(Prod[[#This Row],[S1Hrs]]&gt;0,Prod[[#This Row],[S2Hrs]]&gt;0,Prod[[#This Row],[S3Hrs]]&gt;0),"Running","Down")</f>
        <v>Running</v>
      </c>
      <c r="H121" s="187">
        <v>20.76</v>
      </c>
      <c r="I121" s="141">
        <f>7+20/60</f>
        <v>7.333333333333333</v>
      </c>
      <c r="J121" s="120">
        <v>1290</v>
      </c>
      <c r="K121" s="130">
        <v>8</v>
      </c>
      <c r="L121" s="120">
        <f>Prod[[#This Row],[S1Shot]]*Prod[[#This Row],[S1Cavity]]-Prod[[#This Row],[S1Dft]]</f>
        <v>10210</v>
      </c>
      <c r="M121" s="136">
        <f>SUM(Prod[[#This Row],[S1Mold]],Prod[[#This Row],[S1Print]],Prod[[#This Row],[S1Ovlp]],Prod[[#This Row],[S1Seam]],Prod[[#This Row],[S1Dmg]])</f>
        <v>110</v>
      </c>
      <c r="N121" s="187">
        <v>20.85</v>
      </c>
      <c r="O121" s="141">
        <v>8</v>
      </c>
      <c r="P121" s="120">
        <v>1380</v>
      </c>
      <c r="Q121" s="130">
        <v>8</v>
      </c>
      <c r="R121" s="120">
        <f>Prod[[#This Row],[S2Shot]]*Prod[[#This Row],[S2Cavity]]-Prod[[#This Row],[S2Dft]]</f>
        <v>10920</v>
      </c>
      <c r="S121" s="136">
        <f>SUM(Prod[[#This Row],[S2Mold]],Prod[[#This Row],[S2Print]],Prod[[#This Row],[S2Ovlp]],Prod[[#This Row],[S2Seam]],Prod[[#This Row],[S2Dmg]])</f>
        <v>120</v>
      </c>
      <c r="T121" s="187">
        <v>20.86</v>
      </c>
      <c r="U121" s="141">
        <v>8</v>
      </c>
      <c r="V121" s="120">
        <v>1290</v>
      </c>
      <c r="W121" s="130">
        <v>8</v>
      </c>
      <c r="X121" s="120">
        <f>Prod[[#This Row],[S3Shot]]*Prod[[#This Row],[S3Cavity]]-Prod[[#This Row],[S3Dft]]</f>
        <v>10205</v>
      </c>
      <c r="Y121" s="120">
        <f>SUM(Prod[[#This Row],[S3Mold]],Prod[[#This Row],[S3Print]],Prod[[#This Row],[S3Ovlp]],Prod[[#This Row],[S3Seam]],Prod[[#This Row],[S3Dmg]])</f>
        <v>115</v>
      </c>
      <c r="Z121" s="120">
        <f>SUM(Prod[[#This Row],[S1Qty]],Prod[[#This Row],[S2Qty]],Prod[[#This Row],[S3Qty]])</f>
        <v>31335</v>
      </c>
      <c r="AA121" s="120">
        <f>SUM(Prod[[#This Row],[S1Dft]],Prod[[#This Row],[S2Dft]],Prod[[#This Row],[S3Dft]])</f>
        <v>345</v>
      </c>
      <c r="AB121" s="121">
        <f>IF(Prod[[#This Row],[Total]]=0,0,Prod[[#This Row],[TotalDft]]/Prod[[#This Row],[Total]])</f>
        <v>1.1010052656773576E-2</v>
      </c>
      <c r="AC121" s="131" t="s">
        <v>230</v>
      </c>
      <c r="AD121" s="120">
        <v>15</v>
      </c>
      <c r="AE121" s="120">
        <v>20</v>
      </c>
      <c r="AF121" s="120">
        <v>20</v>
      </c>
      <c r="AG121" s="120">
        <v>95</v>
      </c>
      <c r="AH121" s="120">
        <v>100</v>
      </c>
      <c r="AI121" s="120">
        <v>95</v>
      </c>
      <c r="AJ121" s="120">
        <v>0</v>
      </c>
      <c r="AK121" s="120">
        <v>0</v>
      </c>
      <c r="AL121" s="120">
        <v>0</v>
      </c>
      <c r="AM121" s="120">
        <v>0</v>
      </c>
      <c r="AN121" s="120">
        <v>0</v>
      </c>
      <c r="AO121" s="120">
        <v>0</v>
      </c>
      <c r="AP121" s="120">
        <v>0</v>
      </c>
      <c r="AQ121" s="120">
        <v>0</v>
      </c>
      <c r="AR121" s="120">
        <v>0</v>
      </c>
      <c r="AS121" s="132">
        <f>IF(Prod[[#This Row],[S1Hrs]]=0,0,Prod[[#This Row],[S1Shot]]*Prod[[#This Row],[S1Cycle]]/(Prod[[#This Row],[S1Hrs]]*60*60))</f>
        <v>1.014409090909091</v>
      </c>
      <c r="AT121" s="132">
        <f>IF(Prod[[#This Row],[S2Hrs]]=0,0,Prod[[#This Row],[S2Shot]]*Prod[[#This Row],[S2Cycle]]/(Prod[[#This Row],[S2Hrs]]*60*60))</f>
        <v>0.99906250000000008</v>
      </c>
      <c r="AU121" s="132">
        <f>IF(Prod[[#This Row],[S3Hrs]]=0,0,Prod[[#This Row],[S3Shot]]*Prod[[#This Row],[S3Cycle]]/(Prod[[#This Row],[S3Hrs]]*60*60))</f>
        <v>0.9343541666666666</v>
      </c>
      <c r="AV121" s="132">
        <f>IFERROR(AVERAGEIF(Prod[[#This Row],[S1%]:[S3%]], "&lt;&gt;0"),0)</f>
        <v>0.9826085858585859</v>
      </c>
      <c r="AW121" s="132">
        <v>0</v>
      </c>
      <c r="AX121" s="132">
        <f>40/60</f>
        <v>0.66666666666666663</v>
      </c>
      <c r="AY121" s="132">
        <v>0</v>
      </c>
      <c r="AZ121" s="175">
        <f>IF(Prod[[#This Row],[S1Cycle]]&lt;&gt;0,1,0)</f>
        <v>1</v>
      </c>
      <c r="BA121" s="175">
        <f>IF(Prod[[#This Row],[S2Cycle]]&lt;&gt;0,1,0)</f>
        <v>1</v>
      </c>
      <c r="BB121" s="175">
        <f>IF(Prod[[#This Row],[S3Cycle]]&lt;&gt;0,1,0)</f>
        <v>1</v>
      </c>
      <c r="BC121" s="175">
        <f>MAX(Prod[[#This Row],[S1Cavity]],Prod[[#This Row],[S2Cavity]],Prod[[#This Row],[S3Cavity]])</f>
        <v>8</v>
      </c>
      <c r="BD121" s="175" t="b">
        <f>RegExpMatch(Prod[[#This Row],[MoldNo]], "^DEO-(B|C)")</f>
        <v>1</v>
      </c>
      <c r="BE121" s="175" t="b">
        <f>RegExpMatch(Prod[[#This Row],[MoldNo]], "^JAC")</f>
        <v>0</v>
      </c>
    </row>
    <row r="122" spans="1:57" x14ac:dyDescent="0.2">
      <c r="A122" s="117">
        <v>45451</v>
      </c>
      <c r="B122" s="120" t="s">
        <v>85</v>
      </c>
      <c r="C122" s="119" t="s">
        <v>165</v>
      </c>
      <c r="D122" s="119">
        <v>27430</v>
      </c>
      <c r="E122" s="131" t="s">
        <v>199</v>
      </c>
      <c r="F122" s="119">
        <v>6331</v>
      </c>
      <c r="G122" s="119" t="str">
        <f>IF(OR(Prod[[#This Row],[S1Hrs]]&gt;0,Prod[[#This Row],[S2Hrs]]&gt;0,Prod[[#This Row],[S3Hrs]]&gt;0),"Running","Down")</f>
        <v>Running</v>
      </c>
      <c r="H122" s="187">
        <v>20.399999999999999</v>
      </c>
      <c r="I122" s="141">
        <v>8</v>
      </c>
      <c r="J122" s="120">
        <v>1476</v>
      </c>
      <c r="K122" s="130">
        <v>16</v>
      </c>
      <c r="L122" s="120">
        <f>Prod[[#This Row],[S1Shot]]*Prod[[#This Row],[S1Cavity]]-Prod[[#This Row],[S1Dft]]</f>
        <v>23616</v>
      </c>
      <c r="M122" s="134"/>
      <c r="N122" s="187">
        <v>20.43</v>
      </c>
      <c r="O122" s="141">
        <v>8</v>
      </c>
      <c r="P122" s="120">
        <v>1468</v>
      </c>
      <c r="Q122" s="130">
        <v>16</v>
      </c>
      <c r="R122" s="120">
        <f>Prod[[#This Row],[S2Shot]]*Prod[[#This Row],[S2Cavity]]-Prod[[#This Row],[S2Dft]]</f>
        <v>23488</v>
      </c>
      <c r="S122" s="134"/>
      <c r="T122" s="187">
        <v>20.43</v>
      </c>
      <c r="U122" s="141">
        <v>8</v>
      </c>
      <c r="V122" s="120">
        <v>1296</v>
      </c>
      <c r="W122" s="130">
        <v>16</v>
      </c>
      <c r="X122" s="120">
        <f>Prod[[#This Row],[S3Shot]]*Prod[[#This Row],[S3Cavity]]-Prod[[#This Row],[S3Dft]]</f>
        <v>20736</v>
      </c>
      <c r="Y122" s="134"/>
      <c r="Z122" s="120">
        <f>SUM(Prod[[#This Row],[S1Qty]],Prod[[#This Row],[S2Qty]],Prod[[#This Row],[S3Qty]])</f>
        <v>67840</v>
      </c>
      <c r="AA122" s="134"/>
      <c r="AB122" s="135"/>
      <c r="AC122" s="118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2">
        <f>IF(Prod[[#This Row],[S1Hrs]]=0,0,Prod[[#This Row],[S1Shot]]*Prod[[#This Row],[S1Cycle]]/(Prod[[#This Row],[S1Hrs]]*60*60))</f>
        <v>1.0454999999999999</v>
      </c>
      <c r="AT122" s="132">
        <f>IF(Prod[[#This Row],[S2Hrs]]=0,0,Prod[[#This Row],[S2Shot]]*Prod[[#This Row],[S2Cycle]]/(Prod[[#This Row],[S2Hrs]]*60*60))</f>
        <v>1.0413625</v>
      </c>
      <c r="AU122" s="132">
        <f>IF(Prod[[#This Row],[S3Hrs]]=0,0,Prod[[#This Row],[S3Shot]]*Prod[[#This Row],[S3Cycle]]/(Prod[[#This Row],[S3Hrs]]*60*60))</f>
        <v>0.91935</v>
      </c>
      <c r="AV122" s="132">
        <f>IFERROR(AVERAGEIF(Prod[[#This Row],[S1%]:[S3%]], "&lt;&gt;0"),0)</f>
        <v>1.0020708333333332</v>
      </c>
      <c r="AW122" s="132">
        <v>0</v>
      </c>
      <c r="AX122" s="132">
        <v>0</v>
      </c>
      <c r="AY122" s="132">
        <v>0</v>
      </c>
      <c r="AZ122" s="175">
        <f>IF(Prod[[#This Row],[S1Cycle]]&lt;&gt;0,1,0)</f>
        <v>1</v>
      </c>
      <c r="BA122" s="175">
        <f>IF(Prod[[#This Row],[S2Cycle]]&lt;&gt;0,1,0)</f>
        <v>1</v>
      </c>
      <c r="BB122" s="175">
        <f>IF(Prod[[#This Row],[S3Cycle]]&lt;&gt;0,1,0)</f>
        <v>1</v>
      </c>
      <c r="BC122" s="175">
        <f>MAX(Prod[[#This Row],[S1Cavity]],Prod[[#This Row],[S2Cavity]],Prod[[#This Row],[S3Cavity]])</f>
        <v>16</v>
      </c>
      <c r="BD122" s="175" t="b">
        <f>RegExpMatch(Prod[[#This Row],[MoldNo]], "^DEO-(B|C)")</f>
        <v>0</v>
      </c>
      <c r="BE122" s="175" t="b">
        <f>RegExpMatch(Prod[[#This Row],[MoldNo]], "^JAC")</f>
        <v>0</v>
      </c>
    </row>
    <row r="123" spans="1:57" x14ac:dyDescent="0.2">
      <c r="A123" s="117">
        <v>45451</v>
      </c>
      <c r="B123" s="120" t="s">
        <v>196</v>
      </c>
      <c r="C123" s="119" t="s">
        <v>82</v>
      </c>
      <c r="D123" s="119"/>
      <c r="E123" s="131"/>
      <c r="F123" s="119"/>
      <c r="G123" s="119" t="str">
        <f>IF(OR(Prod[[#This Row],[S1Hrs]]&gt;0,Prod[[#This Row],[S2Hrs]]&gt;0,Prod[[#This Row],[S3Hrs]]&gt;0),"Running","Down")</f>
        <v>Down</v>
      </c>
      <c r="H123" s="187">
        <v>0</v>
      </c>
      <c r="I123" s="141">
        <v>0</v>
      </c>
      <c r="J123" s="120">
        <v>0</v>
      </c>
      <c r="K123" s="130">
        <v>0</v>
      </c>
      <c r="L123" s="120">
        <f>Prod[[#This Row],[S1Shot]]*Prod[[#This Row],[S1Cavity]]-Prod[[#This Row],[S1Dft]]</f>
        <v>0</v>
      </c>
      <c r="M123" s="134"/>
      <c r="N123" s="187">
        <v>0</v>
      </c>
      <c r="O123" s="141">
        <v>0</v>
      </c>
      <c r="P123" s="120">
        <v>0</v>
      </c>
      <c r="Q123" s="130">
        <v>0</v>
      </c>
      <c r="R123" s="120">
        <f>Prod[[#This Row],[S2Shot]]*Prod[[#This Row],[S2Cavity]]-Prod[[#This Row],[S2Dft]]</f>
        <v>0</v>
      </c>
      <c r="S123" s="134"/>
      <c r="T123" s="187">
        <v>0</v>
      </c>
      <c r="U123" s="141">
        <v>0</v>
      </c>
      <c r="V123" s="120">
        <v>0</v>
      </c>
      <c r="W123" s="130">
        <v>0</v>
      </c>
      <c r="X123" s="120">
        <f>Prod[[#This Row],[S3Shot]]*Prod[[#This Row],[S3Cavity]]-Prod[[#This Row],[S3Dft]]</f>
        <v>0</v>
      </c>
      <c r="Y123" s="134"/>
      <c r="Z123" s="120">
        <f>SUM(Prod[[#This Row],[S1Qty]],Prod[[#This Row],[S2Qty]],Prod[[#This Row],[S3Qty]])</f>
        <v>0</v>
      </c>
      <c r="AA123" s="134"/>
      <c r="AB123" s="135"/>
      <c r="AC123" s="118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2">
        <f>IF(Prod[[#This Row],[S1Hrs]]=0,0,Prod[[#This Row],[S1Shot]]*Prod[[#This Row],[S1Cycle]]/(Prod[[#This Row],[S1Hrs]]*60*60))</f>
        <v>0</v>
      </c>
      <c r="AT123" s="132">
        <f>IF(Prod[[#This Row],[S2Hrs]]=0,0,Prod[[#This Row],[S2Shot]]*Prod[[#This Row],[S2Cycle]]/(Prod[[#This Row],[S2Hrs]]*60*60))</f>
        <v>0</v>
      </c>
      <c r="AU123" s="132">
        <f>IF(Prod[[#This Row],[S3Hrs]]=0,0,Prod[[#This Row],[S3Shot]]*Prod[[#This Row],[S3Cycle]]/(Prod[[#This Row],[S3Hrs]]*60*60))</f>
        <v>0</v>
      </c>
      <c r="AV123" s="132">
        <f>IFERROR(AVERAGEIF(Prod[[#This Row],[S1%]:[S3%]], "&lt;&gt;0"),0)</f>
        <v>0</v>
      </c>
      <c r="AW123" s="132">
        <v>0</v>
      </c>
      <c r="AX123" s="132">
        <v>0</v>
      </c>
      <c r="AY123" s="132">
        <v>0</v>
      </c>
      <c r="AZ123" s="175">
        <f>IF(Prod[[#This Row],[S1Cycle]]&lt;&gt;0,1,0)</f>
        <v>0</v>
      </c>
      <c r="BA123" s="175">
        <f>IF(Prod[[#This Row],[S2Cycle]]&lt;&gt;0,1,0)</f>
        <v>0</v>
      </c>
      <c r="BB123" s="175">
        <f>IF(Prod[[#This Row],[S3Cycle]]&lt;&gt;0,1,0)</f>
        <v>0</v>
      </c>
      <c r="BC123" s="175">
        <f>MAX(Prod[[#This Row],[S1Cavity]],Prod[[#This Row],[S2Cavity]],Prod[[#This Row],[S3Cavity]])</f>
        <v>0</v>
      </c>
      <c r="BD123" s="175" t="b">
        <f>RegExpMatch(Prod[[#This Row],[MoldNo]], "^DEO-(B|C)")</f>
        <v>0</v>
      </c>
      <c r="BE123" s="175" t="b">
        <f>RegExpMatch(Prod[[#This Row],[MoldNo]], "^JAC")</f>
        <v>0</v>
      </c>
    </row>
    <row r="124" spans="1:57" x14ac:dyDescent="0.2">
      <c r="A124" s="117">
        <v>45451</v>
      </c>
      <c r="B124" s="120" t="s">
        <v>192</v>
      </c>
      <c r="C124" s="131" t="s">
        <v>193</v>
      </c>
      <c r="D124" s="119">
        <v>27575</v>
      </c>
      <c r="E124" s="131" t="s">
        <v>199</v>
      </c>
      <c r="F124" s="119">
        <v>814</v>
      </c>
      <c r="G124" s="119" t="str">
        <f>IF(OR(Prod[[#This Row],[S1Hrs]]&gt;0,Prod[[#This Row],[S2Hrs]]&gt;0,Prod[[#This Row],[S3Hrs]]&gt;0),"Running","Down")</f>
        <v>Running</v>
      </c>
      <c r="H124" s="187">
        <v>17.25</v>
      </c>
      <c r="I124" s="141">
        <v>8</v>
      </c>
      <c r="J124" s="120">
        <v>1662</v>
      </c>
      <c r="K124" s="130">
        <v>24</v>
      </c>
      <c r="L124" s="120">
        <f>Prod[[#This Row],[S1Shot]]*Prod[[#This Row],[S1Cavity]]-Prod[[#This Row],[S1Dft]]</f>
        <v>39888</v>
      </c>
      <c r="M124" s="134"/>
      <c r="N124" s="187">
        <v>17.25</v>
      </c>
      <c r="O124" s="141">
        <v>8</v>
      </c>
      <c r="P124" s="120">
        <v>1731</v>
      </c>
      <c r="Q124" s="130">
        <v>24</v>
      </c>
      <c r="R124" s="120">
        <f>Prod[[#This Row],[S2Shot]]*Prod[[#This Row],[S2Cavity]]-Prod[[#This Row],[S2Dft]]</f>
        <v>41544</v>
      </c>
      <c r="S124" s="134"/>
      <c r="T124" s="187">
        <v>17.25</v>
      </c>
      <c r="U124" s="141">
        <v>8</v>
      </c>
      <c r="V124" s="120">
        <v>1636</v>
      </c>
      <c r="W124" s="130">
        <v>24</v>
      </c>
      <c r="X124" s="120">
        <f>Prod[[#This Row],[S3Shot]]*Prod[[#This Row],[S3Cavity]]-Prod[[#This Row],[S3Dft]]</f>
        <v>39264</v>
      </c>
      <c r="Y124" s="134"/>
      <c r="Z124" s="120">
        <f>SUM(Prod[[#This Row],[S1Qty]],Prod[[#This Row],[S2Qty]],Prod[[#This Row],[S3Qty]])</f>
        <v>120696</v>
      </c>
      <c r="AA124" s="134"/>
      <c r="AB124" s="135"/>
      <c r="AC124" s="118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2">
        <f>IF(Prod[[#This Row],[S1Hrs]]=0,0,Prod[[#This Row],[S1Shot]]*Prod[[#This Row],[S1Cycle]]/(Prod[[#This Row],[S1Hrs]]*60*60))</f>
        <v>0.99546875000000001</v>
      </c>
      <c r="AT124" s="132">
        <f>IF(Prod[[#This Row],[S2Hrs]]=0,0,Prod[[#This Row],[S2Shot]]*Prod[[#This Row],[S2Cycle]]/(Prod[[#This Row],[S2Hrs]]*60*60))</f>
        <v>1.0367968750000001</v>
      </c>
      <c r="AU124" s="132">
        <f>IF(Prod[[#This Row],[S3Hrs]]=0,0,Prod[[#This Row],[S3Shot]]*Prod[[#This Row],[S3Cycle]]/(Prod[[#This Row],[S3Hrs]]*60*60))</f>
        <v>0.9798958333333333</v>
      </c>
      <c r="AV124" s="132">
        <f>IFERROR(AVERAGEIF(Prod[[#This Row],[S1%]:[S3%]], "&lt;&gt;0"),0)</f>
        <v>1.0040538194444444</v>
      </c>
      <c r="AW124" s="132">
        <v>0</v>
      </c>
      <c r="AX124" s="132">
        <v>0</v>
      </c>
      <c r="AY124" s="132">
        <v>0</v>
      </c>
      <c r="AZ124" s="175">
        <f>IF(Prod[[#This Row],[S1Cycle]]&lt;&gt;0,1,0)</f>
        <v>1</v>
      </c>
      <c r="BA124" s="175">
        <f>IF(Prod[[#This Row],[S2Cycle]]&lt;&gt;0,1,0)</f>
        <v>1</v>
      </c>
      <c r="BB124" s="175">
        <f>IF(Prod[[#This Row],[S3Cycle]]&lt;&gt;0,1,0)</f>
        <v>1</v>
      </c>
      <c r="BC124" s="175">
        <f>MAX(Prod[[#This Row],[S1Cavity]],Prod[[#This Row],[S2Cavity]],Prod[[#This Row],[S3Cavity]])</f>
        <v>24</v>
      </c>
      <c r="BD124" s="175" t="b">
        <f>RegExpMatch(Prod[[#This Row],[MoldNo]], "^DEO-(B|C)")</f>
        <v>0</v>
      </c>
      <c r="BE124" s="175" t="b">
        <f>RegExpMatch(Prod[[#This Row],[MoldNo]], "^JAC")</f>
        <v>0</v>
      </c>
    </row>
    <row r="125" spans="1:57" x14ac:dyDescent="0.2">
      <c r="A125" s="117">
        <v>45451</v>
      </c>
      <c r="B125" s="120" t="s">
        <v>168</v>
      </c>
      <c r="C125" s="119" t="s">
        <v>169</v>
      </c>
      <c r="D125" s="119"/>
      <c r="E125" s="131"/>
      <c r="F125" s="119"/>
      <c r="G125" s="119" t="str">
        <f>IF(OR(Prod[[#This Row],[S1Hrs]]&gt;0,Prod[[#This Row],[S2Hrs]]&gt;0,Prod[[#This Row],[S3Hrs]]&gt;0),"Running","Down")</f>
        <v>Down</v>
      </c>
      <c r="H125" s="187">
        <v>0</v>
      </c>
      <c r="I125" s="141">
        <v>0</v>
      </c>
      <c r="J125" s="120">
        <v>0</v>
      </c>
      <c r="K125" s="130">
        <v>0</v>
      </c>
      <c r="L125" s="120">
        <f>Prod[[#This Row],[S1Shot]]*Prod[[#This Row],[S1Cavity]]-Prod[[#This Row],[S1Dft]]</f>
        <v>0</v>
      </c>
      <c r="M125" s="134"/>
      <c r="N125" s="187">
        <v>0</v>
      </c>
      <c r="O125" s="141">
        <v>0</v>
      </c>
      <c r="P125" s="120">
        <v>0</v>
      </c>
      <c r="Q125" s="130">
        <v>0</v>
      </c>
      <c r="R125" s="120">
        <f>Prod[[#This Row],[S2Shot]]*Prod[[#This Row],[S2Cavity]]-Prod[[#This Row],[S2Dft]]</f>
        <v>0</v>
      </c>
      <c r="S125" s="134"/>
      <c r="T125" s="187">
        <v>0</v>
      </c>
      <c r="U125" s="141">
        <v>0</v>
      </c>
      <c r="V125" s="120">
        <v>0</v>
      </c>
      <c r="W125" s="130">
        <v>0</v>
      </c>
      <c r="X125" s="120">
        <f>Prod[[#This Row],[S3Shot]]*Prod[[#This Row],[S3Cavity]]-Prod[[#This Row],[S3Dft]]</f>
        <v>0</v>
      </c>
      <c r="Y125" s="134"/>
      <c r="Z125" s="120">
        <f>SUM(Prod[[#This Row],[S1Qty]],Prod[[#This Row],[S2Qty]],Prod[[#This Row],[S3Qty]])</f>
        <v>0</v>
      </c>
      <c r="AA125" s="134"/>
      <c r="AB125" s="135"/>
      <c r="AC125" s="118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2">
        <f>IF(Prod[[#This Row],[S1Hrs]]=0,0,Prod[[#This Row],[S1Shot]]*Prod[[#This Row],[S1Cycle]]/(Prod[[#This Row],[S1Hrs]]*60*60))</f>
        <v>0</v>
      </c>
      <c r="AT125" s="132">
        <f>IF(Prod[[#This Row],[S2Hrs]]=0,0,Prod[[#This Row],[S2Shot]]*Prod[[#This Row],[S2Cycle]]/(Prod[[#This Row],[S2Hrs]]*60*60))</f>
        <v>0</v>
      </c>
      <c r="AU125" s="132">
        <f>IF(Prod[[#This Row],[S3Hrs]]=0,0,Prod[[#This Row],[S3Shot]]*Prod[[#This Row],[S3Cycle]]/(Prod[[#This Row],[S3Hrs]]*60*60))</f>
        <v>0</v>
      </c>
      <c r="AV125" s="132">
        <f>IFERROR(AVERAGEIF(Prod[[#This Row],[S1%]:[S3%]], "&lt;&gt;0"),0)</f>
        <v>0</v>
      </c>
      <c r="AW125" s="132">
        <v>0</v>
      </c>
      <c r="AX125" s="132">
        <v>0</v>
      </c>
      <c r="AY125" s="132">
        <v>0</v>
      </c>
      <c r="AZ125" s="175">
        <f>IF(Prod[[#This Row],[S1Cycle]]&lt;&gt;0,1,0)</f>
        <v>0</v>
      </c>
      <c r="BA125" s="175">
        <f>IF(Prod[[#This Row],[S2Cycle]]&lt;&gt;0,1,0)</f>
        <v>0</v>
      </c>
      <c r="BB125" s="175">
        <f>IF(Prod[[#This Row],[S3Cycle]]&lt;&gt;0,1,0)</f>
        <v>0</v>
      </c>
      <c r="BC125" s="175">
        <f>MAX(Prod[[#This Row],[S1Cavity]],Prod[[#This Row],[S2Cavity]],Prod[[#This Row],[S3Cavity]])</f>
        <v>0</v>
      </c>
      <c r="BD125" s="175" t="b">
        <f>RegExpMatch(Prod[[#This Row],[MoldNo]], "^DEO-(B|C)")</f>
        <v>0</v>
      </c>
      <c r="BE125" s="175" t="b">
        <f>RegExpMatch(Prod[[#This Row],[MoldNo]], "^JAC")</f>
        <v>0</v>
      </c>
    </row>
    <row r="126" spans="1:57" x14ac:dyDescent="0.2">
      <c r="A126" s="117">
        <v>45451</v>
      </c>
      <c r="B126" s="120" t="s">
        <v>146</v>
      </c>
      <c r="C126" s="119" t="s">
        <v>84</v>
      </c>
      <c r="D126" s="119"/>
      <c r="E126" s="131"/>
      <c r="F126" s="119"/>
      <c r="G126" s="119" t="str">
        <f>IF(OR(Prod[[#This Row],[S1Hrs]]&gt;0,Prod[[#This Row],[S2Hrs]]&gt;0,Prod[[#This Row],[S3Hrs]]&gt;0),"Running","Down")</f>
        <v>Down</v>
      </c>
      <c r="H126" s="187">
        <v>0</v>
      </c>
      <c r="I126" s="141">
        <v>0</v>
      </c>
      <c r="J126" s="120">
        <v>0</v>
      </c>
      <c r="K126" s="130">
        <v>0</v>
      </c>
      <c r="L126" s="120">
        <f>Prod[[#This Row],[S1Shot]]*Prod[[#This Row],[S1Cavity]]-Prod[[#This Row],[S1Dft]]</f>
        <v>0</v>
      </c>
      <c r="M126" s="134"/>
      <c r="N126" s="187">
        <v>0</v>
      </c>
      <c r="O126" s="141">
        <v>0</v>
      </c>
      <c r="P126" s="120">
        <v>0</v>
      </c>
      <c r="Q126" s="130">
        <v>0</v>
      </c>
      <c r="R126" s="120">
        <f>Prod[[#This Row],[S2Shot]]*Prod[[#This Row],[S2Cavity]]-Prod[[#This Row],[S2Dft]]</f>
        <v>0</v>
      </c>
      <c r="S126" s="134"/>
      <c r="T126" s="187">
        <v>0</v>
      </c>
      <c r="U126" s="141">
        <v>0</v>
      </c>
      <c r="V126" s="120">
        <v>0</v>
      </c>
      <c r="W126" s="130">
        <v>0</v>
      </c>
      <c r="X126" s="120">
        <f>Prod[[#This Row],[S3Shot]]*Prod[[#This Row],[S3Cavity]]-Prod[[#This Row],[S3Dft]]</f>
        <v>0</v>
      </c>
      <c r="Y126" s="134"/>
      <c r="Z126" s="120">
        <f>SUM(Prod[[#This Row],[S1Qty]],Prod[[#This Row],[S2Qty]],Prod[[#This Row],[S3Qty]])</f>
        <v>0</v>
      </c>
      <c r="AA126" s="134"/>
      <c r="AB126" s="135"/>
      <c r="AC126" s="118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2">
        <f>IF(Prod[[#This Row],[S1Hrs]]=0,0,Prod[[#This Row],[S1Shot]]*Prod[[#This Row],[S1Cycle]]/(Prod[[#This Row],[S1Hrs]]*60*60))</f>
        <v>0</v>
      </c>
      <c r="AT126" s="132">
        <f>IF(Prod[[#This Row],[S2Hrs]]=0,0,Prod[[#This Row],[S2Shot]]*Prod[[#This Row],[S2Cycle]]/(Prod[[#This Row],[S2Hrs]]*60*60))</f>
        <v>0</v>
      </c>
      <c r="AU126" s="132">
        <f>IF(Prod[[#This Row],[S3Hrs]]=0,0,Prod[[#This Row],[S3Shot]]*Prod[[#This Row],[S3Cycle]]/(Prod[[#This Row],[S3Hrs]]*60*60))</f>
        <v>0</v>
      </c>
      <c r="AV126" s="132">
        <f>IFERROR(AVERAGEIF(Prod[[#This Row],[S1%]:[S3%]], "&lt;&gt;0"),0)</f>
        <v>0</v>
      </c>
      <c r="AW126" s="132">
        <v>0</v>
      </c>
      <c r="AX126" s="132">
        <v>0</v>
      </c>
      <c r="AY126" s="132">
        <v>0</v>
      </c>
      <c r="AZ126" s="175">
        <f>IF(Prod[[#This Row],[S1Cycle]]&lt;&gt;0,1,0)</f>
        <v>0</v>
      </c>
      <c r="BA126" s="175">
        <f>IF(Prod[[#This Row],[S2Cycle]]&lt;&gt;0,1,0)</f>
        <v>0</v>
      </c>
      <c r="BB126" s="175">
        <f>IF(Prod[[#This Row],[S3Cycle]]&lt;&gt;0,1,0)</f>
        <v>0</v>
      </c>
      <c r="BC126" s="175">
        <f>MAX(Prod[[#This Row],[S1Cavity]],Prod[[#This Row],[S2Cavity]],Prod[[#This Row],[S3Cavity]])</f>
        <v>0</v>
      </c>
      <c r="BD126" s="175" t="b">
        <f>RegExpMatch(Prod[[#This Row],[MoldNo]], "^DEO-(B|C)")</f>
        <v>0</v>
      </c>
      <c r="BE126" s="175" t="b">
        <f>RegExpMatch(Prod[[#This Row],[MoldNo]], "^JAC")</f>
        <v>0</v>
      </c>
    </row>
    <row r="127" spans="1:57" x14ac:dyDescent="0.2">
      <c r="A127" s="117">
        <v>45451</v>
      </c>
      <c r="B127" s="130" t="s">
        <v>194</v>
      </c>
      <c r="C127" s="131" t="s">
        <v>9</v>
      </c>
      <c r="D127" s="119"/>
      <c r="E127" s="131"/>
      <c r="F127" s="119"/>
      <c r="G127" s="119" t="str">
        <f>IF(OR(Prod[[#This Row],[S1Hrs]]&gt;0,Prod[[#This Row],[S2Hrs]]&gt;0,Prod[[#This Row],[S3Hrs]]&gt;0),"Running","Down")</f>
        <v>Down</v>
      </c>
      <c r="H127" s="187">
        <v>0</v>
      </c>
      <c r="I127" s="141">
        <v>0</v>
      </c>
      <c r="J127" s="120">
        <v>0</v>
      </c>
      <c r="K127" s="130">
        <v>0</v>
      </c>
      <c r="L127" s="120">
        <f>Prod[[#This Row],[S1Shot]]*Prod[[#This Row],[S1Cavity]]-Prod[[#This Row],[S1Dft]]</f>
        <v>0</v>
      </c>
      <c r="M127" s="134"/>
      <c r="N127" s="187">
        <v>0</v>
      </c>
      <c r="O127" s="141">
        <v>0</v>
      </c>
      <c r="P127" s="120">
        <v>0</v>
      </c>
      <c r="Q127" s="130">
        <v>0</v>
      </c>
      <c r="R127" s="120">
        <f>Prod[[#This Row],[S2Shot]]*Prod[[#This Row],[S2Cavity]]-Prod[[#This Row],[S2Dft]]</f>
        <v>0</v>
      </c>
      <c r="S127" s="134"/>
      <c r="T127" s="187">
        <v>0</v>
      </c>
      <c r="U127" s="141">
        <v>0</v>
      </c>
      <c r="V127" s="120">
        <v>0</v>
      </c>
      <c r="W127" s="130">
        <v>0</v>
      </c>
      <c r="X127" s="120">
        <f>Prod[[#This Row],[S3Shot]]*Prod[[#This Row],[S3Cavity]]-Prod[[#This Row],[S3Dft]]</f>
        <v>0</v>
      </c>
      <c r="Y127" s="134"/>
      <c r="Z127" s="120">
        <f>SUM(Prod[[#This Row],[S1Qty]],Prod[[#This Row],[S2Qty]],Prod[[#This Row],[S3Qty]])</f>
        <v>0</v>
      </c>
      <c r="AA127" s="134"/>
      <c r="AB127" s="135"/>
      <c r="AC127" s="118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2">
        <f>IF(Prod[[#This Row],[S1Hrs]]=0,0,Prod[[#This Row],[S1Shot]]*Prod[[#This Row],[S1Cycle]]/(Prod[[#This Row],[S1Hrs]]*60*60))</f>
        <v>0</v>
      </c>
      <c r="AT127" s="132">
        <f>IF(Prod[[#This Row],[S2Hrs]]=0,0,Prod[[#This Row],[S2Shot]]*Prod[[#This Row],[S2Cycle]]/(Prod[[#This Row],[S2Hrs]]*60*60))</f>
        <v>0</v>
      </c>
      <c r="AU127" s="132">
        <f>IF(Prod[[#This Row],[S3Hrs]]=0,0,Prod[[#This Row],[S3Shot]]*Prod[[#This Row],[S3Cycle]]/(Prod[[#This Row],[S3Hrs]]*60*60))</f>
        <v>0</v>
      </c>
      <c r="AV127" s="132">
        <f>IFERROR(AVERAGEIF(Prod[[#This Row],[S1%]:[S3%]], "&lt;&gt;0"),0)</f>
        <v>0</v>
      </c>
      <c r="AW127" s="132">
        <v>0</v>
      </c>
      <c r="AX127" s="132">
        <v>0</v>
      </c>
      <c r="AY127" s="132">
        <v>0</v>
      </c>
      <c r="AZ127" s="175">
        <f>IF(Prod[[#This Row],[S1Cycle]]&lt;&gt;0,1,0)</f>
        <v>0</v>
      </c>
      <c r="BA127" s="175">
        <f>IF(Prod[[#This Row],[S2Cycle]]&lt;&gt;0,1,0)</f>
        <v>0</v>
      </c>
      <c r="BB127" s="175">
        <f>IF(Prod[[#This Row],[S3Cycle]]&lt;&gt;0,1,0)</f>
        <v>0</v>
      </c>
      <c r="BC127" s="175">
        <f>MAX(Prod[[#This Row],[S1Cavity]],Prod[[#This Row],[S2Cavity]],Prod[[#This Row],[S3Cavity]])</f>
        <v>0</v>
      </c>
      <c r="BD127" s="175" t="b">
        <f>RegExpMatch(Prod[[#This Row],[MoldNo]], "^DEO-(B|C)")</f>
        <v>0</v>
      </c>
      <c r="BE127" s="175" t="b">
        <f>RegExpMatch(Prod[[#This Row],[MoldNo]], "^JAC")</f>
        <v>0</v>
      </c>
    </row>
    <row r="128" spans="1:57" x14ac:dyDescent="0.2">
      <c r="A128" s="117">
        <v>45451</v>
      </c>
      <c r="B128" s="130" t="s">
        <v>164</v>
      </c>
      <c r="C128" s="131" t="s">
        <v>144</v>
      </c>
      <c r="D128" s="119"/>
      <c r="E128" s="131"/>
      <c r="F128" s="119"/>
      <c r="G128" s="119" t="str">
        <f>IF(OR(Prod[[#This Row],[S1Hrs]]&gt;0,Prod[[#This Row],[S2Hrs]]&gt;0,Prod[[#This Row],[S3Hrs]]&gt;0),"Running","Down")</f>
        <v>Down</v>
      </c>
      <c r="H128" s="187">
        <v>0</v>
      </c>
      <c r="I128" s="141">
        <v>0</v>
      </c>
      <c r="J128" s="120">
        <v>0</v>
      </c>
      <c r="K128" s="130">
        <v>0</v>
      </c>
      <c r="L128" s="120">
        <f>Prod[[#This Row],[S1Shot]]*Prod[[#This Row],[S1Cavity]]-Prod[[#This Row],[S1Dft]]</f>
        <v>0</v>
      </c>
      <c r="M128" s="136">
        <f>SUM(Prod[[#This Row],[S1Mold]],Prod[[#This Row],[S1Print]],Prod[[#This Row],[S1Ovlp]],Prod[[#This Row],[S1Seam]],Prod[[#This Row],[S1Dmg]])</f>
        <v>0</v>
      </c>
      <c r="N128" s="187">
        <v>0</v>
      </c>
      <c r="O128" s="141">
        <v>0</v>
      </c>
      <c r="P128" s="120">
        <v>0</v>
      </c>
      <c r="Q128" s="130">
        <v>0</v>
      </c>
      <c r="R128" s="120">
        <f>Prod[[#This Row],[S2Shot]]*Prod[[#This Row],[S2Cavity]]-Prod[[#This Row],[S2Dft]]</f>
        <v>0</v>
      </c>
      <c r="S128" s="136">
        <f>SUM(Prod[[#This Row],[S2Mold]],Prod[[#This Row],[S2Print]],Prod[[#This Row],[S2Ovlp]],Prod[[#This Row],[S2Seam]],Prod[[#This Row],[S2Dmg]])</f>
        <v>0</v>
      </c>
      <c r="T128" s="187">
        <v>0</v>
      </c>
      <c r="U128" s="141">
        <v>0</v>
      </c>
      <c r="V128" s="120">
        <v>0</v>
      </c>
      <c r="W128" s="130">
        <v>0</v>
      </c>
      <c r="X128" s="120">
        <f>Prod[[#This Row],[S3Shot]]*Prod[[#This Row],[S3Cavity]]-Prod[[#This Row],[S3Dft]]</f>
        <v>0</v>
      </c>
      <c r="Y128" s="120">
        <f>SUM(Prod[[#This Row],[S3Mold]],Prod[[#This Row],[S3Print]],Prod[[#This Row],[S3Ovlp]],Prod[[#This Row],[S3Seam]],Prod[[#This Row],[S3Dmg]])</f>
        <v>0</v>
      </c>
      <c r="Z128" s="120">
        <f>SUM(Prod[[#This Row],[S1Qty]],Prod[[#This Row],[S2Qty]],Prod[[#This Row],[S3Qty]])</f>
        <v>0</v>
      </c>
      <c r="AA128" s="120">
        <f>SUM(Prod[[#This Row],[S1Dft]],Prod[[#This Row],[S2Dft]],Prod[[#This Row],[S3Dft]])</f>
        <v>0</v>
      </c>
      <c r="AB128" s="121">
        <f>IF(Prod[[#This Row],[Total]]=0,0,Prod[[#This Row],[TotalDft]]/Prod[[#This Row],[Total]])</f>
        <v>0</v>
      </c>
      <c r="AC128" s="118"/>
      <c r="AD128" s="120">
        <v>0</v>
      </c>
      <c r="AE128" s="120">
        <v>0</v>
      </c>
      <c r="AF128" s="120">
        <v>0</v>
      </c>
      <c r="AG128" s="120">
        <v>0</v>
      </c>
      <c r="AH128" s="120">
        <v>0</v>
      </c>
      <c r="AI128" s="120">
        <v>0</v>
      </c>
      <c r="AJ128" s="120">
        <v>0</v>
      </c>
      <c r="AK128" s="120">
        <v>0</v>
      </c>
      <c r="AL128" s="120">
        <v>0</v>
      </c>
      <c r="AM128" s="120">
        <v>0</v>
      </c>
      <c r="AN128" s="120">
        <v>0</v>
      </c>
      <c r="AO128" s="120">
        <v>0</v>
      </c>
      <c r="AP128" s="120">
        <v>0</v>
      </c>
      <c r="AQ128" s="120">
        <v>0</v>
      </c>
      <c r="AR128" s="120">
        <v>0</v>
      </c>
      <c r="AS128" s="132">
        <f>IF(Prod[[#This Row],[S1Hrs]]=0,0,Prod[[#This Row],[S1Shot]]*Prod[[#This Row],[S1Cycle]]/(Prod[[#This Row],[S1Hrs]]*60*60))</f>
        <v>0</v>
      </c>
      <c r="AT128" s="132">
        <f>IF(Prod[[#This Row],[S2Hrs]]=0,0,Prod[[#This Row],[S2Shot]]*Prod[[#This Row],[S2Cycle]]/(Prod[[#This Row],[S2Hrs]]*60*60))</f>
        <v>0</v>
      </c>
      <c r="AU128" s="132">
        <f>IF(Prod[[#This Row],[S3Hrs]]=0,0,Prod[[#This Row],[S3Shot]]*Prod[[#This Row],[S3Cycle]]/(Prod[[#This Row],[S3Hrs]]*60*60))</f>
        <v>0</v>
      </c>
      <c r="AV128" s="132">
        <f>IFERROR(AVERAGEIF(Prod[[#This Row],[S1%]:[S3%]], "&lt;&gt;0"),0)</f>
        <v>0</v>
      </c>
      <c r="AW128" s="132">
        <v>0</v>
      </c>
      <c r="AX128" s="132">
        <v>0</v>
      </c>
      <c r="AY128" s="132">
        <v>0</v>
      </c>
      <c r="AZ128" s="175">
        <f>IF(Prod[[#This Row],[S1Cycle]]&lt;&gt;0,1,0)</f>
        <v>0</v>
      </c>
      <c r="BA128" s="175">
        <f>IF(Prod[[#This Row],[S2Cycle]]&lt;&gt;0,1,0)</f>
        <v>0</v>
      </c>
      <c r="BB128" s="175">
        <f>IF(Prod[[#This Row],[S3Cycle]]&lt;&gt;0,1,0)</f>
        <v>0</v>
      </c>
      <c r="BC128" s="175">
        <f>MAX(Prod[[#This Row],[S1Cavity]],Prod[[#This Row],[S2Cavity]],Prod[[#This Row],[S3Cavity]])</f>
        <v>0</v>
      </c>
      <c r="BD128" s="175" t="b">
        <f>RegExpMatch(Prod[[#This Row],[MoldNo]], "^DEO-(B|C)")</f>
        <v>1</v>
      </c>
      <c r="BE128" s="175" t="b">
        <f>RegExpMatch(Prod[[#This Row],[MoldNo]], "^JAC")</f>
        <v>0</v>
      </c>
    </row>
    <row r="129" spans="1:57" x14ac:dyDescent="0.2">
      <c r="A129" s="117">
        <v>45451</v>
      </c>
      <c r="B129" s="130" t="s">
        <v>162</v>
      </c>
      <c r="C129" s="131" t="s">
        <v>163</v>
      </c>
      <c r="D129" s="119"/>
      <c r="E129" s="131"/>
      <c r="F129" s="119"/>
      <c r="G129" s="119" t="str">
        <f>IF(OR(Prod[[#This Row],[S1Hrs]]&gt;0,Prod[[#This Row],[S2Hrs]]&gt;0,Prod[[#This Row],[S3Hrs]]&gt;0),"Running","Down")</f>
        <v>Down</v>
      </c>
      <c r="H129" s="187">
        <v>0</v>
      </c>
      <c r="I129" s="141">
        <v>0</v>
      </c>
      <c r="J129" s="120">
        <v>0</v>
      </c>
      <c r="K129" s="130">
        <v>0</v>
      </c>
      <c r="L129" s="120">
        <f>Prod[[#This Row],[S1Shot]]*Prod[[#This Row],[S1Cavity]]-Prod[[#This Row],[S1Dft]]</f>
        <v>0</v>
      </c>
      <c r="M129" s="136">
        <f>SUM(Prod[[#This Row],[S1Mold]],Prod[[#This Row],[S1Print]],Prod[[#This Row],[S1Ovlp]],Prod[[#This Row],[S1Seam]],Prod[[#This Row],[S1Dmg]])</f>
        <v>0</v>
      </c>
      <c r="N129" s="187">
        <v>0</v>
      </c>
      <c r="O129" s="141">
        <v>0</v>
      </c>
      <c r="P129" s="120">
        <v>0</v>
      </c>
      <c r="Q129" s="130">
        <v>0</v>
      </c>
      <c r="R129" s="120">
        <f>Prod[[#This Row],[S2Shot]]*Prod[[#This Row],[S2Cavity]]-Prod[[#This Row],[S2Dft]]</f>
        <v>0</v>
      </c>
      <c r="S129" s="136">
        <f>SUM(Prod[[#This Row],[S2Mold]],Prod[[#This Row],[S2Print]],Prod[[#This Row],[S2Ovlp]],Prod[[#This Row],[S2Seam]],Prod[[#This Row],[S2Dmg]])</f>
        <v>0</v>
      </c>
      <c r="T129" s="187">
        <v>0</v>
      </c>
      <c r="U129" s="141">
        <v>0</v>
      </c>
      <c r="V129" s="120">
        <v>0</v>
      </c>
      <c r="W129" s="130">
        <v>0</v>
      </c>
      <c r="X129" s="120">
        <f>Prod[[#This Row],[S3Shot]]*Prod[[#This Row],[S3Cavity]]-Prod[[#This Row],[S3Dft]]</f>
        <v>0</v>
      </c>
      <c r="Y129" s="120">
        <f>SUM(Prod[[#This Row],[S3Mold]],Prod[[#This Row],[S3Print]],Prod[[#This Row],[S3Ovlp]],Prod[[#This Row],[S3Seam]],Prod[[#This Row],[S3Dmg]])</f>
        <v>0</v>
      </c>
      <c r="Z129" s="120">
        <f>SUM(Prod[[#This Row],[S1Qty]],Prod[[#This Row],[S2Qty]],Prod[[#This Row],[S3Qty]])</f>
        <v>0</v>
      </c>
      <c r="AA129" s="120">
        <f>SUM(Prod[[#This Row],[S1Dft]],Prod[[#This Row],[S2Dft]],Prod[[#This Row],[S3Dft]])</f>
        <v>0</v>
      </c>
      <c r="AB129" s="121">
        <f>IF(Prod[[#This Row],[Total]]=0,0,Prod[[#This Row],[TotalDft]]/Prod[[#This Row],[Total]])</f>
        <v>0</v>
      </c>
      <c r="AC129" s="118"/>
      <c r="AD129" s="120">
        <v>0</v>
      </c>
      <c r="AE129" s="120">
        <v>0</v>
      </c>
      <c r="AF129" s="120">
        <v>0</v>
      </c>
      <c r="AG129" s="120">
        <v>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2">
        <f>IF(Prod[[#This Row],[S1Hrs]]=0,0,Prod[[#This Row],[S1Shot]]*Prod[[#This Row],[S1Cycle]]/(Prod[[#This Row],[S1Hrs]]*60*60))</f>
        <v>0</v>
      </c>
      <c r="AT129" s="132">
        <f>IF(Prod[[#This Row],[S2Hrs]]=0,0,Prod[[#This Row],[S2Shot]]*Prod[[#This Row],[S2Cycle]]/(Prod[[#This Row],[S2Hrs]]*60*60))</f>
        <v>0</v>
      </c>
      <c r="AU129" s="132">
        <f>IF(Prod[[#This Row],[S3Hrs]]=0,0,Prod[[#This Row],[S3Shot]]*Prod[[#This Row],[S3Cycle]]/(Prod[[#This Row],[S3Hrs]]*60*60))</f>
        <v>0</v>
      </c>
      <c r="AV129" s="132">
        <f>IFERROR(AVERAGEIF(Prod[[#This Row],[S1%]:[S3%]], "&lt;&gt;0"),0)</f>
        <v>0</v>
      </c>
      <c r="AW129" s="132">
        <v>0</v>
      </c>
      <c r="AX129" s="132">
        <v>0</v>
      </c>
      <c r="AY129" s="132">
        <v>0</v>
      </c>
      <c r="AZ129" s="175">
        <f>IF(Prod[[#This Row],[S1Cycle]]&lt;&gt;0,1,0)</f>
        <v>0</v>
      </c>
      <c r="BA129" s="175">
        <f>IF(Prod[[#This Row],[S2Cycle]]&lt;&gt;0,1,0)</f>
        <v>0</v>
      </c>
      <c r="BB129" s="175">
        <f>IF(Prod[[#This Row],[S3Cycle]]&lt;&gt;0,1,0)</f>
        <v>0</v>
      </c>
      <c r="BC129" s="175">
        <f>MAX(Prod[[#This Row],[S1Cavity]],Prod[[#This Row],[S2Cavity]],Prod[[#This Row],[S3Cavity]])</f>
        <v>0</v>
      </c>
      <c r="BD129" s="175" t="b">
        <f>RegExpMatch(Prod[[#This Row],[MoldNo]], "^DEO-(B|C)")</f>
        <v>1</v>
      </c>
      <c r="BE129" s="175" t="b">
        <f>RegExpMatch(Prod[[#This Row],[MoldNo]], "^JAC")</f>
        <v>0</v>
      </c>
    </row>
    <row r="130" spans="1:57" x14ac:dyDescent="0.2">
      <c r="A130" s="117">
        <v>45451</v>
      </c>
      <c r="B130" s="130" t="s">
        <v>174</v>
      </c>
      <c r="C130" s="131" t="s">
        <v>175</v>
      </c>
      <c r="D130" s="119">
        <v>27716</v>
      </c>
      <c r="E130" s="131" t="s">
        <v>199</v>
      </c>
      <c r="F130" s="119">
        <v>814</v>
      </c>
      <c r="G130" s="119" t="str">
        <f>IF(OR(Prod[[#This Row],[S1Hrs]]&gt;0,Prod[[#This Row],[S2Hrs]]&gt;0,Prod[[#This Row],[S3Hrs]]&gt;0),"Running","Down")</f>
        <v>Running</v>
      </c>
      <c r="H130" s="187">
        <v>20.98</v>
      </c>
      <c r="I130" s="141">
        <v>8</v>
      </c>
      <c r="J130" s="120">
        <v>1392</v>
      </c>
      <c r="K130" s="130">
        <v>8</v>
      </c>
      <c r="L130" s="120">
        <f>Prod[[#This Row],[S1Shot]]*Prod[[#This Row],[S1Cavity]]-Prod[[#This Row],[S1Dft]]</f>
        <v>11016</v>
      </c>
      <c r="M130" s="136">
        <f>SUM(Prod[[#This Row],[S1Mold]],Prod[[#This Row],[S1Print]],Prod[[#This Row],[S1Ovlp]],Prod[[#This Row],[S1Seam]],Prod[[#This Row],[S1Dmg]])</f>
        <v>120</v>
      </c>
      <c r="N130" s="187">
        <v>20.88</v>
      </c>
      <c r="O130" s="141">
        <v>8</v>
      </c>
      <c r="P130" s="120">
        <v>1505</v>
      </c>
      <c r="Q130" s="130">
        <v>8</v>
      </c>
      <c r="R130" s="120">
        <f>Prod[[#This Row],[S2Shot]]*Prod[[#This Row],[S2Cavity]]-Prod[[#This Row],[S2Dft]]</f>
        <v>11910</v>
      </c>
      <c r="S130" s="136">
        <f>SUM(Prod[[#This Row],[S2Mold]],Prod[[#This Row],[S2Print]],Prod[[#This Row],[S2Ovlp]],Prod[[#This Row],[S2Seam]],Prod[[#This Row],[S2Dmg]])</f>
        <v>130</v>
      </c>
      <c r="T130" s="187">
        <v>20.88</v>
      </c>
      <c r="U130" s="141">
        <v>8</v>
      </c>
      <c r="V130" s="120">
        <v>1225</v>
      </c>
      <c r="W130" s="130">
        <v>8</v>
      </c>
      <c r="X130" s="120">
        <f>Prod[[#This Row],[S3Shot]]*Prod[[#This Row],[S3Cavity]]-Prod[[#This Row],[S3Dft]]</f>
        <v>9685</v>
      </c>
      <c r="Y130" s="120">
        <f>SUM(Prod[[#This Row],[S3Mold]],Prod[[#This Row],[S3Print]],Prod[[#This Row],[S3Ovlp]],Prod[[#This Row],[S3Seam]],Prod[[#This Row],[S3Dmg]])</f>
        <v>115</v>
      </c>
      <c r="Z130" s="120">
        <f>SUM(Prod[[#This Row],[S1Qty]],Prod[[#This Row],[S2Qty]],Prod[[#This Row],[S3Qty]])</f>
        <v>32611</v>
      </c>
      <c r="AA130" s="120">
        <f>SUM(Prod[[#This Row],[S1Dft]],Prod[[#This Row],[S2Dft]],Prod[[#This Row],[S3Dft]])</f>
        <v>365</v>
      </c>
      <c r="AB130" s="121">
        <f>IF(Prod[[#This Row],[Total]]=0,0,Prod[[#This Row],[TotalDft]]/Prod[[#This Row],[Total]])</f>
        <v>1.1192542393670847E-2</v>
      </c>
      <c r="AC130" s="131"/>
      <c r="AD130" s="120">
        <v>20</v>
      </c>
      <c r="AE130" s="120">
        <v>20</v>
      </c>
      <c r="AF130" s="120">
        <v>15</v>
      </c>
      <c r="AG130" s="120">
        <v>100</v>
      </c>
      <c r="AH130" s="120">
        <v>110</v>
      </c>
      <c r="AI130" s="120">
        <v>100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0</v>
      </c>
      <c r="AS130" s="132">
        <f>IF(Prod[[#This Row],[S1Hrs]]=0,0,Prod[[#This Row],[S1Shot]]*Prod[[#This Row],[S1Cycle]]/(Prod[[#This Row],[S1Hrs]]*60*60))</f>
        <v>1.0140333333333333</v>
      </c>
      <c r="AT130" s="132">
        <f>IF(Prod[[#This Row],[S2Hrs]]=0,0,Prod[[#This Row],[S2Shot]]*Prod[[#This Row],[S2Cycle]]/(Prod[[#This Row],[S2Hrs]]*60*60))</f>
        <v>1.0911249999999999</v>
      </c>
      <c r="AU130" s="132">
        <f>IF(Prod[[#This Row],[S3Hrs]]=0,0,Prod[[#This Row],[S3Shot]]*Prod[[#This Row],[S3Cycle]]/(Prod[[#This Row],[S3Hrs]]*60*60))</f>
        <v>0.88812500000000005</v>
      </c>
      <c r="AV130" s="132">
        <f>IFERROR(AVERAGEIF(Prod[[#This Row],[S1%]:[S3%]], "&lt;&gt;0"),0)</f>
        <v>0.9977611111111111</v>
      </c>
      <c r="AW130" s="132">
        <v>0</v>
      </c>
      <c r="AX130" s="132">
        <v>0</v>
      </c>
      <c r="AY130" s="132">
        <v>0</v>
      </c>
      <c r="AZ130" s="175">
        <f>IF(Prod[[#This Row],[S1Cycle]]&lt;&gt;0,1,0)</f>
        <v>1</v>
      </c>
      <c r="BA130" s="175">
        <f>IF(Prod[[#This Row],[S2Cycle]]&lt;&gt;0,1,0)</f>
        <v>1</v>
      </c>
      <c r="BB130" s="175">
        <f>IF(Prod[[#This Row],[S3Cycle]]&lt;&gt;0,1,0)</f>
        <v>1</v>
      </c>
      <c r="BC130" s="175">
        <f>MAX(Prod[[#This Row],[S1Cavity]],Prod[[#This Row],[S2Cavity]],Prod[[#This Row],[S3Cavity]])</f>
        <v>8</v>
      </c>
      <c r="BD130" s="175" t="b">
        <f>RegExpMatch(Prod[[#This Row],[MoldNo]], "^DEO-(B|C)")</f>
        <v>1</v>
      </c>
      <c r="BE130" s="175" t="b">
        <f>RegExpMatch(Prod[[#This Row],[MoldNo]], "^JAC")</f>
        <v>0</v>
      </c>
    </row>
    <row r="131" spans="1:57" x14ac:dyDescent="0.2">
      <c r="A131" s="117">
        <v>45451</v>
      </c>
      <c r="B131" s="130" t="s">
        <v>176</v>
      </c>
      <c r="C131" s="131" t="s">
        <v>81</v>
      </c>
      <c r="D131" s="119">
        <v>27716</v>
      </c>
      <c r="E131" s="119" t="s">
        <v>199</v>
      </c>
      <c r="F131" s="119">
        <v>814</v>
      </c>
      <c r="G131" s="119" t="str">
        <f>IF(OR(Prod[[#This Row],[S1Hrs]]&gt;0,Prod[[#This Row],[S2Hrs]]&gt;0,Prod[[#This Row],[S3Hrs]]&gt;0),"Running","Down")</f>
        <v>Running</v>
      </c>
      <c r="H131" s="187">
        <v>21.88</v>
      </c>
      <c r="I131" s="141">
        <v>8</v>
      </c>
      <c r="J131" s="120">
        <v>1324</v>
      </c>
      <c r="K131" s="130">
        <v>8</v>
      </c>
      <c r="L131" s="120">
        <f>Prod[[#This Row],[S1Shot]]*Prod[[#This Row],[S1Cavity]]-Prod[[#This Row],[S1Dft]]</f>
        <v>10477</v>
      </c>
      <c r="M131" s="136">
        <f>SUM(Prod[[#This Row],[S1Mold]],Prod[[#This Row],[S1Print]],Prod[[#This Row],[S1Ovlp]],Prod[[#This Row],[S1Seam]],Prod[[#This Row],[S1Dmg]])</f>
        <v>115</v>
      </c>
      <c r="N131" s="187">
        <v>21.78</v>
      </c>
      <c r="O131" s="141">
        <v>8</v>
      </c>
      <c r="P131" s="120">
        <v>1452</v>
      </c>
      <c r="Q131" s="130">
        <v>8</v>
      </c>
      <c r="R131" s="120">
        <f>Prod[[#This Row],[S2Shot]]*Prod[[#This Row],[S2Cavity]]-Prod[[#This Row],[S2Dft]]</f>
        <v>11491</v>
      </c>
      <c r="S131" s="136">
        <f>SUM(Prod[[#This Row],[S2Mold]],Prod[[#This Row],[S2Print]],Prod[[#This Row],[S2Ovlp]],Prod[[#This Row],[S2Seam]],Prod[[#This Row],[S2Dmg]])</f>
        <v>125</v>
      </c>
      <c r="T131" s="187">
        <v>21.88</v>
      </c>
      <c r="U131" s="141">
        <v>8</v>
      </c>
      <c r="V131" s="120">
        <v>1168</v>
      </c>
      <c r="W131" s="130">
        <v>8</v>
      </c>
      <c r="X131" s="120">
        <f>Prod[[#This Row],[S3Shot]]*Prod[[#This Row],[S3Cavity]]-Prod[[#This Row],[S3Dft]]</f>
        <v>9229</v>
      </c>
      <c r="Y131" s="120">
        <f>SUM(Prod[[#This Row],[S3Mold]],Prod[[#This Row],[S3Print]],Prod[[#This Row],[S3Ovlp]],Prod[[#This Row],[S3Seam]],Prod[[#This Row],[S3Dmg]])</f>
        <v>115</v>
      </c>
      <c r="Z131" s="120">
        <f>SUM(Prod[[#This Row],[S1Qty]],Prod[[#This Row],[S2Qty]],Prod[[#This Row],[S3Qty]])</f>
        <v>31197</v>
      </c>
      <c r="AA131" s="120">
        <f>SUM(Prod[[#This Row],[S1Dft]],Prod[[#This Row],[S2Dft]],Prod[[#This Row],[S3Dft]])</f>
        <v>355</v>
      </c>
      <c r="AB131" s="121">
        <f>IF(Prod[[#This Row],[Total]]=0,0,Prod[[#This Row],[TotalDft]]/Prod[[#This Row],[Total]])</f>
        <v>1.1379299291598552E-2</v>
      </c>
      <c r="AC131" s="131"/>
      <c r="AD131" s="120">
        <v>20</v>
      </c>
      <c r="AE131" s="120">
        <v>25</v>
      </c>
      <c r="AF131" s="120">
        <v>20</v>
      </c>
      <c r="AG131" s="120">
        <v>95</v>
      </c>
      <c r="AH131" s="120">
        <v>100</v>
      </c>
      <c r="AI131" s="120">
        <v>95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0</v>
      </c>
      <c r="AS131" s="132">
        <f>IF(Prod[[#This Row],[S1Hrs]]=0,0,Prod[[#This Row],[S1Shot]]*Prod[[#This Row],[S1Cycle]]/(Prod[[#This Row],[S1Hrs]]*60*60))</f>
        <v>1.0058722222222223</v>
      </c>
      <c r="AT131" s="132">
        <f>IF(Prod[[#This Row],[S2Hrs]]=0,0,Prod[[#This Row],[S2Shot]]*Prod[[#This Row],[S2Cycle]]/(Prod[[#This Row],[S2Hrs]]*60*60))</f>
        <v>1.0980750000000001</v>
      </c>
      <c r="AU131" s="132">
        <f>IF(Prod[[#This Row],[S3Hrs]]=0,0,Prod[[#This Row],[S3Shot]]*Prod[[#This Row],[S3Cycle]]/(Prod[[#This Row],[S3Hrs]]*60*60))</f>
        <v>0.88735555555555556</v>
      </c>
      <c r="AV131" s="132">
        <f>IFERROR(AVERAGEIF(Prod[[#This Row],[S1%]:[S3%]], "&lt;&gt;0"),0)</f>
        <v>0.99710092592592614</v>
      </c>
      <c r="AW131" s="132">
        <v>0</v>
      </c>
      <c r="AX131" s="132">
        <v>0</v>
      </c>
      <c r="AY131" s="132">
        <v>0</v>
      </c>
      <c r="AZ131" s="175">
        <f>IF(Prod[[#This Row],[S1Cycle]]&lt;&gt;0,1,0)</f>
        <v>1</v>
      </c>
      <c r="BA131" s="175">
        <f>IF(Prod[[#This Row],[S2Cycle]]&lt;&gt;0,1,0)</f>
        <v>1</v>
      </c>
      <c r="BB131" s="175">
        <f>IF(Prod[[#This Row],[S3Cycle]]&lt;&gt;0,1,0)</f>
        <v>1</v>
      </c>
      <c r="BC131" s="175">
        <f>MAX(Prod[[#This Row],[S1Cavity]],Prod[[#This Row],[S2Cavity]],Prod[[#This Row],[S3Cavity]])</f>
        <v>8</v>
      </c>
      <c r="BD131" s="175" t="b">
        <f>RegExpMatch(Prod[[#This Row],[MoldNo]], "^DEO-(B|C)")</f>
        <v>1</v>
      </c>
      <c r="BE131" s="175" t="b">
        <f>RegExpMatch(Prod[[#This Row],[MoldNo]], "^JAC")</f>
        <v>0</v>
      </c>
    </row>
    <row r="132" spans="1:57" x14ac:dyDescent="0.2">
      <c r="A132" s="117">
        <v>45451</v>
      </c>
      <c r="B132" s="130" t="s">
        <v>195</v>
      </c>
      <c r="C132" s="119" t="s">
        <v>145</v>
      </c>
      <c r="D132" s="119">
        <v>27761</v>
      </c>
      <c r="E132" s="131" t="s">
        <v>199</v>
      </c>
      <c r="F132" s="119">
        <v>814</v>
      </c>
      <c r="G132" s="119" t="str">
        <f>IF(OR(Prod[[#This Row],[S1Hrs]]&gt;0,Prod[[#This Row],[S2Hrs]]&gt;0,Prod[[#This Row],[S3Hrs]]&gt;0),"Running","Down")</f>
        <v>Running</v>
      </c>
      <c r="H132" s="187">
        <v>13.44</v>
      </c>
      <c r="I132" s="141">
        <v>8</v>
      </c>
      <c r="J132" s="120">
        <v>2107</v>
      </c>
      <c r="K132" s="130">
        <v>16</v>
      </c>
      <c r="L132" s="120">
        <f>Prod[[#This Row],[S1Shot]]*Prod[[#This Row],[S1Cavity]]-Prod[[#This Row],[S1Dft]]</f>
        <v>33712</v>
      </c>
      <c r="M132" s="134"/>
      <c r="N132" s="187">
        <v>13.41</v>
      </c>
      <c r="O132" s="141">
        <v>8</v>
      </c>
      <c r="P132" s="120">
        <v>2176</v>
      </c>
      <c r="Q132" s="130">
        <v>16</v>
      </c>
      <c r="R132" s="120">
        <f>Prod[[#This Row],[S2Shot]]*Prod[[#This Row],[S2Cavity]]-Prod[[#This Row],[S2Dft]]</f>
        <v>34816</v>
      </c>
      <c r="S132" s="134"/>
      <c r="T132" s="187">
        <v>13.44</v>
      </c>
      <c r="U132" s="141">
        <v>8</v>
      </c>
      <c r="V132" s="120">
        <v>2140</v>
      </c>
      <c r="W132" s="130">
        <v>16</v>
      </c>
      <c r="X132" s="120">
        <f>Prod[[#This Row],[S3Shot]]*Prod[[#This Row],[S3Cavity]]-Prod[[#This Row],[S3Dft]]</f>
        <v>34240</v>
      </c>
      <c r="Y132" s="134"/>
      <c r="Z132" s="120">
        <f>SUM(Prod[[#This Row],[S1Qty]],Prod[[#This Row],[S2Qty]],Prod[[#This Row],[S3Qty]])</f>
        <v>102768</v>
      </c>
      <c r="AA132" s="134"/>
      <c r="AB132" s="135"/>
      <c r="AC132" s="118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2">
        <f>IF(Prod[[#This Row],[S1Hrs]]=0,0,Prod[[#This Row],[S1Shot]]*Prod[[#This Row],[S1Cycle]]/(Prod[[#This Row],[S1Hrs]]*60*60))</f>
        <v>0.98326666666666662</v>
      </c>
      <c r="AT132" s="132">
        <f>IF(Prod[[#This Row],[S2Hrs]]=0,0,Prod[[#This Row],[S2Shot]]*Prod[[#This Row],[S2Cycle]]/(Prod[[#This Row],[S2Hrs]]*60*60))</f>
        <v>1.0132000000000001</v>
      </c>
      <c r="AU132" s="132">
        <f>IF(Prod[[#This Row],[S3Hrs]]=0,0,Prod[[#This Row],[S3Shot]]*Prod[[#This Row],[S3Cycle]]/(Prod[[#This Row],[S3Hrs]]*60*60))</f>
        <v>0.99866666666666659</v>
      </c>
      <c r="AV132" s="132">
        <f>IFERROR(AVERAGEIF(Prod[[#This Row],[S1%]:[S3%]], "&lt;&gt;0"),0)</f>
        <v>0.99837777777777781</v>
      </c>
      <c r="AW132" s="132">
        <v>0</v>
      </c>
      <c r="AX132" s="132">
        <v>0</v>
      </c>
      <c r="AY132" s="132">
        <v>0</v>
      </c>
      <c r="AZ132" s="175">
        <f>IF(Prod[[#This Row],[S1Cycle]]&lt;&gt;0,1,0)</f>
        <v>1</v>
      </c>
      <c r="BA132" s="175">
        <f>IF(Prod[[#This Row],[S2Cycle]]&lt;&gt;0,1,0)</f>
        <v>1</v>
      </c>
      <c r="BB132" s="175">
        <f>IF(Prod[[#This Row],[S3Cycle]]&lt;&gt;0,1,0)</f>
        <v>1</v>
      </c>
      <c r="BC132" s="175">
        <f>MAX(Prod[[#This Row],[S1Cavity]],Prod[[#This Row],[S2Cavity]],Prod[[#This Row],[S3Cavity]])</f>
        <v>16</v>
      </c>
      <c r="BD132" s="175" t="b">
        <f>RegExpMatch(Prod[[#This Row],[MoldNo]], "^DEO-(B|C)")</f>
        <v>0</v>
      </c>
      <c r="BE132" s="175" t="b">
        <f>RegExpMatch(Prod[[#This Row],[MoldNo]], "^JAC")</f>
        <v>0</v>
      </c>
    </row>
    <row r="133" spans="1:57" x14ac:dyDescent="0.2">
      <c r="A133" s="195">
        <v>45452</v>
      </c>
      <c r="B133" s="196" t="s">
        <v>190</v>
      </c>
      <c r="C133" s="197" t="s">
        <v>153</v>
      </c>
      <c r="D133" s="197">
        <v>27422</v>
      </c>
      <c r="E133" s="198" t="s">
        <v>199</v>
      </c>
      <c r="F133" s="197">
        <v>6331</v>
      </c>
      <c r="G133" s="197" t="str">
        <f>IF(OR(Prod[[#This Row],[S1Hrs]]&gt;0,Prod[[#This Row],[S2Hrs]]&gt;0,Prod[[#This Row],[S3Hrs]]&gt;0),"Running","Down")</f>
        <v>Running</v>
      </c>
      <c r="H133" s="199">
        <v>22.68</v>
      </c>
      <c r="I133" s="200">
        <v>8</v>
      </c>
      <c r="J133" s="196">
        <v>1359</v>
      </c>
      <c r="K133" s="201">
        <v>4</v>
      </c>
      <c r="L133" s="196">
        <f>Prod[[#This Row],[S1Shot]]*Prod[[#This Row],[S1Cavity]]-Prod[[#This Row],[S1Dft]]</f>
        <v>5430</v>
      </c>
      <c r="M133" s="202">
        <f>SUM(Prod[[#This Row],[S1Mold]],Prod[[#This Row],[S1Print]],Prod[[#This Row],[S1Ovlp]],Prod[[#This Row],[S1Seam]],Prod[[#This Row],[S1Dmg]])</f>
        <v>6</v>
      </c>
      <c r="N133" s="199">
        <v>22.59</v>
      </c>
      <c r="O133" s="200">
        <v>8</v>
      </c>
      <c r="P133" s="196">
        <v>1340</v>
      </c>
      <c r="Q133" s="201">
        <v>4</v>
      </c>
      <c r="R133" s="196">
        <f>Prod[[#This Row],[S2Shot]]*Prod[[#This Row],[S2Cavity]]-Prod[[#This Row],[S2Dft]]</f>
        <v>5355</v>
      </c>
      <c r="S133" s="202">
        <f>SUM(Prod[[#This Row],[S2Mold]],Prod[[#This Row],[S2Print]],Prod[[#This Row],[S2Ovlp]],Prod[[#This Row],[S2Seam]],Prod[[#This Row],[S2Dmg]])</f>
        <v>5</v>
      </c>
      <c r="T133" s="199">
        <v>22.68</v>
      </c>
      <c r="U133" s="200">
        <v>8</v>
      </c>
      <c r="V133" s="196">
        <v>1249</v>
      </c>
      <c r="W133" s="201">
        <v>4</v>
      </c>
      <c r="X133" s="196">
        <f>Prod[[#This Row],[S3Shot]]*Prod[[#This Row],[S3Cavity]]-Prod[[#This Row],[S3Dft]]</f>
        <v>4989</v>
      </c>
      <c r="Y133" s="196">
        <f>SUM(Prod[[#This Row],[S3Mold]],Prod[[#This Row],[S3Print]],Prod[[#This Row],[S3Ovlp]],Prod[[#This Row],[S3Seam]],Prod[[#This Row],[S3Dmg]])</f>
        <v>7</v>
      </c>
      <c r="Z133" s="196">
        <f>SUM(Prod[[#This Row],[S1Qty]],Prod[[#This Row],[S2Qty]],Prod[[#This Row],[S3Qty]])</f>
        <v>15774</v>
      </c>
      <c r="AA133" s="196">
        <f>SUM(Prod[[#This Row],[S1Dft]],Prod[[#This Row],[S2Dft]],Prod[[#This Row],[S3Dft]])</f>
        <v>18</v>
      </c>
      <c r="AB133" s="203">
        <f>IF(Prod[[#This Row],[Total]]=0,0,Prod[[#This Row],[TotalDft]]/Prod[[#This Row],[Total]])</f>
        <v>1.1411182959300114E-3</v>
      </c>
      <c r="AC133" s="204"/>
      <c r="AD133" s="196">
        <v>6</v>
      </c>
      <c r="AE133" s="196">
        <v>5</v>
      </c>
      <c r="AF133" s="196">
        <v>7</v>
      </c>
      <c r="AG133" s="196">
        <v>0</v>
      </c>
      <c r="AH133" s="196">
        <v>0</v>
      </c>
      <c r="AI133" s="196">
        <v>0</v>
      </c>
      <c r="AJ133" s="196">
        <v>0</v>
      </c>
      <c r="AK133" s="196">
        <v>0</v>
      </c>
      <c r="AL133" s="196">
        <v>0</v>
      </c>
      <c r="AM133" s="196">
        <v>0</v>
      </c>
      <c r="AN133" s="196">
        <v>0</v>
      </c>
      <c r="AO133" s="196">
        <v>0</v>
      </c>
      <c r="AP133" s="196">
        <v>0</v>
      </c>
      <c r="AQ133" s="196">
        <v>0</v>
      </c>
      <c r="AR133" s="196">
        <v>0</v>
      </c>
      <c r="AS133" s="205">
        <f>IF(Prod[[#This Row],[S1Hrs]]=0,0,Prod[[#This Row],[S1Shot]]*Prod[[#This Row],[S1Cycle]]/(Prod[[#This Row],[S1Hrs]]*60*60))</f>
        <v>1.0702125</v>
      </c>
      <c r="AT133" s="205">
        <f>IF(Prod[[#This Row],[S2Hrs]]=0,0,Prod[[#This Row],[S2Shot]]*Prod[[#This Row],[S2Cycle]]/(Prod[[#This Row],[S2Hrs]]*60*60))</f>
        <v>1.0510625</v>
      </c>
      <c r="AU133" s="205">
        <f>IF(Prod[[#This Row],[S3Hrs]]=0,0,Prod[[#This Row],[S3Shot]]*Prod[[#This Row],[S3Cycle]]/(Prod[[#This Row],[S3Hrs]]*60*60))</f>
        <v>0.98358749999999995</v>
      </c>
      <c r="AV133" s="205">
        <f>IFERROR(AVERAGEIF(Prod[[#This Row],[S1%]:[S3%]], "&lt;&gt;0"),0)</f>
        <v>1.0349541666666666</v>
      </c>
      <c r="AW133" s="205">
        <v>0</v>
      </c>
      <c r="AX133" s="205">
        <v>0</v>
      </c>
      <c r="AY133" s="205">
        <v>0</v>
      </c>
      <c r="AZ133" s="206">
        <f>IF(Prod[[#This Row],[S1Cycle]]&lt;&gt;0,1,0)</f>
        <v>1</v>
      </c>
      <c r="BA133" s="206">
        <f>IF(Prod[[#This Row],[S2Cycle]]&lt;&gt;0,1,0)</f>
        <v>1</v>
      </c>
      <c r="BB133" s="206">
        <f>IF(Prod[[#This Row],[S3Cycle]]&lt;&gt;0,1,0)</f>
        <v>1</v>
      </c>
      <c r="BC133" s="206">
        <f>MAX(Prod[[#This Row],[S1Cavity]],Prod[[#This Row],[S2Cavity]],Prod[[#This Row],[S3Cavity]])</f>
        <v>4</v>
      </c>
      <c r="BD133" s="206" t="b">
        <f>RegExpMatch(Prod[[#This Row],[MoldNo]], "^DEO-(B|C)")</f>
        <v>0</v>
      </c>
      <c r="BE133" s="206" t="b">
        <f>RegExpMatch(Prod[[#This Row],[MoldNo]], "^JAC")</f>
        <v>1</v>
      </c>
    </row>
    <row r="134" spans="1:57" x14ac:dyDescent="0.2">
      <c r="A134" s="195">
        <v>45452</v>
      </c>
      <c r="B134" s="201" t="s">
        <v>6</v>
      </c>
      <c r="C134" s="198" t="s">
        <v>8</v>
      </c>
      <c r="D134" s="197">
        <v>27575</v>
      </c>
      <c r="E134" s="198" t="s">
        <v>199</v>
      </c>
      <c r="F134" s="197">
        <v>814</v>
      </c>
      <c r="G134" s="197" t="str">
        <f>IF(OR(Prod[[#This Row],[S1Hrs]]&gt;0,Prod[[#This Row],[S2Hrs]]&gt;0,Prod[[#This Row],[S3Hrs]]&gt;0),"Running","Down")</f>
        <v>Running</v>
      </c>
      <c r="H134" s="199">
        <v>20.8</v>
      </c>
      <c r="I134" s="200">
        <v>8</v>
      </c>
      <c r="J134" s="196">
        <v>1455</v>
      </c>
      <c r="K134" s="201">
        <v>8</v>
      </c>
      <c r="L134" s="196">
        <f>Prod[[#This Row],[S1Shot]]*Prod[[#This Row],[S1Cavity]]-Prod[[#This Row],[S1Dft]]</f>
        <v>11515</v>
      </c>
      <c r="M134" s="202">
        <f>SUM(Prod[[#This Row],[S1Mold]],Prod[[#This Row],[S1Print]],Prod[[#This Row],[S1Ovlp]],Prod[[#This Row],[S1Seam]],Prod[[#This Row],[S1Dmg]])</f>
        <v>125</v>
      </c>
      <c r="N134" s="199">
        <v>20.79</v>
      </c>
      <c r="O134" s="200">
        <v>8</v>
      </c>
      <c r="P134" s="196">
        <v>1476</v>
      </c>
      <c r="Q134" s="201">
        <v>8</v>
      </c>
      <c r="R134" s="196">
        <f>Prod[[#This Row],[S2Shot]]*Prod[[#This Row],[S2Cavity]]-Prod[[#This Row],[S2Dft]]</f>
        <v>11688</v>
      </c>
      <c r="S134" s="202">
        <f>SUM(Prod[[#This Row],[S2Mold]],Prod[[#This Row],[S2Print]],Prod[[#This Row],[S2Ovlp]],Prod[[#This Row],[S2Seam]],Prod[[#This Row],[S2Dmg]])</f>
        <v>120</v>
      </c>
      <c r="T134" s="199">
        <v>20.8</v>
      </c>
      <c r="U134" s="200">
        <v>8</v>
      </c>
      <c r="V134" s="196">
        <v>1254</v>
      </c>
      <c r="W134" s="201">
        <v>8</v>
      </c>
      <c r="X134" s="196">
        <f>Prod[[#This Row],[S3Shot]]*Prod[[#This Row],[S3Cavity]]-Prod[[#This Row],[S3Dft]]</f>
        <v>9907</v>
      </c>
      <c r="Y134" s="196">
        <f>SUM(Prod[[#This Row],[S3Mold]],Prod[[#This Row],[S3Print]],Prod[[#This Row],[S3Ovlp]],Prod[[#This Row],[S3Seam]],Prod[[#This Row],[S3Dmg]])</f>
        <v>125</v>
      </c>
      <c r="Z134" s="196">
        <f>SUM(Prod[[#This Row],[S1Qty]],Prod[[#This Row],[S2Qty]],Prod[[#This Row],[S3Qty]])</f>
        <v>33110</v>
      </c>
      <c r="AA134" s="196">
        <f>SUM(Prod[[#This Row],[S1Dft]],Prod[[#This Row],[S2Dft]],Prod[[#This Row],[S3Dft]])</f>
        <v>370</v>
      </c>
      <c r="AB134" s="203">
        <f>IF(Prod[[#This Row],[Total]]=0,0,Prod[[#This Row],[TotalDft]]/Prod[[#This Row],[Total]])</f>
        <v>1.117487163998792E-2</v>
      </c>
      <c r="AC134" s="198"/>
      <c r="AD134" s="196">
        <v>15</v>
      </c>
      <c r="AE134" s="196">
        <v>20</v>
      </c>
      <c r="AF134" s="196">
        <v>15</v>
      </c>
      <c r="AG134" s="196">
        <v>110</v>
      </c>
      <c r="AH134" s="196">
        <v>100</v>
      </c>
      <c r="AI134" s="196">
        <v>110</v>
      </c>
      <c r="AJ134" s="196">
        <v>0</v>
      </c>
      <c r="AK134" s="196">
        <v>0</v>
      </c>
      <c r="AL134" s="196">
        <v>0</v>
      </c>
      <c r="AM134" s="196">
        <v>0</v>
      </c>
      <c r="AN134" s="196">
        <v>0</v>
      </c>
      <c r="AO134" s="196">
        <v>0</v>
      </c>
      <c r="AP134" s="196">
        <v>0</v>
      </c>
      <c r="AQ134" s="196">
        <v>0</v>
      </c>
      <c r="AR134" s="196">
        <v>0</v>
      </c>
      <c r="AS134" s="205">
        <f>IF(Prod[[#This Row],[S1Hrs]]=0,0,Prod[[#This Row],[S1Shot]]*Prod[[#This Row],[S1Cycle]]/(Prod[[#This Row],[S1Hrs]]*60*60))</f>
        <v>1.0508333333333333</v>
      </c>
      <c r="AT134" s="205">
        <f>IF(Prod[[#This Row],[S2Hrs]]=0,0,Prod[[#This Row],[S2Shot]]*Prod[[#This Row],[S2Cycle]]/(Prod[[#This Row],[S2Hrs]]*60*60))</f>
        <v>1.0654874999999999</v>
      </c>
      <c r="AU134" s="205">
        <f>IF(Prod[[#This Row],[S3Hrs]]=0,0,Prod[[#This Row],[S3Shot]]*Prod[[#This Row],[S3Cycle]]/(Prod[[#This Row],[S3Hrs]]*60*60))</f>
        <v>0.90566666666666673</v>
      </c>
      <c r="AV134" s="205">
        <f>IFERROR(AVERAGEIF(Prod[[#This Row],[S1%]:[S3%]], "&lt;&gt;0"),0)</f>
        <v>1.0073291666666666</v>
      </c>
      <c r="AW134" s="205">
        <v>0</v>
      </c>
      <c r="AX134" s="205">
        <v>0</v>
      </c>
      <c r="AY134" s="205">
        <v>0</v>
      </c>
      <c r="AZ134" s="206">
        <f>IF(Prod[[#This Row],[S1Cycle]]&lt;&gt;0,1,0)</f>
        <v>1</v>
      </c>
      <c r="BA134" s="206">
        <f>IF(Prod[[#This Row],[S2Cycle]]&lt;&gt;0,1,0)</f>
        <v>1</v>
      </c>
      <c r="BB134" s="206">
        <f>IF(Prod[[#This Row],[S3Cycle]]&lt;&gt;0,1,0)</f>
        <v>1</v>
      </c>
      <c r="BC134" s="206">
        <f>MAX(Prod[[#This Row],[S1Cavity]],Prod[[#This Row],[S2Cavity]],Prod[[#This Row],[S3Cavity]])</f>
        <v>8</v>
      </c>
      <c r="BD134" s="206" t="b">
        <f>RegExpMatch(Prod[[#This Row],[MoldNo]], "^DEO-(B|C)")</f>
        <v>1</v>
      </c>
      <c r="BE134" s="206" t="b">
        <f>RegExpMatch(Prod[[#This Row],[MoldNo]], "^JAC")</f>
        <v>0</v>
      </c>
    </row>
    <row r="135" spans="1:57" x14ac:dyDescent="0.2">
      <c r="A135" s="195">
        <v>45452</v>
      </c>
      <c r="B135" s="196" t="s">
        <v>7</v>
      </c>
      <c r="C135" s="197" t="s">
        <v>172</v>
      </c>
      <c r="D135" s="197">
        <v>27575</v>
      </c>
      <c r="E135" s="198" t="s">
        <v>199</v>
      </c>
      <c r="F135" s="197">
        <v>814</v>
      </c>
      <c r="G135" s="197" t="str">
        <f>IF(OR(Prod[[#This Row],[S1Hrs]]&gt;0,Prod[[#This Row],[S2Hrs]]&gt;0,Prod[[#This Row],[S3Hrs]]&gt;0),"Running","Down")</f>
        <v>Running</v>
      </c>
      <c r="H135" s="199">
        <v>20.75</v>
      </c>
      <c r="I135" s="200">
        <v>8</v>
      </c>
      <c r="J135" s="196">
        <v>1450</v>
      </c>
      <c r="K135" s="201">
        <v>8</v>
      </c>
      <c r="L135" s="196">
        <f>Prod[[#This Row],[S1Shot]]*Prod[[#This Row],[S1Cavity]]-Prod[[#This Row],[S1Dft]]</f>
        <v>11450</v>
      </c>
      <c r="M135" s="202">
        <f>SUM(Prod[[#This Row],[S1Mold]],Prod[[#This Row],[S1Print]],Prod[[#This Row],[S1Ovlp]],Prod[[#This Row],[S1Seam]],Prod[[#This Row],[S1Dmg]])</f>
        <v>150</v>
      </c>
      <c r="N135" s="199">
        <v>20.8</v>
      </c>
      <c r="O135" s="200">
        <v>8</v>
      </c>
      <c r="P135" s="196">
        <v>1468</v>
      </c>
      <c r="Q135" s="201">
        <v>8</v>
      </c>
      <c r="R135" s="196">
        <f>Prod[[#This Row],[S2Shot]]*Prod[[#This Row],[S2Cavity]]-Prod[[#This Row],[S2Dft]]</f>
        <v>11604</v>
      </c>
      <c r="S135" s="202">
        <f>SUM(Prod[[#This Row],[S2Mold]],Prod[[#This Row],[S2Print]],Prod[[#This Row],[S2Ovlp]],Prod[[#This Row],[S2Seam]],Prod[[#This Row],[S2Dmg]])</f>
        <v>140</v>
      </c>
      <c r="T135" s="199">
        <v>20.81</v>
      </c>
      <c r="U135" s="200">
        <v>5</v>
      </c>
      <c r="V135" s="196">
        <v>888</v>
      </c>
      <c r="W135" s="201">
        <v>8</v>
      </c>
      <c r="X135" s="196">
        <f>Prod[[#This Row],[S3Shot]]*Prod[[#This Row],[S3Cavity]]-Prod[[#This Row],[S3Dft]]</f>
        <v>6999</v>
      </c>
      <c r="Y135" s="196">
        <f>SUM(Prod[[#This Row],[S3Mold]],Prod[[#This Row],[S3Print]],Prod[[#This Row],[S3Ovlp]],Prod[[#This Row],[S3Seam]],Prod[[#This Row],[S3Dmg]])</f>
        <v>105</v>
      </c>
      <c r="Z135" s="196">
        <f>SUM(Prod[[#This Row],[S1Qty]],Prod[[#This Row],[S2Qty]],Prod[[#This Row],[S3Qty]])</f>
        <v>30053</v>
      </c>
      <c r="AA135" s="196">
        <f>SUM(Prod[[#This Row],[S1Dft]],Prod[[#This Row],[S2Dft]],Prod[[#This Row],[S3Dft]])</f>
        <v>395</v>
      </c>
      <c r="AB135" s="203">
        <f>IF(Prod[[#This Row],[Total]]=0,0,Prod[[#This Row],[TotalDft]]/Prod[[#This Row],[Total]])</f>
        <v>1.3143446577712707E-2</v>
      </c>
      <c r="AC135" s="198"/>
      <c r="AD135" s="196">
        <v>25</v>
      </c>
      <c r="AE135" s="196">
        <v>20</v>
      </c>
      <c r="AF135" s="196">
        <v>20</v>
      </c>
      <c r="AG135" s="196">
        <v>125</v>
      </c>
      <c r="AH135" s="196">
        <v>120</v>
      </c>
      <c r="AI135" s="196">
        <v>85</v>
      </c>
      <c r="AJ135" s="196">
        <v>0</v>
      </c>
      <c r="AK135" s="196">
        <v>0</v>
      </c>
      <c r="AL135" s="196">
        <v>0</v>
      </c>
      <c r="AM135" s="196">
        <v>0</v>
      </c>
      <c r="AN135" s="196">
        <v>0</v>
      </c>
      <c r="AO135" s="196">
        <v>0</v>
      </c>
      <c r="AP135" s="196">
        <v>0</v>
      </c>
      <c r="AQ135" s="196">
        <v>0</v>
      </c>
      <c r="AR135" s="196">
        <v>0</v>
      </c>
      <c r="AS135" s="205">
        <f>IF(Prod[[#This Row],[S1Hrs]]=0,0,Prod[[#This Row],[S1Shot]]*Prod[[#This Row],[S1Cycle]]/(Prod[[#This Row],[S1Hrs]]*60*60))</f>
        <v>1.0447048611111112</v>
      </c>
      <c r="AT135" s="205">
        <f>IF(Prod[[#This Row],[S2Hrs]]=0,0,Prod[[#This Row],[S2Shot]]*Prod[[#This Row],[S2Cycle]]/(Prod[[#This Row],[S2Hrs]]*60*60))</f>
        <v>1.0602222222222222</v>
      </c>
      <c r="AU135" s="205">
        <f>IF(Prod[[#This Row],[S3Hrs]]=0,0,Prod[[#This Row],[S3Shot]]*Prod[[#This Row],[S3Cycle]]/(Prod[[#This Row],[S3Hrs]]*60*60))</f>
        <v>1.0266266666666666</v>
      </c>
      <c r="AV135" s="205">
        <f>IFERROR(AVERAGEIF(Prod[[#This Row],[S1%]:[S3%]], "&lt;&gt;0"),0)</f>
        <v>1.0438512499999999</v>
      </c>
      <c r="AW135" s="205">
        <v>0</v>
      </c>
      <c r="AX135" s="205">
        <v>0</v>
      </c>
      <c r="AY135" s="205">
        <v>0</v>
      </c>
      <c r="AZ135" s="206">
        <f>IF(Prod[[#This Row],[S1Cycle]]&lt;&gt;0,1,0)</f>
        <v>1</v>
      </c>
      <c r="BA135" s="206">
        <f>IF(Prod[[#This Row],[S2Cycle]]&lt;&gt;0,1,0)</f>
        <v>1</v>
      </c>
      <c r="BB135" s="206">
        <f>IF(Prod[[#This Row],[S3Cycle]]&lt;&gt;0,1,0)</f>
        <v>1</v>
      </c>
      <c r="BC135" s="206">
        <f>MAX(Prod[[#This Row],[S1Cavity]],Prod[[#This Row],[S2Cavity]],Prod[[#This Row],[S3Cavity]])</f>
        <v>8</v>
      </c>
      <c r="BD135" s="206" t="b">
        <f>RegExpMatch(Prod[[#This Row],[MoldNo]], "^DEO-(B|C)")</f>
        <v>1</v>
      </c>
      <c r="BE135" s="206" t="b">
        <f>RegExpMatch(Prod[[#This Row],[MoldNo]], "^JAC")</f>
        <v>0</v>
      </c>
    </row>
    <row r="136" spans="1:57" x14ac:dyDescent="0.2">
      <c r="A136" s="195">
        <v>45452</v>
      </c>
      <c r="B136" s="196" t="s">
        <v>7</v>
      </c>
      <c r="C136" s="197" t="s">
        <v>172</v>
      </c>
      <c r="D136" s="197">
        <v>27760</v>
      </c>
      <c r="E136" s="198" t="s">
        <v>199</v>
      </c>
      <c r="F136" s="197">
        <v>814</v>
      </c>
      <c r="G136" s="197" t="str">
        <f>IF(OR(Prod[[#This Row],[S1Hrs]]&gt;0,Prod[[#This Row],[S2Hrs]]&gt;0,Prod[[#This Row],[S3Hrs]]&gt;0),"Running","Down")</f>
        <v>Running</v>
      </c>
      <c r="H136" s="199">
        <v>0</v>
      </c>
      <c r="I136" s="200">
        <v>0</v>
      </c>
      <c r="J136" s="196">
        <v>0</v>
      </c>
      <c r="K136" s="201">
        <v>0</v>
      </c>
      <c r="L136" s="196">
        <f>Prod[[#This Row],[S1Shot]]*Prod[[#This Row],[S1Cavity]]-Prod[[#This Row],[S1Dft]]</f>
        <v>0</v>
      </c>
      <c r="M136" s="202">
        <f>SUM(Prod[[#This Row],[S1Mold]],Prod[[#This Row],[S1Print]],Prod[[#This Row],[S1Ovlp]],Prod[[#This Row],[S1Seam]],Prod[[#This Row],[S1Dmg]])</f>
        <v>0</v>
      </c>
      <c r="N136" s="199">
        <v>0</v>
      </c>
      <c r="O136" s="200">
        <v>0</v>
      </c>
      <c r="P136" s="196">
        <v>0</v>
      </c>
      <c r="Q136" s="201">
        <v>0</v>
      </c>
      <c r="R136" s="196">
        <f>Prod[[#This Row],[S2Shot]]*Prod[[#This Row],[S2Cavity]]-Prod[[#This Row],[S2Dft]]</f>
        <v>0</v>
      </c>
      <c r="S136" s="202">
        <f>SUM(Prod[[#This Row],[S2Mold]],Prod[[#This Row],[S2Print]],Prod[[#This Row],[S2Ovlp]],Prod[[#This Row],[S2Seam]],Prod[[#This Row],[S2Dmg]])</f>
        <v>0</v>
      </c>
      <c r="T136" s="199">
        <v>20.8</v>
      </c>
      <c r="U136" s="200">
        <v>3</v>
      </c>
      <c r="V136" s="196">
        <v>263</v>
      </c>
      <c r="W136" s="201">
        <v>8</v>
      </c>
      <c r="X136" s="196">
        <f>Prod[[#This Row],[S3Shot]]*Prod[[#This Row],[S3Cavity]]-Prod[[#This Row],[S3Dft]]</f>
        <v>2069</v>
      </c>
      <c r="Y136" s="196">
        <f>SUM(Prod[[#This Row],[S3Mold]],Prod[[#This Row],[S3Print]],Prod[[#This Row],[S3Ovlp]],Prod[[#This Row],[S3Seam]],Prod[[#This Row],[S3Dmg]])</f>
        <v>35</v>
      </c>
      <c r="Z136" s="196">
        <f>SUM(Prod[[#This Row],[S1Qty]],Prod[[#This Row],[S2Qty]],Prod[[#This Row],[S3Qty]])</f>
        <v>2069</v>
      </c>
      <c r="AA136" s="196">
        <f>SUM(Prod[[#This Row],[S1Dft]],Prod[[#This Row],[S2Dft]],Prod[[#This Row],[S3Dft]])</f>
        <v>35</v>
      </c>
      <c r="AB136" s="203">
        <f>IF(Prod[[#This Row],[Total]]=0,0,Prod[[#This Row],[TotalDft]]/Prod[[#This Row],[Total]])</f>
        <v>1.6916384726921217E-2</v>
      </c>
      <c r="AC136" s="198" t="s">
        <v>233</v>
      </c>
      <c r="AD136" s="196">
        <v>0</v>
      </c>
      <c r="AE136" s="196">
        <v>0</v>
      </c>
      <c r="AF136" s="196">
        <v>5</v>
      </c>
      <c r="AG136" s="196">
        <v>0</v>
      </c>
      <c r="AH136" s="196">
        <v>0</v>
      </c>
      <c r="AI136" s="196">
        <v>30</v>
      </c>
      <c r="AJ136" s="196">
        <v>0</v>
      </c>
      <c r="AK136" s="196">
        <v>0</v>
      </c>
      <c r="AL136" s="196">
        <v>0</v>
      </c>
      <c r="AM136" s="196">
        <v>0</v>
      </c>
      <c r="AN136" s="196">
        <v>0</v>
      </c>
      <c r="AO136" s="196">
        <v>0</v>
      </c>
      <c r="AP136" s="196">
        <v>0</v>
      </c>
      <c r="AQ136" s="196">
        <v>0</v>
      </c>
      <c r="AR136" s="196">
        <v>0</v>
      </c>
      <c r="AS136" s="205">
        <f>IF(Prod[[#This Row],[S1Hrs]]=0,0,Prod[[#This Row],[S1Shot]]*Prod[[#This Row],[S1Cycle]]/(Prod[[#This Row],[S1Hrs]]*60*60))</f>
        <v>0</v>
      </c>
      <c r="AT136" s="205">
        <f>IF(Prod[[#This Row],[S2Hrs]]=0,0,Prod[[#This Row],[S2Shot]]*Prod[[#This Row],[S2Cycle]]/(Prod[[#This Row],[S2Hrs]]*60*60))</f>
        <v>0</v>
      </c>
      <c r="AU136" s="205">
        <f>IF(Prod[[#This Row],[S3Hrs]]=0,0,Prod[[#This Row],[S3Shot]]*Prod[[#This Row],[S3Cycle]]/(Prod[[#This Row],[S3Hrs]]*60*60))</f>
        <v>0.50651851851851859</v>
      </c>
      <c r="AV136" s="205">
        <f>IFERROR(AVERAGEIF(Prod[[#This Row],[S1%]:[S3%]], "&lt;&gt;0"),0)</f>
        <v>0.50651851851851859</v>
      </c>
      <c r="AW136" s="205">
        <v>0</v>
      </c>
      <c r="AX136" s="205">
        <v>0</v>
      </c>
      <c r="AY136" s="205">
        <v>0</v>
      </c>
      <c r="AZ136" s="206">
        <f>IF(Prod[[#This Row],[S1Cycle]]&lt;&gt;0,1,0)</f>
        <v>0</v>
      </c>
      <c r="BA136" s="206">
        <f>IF(Prod[[#This Row],[S2Cycle]]&lt;&gt;0,1,0)</f>
        <v>0</v>
      </c>
      <c r="BB136" s="206">
        <f>IF(Prod[[#This Row],[S3Cycle]]&lt;&gt;0,1,0)</f>
        <v>1</v>
      </c>
      <c r="BC136" s="206">
        <f>MAX(Prod[[#This Row],[S1Cavity]],Prod[[#This Row],[S2Cavity]],Prod[[#This Row],[S3Cavity]])</f>
        <v>8</v>
      </c>
      <c r="BD136" s="206" t="b">
        <f>RegExpMatch(Prod[[#This Row],[MoldNo]], "^DEO-(B|C)")</f>
        <v>1</v>
      </c>
      <c r="BE136" s="206" t="b">
        <f>RegExpMatch(Prod[[#This Row],[MoldNo]], "^JAC")</f>
        <v>0</v>
      </c>
    </row>
    <row r="137" spans="1:57" x14ac:dyDescent="0.2">
      <c r="A137" s="195">
        <v>45452</v>
      </c>
      <c r="B137" s="196" t="s">
        <v>85</v>
      </c>
      <c r="C137" s="197" t="s">
        <v>165</v>
      </c>
      <c r="D137" s="197">
        <v>27430</v>
      </c>
      <c r="E137" s="198" t="s">
        <v>199</v>
      </c>
      <c r="F137" s="197">
        <v>6331</v>
      </c>
      <c r="G137" s="197" t="str">
        <f>IF(OR(Prod[[#This Row],[S1Hrs]]&gt;0,Prod[[#This Row],[S2Hrs]]&gt;0,Prod[[#This Row],[S3Hrs]]&gt;0),"Running","Down")</f>
        <v>Running</v>
      </c>
      <c r="H137" s="199">
        <v>20.43</v>
      </c>
      <c r="I137" s="200">
        <v>8</v>
      </c>
      <c r="J137" s="196">
        <v>1466</v>
      </c>
      <c r="K137" s="201">
        <v>16</v>
      </c>
      <c r="L137" s="196">
        <f>Prod[[#This Row],[S1Shot]]*Prod[[#This Row],[S1Cavity]]-Prod[[#This Row],[S1Dft]]</f>
        <v>23456</v>
      </c>
      <c r="M137" s="207"/>
      <c r="N137" s="199">
        <v>20.420000000000002</v>
      </c>
      <c r="O137" s="200">
        <v>8</v>
      </c>
      <c r="P137" s="196">
        <v>1493</v>
      </c>
      <c r="Q137" s="201">
        <v>16</v>
      </c>
      <c r="R137" s="196">
        <f>Prod[[#This Row],[S2Shot]]*Prod[[#This Row],[S2Cavity]]-Prod[[#This Row],[S2Dft]]</f>
        <v>23888</v>
      </c>
      <c r="S137" s="207"/>
      <c r="T137" s="199">
        <v>20.420000000000002</v>
      </c>
      <c r="U137" s="200">
        <v>8</v>
      </c>
      <c r="V137" s="196">
        <v>1349</v>
      </c>
      <c r="W137" s="201">
        <v>16</v>
      </c>
      <c r="X137" s="196">
        <f>Prod[[#This Row],[S3Shot]]*Prod[[#This Row],[S3Cavity]]-Prod[[#This Row],[S3Dft]]</f>
        <v>21584</v>
      </c>
      <c r="Y137" s="207"/>
      <c r="Z137" s="196">
        <f>SUM(Prod[[#This Row],[S1Qty]],Prod[[#This Row],[S2Qty]],Prod[[#This Row],[S3Qty]])</f>
        <v>68928</v>
      </c>
      <c r="AA137" s="207"/>
      <c r="AB137" s="208"/>
      <c r="AC137" s="204"/>
      <c r="AD137" s="207"/>
      <c r="AE137" s="207"/>
      <c r="AF137" s="207"/>
      <c r="AG137" s="207"/>
      <c r="AH137" s="207"/>
      <c r="AI137" s="207"/>
      <c r="AJ137" s="207"/>
      <c r="AK137" s="207"/>
      <c r="AL137" s="207"/>
      <c r="AM137" s="207"/>
      <c r="AN137" s="207"/>
      <c r="AO137" s="207"/>
      <c r="AP137" s="207"/>
      <c r="AQ137" s="207"/>
      <c r="AR137" s="207"/>
      <c r="AS137" s="205">
        <f>IF(Prod[[#This Row],[S1Hrs]]=0,0,Prod[[#This Row],[S1Shot]]*Prod[[#This Row],[S1Cycle]]/(Prod[[#This Row],[S1Hrs]]*60*60))</f>
        <v>1.0399437499999999</v>
      </c>
      <c r="AT137" s="205">
        <f>IF(Prod[[#This Row],[S2Hrs]]=0,0,Prod[[#This Row],[S2Shot]]*Prod[[#This Row],[S2Cycle]]/(Prod[[#This Row],[S2Hrs]]*60*60))</f>
        <v>1.0585784722222222</v>
      </c>
      <c r="AU137" s="205">
        <f>IF(Prod[[#This Row],[S3Hrs]]=0,0,Prod[[#This Row],[S3Shot]]*Prod[[#This Row],[S3Cycle]]/(Prod[[#This Row],[S3Hrs]]*60*60))</f>
        <v>0.95647847222222226</v>
      </c>
      <c r="AV137" s="205">
        <f>IFERROR(AVERAGEIF(Prod[[#This Row],[S1%]:[S3%]], "&lt;&gt;0"),0)</f>
        <v>1.0183335648148149</v>
      </c>
      <c r="AW137" s="205">
        <v>0</v>
      </c>
      <c r="AX137" s="205">
        <v>0</v>
      </c>
      <c r="AY137" s="205">
        <v>0</v>
      </c>
      <c r="AZ137" s="206">
        <f>IF(Prod[[#This Row],[S1Cycle]]&lt;&gt;0,1,0)</f>
        <v>1</v>
      </c>
      <c r="BA137" s="206">
        <f>IF(Prod[[#This Row],[S2Cycle]]&lt;&gt;0,1,0)</f>
        <v>1</v>
      </c>
      <c r="BB137" s="206">
        <f>IF(Prod[[#This Row],[S3Cycle]]&lt;&gt;0,1,0)</f>
        <v>1</v>
      </c>
      <c r="BC137" s="206">
        <f>MAX(Prod[[#This Row],[S1Cavity]],Prod[[#This Row],[S2Cavity]],Prod[[#This Row],[S3Cavity]])</f>
        <v>16</v>
      </c>
      <c r="BD137" s="206" t="b">
        <f>RegExpMatch(Prod[[#This Row],[MoldNo]], "^DEO-(B|C)")</f>
        <v>0</v>
      </c>
      <c r="BE137" s="206" t="b">
        <f>RegExpMatch(Prod[[#This Row],[MoldNo]], "^JAC")</f>
        <v>0</v>
      </c>
    </row>
    <row r="138" spans="1:57" x14ac:dyDescent="0.2">
      <c r="A138" s="195">
        <v>45452</v>
      </c>
      <c r="B138" s="196" t="s">
        <v>196</v>
      </c>
      <c r="C138" s="197" t="s">
        <v>82</v>
      </c>
      <c r="D138" s="197"/>
      <c r="E138" s="198"/>
      <c r="F138" s="197"/>
      <c r="G138" s="197" t="str">
        <f>IF(OR(Prod[[#This Row],[S1Hrs]]&gt;0,Prod[[#This Row],[S2Hrs]]&gt;0,Prod[[#This Row],[S3Hrs]]&gt;0),"Running","Down")</f>
        <v>Down</v>
      </c>
      <c r="H138" s="199">
        <v>0</v>
      </c>
      <c r="I138" s="200">
        <v>0</v>
      </c>
      <c r="J138" s="196">
        <v>0</v>
      </c>
      <c r="K138" s="201">
        <v>0</v>
      </c>
      <c r="L138" s="196">
        <f>Prod[[#This Row],[S1Shot]]*Prod[[#This Row],[S1Cavity]]-Prod[[#This Row],[S1Dft]]</f>
        <v>0</v>
      </c>
      <c r="M138" s="207"/>
      <c r="N138" s="199">
        <v>0</v>
      </c>
      <c r="O138" s="200">
        <v>0</v>
      </c>
      <c r="P138" s="196">
        <v>0</v>
      </c>
      <c r="Q138" s="201">
        <v>0</v>
      </c>
      <c r="R138" s="196">
        <f>Prod[[#This Row],[S2Shot]]*Prod[[#This Row],[S2Cavity]]-Prod[[#This Row],[S2Dft]]</f>
        <v>0</v>
      </c>
      <c r="S138" s="207"/>
      <c r="T138" s="199">
        <v>0</v>
      </c>
      <c r="U138" s="200">
        <v>0</v>
      </c>
      <c r="V138" s="196">
        <v>0</v>
      </c>
      <c r="W138" s="201">
        <v>0</v>
      </c>
      <c r="X138" s="196">
        <f>Prod[[#This Row],[S3Shot]]*Prod[[#This Row],[S3Cavity]]-Prod[[#This Row],[S3Dft]]</f>
        <v>0</v>
      </c>
      <c r="Y138" s="207"/>
      <c r="Z138" s="196">
        <f>SUM(Prod[[#This Row],[S1Qty]],Prod[[#This Row],[S2Qty]],Prod[[#This Row],[S3Qty]])</f>
        <v>0</v>
      </c>
      <c r="AA138" s="207"/>
      <c r="AB138" s="208"/>
      <c r="AC138" s="204"/>
      <c r="AD138" s="207"/>
      <c r="AE138" s="207"/>
      <c r="AF138" s="207"/>
      <c r="AG138" s="207"/>
      <c r="AH138" s="207"/>
      <c r="AI138" s="207"/>
      <c r="AJ138" s="207"/>
      <c r="AK138" s="207"/>
      <c r="AL138" s="207"/>
      <c r="AM138" s="207"/>
      <c r="AN138" s="207"/>
      <c r="AO138" s="207"/>
      <c r="AP138" s="207"/>
      <c r="AQ138" s="207"/>
      <c r="AR138" s="207"/>
      <c r="AS138" s="205">
        <f>IF(Prod[[#This Row],[S1Hrs]]=0,0,Prod[[#This Row],[S1Shot]]*Prod[[#This Row],[S1Cycle]]/(Prod[[#This Row],[S1Hrs]]*60*60))</f>
        <v>0</v>
      </c>
      <c r="AT138" s="205">
        <f>IF(Prod[[#This Row],[S2Hrs]]=0,0,Prod[[#This Row],[S2Shot]]*Prod[[#This Row],[S2Cycle]]/(Prod[[#This Row],[S2Hrs]]*60*60))</f>
        <v>0</v>
      </c>
      <c r="AU138" s="205">
        <f>IF(Prod[[#This Row],[S3Hrs]]=0,0,Prod[[#This Row],[S3Shot]]*Prod[[#This Row],[S3Cycle]]/(Prod[[#This Row],[S3Hrs]]*60*60))</f>
        <v>0</v>
      </c>
      <c r="AV138" s="205">
        <f>IFERROR(AVERAGEIF(Prod[[#This Row],[S1%]:[S3%]], "&lt;&gt;0"),0)</f>
        <v>0</v>
      </c>
      <c r="AW138" s="205">
        <v>0</v>
      </c>
      <c r="AX138" s="205">
        <v>0</v>
      </c>
      <c r="AY138" s="205">
        <v>0</v>
      </c>
      <c r="AZ138" s="206">
        <f>IF(Prod[[#This Row],[S1Cycle]]&lt;&gt;0,1,0)</f>
        <v>0</v>
      </c>
      <c r="BA138" s="206">
        <f>IF(Prod[[#This Row],[S2Cycle]]&lt;&gt;0,1,0)</f>
        <v>0</v>
      </c>
      <c r="BB138" s="206">
        <f>IF(Prod[[#This Row],[S3Cycle]]&lt;&gt;0,1,0)</f>
        <v>0</v>
      </c>
      <c r="BC138" s="206">
        <f>MAX(Prod[[#This Row],[S1Cavity]],Prod[[#This Row],[S2Cavity]],Prod[[#This Row],[S3Cavity]])</f>
        <v>0</v>
      </c>
      <c r="BD138" s="206" t="b">
        <f>RegExpMatch(Prod[[#This Row],[MoldNo]], "^DEO-(B|C)")</f>
        <v>0</v>
      </c>
      <c r="BE138" s="206" t="b">
        <f>RegExpMatch(Prod[[#This Row],[MoldNo]], "^JAC")</f>
        <v>0</v>
      </c>
    </row>
    <row r="139" spans="1:57" x14ac:dyDescent="0.2">
      <c r="A139" s="195">
        <v>45452</v>
      </c>
      <c r="B139" s="196" t="s">
        <v>192</v>
      </c>
      <c r="C139" s="198" t="s">
        <v>193</v>
      </c>
      <c r="D139" s="197">
        <v>27575</v>
      </c>
      <c r="E139" s="198" t="s">
        <v>199</v>
      </c>
      <c r="F139" s="197">
        <v>814</v>
      </c>
      <c r="G139" s="197" t="str">
        <f>IF(OR(Prod[[#This Row],[S1Hrs]]&gt;0,Prod[[#This Row],[S2Hrs]]&gt;0,Prod[[#This Row],[S3Hrs]]&gt;0),"Running","Down")</f>
        <v>Running</v>
      </c>
      <c r="H139" s="199">
        <v>17.25</v>
      </c>
      <c r="I139" s="200">
        <v>8</v>
      </c>
      <c r="J139" s="196">
        <v>1651</v>
      </c>
      <c r="K139" s="201">
        <v>24</v>
      </c>
      <c r="L139" s="196">
        <f>Prod[[#This Row],[S1Shot]]*Prod[[#This Row],[S1Cavity]]-Prod[[#This Row],[S1Dft]]</f>
        <v>39624</v>
      </c>
      <c r="M139" s="207"/>
      <c r="N139" s="199">
        <v>17.25</v>
      </c>
      <c r="O139" s="200">
        <v>8</v>
      </c>
      <c r="P139" s="196">
        <v>1768</v>
      </c>
      <c r="Q139" s="201">
        <v>24</v>
      </c>
      <c r="R139" s="196">
        <f>Prod[[#This Row],[S2Shot]]*Prod[[#This Row],[S2Cavity]]-Prod[[#This Row],[S2Dft]]</f>
        <v>42432</v>
      </c>
      <c r="S139" s="207"/>
      <c r="T139" s="199">
        <v>17.25</v>
      </c>
      <c r="U139" s="200">
        <v>8</v>
      </c>
      <c r="V139" s="196">
        <v>1544</v>
      </c>
      <c r="W139" s="201">
        <v>24</v>
      </c>
      <c r="X139" s="196">
        <f>Prod[[#This Row],[S3Shot]]*Prod[[#This Row],[S3Cavity]]-Prod[[#This Row],[S3Dft]]</f>
        <v>37056</v>
      </c>
      <c r="Y139" s="207"/>
      <c r="Z139" s="196">
        <f>SUM(Prod[[#This Row],[S1Qty]],Prod[[#This Row],[S2Qty]],Prod[[#This Row],[S3Qty]])</f>
        <v>119112</v>
      </c>
      <c r="AA139" s="207"/>
      <c r="AB139" s="208"/>
      <c r="AC139" s="204"/>
      <c r="AD139" s="207"/>
      <c r="AE139" s="207"/>
      <c r="AF139" s="207"/>
      <c r="AG139" s="207"/>
      <c r="AH139" s="207"/>
      <c r="AI139" s="207"/>
      <c r="AJ139" s="207"/>
      <c r="AK139" s="207"/>
      <c r="AL139" s="207"/>
      <c r="AM139" s="207"/>
      <c r="AN139" s="207"/>
      <c r="AO139" s="207"/>
      <c r="AP139" s="207"/>
      <c r="AQ139" s="207"/>
      <c r="AR139" s="207"/>
      <c r="AS139" s="205">
        <f>IF(Prod[[#This Row],[S1Hrs]]=0,0,Prod[[#This Row],[S1Shot]]*Prod[[#This Row],[S1Cycle]]/(Prod[[#This Row],[S1Hrs]]*60*60))</f>
        <v>0.98888020833333334</v>
      </c>
      <c r="AT139" s="205">
        <f>IF(Prod[[#This Row],[S2Hrs]]=0,0,Prod[[#This Row],[S2Shot]]*Prod[[#This Row],[S2Cycle]]/(Prod[[#This Row],[S2Hrs]]*60*60))</f>
        <v>1.0589583333333332</v>
      </c>
      <c r="AU139" s="205">
        <f>IF(Prod[[#This Row],[S3Hrs]]=0,0,Prod[[#This Row],[S3Shot]]*Prod[[#This Row],[S3Cycle]]/(Prod[[#This Row],[S3Hrs]]*60*60))</f>
        <v>0.92479166666666668</v>
      </c>
      <c r="AV139" s="205">
        <f>IFERROR(AVERAGEIF(Prod[[#This Row],[S1%]:[S3%]], "&lt;&gt;0"),0)</f>
        <v>0.99087673611111116</v>
      </c>
      <c r="AW139" s="205">
        <v>0</v>
      </c>
      <c r="AX139" s="205">
        <v>0</v>
      </c>
      <c r="AY139" s="205">
        <v>0</v>
      </c>
      <c r="AZ139" s="206">
        <f>IF(Prod[[#This Row],[S1Cycle]]&lt;&gt;0,1,0)</f>
        <v>1</v>
      </c>
      <c r="BA139" s="206">
        <f>IF(Prod[[#This Row],[S2Cycle]]&lt;&gt;0,1,0)</f>
        <v>1</v>
      </c>
      <c r="BB139" s="206">
        <f>IF(Prod[[#This Row],[S3Cycle]]&lt;&gt;0,1,0)</f>
        <v>1</v>
      </c>
      <c r="BC139" s="206">
        <f>MAX(Prod[[#This Row],[S1Cavity]],Prod[[#This Row],[S2Cavity]],Prod[[#This Row],[S3Cavity]])</f>
        <v>24</v>
      </c>
      <c r="BD139" s="206" t="b">
        <f>RegExpMatch(Prod[[#This Row],[MoldNo]], "^DEO-(B|C)")</f>
        <v>0</v>
      </c>
      <c r="BE139" s="206" t="b">
        <f>RegExpMatch(Prod[[#This Row],[MoldNo]], "^JAC")</f>
        <v>0</v>
      </c>
    </row>
    <row r="140" spans="1:57" x14ac:dyDescent="0.2">
      <c r="A140" s="195">
        <v>45452</v>
      </c>
      <c r="B140" s="196" t="s">
        <v>168</v>
      </c>
      <c r="C140" s="197" t="s">
        <v>169</v>
      </c>
      <c r="D140" s="197"/>
      <c r="E140" s="198"/>
      <c r="F140" s="197"/>
      <c r="G140" s="197" t="str">
        <f>IF(OR(Prod[[#This Row],[S1Hrs]]&gt;0,Prod[[#This Row],[S2Hrs]]&gt;0,Prod[[#This Row],[S3Hrs]]&gt;0),"Running","Down")</f>
        <v>Down</v>
      </c>
      <c r="H140" s="199">
        <v>0</v>
      </c>
      <c r="I140" s="200">
        <v>0</v>
      </c>
      <c r="J140" s="196">
        <v>0</v>
      </c>
      <c r="K140" s="201">
        <v>0</v>
      </c>
      <c r="L140" s="196">
        <f>Prod[[#This Row],[S1Shot]]*Prod[[#This Row],[S1Cavity]]-Prod[[#This Row],[S1Dft]]</f>
        <v>0</v>
      </c>
      <c r="M140" s="207"/>
      <c r="N140" s="199">
        <v>0</v>
      </c>
      <c r="O140" s="200">
        <v>0</v>
      </c>
      <c r="P140" s="196">
        <v>0</v>
      </c>
      <c r="Q140" s="201">
        <v>0</v>
      </c>
      <c r="R140" s="196">
        <f>Prod[[#This Row],[S2Shot]]*Prod[[#This Row],[S2Cavity]]-Prod[[#This Row],[S2Dft]]</f>
        <v>0</v>
      </c>
      <c r="S140" s="207"/>
      <c r="T140" s="199">
        <v>0</v>
      </c>
      <c r="U140" s="200">
        <v>0</v>
      </c>
      <c r="V140" s="196">
        <v>0</v>
      </c>
      <c r="W140" s="201">
        <v>0</v>
      </c>
      <c r="X140" s="196">
        <f>Prod[[#This Row],[S3Shot]]*Prod[[#This Row],[S3Cavity]]-Prod[[#This Row],[S3Dft]]</f>
        <v>0</v>
      </c>
      <c r="Y140" s="207"/>
      <c r="Z140" s="196">
        <f>SUM(Prod[[#This Row],[S1Qty]],Prod[[#This Row],[S2Qty]],Prod[[#This Row],[S3Qty]])</f>
        <v>0</v>
      </c>
      <c r="AA140" s="207"/>
      <c r="AB140" s="208"/>
      <c r="AC140" s="204"/>
      <c r="AD140" s="207"/>
      <c r="AE140" s="207"/>
      <c r="AF140" s="207"/>
      <c r="AG140" s="207"/>
      <c r="AH140" s="207"/>
      <c r="AI140" s="207"/>
      <c r="AJ140" s="207"/>
      <c r="AK140" s="207"/>
      <c r="AL140" s="207"/>
      <c r="AM140" s="207"/>
      <c r="AN140" s="207"/>
      <c r="AO140" s="207"/>
      <c r="AP140" s="207"/>
      <c r="AQ140" s="207"/>
      <c r="AR140" s="207"/>
      <c r="AS140" s="205">
        <f>IF(Prod[[#This Row],[S1Hrs]]=0,0,Prod[[#This Row],[S1Shot]]*Prod[[#This Row],[S1Cycle]]/(Prod[[#This Row],[S1Hrs]]*60*60))</f>
        <v>0</v>
      </c>
      <c r="AT140" s="205">
        <f>IF(Prod[[#This Row],[S2Hrs]]=0,0,Prod[[#This Row],[S2Shot]]*Prod[[#This Row],[S2Cycle]]/(Prod[[#This Row],[S2Hrs]]*60*60))</f>
        <v>0</v>
      </c>
      <c r="AU140" s="205">
        <f>IF(Prod[[#This Row],[S3Hrs]]=0,0,Prod[[#This Row],[S3Shot]]*Prod[[#This Row],[S3Cycle]]/(Prod[[#This Row],[S3Hrs]]*60*60))</f>
        <v>0</v>
      </c>
      <c r="AV140" s="205">
        <f>IFERROR(AVERAGEIF(Prod[[#This Row],[S1%]:[S3%]], "&lt;&gt;0"),0)</f>
        <v>0</v>
      </c>
      <c r="AW140" s="205">
        <v>0</v>
      </c>
      <c r="AX140" s="205">
        <v>0</v>
      </c>
      <c r="AY140" s="205">
        <v>0</v>
      </c>
      <c r="AZ140" s="206">
        <f>IF(Prod[[#This Row],[S1Cycle]]&lt;&gt;0,1,0)</f>
        <v>0</v>
      </c>
      <c r="BA140" s="206">
        <f>IF(Prod[[#This Row],[S2Cycle]]&lt;&gt;0,1,0)</f>
        <v>0</v>
      </c>
      <c r="BB140" s="206">
        <f>IF(Prod[[#This Row],[S3Cycle]]&lt;&gt;0,1,0)</f>
        <v>0</v>
      </c>
      <c r="BC140" s="206">
        <f>MAX(Prod[[#This Row],[S1Cavity]],Prod[[#This Row],[S2Cavity]],Prod[[#This Row],[S3Cavity]])</f>
        <v>0</v>
      </c>
      <c r="BD140" s="206" t="b">
        <f>RegExpMatch(Prod[[#This Row],[MoldNo]], "^DEO-(B|C)")</f>
        <v>0</v>
      </c>
      <c r="BE140" s="206" t="b">
        <f>RegExpMatch(Prod[[#This Row],[MoldNo]], "^JAC")</f>
        <v>0</v>
      </c>
    </row>
    <row r="141" spans="1:57" x14ac:dyDescent="0.2">
      <c r="A141" s="195">
        <v>45452</v>
      </c>
      <c r="B141" s="196" t="s">
        <v>146</v>
      </c>
      <c r="C141" s="197" t="s">
        <v>84</v>
      </c>
      <c r="D141" s="197"/>
      <c r="E141" s="198"/>
      <c r="F141" s="197"/>
      <c r="G141" s="197" t="str">
        <f>IF(OR(Prod[[#This Row],[S1Hrs]]&gt;0,Prod[[#This Row],[S2Hrs]]&gt;0,Prod[[#This Row],[S3Hrs]]&gt;0),"Running","Down")</f>
        <v>Down</v>
      </c>
      <c r="H141" s="199">
        <v>0</v>
      </c>
      <c r="I141" s="200">
        <v>0</v>
      </c>
      <c r="J141" s="196">
        <v>0</v>
      </c>
      <c r="K141" s="201">
        <v>0</v>
      </c>
      <c r="L141" s="196">
        <f>Prod[[#This Row],[S1Shot]]*Prod[[#This Row],[S1Cavity]]-Prod[[#This Row],[S1Dft]]</f>
        <v>0</v>
      </c>
      <c r="M141" s="207"/>
      <c r="N141" s="199">
        <v>0</v>
      </c>
      <c r="O141" s="200">
        <v>0</v>
      </c>
      <c r="P141" s="196">
        <v>0</v>
      </c>
      <c r="Q141" s="201">
        <v>0</v>
      </c>
      <c r="R141" s="196">
        <f>Prod[[#This Row],[S2Shot]]*Prod[[#This Row],[S2Cavity]]-Prod[[#This Row],[S2Dft]]</f>
        <v>0</v>
      </c>
      <c r="S141" s="207"/>
      <c r="T141" s="199">
        <v>0</v>
      </c>
      <c r="U141" s="200">
        <v>0</v>
      </c>
      <c r="V141" s="196">
        <v>0</v>
      </c>
      <c r="W141" s="201">
        <v>0</v>
      </c>
      <c r="X141" s="196">
        <f>Prod[[#This Row],[S3Shot]]*Prod[[#This Row],[S3Cavity]]-Prod[[#This Row],[S3Dft]]</f>
        <v>0</v>
      </c>
      <c r="Y141" s="207"/>
      <c r="Z141" s="196">
        <f>SUM(Prod[[#This Row],[S1Qty]],Prod[[#This Row],[S2Qty]],Prod[[#This Row],[S3Qty]])</f>
        <v>0</v>
      </c>
      <c r="AA141" s="207"/>
      <c r="AB141" s="208"/>
      <c r="AC141" s="204"/>
      <c r="AD141" s="207"/>
      <c r="AE141" s="207"/>
      <c r="AF141" s="207"/>
      <c r="AG141" s="207"/>
      <c r="AH141" s="207"/>
      <c r="AI141" s="207"/>
      <c r="AJ141" s="207"/>
      <c r="AK141" s="207"/>
      <c r="AL141" s="207"/>
      <c r="AM141" s="207"/>
      <c r="AN141" s="207"/>
      <c r="AO141" s="207"/>
      <c r="AP141" s="207"/>
      <c r="AQ141" s="207"/>
      <c r="AR141" s="207"/>
      <c r="AS141" s="205">
        <f>IF(Prod[[#This Row],[S1Hrs]]=0,0,Prod[[#This Row],[S1Shot]]*Prod[[#This Row],[S1Cycle]]/(Prod[[#This Row],[S1Hrs]]*60*60))</f>
        <v>0</v>
      </c>
      <c r="AT141" s="205">
        <f>IF(Prod[[#This Row],[S2Hrs]]=0,0,Prod[[#This Row],[S2Shot]]*Prod[[#This Row],[S2Cycle]]/(Prod[[#This Row],[S2Hrs]]*60*60))</f>
        <v>0</v>
      </c>
      <c r="AU141" s="205">
        <f>IF(Prod[[#This Row],[S3Hrs]]=0,0,Prod[[#This Row],[S3Shot]]*Prod[[#This Row],[S3Cycle]]/(Prod[[#This Row],[S3Hrs]]*60*60))</f>
        <v>0</v>
      </c>
      <c r="AV141" s="205">
        <f>IFERROR(AVERAGEIF(Prod[[#This Row],[S1%]:[S3%]], "&lt;&gt;0"),0)</f>
        <v>0</v>
      </c>
      <c r="AW141" s="205">
        <v>0</v>
      </c>
      <c r="AX141" s="205">
        <v>0</v>
      </c>
      <c r="AY141" s="205">
        <v>0</v>
      </c>
      <c r="AZ141" s="206">
        <f>IF(Prod[[#This Row],[S1Cycle]]&lt;&gt;0,1,0)</f>
        <v>0</v>
      </c>
      <c r="BA141" s="206">
        <f>IF(Prod[[#This Row],[S2Cycle]]&lt;&gt;0,1,0)</f>
        <v>0</v>
      </c>
      <c r="BB141" s="206">
        <f>IF(Prod[[#This Row],[S3Cycle]]&lt;&gt;0,1,0)</f>
        <v>0</v>
      </c>
      <c r="BC141" s="206">
        <f>MAX(Prod[[#This Row],[S1Cavity]],Prod[[#This Row],[S2Cavity]],Prod[[#This Row],[S3Cavity]])</f>
        <v>0</v>
      </c>
      <c r="BD141" s="206" t="b">
        <f>RegExpMatch(Prod[[#This Row],[MoldNo]], "^DEO-(B|C)")</f>
        <v>0</v>
      </c>
      <c r="BE141" s="206" t="b">
        <f>RegExpMatch(Prod[[#This Row],[MoldNo]], "^JAC")</f>
        <v>0</v>
      </c>
    </row>
    <row r="142" spans="1:57" x14ac:dyDescent="0.2">
      <c r="A142" s="195">
        <v>45452</v>
      </c>
      <c r="B142" s="201" t="s">
        <v>194</v>
      </c>
      <c r="C142" s="198" t="s">
        <v>9</v>
      </c>
      <c r="D142" s="197"/>
      <c r="E142" s="198"/>
      <c r="F142" s="197"/>
      <c r="G142" s="197" t="str">
        <f>IF(OR(Prod[[#This Row],[S1Hrs]]&gt;0,Prod[[#This Row],[S2Hrs]]&gt;0,Prod[[#This Row],[S3Hrs]]&gt;0),"Running","Down")</f>
        <v>Down</v>
      </c>
      <c r="H142" s="199">
        <v>0</v>
      </c>
      <c r="I142" s="200">
        <v>0</v>
      </c>
      <c r="J142" s="196">
        <v>0</v>
      </c>
      <c r="K142" s="201">
        <v>0</v>
      </c>
      <c r="L142" s="196">
        <f>Prod[[#This Row],[S1Shot]]*Prod[[#This Row],[S1Cavity]]-Prod[[#This Row],[S1Dft]]</f>
        <v>0</v>
      </c>
      <c r="M142" s="207"/>
      <c r="N142" s="199">
        <v>0</v>
      </c>
      <c r="O142" s="200">
        <v>0</v>
      </c>
      <c r="P142" s="196">
        <v>0</v>
      </c>
      <c r="Q142" s="201">
        <v>0</v>
      </c>
      <c r="R142" s="196">
        <f>Prod[[#This Row],[S2Shot]]*Prod[[#This Row],[S2Cavity]]-Prod[[#This Row],[S2Dft]]</f>
        <v>0</v>
      </c>
      <c r="S142" s="207"/>
      <c r="T142" s="199">
        <v>0</v>
      </c>
      <c r="U142" s="200">
        <v>0</v>
      </c>
      <c r="V142" s="196">
        <v>0</v>
      </c>
      <c r="W142" s="201">
        <v>0</v>
      </c>
      <c r="X142" s="196">
        <f>Prod[[#This Row],[S3Shot]]*Prod[[#This Row],[S3Cavity]]-Prod[[#This Row],[S3Dft]]</f>
        <v>0</v>
      </c>
      <c r="Y142" s="207"/>
      <c r="Z142" s="196">
        <f>SUM(Prod[[#This Row],[S1Qty]],Prod[[#This Row],[S2Qty]],Prod[[#This Row],[S3Qty]])</f>
        <v>0</v>
      </c>
      <c r="AA142" s="207"/>
      <c r="AB142" s="208"/>
      <c r="AC142" s="204"/>
      <c r="AD142" s="207"/>
      <c r="AE142" s="207"/>
      <c r="AF142" s="207"/>
      <c r="AG142" s="207"/>
      <c r="AH142" s="207"/>
      <c r="AI142" s="207"/>
      <c r="AJ142" s="207"/>
      <c r="AK142" s="207"/>
      <c r="AL142" s="207"/>
      <c r="AM142" s="207"/>
      <c r="AN142" s="207"/>
      <c r="AO142" s="207"/>
      <c r="AP142" s="207"/>
      <c r="AQ142" s="207"/>
      <c r="AR142" s="207"/>
      <c r="AS142" s="205">
        <f>IF(Prod[[#This Row],[S1Hrs]]=0,0,Prod[[#This Row],[S1Shot]]*Prod[[#This Row],[S1Cycle]]/(Prod[[#This Row],[S1Hrs]]*60*60))</f>
        <v>0</v>
      </c>
      <c r="AT142" s="205">
        <f>IF(Prod[[#This Row],[S2Hrs]]=0,0,Prod[[#This Row],[S2Shot]]*Prod[[#This Row],[S2Cycle]]/(Prod[[#This Row],[S2Hrs]]*60*60))</f>
        <v>0</v>
      </c>
      <c r="AU142" s="205">
        <f>IF(Prod[[#This Row],[S3Hrs]]=0,0,Prod[[#This Row],[S3Shot]]*Prod[[#This Row],[S3Cycle]]/(Prod[[#This Row],[S3Hrs]]*60*60))</f>
        <v>0</v>
      </c>
      <c r="AV142" s="205">
        <f>IFERROR(AVERAGEIF(Prod[[#This Row],[S1%]:[S3%]], "&lt;&gt;0"),0)</f>
        <v>0</v>
      </c>
      <c r="AW142" s="205">
        <v>0</v>
      </c>
      <c r="AX142" s="205">
        <v>0</v>
      </c>
      <c r="AY142" s="205">
        <v>0</v>
      </c>
      <c r="AZ142" s="206">
        <f>IF(Prod[[#This Row],[S1Cycle]]&lt;&gt;0,1,0)</f>
        <v>0</v>
      </c>
      <c r="BA142" s="206">
        <f>IF(Prod[[#This Row],[S2Cycle]]&lt;&gt;0,1,0)</f>
        <v>0</v>
      </c>
      <c r="BB142" s="206">
        <f>IF(Prod[[#This Row],[S3Cycle]]&lt;&gt;0,1,0)</f>
        <v>0</v>
      </c>
      <c r="BC142" s="206">
        <f>MAX(Prod[[#This Row],[S1Cavity]],Prod[[#This Row],[S2Cavity]],Prod[[#This Row],[S3Cavity]])</f>
        <v>0</v>
      </c>
      <c r="BD142" s="206" t="b">
        <f>RegExpMatch(Prod[[#This Row],[MoldNo]], "^DEO-(B|C)")</f>
        <v>0</v>
      </c>
      <c r="BE142" s="206" t="b">
        <f>RegExpMatch(Prod[[#This Row],[MoldNo]], "^JAC")</f>
        <v>0</v>
      </c>
    </row>
    <row r="143" spans="1:57" x14ac:dyDescent="0.2">
      <c r="A143" s="195">
        <v>45452</v>
      </c>
      <c r="B143" s="201" t="s">
        <v>164</v>
      </c>
      <c r="C143" s="198" t="s">
        <v>144</v>
      </c>
      <c r="D143" s="197"/>
      <c r="E143" s="198"/>
      <c r="F143" s="197"/>
      <c r="G143" s="197" t="str">
        <f>IF(OR(Prod[[#This Row],[S1Hrs]]&gt;0,Prod[[#This Row],[S2Hrs]]&gt;0,Prod[[#This Row],[S3Hrs]]&gt;0),"Running","Down")</f>
        <v>Down</v>
      </c>
      <c r="H143" s="199">
        <v>0</v>
      </c>
      <c r="I143" s="200">
        <v>0</v>
      </c>
      <c r="J143" s="196">
        <v>0</v>
      </c>
      <c r="K143" s="201">
        <v>0</v>
      </c>
      <c r="L143" s="196">
        <f>Prod[[#This Row],[S1Shot]]*Prod[[#This Row],[S1Cavity]]-Prod[[#This Row],[S1Dft]]</f>
        <v>0</v>
      </c>
      <c r="M143" s="202">
        <f>SUM(Prod[[#This Row],[S1Mold]],Prod[[#This Row],[S1Print]],Prod[[#This Row],[S1Ovlp]],Prod[[#This Row],[S1Seam]],Prod[[#This Row],[S1Dmg]])</f>
        <v>0</v>
      </c>
      <c r="N143" s="199">
        <v>0</v>
      </c>
      <c r="O143" s="200">
        <v>0</v>
      </c>
      <c r="P143" s="196">
        <v>0</v>
      </c>
      <c r="Q143" s="201">
        <v>0</v>
      </c>
      <c r="R143" s="196">
        <f>Prod[[#This Row],[S2Shot]]*Prod[[#This Row],[S2Cavity]]-Prod[[#This Row],[S2Dft]]</f>
        <v>0</v>
      </c>
      <c r="S143" s="202">
        <f>SUM(Prod[[#This Row],[S2Mold]],Prod[[#This Row],[S2Print]],Prod[[#This Row],[S2Ovlp]],Prod[[#This Row],[S2Seam]],Prod[[#This Row],[S2Dmg]])</f>
        <v>0</v>
      </c>
      <c r="T143" s="199">
        <v>0</v>
      </c>
      <c r="U143" s="200">
        <v>0</v>
      </c>
      <c r="V143" s="196">
        <v>0</v>
      </c>
      <c r="W143" s="201">
        <v>0</v>
      </c>
      <c r="X143" s="196">
        <f>Prod[[#This Row],[S3Shot]]*Prod[[#This Row],[S3Cavity]]-Prod[[#This Row],[S3Dft]]</f>
        <v>0</v>
      </c>
      <c r="Y143" s="196">
        <f>SUM(Prod[[#This Row],[S3Mold]],Prod[[#This Row],[S3Print]],Prod[[#This Row],[S3Ovlp]],Prod[[#This Row],[S3Seam]],Prod[[#This Row],[S3Dmg]])</f>
        <v>0</v>
      </c>
      <c r="Z143" s="196">
        <f>SUM(Prod[[#This Row],[S1Qty]],Prod[[#This Row],[S2Qty]],Prod[[#This Row],[S3Qty]])</f>
        <v>0</v>
      </c>
      <c r="AA143" s="196">
        <f>SUM(Prod[[#This Row],[S1Dft]],Prod[[#This Row],[S2Dft]],Prod[[#This Row],[S3Dft]])</f>
        <v>0</v>
      </c>
      <c r="AB143" s="203">
        <f>IF(Prod[[#This Row],[Total]]=0,0,Prod[[#This Row],[TotalDft]]/Prod[[#This Row],[Total]])</f>
        <v>0</v>
      </c>
      <c r="AC143" s="204"/>
      <c r="AD143" s="196">
        <v>0</v>
      </c>
      <c r="AE143" s="196">
        <v>0</v>
      </c>
      <c r="AF143" s="196">
        <v>0</v>
      </c>
      <c r="AG143" s="196">
        <v>0</v>
      </c>
      <c r="AH143" s="196">
        <v>0</v>
      </c>
      <c r="AI143" s="196">
        <v>0</v>
      </c>
      <c r="AJ143" s="196">
        <v>0</v>
      </c>
      <c r="AK143" s="196">
        <v>0</v>
      </c>
      <c r="AL143" s="196">
        <v>0</v>
      </c>
      <c r="AM143" s="196">
        <v>0</v>
      </c>
      <c r="AN143" s="196">
        <v>0</v>
      </c>
      <c r="AO143" s="196">
        <v>0</v>
      </c>
      <c r="AP143" s="196">
        <v>0</v>
      </c>
      <c r="AQ143" s="196">
        <v>0</v>
      </c>
      <c r="AR143" s="196">
        <v>0</v>
      </c>
      <c r="AS143" s="205">
        <f>IF(Prod[[#This Row],[S1Hrs]]=0,0,Prod[[#This Row],[S1Shot]]*Prod[[#This Row],[S1Cycle]]/(Prod[[#This Row],[S1Hrs]]*60*60))</f>
        <v>0</v>
      </c>
      <c r="AT143" s="205">
        <f>IF(Prod[[#This Row],[S2Hrs]]=0,0,Prod[[#This Row],[S2Shot]]*Prod[[#This Row],[S2Cycle]]/(Prod[[#This Row],[S2Hrs]]*60*60))</f>
        <v>0</v>
      </c>
      <c r="AU143" s="205">
        <f>IF(Prod[[#This Row],[S3Hrs]]=0,0,Prod[[#This Row],[S3Shot]]*Prod[[#This Row],[S3Cycle]]/(Prod[[#This Row],[S3Hrs]]*60*60))</f>
        <v>0</v>
      </c>
      <c r="AV143" s="205">
        <f>IFERROR(AVERAGEIF(Prod[[#This Row],[S1%]:[S3%]], "&lt;&gt;0"),0)</f>
        <v>0</v>
      </c>
      <c r="AW143" s="205">
        <v>0</v>
      </c>
      <c r="AX143" s="205">
        <v>0</v>
      </c>
      <c r="AY143" s="205">
        <v>0</v>
      </c>
      <c r="AZ143" s="206">
        <f>IF(Prod[[#This Row],[S1Cycle]]&lt;&gt;0,1,0)</f>
        <v>0</v>
      </c>
      <c r="BA143" s="206">
        <f>IF(Prod[[#This Row],[S2Cycle]]&lt;&gt;0,1,0)</f>
        <v>0</v>
      </c>
      <c r="BB143" s="206">
        <f>IF(Prod[[#This Row],[S3Cycle]]&lt;&gt;0,1,0)</f>
        <v>0</v>
      </c>
      <c r="BC143" s="206">
        <f>MAX(Prod[[#This Row],[S1Cavity]],Prod[[#This Row],[S2Cavity]],Prod[[#This Row],[S3Cavity]])</f>
        <v>0</v>
      </c>
      <c r="BD143" s="206" t="b">
        <f>RegExpMatch(Prod[[#This Row],[MoldNo]], "^DEO-(B|C)")</f>
        <v>1</v>
      </c>
      <c r="BE143" s="206" t="b">
        <f>RegExpMatch(Prod[[#This Row],[MoldNo]], "^JAC")</f>
        <v>0</v>
      </c>
    </row>
    <row r="144" spans="1:57" x14ac:dyDescent="0.2">
      <c r="A144" s="195">
        <v>45452</v>
      </c>
      <c r="B144" s="201" t="s">
        <v>162</v>
      </c>
      <c r="C144" s="198" t="s">
        <v>163</v>
      </c>
      <c r="D144" s="197"/>
      <c r="E144" s="198"/>
      <c r="F144" s="197"/>
      <c r="G144" s="197" t="str">
        <f>IF(OR(Prod[[#This Row],[S1Hrs]]&gt;0,Prod[[#This Row],[S2Hrs]]&gt;0,Prod[[#This Row],[S3Hrs]]&gt;0),"Running","Down")</f>
        <v>Down</v>
      </c>
      <c r="H144" s="199">
        <v>0</v>
      </c>
      <c r="I144" s="200">
        <v>0</v>
      </c>
      <c r="J144" s="196">
        <v>0</v>
      </c>
      <c r="K144" s="201">
        <v>0</v>
      </c>
      <c r="L144" s="196">
        <f>Prod[[#This Row],[S1Shot]]*Prod[[#This Row],[S1Cavity]]-Prod[[#This Row],[S1Dft]]</f>
        <v>0</v>
      </c>
      <c r="M144" s="202">
        <f>SUM(Prod[[#This Row],[S1Mold]],Prod[[#This Row],[S1Print]],Prod[[#This Row],[S1Ovlp]],Prod[[#This Row],[S1Seam]],Prod[[#This Row],[S1Dmg]])</f>
        <v>0</v>
      </c>
      <c r="N144" s="199">
        <v>0</v>
      </c>
      <c r="O144" s="200">
        <v>0</v>
      </c>
      <c r="P144" s="196">
        <v>0</v>
      </c>
      <c r="Q144" s="201">
        <v>0</v>
      </c>
      <c r="R144" s="196">
        <f>Prod[[#This Row],[S2Shot]]*Prod[[#This Row],[S2Cavity]]-Prod[[#This Row],[S2Dft]]</f>
        <v>0</v>
      </c>
      <c r="S144" s="202">
        <f>SUM(Prod[[#This Row],[S2Mold]],Prod[[#This Row],[S2Print]],Prod[[#This Row],[S2Ovlp]],Prod[[#This Row],[S2Seam]],Prod[[#This Row],[S2Dmg]])</f>
        <v>0</v>
      </c>
      <c r="T144" s="199">
        <v>0</v>
      </c>
      <c r="U144" s="200">
        <v>0</v>
      </c>
      <c r="V144" s="196">
        <v>0</v>
      </c>
      <c r="W144" s="201">
        <v>0</v>
      </c>
      <c r="X144" s="196">
        <f>Prod[[#This Row],[S3Shot]]*Prod[[#This Row],[S3Cavity]]-Prod[[#This Row],[S3Dft]]</f>
        <v>0</v>
      </c>
      <c r="Y144" s="196">
        <f>SUM(Prod[[#This Row],[S3Mold]],Prod[[#This Row],[S3Print]],Prod[[#This Row],[S3Ovlp]],Prod[[#This Row],[S3Seam]],Prod[[#This Row],[S3Dmg]])</f>
        <v>0</v>
      </c>
      <c r="Z144" s="196">
        <f>SUM(Prod[[#This Row],[S1Qty]],Prod[[#This Row],[S2Qty]],Prod[[#This Row],[S3Qty]])</f>
        <v>0</v>
      </c>
      <c r="AA144" s="196">
        <f>SUM(Prod[[#This Row],[S1Dft]],Prod[[#This Row],[S2Dft]],Prod[[#This Row],[S3Dft]])</f>
        <v>0</v>
      </c>
      <c r="AB144" s="203">
        <f>IF(Prod[[#This Row],[Total]]=0,0,Prod[[#This Row],[TotalDft]]/Prod[[#This Row],[Total]])</f>
        <v>0</v>
      </c>
      <c r="AC144" s="204"/>
      <c r="AD144" s="196">
        <v>0</v>
      </c>
      <c r="AE144" s="196">
        <v>0</v>
      </c>
      <c r="AF144" s="196">
        <v>0</v>
      </c>
      <c r="AG144" s="196">
        <v>0</v>
      </c>
      <c r="AH144" s="196">
        <v>0</v>
      </c>
      <c r="AI144" s="196">
        <v>0</v>
      </c>
      <c r="AJ144" s="196">
        <v>0</v>
      </c>
      <c r="AK144" s="196">
        <v>0</v>
      </c>
      <c r="AL144" s="196">
        <v>0</v>
      </c>
      <c r="AM144" s="196">
        <v>0</v>
      </c>
      <c r="AN144" s="196">
        <v>0</v>
      </c>
      <c r="AO144" s="196">
        <v>0</v>
      </c>
      <c r="AP144" s="196">
        <v>0</v>
      </c>
      <c r="AQ144" s="196">
        <v>0</v>
      </c>
      <c r="AR144" s="196">
        <v>0</v>
      </c>
      <c r="AS144" s="205">
        <f>IF(Prod[[#This Row],[S1Hrs]]=0,0,Prod[[#This Row],[S1Shot]]*Prod[[#This Row],[S1Cycle]]/(Prod[[#This Row],[S1Hrs]]*60*60))</f>
        <v>0</v>
      </c>
      <c r="AT144" s="205">
        <f>IF(Prod[[#This Row],[S2Hrs]]=0,0,Prod[[#This Row],[S2Shot]]*Prod[[#This Row],[S2Cycle]]/(Prod[[#This Row],[S2Hrs]]*60*60))</f>
        <v>0</v>
      </c>
      <c r="AU144" s="205">
        <f>IF(Prod[[#This Row],[S3Hrs]]=0,0,Prod[[#This Row],[S3Shot]]*Prod[[#This Row],[S3Cycle]]/(Prod[[#This Row],[S3Hrs]]*60*60))</f>
        <v>0</v>
      </c>
      <c r="AV144" s="205">
        <f>IFERROR(AVERAGEIF(Prod[[#This Row],[S1%]:[S3%]], "&lt;&gt;0"),0)</f>
        <v>0</v>
      </c>
      <c r="AW144" s="205">
        <v>0</v>
      </c>
      <c r="AX144" s="205">
        <v>0</v>
      </c>
      <c r="AY144" s="205">
        <v>0</v>
      </c>
      <c r="AZ144" s="206">
        <f>IF(Prod[[#This Row],[S1Cycle]]&lt;&gt;0,1,0)</f>
        <v>0</v>
      </c>
      <c r="BA144" s="206">
        <f>IF(Prod[[#This Row],[S2Cycle]]&lt;&gt;0,1,0)</f>
        <v>0</v>
      </c>
      <c r="BB144" s="206">
        <f>IF(Prod[[#This Row],[S3Cycle]]&lt;&gt;0,1,0)</f>
        <v>0</v>
      </c>
      <c r="BC144" s="206">
        <f>MAX(Prod[[#This Row],[S1Cavity]],Prod[[#This Row],[S2Cavity]],Prod[[#This Row],[S3Cavity]])</f>
        <v>0</v>
      </c>
      <c r="BD144" s="206" t="b">
        <f>RegExpMatch(Prod[[#This Row],[MoldNo]], "^DEO-(B|C)")</f>
        <v>1</v>
      </c>
      <c r="BE144" s="206" t="b">
        <f>RegExpMatch(Prod[[#This Row],[MoldNo]], "^JAC")</f>
        <v>0</v>
      </c>
    </row>
    <row r="145" spans="1:57" x14ac:dyDescent="0.2">
      <c r="A145" s="195">
        <v>45452</v>
      </c>
      <c r="B145" s="201" t="s">
        <v>174</v>
      </c>
      <c r="C145" s="198" t="s">
        <v>175</v>
      </c>
      <c r="D145" s="197">
        <v>27716</v>
      </c>
      <c r="E145" s="198" t="s">
        <v>199</v>
      </c>
      <c r="F145" s="197">
        <v>814</v>
      </c>
      <c r="G145" s="197" t="str">
        <f>IF(OR(Prod[[#This Row],[S1Hrs]]&gt;0,Prod[[#This Row],[S2Hrs]]&gt;0,Prod[[#This Row],[S3Hrs]]&gt;0),"Running","Down")</f>
        <v>Running</v>
      </c>
      <c r="H145" s="199">
        <v>20.99</v>
      </c>
      <c r="I145" s="200">
        <v>8</v>
      </c>
      <c r="J145" s="196">
        <v>1332</v>
      </c>
      <c r="K145" s="201">
        <v>8</v>
      </c>
      <c r="L145" s="196">
        <f>Prod[[#This Row],[S1Shot]]*Prod[[#This Row],[S1Cavity]]-Prod[[#This Row],[S1Dft]]</f>
        <v>10516</v>
      </c>
      <c r="M145" s="202">
        <f>SUM(Prod[[#This Row],[S1Mold]],Prod[[#This Row],[S1Print]],Prod[[#This Row],[S1Ovlp]],Prod[[#This Row],[S1Seam]],Prod[[#This Row],[S1Dmg]])</f>
        <v>140</v>
      </c>
      <c r="N145" s="199">
        <v>20.98</v>
      </c>
      <c r="O145" s="200">
        <v>8</v>
      </c>
      <c r="P145" s="196">
        <v>1536</v>
      </c>
      <c r="Q145" s="201">
        <v>8</v>
      </c>
      <c r="R145" s="196">
        <f>Prod[[#This Row],[S2Shot]]*Prod[[#This Row],[S2Cavity]]-Prod[[#This Row],[S2Dft]]</f>
        <v>12158</v>
      </c>
      <c r="S145" s="202">
        <f>SUM(Prod[[#This Row],[S2Mold]],Prod[[#This Row],[S2Print]],Prod[[#This Row],[S2Ovlp]],Prod[[#This Row],[S2Seam]],Prod[[#This Row],[S2Dmg]])</f>
        <v>130</v>
      </c>
      <c r="T145" s="199">
        <v>20.9</v>
      </c>
      <c r="U145" s="200">
        <v>8</v>
      </c>
      <c r="V145" s="196">
        <v>1268</v>
      </c>
      <c r="W145" s="201">
        <v>8</v>
      </c>
      <c r="X145" s="196">
        <f>Prod[[#This Row],[S3Shot]]*Prod[[#This Row],[S3Cavity]]-Prod[[#This Row],[S3Dft]]</f>
        <v>10024</v>
      </c>
      <c r="Y145" s="196">
        <f>SUM(Prod[[#This Row],[S3Mold]],Prod[[#This Row],[S3Print]],Prod[[#This Row],[S3Ovlp]],Prod[[#This Row],[S3Seam]],Prod[[#This Row],[S3Dmg]])</f>
        <v>120</v>
      </c>
      <c r="Z145" s="196">
        <f>SUM(Prod[[#This Row],[S1Qty]],Prod[[#This Row],[S2Qty]],Prod[[#This Row],[S3Qty]])</f>
        <v>32698</v>
      </c>
      <c r="AA145" s="196">
        <f>SUM(Prod[[#This Row],[S1Dft]],Prod[[#This Row],[S2Dft]],Prod[[#This Row],[S3Dft]])</f>
        <v>390</v>
      </c>
      <c r="AB145" s="203">
        <f>IF(Prod[[#This Row],[Total]]=0,0,Prod[[#This Row],[TotalDft]]/Prod[[#This Row],[Total]])</f>
        <v>1.1927335005199095E-2</v>
      </c>
      <c r="AC145" s="198"/>
      <c r="AD145" s="196">
        <v>25</v>
      </c>
      <c r="AE145" s="196">
        <v>20</v>
      </c>
      <c r="AF145" s="196">
        <v>20</v>
      </c>
      <c r="AG145" s="196">
        <v>115</v>
      </c>
      <c r="AH145" s="196">
        <v>110</v>
      </c>
      <c r="AI145" s="196">
        <v>100</v>
      </c>
      <c r="AJ145" s="196">
        <v>0</v>
      </c>
      <c r="AK145" s="196">
        <v>0</v>
      </c>
      <c r="AL145" s="196">
        <v>0</v>
      </c>
      <c r="AM145" s="196">
        <v>0</v>
      </c>
      <c r="AN145" s="196">
        <v>0</v>
      </c>
      <c r="AO145" s="196">
        <v>0</v>
      </c>
      <c r="AP145" s="196">
        <v>0</v>
      </c>
      <c r="AQ145" s="196">
        <v>0</v>
      </c>
      <c r="AR145" s="196">
        <v>0</v>
      </c>
      <c r="AS145" s="205">
        <f>IF(Prod[[#This Row],[S1Hrs]]=0,0,Prod[[#This Row],[S1Shot]]*Prod[[#This Row],[S1Cycle]]/(Prod[[#This Row],[S1Hrs]]*60*60))</f>
        <v>0.97078749999999991</v>
      </c>
      <c r="AT145" s="205">
        <f>IF(Prod[[#This Row],[S2Hrs]]=0,0,Prod[[#This Row],[S2Shot]]*Prod[[#This Row],[S2Cycle]]/(Prod[[#This Row],[S2Hrs]]*60*60))</f>
        <v>1.1189333333333333</v>
      </c>
      <c r="AU145" s="205">
        <f>IF(Prod[[#This Row],[S3Hrs]]=0,0,Prod[[#This Row],[S3Shot]]*Prod[[#This Row],[S3Cycle]]/(Prod[[#This Row],[S3Hrs]]*60*60))</f>
        <v>0.92018055555555545</v>
      </c>
      <c r="AV145" s="205">
        <f>IFERROR(AVERAGEIF(Prod[[#This Row],[S1%]:[S3%]], "&lt;&gt;0"),0)</f>
        <v>1.0033004629629629</v>
      </c>
      <c r="AW145" s="205">
        <v>0</v>
      </c>
      <c r="AX145" s="205">
        <v>0</v>
      </c>
      <c r="AY145" s="205">
        <v>0</v>
      </c>
      <c r="AZ145" s="206">
        <f>IF(Prod[[#This Row],[S1Cycle]]&lt;&gt;0,1,0)</f>
        <v>1</v>
      </c>
      <c r="BA145" s="206">
        <f>IF(Prod[[#This Row],[S2Cycle]]&lt;&gt;0,1,0)</f>
        <v>1</v>
      </c>
      <c r="BB145" s="206">
        <f>IF(Prod[[#This Row],[S3Cycle]]&lt;&gt;0,1,0)</f>
        <v>1</v>
      </c>
      <c r="BC145" s="206">
        <f>MAX(Prod[[#This Row],[S1Cavity]],Prod[[#This Row],[S2Cavity]],Prod[[#This Row],[S3Cavity]])</f>
        <v>8</v>
      </c>
      <c r="BD145" s="206" t="b">
        <f>RegExpMatch(Prod[[#This Row],[MoldNo]], "^DEO-(B|C)")</f>
        <v>1</v>
      </c>
      <c r="BE145" s="206" t="b">
        <f>RegExpMatch(Prod[[#This Row],[MoldNo]], "^JAC")</f>
        <v>0</v>
      </c>
    </row>
    <row r="146" spans="1:57" x14ac:dyDescent="0.2">
      <c r="A146" s="195">
        <v>45452</v>
      </c>
      <c r="B146" s="201" t="s">
        <v>176</v>
      </c>
      <c r="C146" s="198" t="s">
        <v>81</v>
      </c>
      <c r="D146" s="197">
        <v>27716</v>
      </c>
      <c r="E146" s="197" t="s">
        <v>199</v>
      </c>
      <c r="F146" s="197">
        <v>814</v>
      </c>
      <c r="G146" s="197" t="str">
        <f>IF(OR(Prod[[#This Row],[S1Hrs]]&gt;0,Prod[[#This Row],[S2Hrs]]&gt;0,Prod[[#This Row],[S3Hrs]]&gt;0),"Running","Down")</f>
        <v>Running</v>
      </c>
      <c r="H146" s="199">
        <v>21.79</v>
      </c>
      <c r="I146" s="200">
        <v>8</v>
      </c>
      <c r="J146" s="196">
        <v>1276</v>
      </c>
      <c r="K146" s="201">
        <v>8</v>
      </c>
      <c r="L146" s="196">
        <f>Prod[[#This Row],[S1Shot]]*Prod[[#This Row],[S1Cavity]]-Prod[[#This Row],[S1Dft]]</f>
        <v>10063</v>
      </c>
      <c r="M146" s="202">
        <f>SUM(Prod[[#This Row],[S1Mold]],Prod[[#This Row],[S1Print]],Prod[[#This Row],[S1Ovlp]],Prod[[#This Row],[S1Seam]],Prod[[#This Row],[S1Dmg]])</f>
        <v>145</v>
      </c>
      <c r="N146" s="199">
        <v>21.79</v>
      </c>
      <c r="O146" s="200">
        <v>8</v>
      </c>
      <c r="P146" s="196">
        <v>1460</v>
      </c>
      <c r="Q146" s="201">
        <v>8</v>
      </c>
      <c r="R146" s="196">
        <f>Prod[[#This Row],[S2Shot]]*Prod[[#This Row],[S2Cavity]]-Prod[[#This Row],[S2Dft]]</f>
        <v>11525</v>
      </c>
      <c r="S146" s="202">
        <f>SUM(Prod[[#This Row],[S2Mold]],Prod[[#This Row],[S2Print]],Prod[[#This Row],[S2Ovlp]],Prod[[#This Row],[S2Seam]],Prod[[#This Row],[S2Dmg]])</f>
        <v>155</v>
      </c>
      <c r="T146" s="199">
        <v>21.83</v>
      </c>
      <c r="U146" s="200">
        <v>8</v>
      </c>
      <c r="V146" s="196">
        <v>1225</v>
      </c>
      <c r="W146" s="201">
        <v>8</v>
      </c>
      <c r="X146" s="196">
        <f>Prod[[#This Row],[S3Shot]]*Prod[[#This Row],[S3Cavity]]-Prod[[#This Row],[S3Dft]]</f>
        <v>9670</v>
      </c>
      <c r="Y146" s="196">
        <f>SUM(Prod[[#This Row],[S3Mold]],Prod[[#This Row],[S3Print]],Prod[[#This Row],[S3Ovlp]],Prod[[#This Row],[S3Seam]],Prod[[#This Row],[S3Dmg]])</f>
        <v>130</v>
      </c>
      <c r="Z146" s="196">
        <f>SUM(Prod[[#This Row],[S1Qty]],Prod[[#This Row],[S2Qty]],Prod[[#This Row],[S3Qty]])</f>
        <v>31258</v>
      </c>
      <c r="AA146" s="196">
        <f>SUM(Prod[[#This Row],[S1Dft]],Prod[[#This Row],[S2Dft]],Prod[[#This Row],[S3Dft]])</f>
        <v>430</v>
      </c>
      <c r="AB146" s="203">
        <f>IF(Prod[[#This Row],[Total]]=0,0,Prod[[#This Row],[TotalDft]]/Prod[[#This Row],[Total]])</f>
        <v>1.3756478341544564E-2</v>
      </c>
      <c r="AC146" s="198"/>
      <c r="AD146" s="196">
        <v>20</v>
      </c>
      <c r="AE146" s="196">
        <v>25</v>
      </c>
      <c r="AF146" s="196">
        <v>20</v>
      </c>
      <c r="AG146" s="196">
        <v>125</v>
      </c>
      <c r="AH146" s="196">
        <v>130</v>
      </c>
      <c r="AI146" s="196">
        <v>110</v>
      </c>
      <c r="AJ146" s="196">
        <v>0</v>
      </c>
      <c r="AK146" s="196">
        <v>0</v>
      </c>
      <c r="AL146" s="196">
        <v>0</v>
      </c>
      <c r="AM146" s="196">
        <v>0</v>
      </c>
      <c r="AN146" s="196">
        <v>0</v>
      </c>
      <c r="AO146" s="196">
        <v>0</v>
      </c>
      <c r="AP146" s="196">
        <v>0</v>
      </c>
      <c r="AQ146" s="196">
        <v>0</v>
      </c>
      <c r="AR146" s="196">
        <v>0</v>
      </c>
      <c r="AS146" s="205">
        <f>IF(Prod[[#This Row],[S1Hrs]]=0,0,Prod[[#This Row],[S1Shot]]*Prod[[#This Row],[S1Cycle]]/(Prod[[#This Row],[S1Hrs]]*60*60))</f>
        <v>0.96541805555555549</v>
      </c>
      <c r="AT146" s="205">
        <f>IF(Prod[[#This Row],[S2Hrs]]=0,0,Prod[[#This Row],[S2Shot]]*Prod[[#This Row],[S2Cycle]]/(Prod[[#This Row],[S2Hrs]]*60*60))</f>
        <v>1.1046319444444443</v>
      </c>
      <c r="AU146" s="205">
        <f>IF(Prod[[#This Row],[S3Hrs]]=0,0,Prod[[#This Row],[S3Shot]]*Prod[[#This Row],[S3Cycle]]/(Prod[[#This Row],[S3Hrs]]*60*60))</f>
        <v>0.92853298611111101</v>
      </c>
      <c r="AV146" s="205">
        <f>IFERROR(AVERAGEIF(Prod[[#This Row],[S1%]:[S3%]], "&lt;&gt;0"),0)</f>
        <v>0.99952766203703691</v>
      </c>
      <c r="AW146" s="205">
        <v>0</v>
      </c>
      <c r="AX146" s="205">
        <v>0</v>
      </c>
      <c r="AY146" s="205">
        <v>0</v>
      </c>
      <c r="AZ146" s="206">
        <f>IF(Prod[[#This Row],[S1Cycle]]&lt;&gt;0,1,0)</f>
        <v>1</v>
      </c>
      <c r="BA146" s="206">
        <f>IF(Prod[[#This Row],[S2Cycle]]&lt;&gt;0,1,0)</f>
        <v>1</v>
      </c>
      <c r="BB146" s="206">
        <f>IF(Prod[[#This Row],[S3Cycle]]&lt;&gt;0,1,0)</f>
        <v>1</v>
      </c>
      <c r="BC146" s="206">
        <f>MAX(Prod[[#This Row],[S1Cavity]],Prod[[#This Row],[S2Cavity]],Prod[[#This Row],[S3Cavity]])</f>
        <v>8</v>
      </c>
      <c r="BD146" s="206" t="b">
        <f>RegExpMatch(Prod[[#This Row],[MoldNo]], "^DEO-(B|C)")</f>
        <v>1</v>
      </c>
      <c r="BE146" s="206" t="b">
        <f>RegExpMatch(Prod[[#This Row],[MoldNo]], "^JAC")</f>
        <v>0</v>
      </c>
    </row>
    <row r="147" spans="1:57" x14ac:dyDescent="0.2">
      <c r="A147" s="195">
        <v>45452</v>
      </c>
      <c r="B147" s="201" t="s">
        <v>195</v>
      </c>
      <c r="C147" s="197" t="s">
        <v>145</v>
      </c>
      <c r="D147" s="197">
        <v>27761</v>
      </c>
      <c r="E147" s="198" t="s">
        <v>199</v>
      </c>
      <c r="F147" s="197">
        <v>814</v>
      </c>
      <c r="G147" s="197" t="str">
        <f>IF(OR(Prod[[#This Row],[S1Hrs]]&gt;0,Prod[[#This Row],[S2Hrs]]&gt;0,Prod[[#This Row],[S3Hrs]]&gt;0),"Running","Down")</f>
        <v>Running</v>
      </c>
      <c r="H147" s="199">
        <v>13.43</v>
      </c>
      <c r="I147" s="200">
        <v>8</v>
      </c>
      <c r="J147" s="196">
        <v>2095</v>
      </c>
      <c r="K147" s="201">
        <v>16</v>
      </c>
      <c r="L147" s="196">
        <f>Prod[[#This Row],[S1Shot]]*Prod[[#This Row],[S1Cavity]]-Prod[[#This Row],[S1Dft]]</f>
        <v>33520</v>
      </c>
      <c r="M147" s="207"/>
      <c r="N147" s="199">
        <v>13.44</v>
      </c>
      <c r="O147" s="200">
        <v>8</v>
      </c>
      <c r="P147" s="196">
        <v>2285</v>
      </c>
      <c r="Q147" s="201">
        <v>16</v>
      </c>
      <c r="R147" s="196">
        <f>Prod[[#This Row],[S2Shot]]*Prod[[#This Row],[S2Cavity]]-Prod[[#This Row],[S2Dft]]</f>
        <v>36560</v>
      </c>
      <c r="S147" s="207"/>
      <c r="T147" s="199">
        <v>13.45</v>
      </c>
      <c r="U147" s="200">
        <v>8</v>
      </c>
      <c r="V147" s="196">
        <v>2038</v>
      </c>
      <c r="W147" s="201">
        <v>16</v>
      </c>
      <c r="X147" s="196">
        <f>Prod[[#This Row],[S3Shot]]*Prod[[#This Row],[S3Cavity]]-Prod[[#This Row],[S3Dft]]</f>
        <v>32608</v>
      </c>
      <c r="Y147" s="207"/>
      <c r="Z147" s="196">
        <f>SUM(Prod[[#This Row],[S1Qty]],Prod[[#This Row],[S2Qty]],Prod[[#This Row],[S3Qty]])</f>
        <v>102688</v>
      </c>
      <c r="AA147" s="207"/>
      <c r="AB147" s="208"/>
      <c r="AC147" s="204"/>
      <c r="AD147" s="207"/>
      <c r="AE147" s="207"/>
      <c r="AF147" s="207"/>
      <c r="AG147" s="207"/>
      <c r="AH147" s="207"/>
      <c r="AI147" s="207"/>
      <c r="AJ147" s="207"/>
      <c r="AK147" s="207"/>
      <c r="AL147" s="207"/>
      <c r="AM147" s="207"/>
      <c r="AN147" s="207"/>
      <c r="AO147" s="207"/>
      <c r="AP147" s="207"/>
      <c r="AQ147" s="207"/>
      <c r="AR147" s="207"/>
      <c r="AS147" s="205">
        <f>IF(Prod[[#This Row],[S1Hrs]]=0,0,Prod[[#This Row],[S1Shot]]*Prod[[#This Row],[S1Cycle]]/(Prod[[#This Row],[S1Hrs]]*60*60))</f>
        <v>0.97693923611111111</v>
      </c>
      <c r="AT147" s="205">
        <f>IF(Prod[[#This Row],[S2Hrs]]=0,0,Prod[[#This Row],[S2Shot]]*Prod[[#This Row],[S2Cycle]]/(Prod[[#This Row],[S2Hrs]]*60*60))</f>
        <v>1.0663333333333334</v>
      </c>
      <c r="AU147" s="205">
        <f>IF(Prod[[#This Row],[S3Hrs]]=0,0,Prod[[#This Row],[S3Shot]]*Prod[[#This Row],[S3Cycle]]/(Prod[[#This Row],[S3Hrs]]*60*60))</f>
        <v>0.95177430555555553</v>
      </c>
      <c r="AV147" s="205">
        <f>IFERROR(AVERAGEIF(Prod[[#This Row],[S1%]:[S3%]], "&lt;&gt;0"),0)</f>
        <v>0.99834895833333326</v>
      </c>
      <c r="AW147" s="205">
        <v>0</v>
      </c>
      <c r="AX147" s="205">
        <v>0</v>
      </c>
      <c r="AY147" s="205">
        <v>0</v>
      </c>
      <c r="AZ147" s="206">
        <f>IF(Prod[[#This Row],[S1Cycle]]&lt;&gt;0,1,0)</f>
        <v>1</v>
      </c>
      <c r="BA147" s="206">
        <f>IF(Prod[[#This Row],[S2Cycle]]&lt;&gt;0,1,0)</f>
        <v>1</v>
      </c>
      <c r="BB147" s="206">
        <f>IF(Prod[[#This Row],[S3Cycle]]&lt;&gt;0,1,0)</f>
        <v>1</v>
      </c>
      <c r="BC147" s="206">
        <f>MAX(Prod[[#This Row],[S1Cavity]],Prod[[#This Row],[S2Cavity]],Prod[[#This Row],[S3Cavity]])</f>
        <v>16</v>
      </c>
      <c r="BD147" s="206" t="b">
        <f>RegExpMatch(Prod[[#This Row],[MoldNo]], "^DEO-(B|C)")</f>
        <v>0</v>
      </c>
      <c r="BE147" s="206" t="b">
        <f>RegExpMatch(Prod[[#This Row],[MoldNo]], "^JAC")</f>
        <v>0</v>
      </c>
    </row>
    <row r="148" spans="1:57" x14ac:dyDescent="0.2">
      <c r="A148" s="117">
        <v>45453</v>
      </c>
      <c r="B148" s="120" t="s">
        <v>190</v>
      </c>
      <c r="C148" s="119" t="s">
        <v>153</v>
      </c>
      <c r="D148" s="119">
        <v>27422</v>
      </c>
      <c r="E148" s="131" t="s">
        <v>199</v>
      </c>
      <c r="F148" s="119">
        <v>6331</v>
      </c>
      <c r="G148" s="119" t="str">
        <f>IF(OR(Prod[[#This Row],[S1Hrs]]&gt;0,Prod[[#This Row],[S2Hrs]]&gt;0,Prod[[#This Row],[S3Hrs]]&gt;0),"Running","Down")</f>
        <v>Running</v>
      </c>
      <c r="H148" s="194">
        <v>22.69</v>
      </c>
      <c r="I148" s="185">
        <v>8</v>
      </c>
      <c r="J148" s="130">
        <v>1216</v>
      </c>
      <c r="K148" s="130">
        <v>4</v>
      </c>
      <c r="L148" s="120">
        <f>Prod[[#This Row],[S1Shot]]*Prod[[#This Row],[S1Cavity]]-Prod[[#This Row],[S1Dft]]</f>
        <v>4859</v>
      </c>
      <c r="M148" s="136">
        <f>SUM(Prod[[#This Row],[S1Mold]],Prod[[#This Row],[S1Print]],Prod[[#This Row],[S1Ovlp]],Prod[[#This Row],[S1Seam]],Prod[[#This Row],[S1Dmg]])</f>
        <v>5</v>
      </c>
      <c r="N148" s="194">
        <v>22.69</v>
      </c>
      <c r="O148" s="185">
        <v>8</v>
      </c>
      <c r="P148" s="130">
        <v>1307</v>
      </c>
      <c r="Q148" s="130">
        <v>4</v>
      </c>
      <c r="R148" s="120">
        <f>Prod[[#This Row],[S2Shot]]*Prod[[#This Row],[S2Cavity]]-Prod[[#This Row],[S2Dft]]</f>
        <v>5222</v>
      </c>
      <c r="S148" s="136">
        <f>SUM(Prod[[#This Row],[S2Mold]],Prod[[#This Row],[S2Print]],Prod[[#This Row],[S2Ovlp]],Prod[[#This Row],[S2Seam]],Prod[[#This Row],[S2Dmg]])</f>
        <v>6</v>
      </c>
      <c r="T148" s="194">
        <v>22.69</v>
      </c>
      <c r="U148" s="185">
        <v>8</v>
      </c>
      <c r="V148" s="130">
        <v>1226</v>
      </c>
      <c r="W148" s="130">
        <v>4</v>
      </c>
      <c r="X148" s="120">
        <f>Prod[[#This Row],[S3Shot]]*Prod[[#This Row],[S3Cavity]]-Prod[[#This Row],[S3Dft]]</f>
        <v>4896</v>
      </c>
      <c r="Y148" s="120">
        <f>SUM(Prod[[#This Row],[S3Mold]],Prod[[#This Row],[S3Print]],Prod[[#This Row],[S3Ovlp]],Prod[[#This Row],[S3Seam]],Prod[[#This Row],[S3Dmg]])</f>
        <v>8</v>
      </c>
      <c r="Z148" s="120">
        <f>SUM(Prod[[#This Row],[S1Qty]],Prod[[#This Row],[S2Qty]],Prod[[#This Row],[S3Qty]])</f>
        <v>14977</v>
      </c>
      <c r="AA148" s="120">
        <f>SUM(Prod[[#This Row],[S1Dft]],Prod[[#This Row],[S2Dft]],Prod[[#This Row],[S3Dft]])</f>
        <v>19</v>
      </c>
      <c r="AB148" s="121">
        <f>IF(Prod[[#This Row],[Total]]=0,0,Prod[[#This Row],[TotalDft]]/Prod[[#This Row],[Total]])</f>
        <v>1.2686118715363557E-3</v>
      </c>
      <c r="AC148" s="118"/>
      <c r="AD148" s="120">
        <v>5</v>
      </c>
      <c r="AE148" s="120">
        <v>6</v>
      </c>
      <c r="AF148" s="120">
        <v>8</v>
      </c>
      <c r="AG148" s="120">
        <v>0</v>
      </c>
      <c r="AH148" s="120">
        <v>0</v>
      </c>
      <c r="AI148" s="120">
        <v>0</v>
      </c>
      <c r="AJ148" s="120">
        <v>0</v>
      </c>
      <c r="AK148" s="120">
        <v>0</v>
      </c>
      <c r="AL148" s="120">
        <v>0</v>
      </c>
      <c r="AM148" s="120">
        <v>0</v>
      </c>
      <c r="AN148" s="120">
        <v>0</v>
      </c>
      <c r="AO148" s="120">
        <v>0</v>
      </c>
      <c r="AP148" s="120">
        <v>0</v>
      </c>
      <c r="AQ148" s="120">
        <v>0</v>
      </c>
      <c r="AR148" s="120">
        <v>0</v>
      </c>
      <c r="AS148" s="132">
        <f>IF(Prod[[#This Row],[S1Hrs]]=0,0,Prod[[#This Row],[S1Shot]]*Prod[[#This Row],[S1Cycle]]/(Prod[[#This Row],[S1Hrs]]*60*60))</f>
        <v>0.95802222222222222</v>
      </c>
      <c r="AT148" s="132">
        <f>IF(Prod[[#This Row],[S2Hrs]]=0,0,Prod[[#This Row],[S2Shot]]*Prod[[#This Row],[S2Cycle]]/(Prod[[#This Row],[S2Hrs]]*60*60))</f>
        <v>1.0297163194444445</v>
      </c>
      <c r="AU148" s="132">
        <f>IF(Prod[[#This Row],[S3Hrs]]=0,0,Prod[[#This Row],[S3Shot]]*Prod[[#This Row],[S3Cycle]]/(Prod[[#This Row],[S3Hrs]]*60*60))</f>
        <v>0.96590069444444449</v>
      </c>
      <c r="AV148" s="132">
        <f>IFERROR(AVERAGEIF(Prod[[#This Row],[S1%]:[S3%]], "&lt;&gt;0"),0)</f>
        <v>0.98454641203703719</v>
      </c>
      <c r="AW148" s="132">
        <v>0</v>
      </c>
      <c r="AX148" s="132">
        <v>0</v>
      </c>
      <c r="AY148" s="132">
        <v>0</v>
      </c>
      <c r="AZ148" s="175">
        <f>IF(Prod[[#This Row],[S1Cycle]]&lt;&gt;0,1,0)</f>
        <v>1</v>
      </c>
      <c r="BA148" s="175">
        <f>IF(Prod[[#This Row],[S2Cycle]]&lt;&gt;0,1,0)</f>
        <v>1</v>
      </c>
      <c r="BB148" s="175">
        <f>IF(Prod[[#This Row],[S3Cycle]]&lt;&gt;0,1,0)</f>
        <v>1</v>
      </c>
      <c r="BC148" s="175">
        <f>MAX(Prod[[#This Row],[S1Cavity]],Prod[[#This Row],[S2Cavity]],Prod[[#This Row],[S3Cavity]])</f>
        <v>4</v>
      </c>
      <c r="BD148" s="175" t="b">
        <f>RegExpMatch(Prod[[#This Row],[MoldNo]], "^DEO-(B|C)")</f>
        <v>0</v>
      </c>
      <c r="BE148" s="175" t="b">
        <f>RegExpMatch(Prod[[#This Row],[MoldNo]], "^JAC")</f>
        <v>1</v>
      </c>
    </row>
    <row r="149" spans="1:57" x14ac:dyDescent="0.2">
      <c r="A149" s="117">
        <v>45453</v>
      </c>
      <c r="B149" s="130" t="s">
        <v>6</v>
      </c>
      <c r="C149" s="131" t="s">
        <v>8</v>
      </c>
      <c r="D149" s="119">
        <v>27575</v>
      </c>
      <c r="E149" s="131" t="s">
        <v>199</v>
      </c>
      <c r="F149" s="119">
        <v>814</v>
      </c>
      <c r="G149" s="119" t="str">
        <f>IF(OR(Prod[[#This Row],[S1Hrs]]&gt;0,Prod[[#This Row],[S2Hrs]]&gt;0,Prod[[#This Row],[S3Hrs]]&gt;0),"Running","Down")</f>
        <v>Running</v>
      </c>
      <c r="H149" s="194">
        <v>20.79</v>
      </c>
      <c r="I149" s="185">
        <v>8</v>
      </c>
      <c r="J149" s="130">
        <v>1422</v>
      </c>
      <c r="K149" s="130">
        <v>8</v>
      </c>
      <c r="L149" s="120">
        <f>Prod[[#This Row],[S1Shot]]*Prod[[#This Row],[S1Cavity]]-Prod[[#This Row],[S1Dft]]</f>
        <v>11241</v>
      </c>
      <c r="M149" s="136">
        <f>SUM(Prod[[#This Row],[S1Mold]],Prod[[#This Row],[S1Print]],Prod[[#This Row],[S1Ovlp]],Prod[[#This Row],[S1Seam]],Prod[[#This Row],[S1Dmg]])</f>
        <v>135</v>
      </c>
      <c r="N149" s="194">
        <v>20.79</v>
      </c>
      <c r="O149" s="185">
        <v>7</v>
      </c>
      <c r="P149" s="130">
        <v>1147</v>
      </c>
      <c r="Q149" s="130">
        <v>8</v>
      </c>
      <c r="R149" s="120">
        <f>Prod[[#This Row],[S2Shot]]*Prod[[#This Row],[S2Cavity]]-Prod[[#This Row],[S2Dft]]</f>
        <v>9056</v>
      </c>
      <c r="S149" s="136">
        <f>SUM(Prod[[#This Row],[S2Mold]],Prod[[#This Row],[S2Print]],Prod[[#This Row],[S2Ovlp]],Prod[[#This Row],[S2Seam]],Prod[[#This Row],[S2Dmg]])</f>
        <v>120</v>
      </c>
      <c r="T149" s="194">
        <v>0</v>
      </c>
      <c r="U149" s="185">
        <v>0</v>
      </c>
      <c r="V149" s="130">
        <v>0</v>
      </c>
      <c r="W149" s="130">
        <v>0</v>
      </c>
      <c r="X149" s="120">
        <f>Prod[[#This Row],[S3Shot]]*Prod[[#This Row],[S3Cavity]]-Prod[[#This Row],[S3Dft]]</f>
        <v>0</v>
      </c>
      <c r="Y149" s="120">
        <f>SUM(Prod[[#This Row],[S3Mold]],Prod[[#This Row],[S3Print]],Prod[[#This Row],[S3Ovlp]],Prod[[#This Row],[S3Seam]],Prod[[#This Row],[S3Dmg]])</f>
        <v>0</v>
      </c>
      <c r="Z149" s="120">
        <f>SUM(Prod[[#This Row],[S1Qty]],Prod[[#This Row],[S2Qty]],Prod[[#This Row],[S3Qty]])</f>
        <v>20297</v>
      </c>
      <c r="AA149" s="120">
        <f>SUM(Prod[[#This Row],[S1Dft]],Prod[[#This Row],[S2Dft]],Prod[[#This Row],[S3Dft]])</f>
        <v>255</v>
      </c>
      <c r="AB149" s="121">
        <f>IF(Prod[[#This Row],[Total]]=0,0,Prod[[#This Row],[TotalDft]]/Prod[[#This Row],[Total]])</f>
        <v>1.2563433019658078E-2</v>
      </c>
      <c r="AC149" s="131"/>
      <c r="AD149" s="120">
        <v>25</v>
      </c>
      <c r="AE149" s="120">
        <v>20</v>
      </c>
      <c r="AF149" s="120">
        <v>0</v>
      </c>
      <c r="AG149" s="120">
        <v>110</v>
      </c>
      <c r="AH149" s="120">
        <v>100</v>
      </c>
      <c r="AI149" s="120">
        <v>0</v>
      </c>
      <c r="AJ149" s="120">
        <v>0</v>
      </c>
      <c r="AK149" s="120">
        <v>0</v>
      </c>
      <c r="AL149" s="120">
        <v>0</v>
      </c>
      <c r="AM149" s="120">
        <v>0</v>
      </c>
      <c r="AN149" s="120">
        <v>0</v>
      </c>
      <c r="AO149" s="120">
        <v>0</v>
      </c>
      <c r="AP149" s="120">
        <v>0</v>
      </c>
      <c r="AQ149" s="120">
        <v>0</v>
      </c>
      <c r="AR149" s="120">
        <v>0</v>
      </c>
      <c r="AS149" s="132">
        <f>IF(Prod[[#This Row],[S1Hrs]]=0,0,Prod[[#This Row],[S1Shot]]*Prod[[#This Row],[S1Cycle]]/(Prod[[#This Row],[S1Hrs]]*60*60))</f>
        <v>1.02650625</v>
      </c>
      <c r="AT149" s="132">
        <f>IF(Prod[[#This Row],[S2Hrs]]=0,0,Prod[[#This Row],[S2Shot]]*Prod[[#This Row],[S2Cycle]]/(Prod[[#This Row],[S2Hrs]]*60*60))</f>
        <v>0.94627499999999987</v>
      </c>
      <c r="AU149" s="132">
        <f>IF(Prod[[#This Row],[S3Hrs]]=0,0,Prod[[#This Row],[S3Shot]]*Prod[[#This Row],[S3Cycle]]/(Prod[[#This Row],[S3Hrs]]*60*60))</f>
        <v>0</v>
      </c>
      <c r="AV149" s="132">
        <f>IFERROR(AVERAGEIF(Prod[[#This Row],[S1%]:[S3%]], "&lt;&gt;0"),0)</f>
        <v>0.98639062499999985</v>
      </c>
      <c r="AW149" s="132">
        <v>0</v>
      </c>
      <c r="AX149" s="132">
        <v>0</v>
      </c>
      <c r="AY149" s="132">
        <v>0</v>
      </c>
      <c r="AZ149" s="175">
        <f>IF(Prod[[#This Row],[S1Cycle]]&lt;&gt;0,1,0)</f>
        <v>1</v>
      </c>
      <c r="BA149" s="175">
        <f>IF(Prod[[#This Row],[S2Cycle]]&lt;&gt;0,1,0)</f>
        <v>1</v>
      </c>
      <c r="BB149" s="175">
        <f>IF(Prod[[#This Row],[S3Cycle]]&lt;&gt;0,1,0)</f>
        <v>0</v>
      </c>
      <c r="BC149" s="175">
        <f>MAX(Prod[[#This Row],[S1Cavity]],Prod[[#This Row],[S2Cavity]],Prod[[#This Row],[S3Cavity]])</f>
        <v>8</v>
      </c>
      <c r="BD149" s="175" t="b">
        <f>RegExpMatch(Prod[[#This Row],[MoldNo]], "^DEO-(B|C)")</f>
        <v>1</v>
      </c>
      <c r="BE149" s="175" t="b">
        <f>RegExpMatch(Prod[[#This Row],[MoldNo]], "^JAC")</f>
        <v>0</v>
      </c>
    </row>
    <row r="150" spans="1:57" x14ac:dyDescent="0.2">
      <c r="A150" s="117">
        <v>45453</v>
      </c>
      <c r="B150" s="130" t="s">
        <v>6</v>
      </c>
      <c r="C150" s="131" t="s">
        <v>8</v>
      </c>
      <c r="D150" s="119">
        <v>27760</v>
      </c>
      <c r="E150" s="131" t="s">
        <v>235</v>
      </c>
      <c r="F150" s="119">
        <v>814</v>
      </c>
      <c r="G150" s="119" t="str">
        <f>IF(OR(Prod[[#This Row],[S1Hrs]]&gt;0,Prod[[#This Row],[S2Hrs]]&gt;0,Prod[[#This Row],[S3Hrs]]&gt;0),"Running","Down")</f>
        <v>Running</v>
      </c>
      <c r="H150" s="194">
        <v>0</v>
      </c>
      <c r="I150" s="185">
        <v>0</v>
      </c>
      <c r="J150" s="130">
        <v>0</v>
      </c>
      <c r="K150" s="130">
        <v>0</v>
      </c>
      <c r="L150" s="120">
        <f>Prod[[#This Row],[S1Shot]]*Prod[[#This Row],[S1Cavity]]-Prod[[#This Row],[S1Dft]]</f>
        <v>0</v>
      </c>
      <c r="M150" s="136">
        <f>SUM(Prod[[#This Row],[S1Mold]],Prod[[#This Row],[S1Print]],Prod[[#This Row],[S1Ovlp]],Prod[[#This Row],[S1Seam]],Prod[[#This Row],[S1Dmg]])</f>
        <v>0</v>
      </c>
      <c r="N150" s="194">
        <v>20.79</v>
      </c>
      <c r="O150" s="185">
        <v>1</v>
      </c>
      <c r="P150" s="130">
        <v>150</v>
      </c>
      <c r="Q150" s="130">
        <v>8</v>
      </c>
      <c r="R150" s="120">
        <f>Prod[[#This Row],[S2Shot]]*Prod[[#This Row],[S2Cavity]]-Prod[[#This Row],[S2Dft]]</f>
        <v>1100</v>
      </c>
      <c r="S150" s="136">
        <f>SUM(Prod[[#This Row],[S2Mold]],Prod[[#This Row],[S2Print]],Prod[[#This Row],[S2Ovlp]],Prod[[#This Row],[S2Seam]],Prod[[#This Row],[S2Dmg]])</f>
        <v>100</v>
      </c>
      <c r="T150" s="194">
        <v>21.91</v>
      </c>
      <c r="U150" s="185">
        <v>8</v>
      </c>
      <c r="V150" s="130">
        <v>1201</v>
      </c>
      <c r="W150" s="130">
        <v>8</v>
      </c>
      <c r="X150" s="120">
        <f>Prod[[#This Row],[S3Shot]]*Prod[[#This Row],[S3Cavity]]-Prod[[#This Row],[S3Dft]]</f>
        <v>9568</v>
      </c>
      <c r="Y150" s="120">
        <f>SUM(Prod[[#This Row],[S3Mold]],Prod[[#This Row],[S3Print]],Prod[[#This Row],[S3Ovlp]],Prod[[#This Row],[S3Seam]],Prod[[#This Row],[S3Dmg]])</f>
        <v>40</v>
      </c>
      <c r="Z150" s="120">
        <f>SUM(Prod[[#This Row],[S1Qty]],Prod[[#This Row],[S2Qty]],Prod[[#This Row],[S3Qty]])</f>
        <v>10668</v>
      </c>
      <c r="AA150" s="120">
        <f>SUM(Prod[[#This Row],[S1Dft]],Prod[[#This Row],[S2Dft]],Prod[[#This Row],[S3Dft]])</f>
        <v>140</v>
      </c>
      <c r="AB150" s="121">
        <f>IF(Prod[[#This Row],[Total]]=0,0,Prod[[#This Row],[TotalDft]]/Prod[[#This Row],[Total]])</f>
        <v>1.3123359580052493E-2</v>
      </c>
      <c r="AC150" s="131" t="s">
        <v>236</v>
      </c>
      <c r="AD150" s="120">
        <v>0</v>
      </c>
      <c r="AE150" s="120">
        <v>100</v>
      </c>
      <c r="AF150" s="120">
        <v>10</v>
      </c>
      <c r="AG150" s="120">
        <v>0</v>
      </c>
      <c r="AH150" s="120">
        <v>0</v>
      </c>
      <c r="AI150" s="120">
        <v>30</v>
      </c>
      <c r="AJ150" s="120">
        <v>0</v>
      </c>
      <c r="AK150" s="120">
        <v>0</v>
      </c>
      <c r="AL150" s="120">
        <v>0</v>
      </c>
      <c r="AM150" s="120">
        <v>0</v>
      </c>
      <c r="AN150" s="120">
        <v>0</v>
      </c>
      <c r="AO150" s="120">
        <v>0</v>
      </c>
      <c r="AP150" s="120">
        <v>0</v>
      </c>
      <c r="AQ150" s="120">
        <v>0</v>
      </c>
      <c r="AR150" s="120">
        <v>0</v>
      </c>
      <c r="AS150" s="132">
        <f>IF(Prod[[#This Row],[S1Hrs]]=0,0,Prod[[#This Row],[S1Shot]]*Prod[[#This Row],[S1Cycle]]/(Prod[[#This Row],[S1Hrs]]*60*60))</f>
        <v>0</v>
      </c>
      <c r="AT150" s="132">
        <f>IF(Prod[[#This Row],[S2Hrs]]=0,0,Prod[[#This Row],[S2Shot]]*Prod[[#This Row],[S2Cycle]]/(Prod[[#This Row],[S2Hrs]]*60*60))</f>
        <v>0.86624999999999996</v>
      </c>
      <c r="AU150" s="132">
        <f>IF(Prod[[#This Row],[S3Hrs]]=0,0,Prod[[#This Row],[S3Shot]]*Prod[[#This Row],[S3Cycle]]/(Prod[[#This Row],[S3Hrs]]*60*60))</f>
        <v>0.9136774305555555</v>
      </c>
      <c r="AV150" s="132">
        <f>IFERROR(AVERAGEIF(Prod[[#This Row],[S1%]:[S3%]], "&lt;&gt;0"),0)</f>
        <v>0.88996371527777773</v>
      </c>
      <c r="AW150" s="132">
        <v>0</v>
      </c>
      <c r="AX150" s="132">
        <v>0</v>
      </c>
      <c r="AY150" s="132">
        <v>0</v>
      </c>
      <c r="AZ150" s="175">
        <f>IF(Prod[[#This Row],[S1Cycle]]&lt;&gt;0,1,0)</f>
        <v>0</v>
      </c>
      <c r="BA150" s="175">
        <f>IF(Prod[[#This Row],[S2Cycle]]&lt;&gt;0,1,0)</f>
        <v>1</v>
      </c>
      <c r="BB150" s="175">
        <f>IF(Prod[[#This Row],[S3Cycle]]&lt;&gt;0,1,0)</f>
        <v>1</v>
      </c>
      <c r="BC150" s="175">
        <f>MAX(Prod[[#This Row],[S1Cavity]],Prod[[#This Row],[S2Cavity]],Prod[[#This Row],[S3Cavity]])</f>
        <v>8</v>
      </c>
      <c r="BD150" s="175" t="b">
        <f>RegExpMatch(Prod[[#This Row],[MoldNo]], "^DEO-(B|C)")</f>
        <v>1</v>
      </c>
      <c r="BE150" s="175" t="b">
        <f>RegExpMatch(Prod[[#This Row],[MoldNo]], "^JAC")</f>
        <v>0</v>
      </c>
    </row>
    <row r="151" spans="1:57" x14ac:dyDescent="0.2">
      <c r="A151" s="117">
        <v>45453</v>
      </c>
      <c r="B151" s="120" t="s">
        <v>7</v>
      </c>
      <c r="C151" s="119" t="s">
        <v>172</v>
      </c>
      <c r="D151" s="119">
        <v>27760</v>
      </c>
      <c r="E151" s="131" t="s">
        <v>199</v>
      </c>
      <c r="F151" s="119">
        <v>814</v>
      </c>
      <c r="G151" s="119" t="str">
        <f>IF(OR(Prod[[#This Row],[S1Hrs]]&gt;0,Prod[[#This Row],[S2Hrs]]&gt;0,Prod[[#This Row],[S3Hrs]]&gt;0),"Running","Down")</f>
        <v>Running</v>
      </c>
      <c r="H151" s="194">
        <v>20.81</v>
      </c>
      <c r="I151" s="185">
        <v>8</v>
      </c>
      <c r="J151" s="130">
        <v>1432</v>
      </c>
      <c r="K151" s="130">
        <v>8</v>
      </c>
      <c r="L151" s="120">
        <f>Prod[[#This Row],[S1Shot]]*Prod[[#This Row],[S1Cavity]]-Prod[[#This Row],[S1Dft]]</f>
        <v>11316</v>
      </c>
      <c r="M151" s="136">
        <f>SUM(Prod[[#This Row],[S1Mold]],Prod[[#This Row],[S1Print]],Prod[[#This Row],[S1Ovlp]],Prod[[#This Row],[S1Seam]],Prod[[#This Row],[S1Dmg]])</f>
        <v>140</v>
      </c>
      <c r="N151" s="194">
        <v>20.81</v>
      </c>
      <c r="O151" s="185">
        <v>8</v>
      </c>
      <c r="P151" s="130">
        <v>1377</v>
      </c>
      <c r="Q151" s="130">
        <v>8</v>
      </c>
      <c r="R151" s="120">
        <f>Prod[[#This Row],[S2Shot]]*Prod[[#This Row],[S2Cavity]]-Prod[[#This Row],[S2Dft]]</f>
        <v>10886</v>
      </c>
      <c r="S151" s="136">
        <f>SUM(Prod[[#This Row],[S2Mold]],Prod[[#This Row],[S2Print]],Prod[[#This Row],[S2Ovlp]],Prod[[#This Row],[S2Seam]],Prod[[#This Row],[S2Dmg]])</f>
        <v>130</v>
      </c>
      <c r="T151" s="194">
        <v>20.85</v>
      </c>
      <c r="U151" s="185">
        <v>8</v>
      </c>
      <c r="V151" s="130">
        <v>1298</v>
      </c>
      <c r="W151" s="130">
        <v>8</v>
      </c>
      <c r="X151" s="120">
        <f>Prod[[#This Row],[S3Shot]]*Prod[[#This Row],[S3Cavity]]-Prod[[#This Row],[S3Dft]]</f>
        <v>10244</v>
      </c>
      <c r="Y151" s="120">
        <f>SUM(Prod[[#This Row],[S3Mold]],Prod[[#This Row],[S3Print]],Prod[[#This Row],[S3Ovlp]],Prod[[#This Row],[S3Seam]],Prod[[#This Row],[S3Dmg]])</f>
        <v>140</v>
      </c>
      <c r="Z151" s="120">
        <f>SUM(Prod[[#This Row],[S1Qty]],Prod[[#This Row],[S2Qty]],Prod[[#This Row],[S3Qty]])</f>
        <v>32446</v>
      </c>
      <c r="AA151" s="120">
        <f>SUM(Prod[[#This Row],[S1Dft]],Prod[[#This Row],[S2Dft]],Prod[[#This Row],[S3Dft]])</f>
        <v>410</v>
      </c>
      <c r="AB151" s="121">
        <f>IF(Prod[[#This Row],[Total]]=0,0,Prod[[#This Row],[TotalDft]]/Prod[[#This Row],[Total]])</f>
        <v>1.263638044751279E-2</v>
      </c>
      <c r="AC151" s="131"/>
      <c r="AD151" s="120">
        <v>25</v>
      </c>
      <c r="AE151" s="120">
        <v>20</v>
      </c>
      <c r="AF151" s="120">
        <v>20</v>
      </c>
      <c r="AG151" s="120">
        <v>115</v>
      </c>
      <c r="AH151" s="120">
        <v>110</v>
      </c>
      <c r="AI151" s="120">
        <v>120</v>
      </c>
      <c r="AJ151" s="120">
        <v>0</v>
      </c>
      <c r="AK151" s="120">
        <v>0</v>
      </c>
      <c r="AL151" s="120">
        <v>0</v>
      </c>
      <c r="AM151" s="120">
        <v>0</v>
      </c>
      <c r="AN151" s="120">
        <v>0</v>
      </c>
      <c r="AO151" s="120">
        <v>0</v>
      </c>
      <c r="AP151" s="120">
        <v>0</v>
      </c>
      <c r="AQ151" s="120">
        <v>0</v>
      </c>
      <c r="AR151" s="120">
        <v>0</v>
      </c>
      <c r="AS151" s="132">
        <f>IF(Prod[[#This Row],[S1Hrs]]=0,0,Prod[[#This Row],[S1Shot]]*Prod[[#This Row],[S1Cycle]]/(Prod[[#This Row],[S1Hrs]]*60*60))</f>
        <v>1.0347194444444443</v>
      </c>
      <c r="AT151" s="132">
        <f>IF(Prod[[#This Row],[S2Hrs]]=0,0,Prod[[#This Row],[S2Shot]]*Prod[[#This Row],[S2Cycle]]/(Prod[[#This Row],[S2Hrs]]*60*60))</f>
        <v>0.99497812499999994</v>
      </c>
      <c r="AU151" s="132">
        <f>IF(Prod[[#This Row],[S3Hrs]]=0,0,Prod[[#This Row],[S3Shot]]*Prod[[#This Row],[S3Cycle]]/(Prod[[#This Row],[S3Hrs]]*60*60))</f>
        <v>0.9396979166666668</v>
      </c>
      <c r="AV151" s="132">
        <f>IFERROR(AVERAGEIF(Prod[[#This Row],[S1%]:[S3%]], "&lt;&gt;0"),0)</f>
        <v>0.98979849537037035</v>
      </c>
      <c r="AW151" s="132">
        <v>0</v>
      </c>
      <c r="AX151" s="132">
        <v>0</v>
      </c>
      <c r="AY151" s="132">
        <v>0</v>
      </c>
      <c r="AZ151" s="175">
        <f>IF(Prod[[#This Row],[S1Cycle]]&lt;&gt;0,1,0)</f>
        <v>1</v>
      </c>
      <c r="BA151" s="175">
        <f>IF(Prod[[#This Row],[S2Cycle]]&lt;&gt;0,1,0)</f>
        <v>1</v>
      </c>
      <c r="BB151" s="175">
        <f>IF(Prod[[#This Row],[S3Cycle]]&lt;&gt;0,1,0)</f>
        <v>1</v>
      </c>
      <c r="BC151" s="175">
        <f>MAX(Prod[[#This Row],[S1Cavity]],Prod[[#This Row],[S2Cavity]],Prod[[#This Row],[S3Cavity]])</f>
        <v>8</v>
      </c>
      <c r="BD151" s="175" t="b">
        <f>RegExpMatch(Prod[[#This Row],[MoldNo]], "^DEO-(B|C)")</f>
        <v>1</v>
      </c>
      <c r="BE151" s="175" t="b">
        <f>RegExpMatch(Prod[[#This Row],[MoldNo]], "^JAC")</f>
        <v>0</v>
      </c>
    </row>
    <row r="152" spans="1:57" x14ac:dyDescent="0.2">
      <c r="A152" s="117">
        <v>45453</v>
      </c>
      <c r="B152" s="120" t="s">
        <v>85</v>
      </c>
      <c r="C152" s="119" t="s">
        <v>165</v>
      </c>
      <c r="D152" s="119">
        <v>27430</v>
      </c>
      <c r="E152" s="131" t="s">
        <v>199</v>
      </c>
      <c r="F152" s="119">
        <v>6331</v>
      </c>
      <c r="G152" s="119" t="str">
        <f>IF(OR(Prod[[#This Row],[S1Hrs]]&gt;0,Prod[[#This Row],[S2Hrs]]&gt;0,Prod[[#This Row],[S3Hrs]]&gt;0),"Running","Down")</f>
        <v>Running</v>
      </c>
      <c r="H152" s="194">
        <v>20.43</v>
      </c>
      <c r="I152" s="185">
        <v>8</v>
      </c>
      <c r="J152" s="130">
        <v>1389</v>
      </c>
      <c r="K152" s="130">
        <v>16</v>
      </c>
      <c r="L152" s="120">
        <f>Prod[[#This Row],[S1Shot]]*Prod[[#This Row],[S1Cavity]]-Prod[[#This Row],[S1Dft]]</f>
        <v>22224</v>
      </c>
      <c r="M152" s="134"/>
      <c r="N152" s="194">
        <v>20.43</v>
      </c>
      <c r="O152" s="185">
        <v>8</v>
      </c>
      <c r="P152" s="130">
        <v>1439</v>
      </c>
      <c r="Q152" s="130">
        <v>16</v>
      </c>
      <c r="R152" s="120">
        <f>Prod[[#This Row],[S2Shot]]*Prod[[#This Row],[S2Cavity]]-Prod[[#This Row],[S2Dft]]</f>
        <v>23024</v>
      </c>
      <c r="S152" s="134"/>
      <c r="T152" s="194">
        <v>20.43</v>
      </c>
      <c r="U152" s="185">
        <v>8</v>
      </c>
      <c r="V152" s="130">
        <v>1331</v>
      </c>
      <c r="W152" s="130">
        <v>16</v>
      </c>
      <c r="X152" s="120">
        <f>Prod[[#This Row],[S3Shot]]*Prod[[#This Row],[S3Cavity]]-Prod[[#This Row],[S3Dft]]</f>
        <v>21296</v>
      </c>
      <c r="Y152" s="134"/>
      <c r="Z152" s="120">
        <f>SUM(Prod[[#This Row],[S1Qty]],Prod[[#This Row],[S2Qty]],Prod[[#This Row],[S3Qty]])</f>
        <v>66544</v>
      </c>
      <c r="AA152" s="134"/>
      <c r="AB152" s="135"/>
      <c r="AC152" s="118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2">
        <f>IF(Prod[[#This Row],[S1Hrs]]=0,0,Prod[[#This Row],[S1Shot]]*Prod[[#This Row],[S1Cycle]]/(Prod[[#This Row],[S1Hrs]]*60*60))</f>
        <v>0.98532187500000001</v>
      </c>
      <c r="AT152" s="132">
        <f>IF(Prod[[#This Row],[S2Hrs]]=0,0,Prod[[#This Row],[S2Shot]]*Prod[[#This Row],[S2Cycle]]/(Prod[[#This Row],[S2Hrs]]*60*60))</f>
        <v>1.0207906250000001</v>
      </c>
      <c r="AU152" s="132">
        <f>IF(Prod[[#This Row],[S3Hrs]]=0,0,Prod[[#This Row],[S3Shot]]*Prod[[#This Row],[S3Cycle]]/(Prod[[#This Row],[S3Hrs]]*60*60))</f>
        <v>0.94417812499999998</v>
      </c>
      <c r="AV152" s="132">
        <f>IFERROR(AVERAGEIF(Prod[[#This Row],[S1%]:[S3%]], "&lt;&gt;0"),0)</f>
        <v>0.98343020833333339</v>
      </c>
      <c r="AW152" s="132">
        <v>0</v>
      </c>
      <c r="AX152" s="132">
        <v>0</v>
      </c>
      <c r="AY152" s="132">
        <v>0</v>
      </c>
      <c r="AZ152" s="175">
        <f>IF(Prod[[#This Row],[S1Cycle]]&lt;&gt;0,1,0)</f>
        <v>1</v>
      </c>
      <c r="BA152" s="175">
        <f>IF(Prod[[#This Row],[S2Cycle]]&lt;&gt;0,1,0)</f>
        <v>1</v>
      </c>
      <c r="BB152" s="175">
        <f>IF(Prod[[#This Row],[S3Cycle]]&lt;&gt;0,1,0)</f>
        <v>1</v>
      </c>
      <c r="BC152" s="175">
        <f>MAX(Prod[[#This Row],[S1Cavity]],Prod[[#This Row],[S2Cavity]],Prod[[#This Row],[S3Cavity]])</f>
        <v>16</v>
      </c>
      <c r="BD152" s="175" t="b">
        <f>RegExpMatch(Prod[[#This Row],[MoldNo]], "^DEO-(B|C)")</f>
        <v>0</v>
      </c>
      <c r="BE152" s="175" t="b">
        <f>RegExpMatch(Prod[[#This Row],[MoldNo]], "^JAC")</f>
        <v>0</v>
      </c>
    </row>
    <row r="153" spans="1:57" x14ac:dyDescent="0.2">
      <c r="A153" s="117">
        <v>45453</v>
      </c>
      <c r="B153" s="120" t="s">
        <v>196</v>
      </c>
      <c r="C153" s="119" t="s">
        <v>82</v>
      </c>
      <c r="D153" s="119">
        <v>27438</v>
      </c>
      <c r="E153" s="131" t="s">
        <v>199</v>
      </c>
      <c r="F153" s="119">
        <v>814</v>
      </c>
      <c r="G153" s="119" t="str">
        <f>IF(OR(Prod[[#This Row],[S1Hrs]]&gt;0,Prod[[#This Row],[S2Hrs]]&gt;0,Prod[[#This Row],[S3Hrs]]&gt;0),"Running","Down")</f>
        <v>Running</v>
      </c>
      <c r="H153" s="194">
        <v>18.55</v>
      </c>
      <c r="I153" s="185">
        <v>6</v>
      </c>
      <c r="J153" s="130">
        <v>912</v>
      </c>
      <c r="K153" s="130">
        <v>15</v>
      </c>
      <c r="L153" s="120">
        <f>Prod[[#This Row],[S1Shot]]*Prod[[#This Row],[S1Cavity]]-Prod[[#This Row],[S1Dft]]</f>
        <v>13680</v>
      </c>
      <c r="M153" s="134"/>
      <c r="N153" s="194">
        <v>18.55</v>
      </c>
      <c r="O153" s="185">
        <v>8</v>
      </c>
      <c r="P153" s="130">
        <v>1470</v>
      </c>
      <c r="Q153" s="130">
        <v>16</v>
      </c>
      <c r="R153" s="120">
        <f>Prod[[#This Row],[S2Shot]]*Prod[[#This Row],[S2Cavity]]-Prod[[#This Row],[S2Dft]]</f>
        <v>23520</v>
      </c>
      <c r="S153" s="134"/>
      <c r="T153" s="194">
        <v>19.5</v>
      </c>
      <c r="U153" s="185">
        <v>8</v>
      </c>
      <c r="V153" s="130">
        <v>1469</v>
      </c>
      <c r="W153" s="130">
        <v>16</v>
      </c>
      <c r="X153" s="120">
        <f>Prod[[#This Row],[S3Shot]]*Prod[[#This Row],[S3Cavity]]-Prod[[#This Row],[S3Dft]]</f>
        <v>23504</v>
      </c>
      <c r="Y153" s="134"/>
      <c r="Z153" s="120">
        <f>SUM(Prod[[#This Row],[S1Qty]],Prod[[#This Row],[S2Qty]],Prod[[#This Row],[S3Qty]])</f>
        <v>60704</v>
      </c>
      <c r="AA153" s="134"/>
      <c r="AB153" s="135"/>
      <c r="AC153" s="118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2">
        <f>IF(Prod[[#This Row],[S1Hrs]]=0,0,Prod[[#This Row],[S1Shot]]*Prod[[#This Row],[S1Cycle]]/(Prod[[#This Row],[S1Hrs]]*60*60))</f>
        <v>0.78322222222222238</v>
      </c>
      <c r="AT153" s="132">
        <f>IF(Prod[[#This Row],[S2Hrs]]=0,0,Prod[[#This Row],[S2Shot]]*Prod[[#This Row],[S2Cycle]]/(Prod[[#This Row],[S2Hrs]]*60*60))</f>
        <v>0.94682291666666663</v>
      </c>
      <c r="AU153" s="132">
        <f>IF(Prod[[#This Row],[S3Hrs]]=0,0,Prod[[#This Row],[S3Shot]]*Prod[[#This Row],[S3Cycle]]/(Prod[[#This Row],[S3Hrs]]*60*60))</f>
        <v>0.99463541666666666</v>
      </c>
      <c r="AV153" s="132">
        <f>IFERROR(AVERAGEIF(Prod[[#This Row],[S1%]:[S3%]], "&lt;&gt;0"),0)</f>
        <v>0.90822685185185181</v>
      </c>
      <c r="AW153" s="132">
        <v>0</v>
      </c>
      <c r="AX153" s="132">
        <v>0</v>
      </c>
      <c r="AY153" s="132">
        <v>0</v>
      </c>
      <c r="AZ153" s="175">
        <f>IF(Prod[[#This Row],[S1Cycle]]&lt;&gt;0,1,0)</f>
        <v>1</v>
      </c>
      <c r="BA153" s="175">
        <f>IF(Prod[[#This Row],[S2Cycle]]&lt;&gt;0,1,0)</f>
        <v>1</v>
      </c>
      <c r="BB153" s="175">
        <f>IF(Prod[[#This Row],[S3Cycle]]&lt;&gt;0,1,0)</f>
        <v>1</v>
      </c>
      <c r="BC153" s="175">
        <f>MAX(Prod[[#This Row],[S1Cavity]],Prod[[#This Row],[S2Cavity]],Prod[[#This Row],[S3Cavity]])</f>
        <v>16</v>
      </c>
      <c r="BD153" s="175" t="b">
        <f>RegExpMatch(Prod[[#This Row],[MoldNo]], "^DEO-(B|C)")</f>
        <v>0</v>
      </c>
      <c r="BE153" s="175" t="b">
        <f>RegExpMatch(Prod[[#This Row],[MoldNo]], "^JAC")</f>
        <v>0</v>
      </c>
    </row>
    <row r="154" spans="1:57" x14ac:dyDescent="0.2">
      <c r="A154" s="117">
        <v>45453</v>
      </c>
      <c r="B154" s="120" t="s">
        <v>192</v>
      </c>
      <c r="C154" s="131" t="s">
        <v>193</v>
      </c>
      <c r="D154" s="119">
        <v>27716</v>
      </c>
      <c r="E154" s="131" t="s">
        <v>199</v>
      </c>
      <c r="F154" s="119">
        <v>814</v>
      </c>
      <c r="G154" s="119" t="str">
        <f>IF(OR(Prod[[#This Row],[S1Hrs]]&gt;0,Prod[[#This Row],[S2Hrs]]&gt;0,Prod[[#This Row],[S3Hrs]]&gt;0),"Running","Down")</f>
        <v>Running</v>
      </c>
      <c r="H154" s="194">
        <v>17.25</v>
      </c>
      <c r="I154" s="185">
        <v>8</v>
      </c>
      <c r="J154" s="130">
        <v>1703</v>
      </c>
      <c r="K154" s="130">
        <v>24</v>
      </c>
      <c r="L154" s="120">
        <f>Prod[[#This Row],[S1Shot]]*Prod[[#This Row],[S1Cavity]]-Prod[[#This Row],[S1Dft]]</f>
        <v>40872</v>
      </c>
      <c r="M154" s="134"/>
      <c r="N154" s="194">
        <v>17.25</v>
      </c>
      <c r="O154" s="185">
        <v>8</v>
      </c>
      <c r="P154" s="130">
        <v>1666</v>
      </c>
      <c r="Q154" s="130">
        <v>24</v>
      </c>
      <c r="R154" s="120">
        <f>Prod[[#This Row],[S2Shot]]*Prod[[#This Row],[S2Cavity]]-Prod[[#This Row],[S2Dft]]</f>
        <v>39984</v>
      </c>
      <c r="S154" s="134"/>
      <c r="T154" s="194">
        <v>17.25</v>
      </c>
      <c r="U154" s="185">
        <v>8</v>
      </c>
      <c r="V154" s="130">
        <v>1681</v>
      </c>
      <c r="W154" s="130">
        <v>24</v>
      </c>
      <c r="X154" s="120">
        <f>Prod[[#This Row],[S3Shot]]*Prod[[#This Row],[S3Cavity]]-Prod[[#This Row],[S3Dft]]</f>
        <v>40344</v>
      </c>
      <c r="Y154" s="134"/>
      <c r="Z154" s="120">
        <f>SUM(Prod[[#This Row],[S1Qty]],Prod[[#This Row],[S2Qty]],Prod[[#This Row],[S3Qty]])</f>
        <v>121200</v>
      </c>
      <c r="AA154" s="134"/>
      <c r="AB154" s="135"/>
      <c r="AC154" s="118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2">
        <f>IF(Prod[[#This Row],[S1Hrs]]=0,0,Prod[[#This Row],[S1Shot]]*Prod[[#This Row],[S1Cycle]]/(Prod[[#This Row],[S1Hrs]]*60*60))</f>
        <v>1.0200260416666667</v>
      </c>
      <c r="AT154" s="132">
        <f>IF(Prod[[#This Row],[S2Hrs]]=0,0,Prod[[#This Row],[S2Shot]]*Prod[[#This Row],[S2Cycle]]/(Prod[[#This Row],[S2Hrs]]*60*60))</f>
        <v>0.99786458333333339</v>
      </c>
      <c r="AU154" s="132">
        <f>IF(Prod[[#This Row],[S3Hrs]]=0,0,Prod[[#This Row],[S3Shot]]*Prod[[#This Row],[S3Cycle]]/(Prod[[#This Row],[S3Hrs]]*60*60))</f>
        <v>1.0068489583333333</v>
      </c>
      <c r="AV154" s="132">
        <f>IFERROR(AVERAGEIF(Prod[[#This Row],[S1%]:[S3%]], "&lt;&gt;0"),0)</f>
        <v>1.0082465277777779</v>
      </c>
      <c r="AW154" s="132">
        <v>0</v>
      </c>
      <c r="AX154" s="132">
        <v>0</v>
      </c>
      <c r="AY154" s="132">
        <v>0</v>
      </c>
      <c r="AZ154" s="175">
        <f>IF(Prod[[#This Row],[S1Cycle]]&lt;&gt;0,1,0)</f>
        <v>1</v>
      </c>
      <c r="BA154" s="175">
        <f>IF(Prod[[#This Row],[S2Cycle]]&lt;&gt;0,1,0)</f>
        <v>1</v>
      </c>
      <c r="BB154" s="175">
        <f>IF(Prod[[#This Row],[S3Cycle]]&lt;&gt;0,1,0)</f>
        <v>1</v>
      </c>
      <c r="BC154" s="175">
        <f>MAX(Prod[[#This Row],[S1Cavity]],Prod[[#This Row],[S2Cavity]],Prod[[#This Row],[S3Cavity]])</f>
        <v>24</v>
      </c>
      <c r="BD154" s="175" t="b">
        <f>RegExpMatch(Prod[[#This Row],[MoldNo]], "^DEO-(B|C)")</f>
        <v>0</v>
      </c>
      <c r="BE154" s="175" t="b">
        <f>RegExpMatch(Prod[[#This Row],[MoldNo]], "^JAC")</f>
        <v>0</v>
      </c>
    </row>
    <row r="155" spans="1:57" x14ac:dyDescent="0.2">
      <c r="A155" s="117">
        <v>45453</v>
      </c>
      <c r="B155" s="120" t="s">
        <v>168</v>
      </c>
      <c r="C155" s="119" t="s">
        <v>169</v>
      </c>
      <c r="D155" s="119"/>
      <c r="E155" s="131"/>
      <c r="F155" s="119"/>
      <c r="G155" s="119" t="str">
        <f>IF(OR(Prod[[#This Row],[S1Hrs]]&gt;0,Prod[[#This Row],[S2Hrs]]&gt;0,Prod[[#This Row],[S3Hrs]]&gt;0),"Running","Down")</f>
        <v>Down</v>
      </c>
      <c r="H155" s="194">
        <v>0</v>
      </c>
      <c r="I155" s="185">
        <v>0</v>
      </c>
      <c r="J155" s="130">
        <v>0</v>
      </c>
      <c r="K155" s="130">
        <v>0</v>
      </c>
      <c r="L155" s="120">
        <f>Prod[[#This Row],[S1Shot]]*Prod[[#This Row],[S1Cavity]]-Prod[[#This Row],[S1Dft]]</f>
        <v>0</v>
      </c>
      <c r="M155" s="134"/>
      <c r="N155" s="194">
        <v>0</v>
      </c>
      <c r="O155" s="185">
        <v>0</v>
      </c>
      <c r="P155" s="130">
        <v>0</v>
      </c>
      <c r="Q155" s="130">
        <v>0</v>
      </c>
      <c r="R155" s="120">
        <f>Prod[[#This Row],[S2Shot]]*Prod[[#This Row],[S2Cavity]]-Prod[[#This Row],[S2Dft]]</f>
        <v>0</v>
      </c>
      <c r="S155" s="134"/>
      <c r="T155" s="194">
        <v>0</v>
      </c>
      <c r="U155" s="185">
        <v>0</v>
      </c>
      <c r="V155" s="130">
        <v>0</v>
      </c>
      <c r="W155" s="130">
        <v>0</v>
      </c>
      <c r="X155" s="120">
        <f>Prod[[#This Row],[S3Shot]]*Prod[[#This Row],[S3Cavity]]-Prod[[#This Row],[S3Dft]]</f>
        <v>0</v>
      </c>
      <c r="Y155" s="134"/>
      <c r="Z155" s="120">
        <f>SUM(Prod[[#This Row],[S1Qty]],Prod[[#This Row],[S2Qty]],Prod[[#This Row],[S3Qty]])</f>
        <v>0</v>
      </c>
      <c r="AA155" s="134"/>
      <c r="AB155" s="135"/>
      <c r="AC155" s="118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2">
        <f>IF(Prod[[#This Row],[S1Hrs]]=0,0,Prod[[#This Row],[S1Shot]]*Prod[[#This Row],[S1Cycle]]/(Prod[[#This Row],[S1Hrs]]*60*60))</f>
        <v>0</v>
      </c>
      <c r="AT155" s="132">
        <f>IF(Prod[[#This Row],[S2Hrs]]=0,0,Prod[[#This Row],[S2Shot]]*Prod[[#This Row],[S2Cycle]]/(Prod[[#This Row],[S2Hrs]]*60*60))</f>
        <v>0</v>
      </c>
      <c r="AU155" s="132">
        <f>IF(Prod[[#This Row],[S3Hrs]]=0,0,Prod[[#This Row],[S3Shot]]*Prod[[#This Row],[S3Cycle]]/(Prod[[#This Row],[S3Hrs]]*60*60))</f>
        <v>0</v>
      </c>
      <c r="AV155" s="132">
        <f>IFERROR(AVERAGEIF(Prod[[#This Row],[S1%]:[S3%]], "&lt;&gt;0"),0)</f>
        <v>0</v>
      </c>
      <c r="AW155" s="132">
        <v>0</v>
      </c>
      <c r="AX155" s="132">
        <v>0</v>
      </c>
      <c r="AY155" s="132">
        <v>0</v>
      </c>
      <c r="AZ155" s="175">
        <f>IF(Prod[[#This Row],[S1Cycle]]&lt;&gt;0,1,0)</f>
        <v>0</v>
      </c>
      <c r="BA155" s="175">
        <f>IF(Prod[[#This Row],[S2Cycle]]&lt;&gt;0,1,0)</f>
        <v>0</v>
      </c>
      <c r="BB155" s="175">
        <f>IF(Prod[[#This Row],[S3Cycle]]&lt;&gt;0,1,0)</f>
        <v>0</v>
      </c>
      <c r="BC155" s="175">
        <f>MAX(Prod[[#This Row],[S1Cavity]],Prod[[#This Row],[S2Cavity]],Prod[[#This Row],[S3Cavity]])</f>
        <v>0</v>
      </c>
      <c r="BD155" s="175" t="b">
        <f>RegExpMatch(Prod[[#This Row],[MoldNo]], "^DEO-(B|C)")</f>
        <v>0</v>
      </c>
      <c r="BE155" s="175" t="b">
        <f>RegExpMatch(Prod[[#This Row],[MoldNo]], "^JAC")</f>
        <v>0</v>
      </c>
    </row>
    <row r="156" spans="1:57" x14ac:dyDescent="0.2">
      <c r="A156" s="117">
        <v>45453</v>
      </c>
      <c r="B156" s="120" t="s">
        <v>146</v>
      </c>
      <c r="C156" s="119" t="s">
        <v>84</v>
      </c>
      <c r="D156" s="119"/>
      <c r="E156" s="131"/>
      <c r="F156" s="119"/>
      <c r="G156" s="119" t="str">
        <f>IF(OR(Prod[[#This Row],[S1Hrs]]&gt;0,Prod[[#This Row],[S2Hrs]]&gt;0,Prod[[#This Row],[S3Hrs]]&gt;0),"Running","Down")</f>
        <v>Down</v>
      </c>
      <c r="H156" s="194">
        <v>0</v>
      </c>
      <c r="I156" s="185">
        <v>0</v>
      </c>
      <c r="J156" s="130">
        <v>0</v>
      </c>
      <c r="K156" s="130">
        <v>0</v>
      </c>
      <c r="L156" s="120">
        <f>Prod[[#This Row],[S1Shot]]*Prod[[#This Row],[S1Cavity]]-Prod[[#This Row],[S1Dft]]</f>
        <v>0</v>
      </c>
      <c r="M156" s="134"/>
      <c r="N156" s="194">
        <v>0</v>
      </c>
      <c r="O156" s="185">
        <v>0</v>
      </c>
      <c r="P156" s="130">
        <v>0</v>
      </c>
      <c r="Q156" s="130">
        <v>0</v>
      </c>
      <c r="R156" s="120">
        <f>Prod[[#This Row],[S2Shot]]*Prod[[#This Row],[S2Cavity]]-Prod[[#This Row],[S2Dft]]</f>
        <v>0</v>
      </c>
      <c r="S156" s="134"/>
      <c r="T156" s="194">
        <v>0</v>
      </c>
      <c r="U156" s="185">
        <v>0</v>
      </c>
      <c r="V156" s="130">
        <v>0</v>
      </c>
      <c r="W156" s="130">
        <v>0</v>
      </c>
      <c r="X156" s="120">
        <f>Prod[[#This Row],[S3Shot]]*Prod[[#This Row],[S3Cavity]]-Prod[[#This Row],[S3Dft]]</f>
        <v>0</v>
      </c>
      <c r="Y156" s="134"/>
      <c r="Z156" s="120">
        <f>SUM(Prod[[#This Row],[S1Qty]],Prod[[#This Row],[S2Qty]],Prod[[#This Row],[S3Qty]])</f>
        <v>0</v>
      </c>
      <c r="AA156" s="134"/>
      <c r="AB156" s="135"/>
      <c r="AC156" s="118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2">
        <f>IF(Prod[[#This Row],[S1Hrs]]=0,0,Prod[[#This Row],[S1Shot]]*Prod[[#This Row],[S1Cycle]]/(Prod[[#This Row],[S1Hrs]]*60*60))</f>
        <v>0</v>
      </c>
      <c r="AT156" s="132">
        <f>IF(Prod[[#This Row],[S2Hrs]]=0,0,Prod[[#This Row],[S2Shot]]*Prod[[#This Row],[S2Cycle]]/(Prod[[#This Row],[S2Hrs]]*60*60))</f>
        <v>0</v>
      </c>
      <c r="AU156" s="132">
        <f>IF(Prod[[#This Row],[S3Hrs]]=0,0,Prod[[#This Row],[S3Shot]]*Prod[[#This Row],[S3Cycle]]/(Prod[[#This Row],[S3Hrs]]*60*60))</f>
        <v>0</v>
      </c>
      <c r="AV156" s="132">
        <f>IFERROR(AVERAGEIF(Prod[[#This Row],[S1%]:[S3%]], "&lt;&gt;0"),0)</f>
        <v>0</v>
      </c>
      <c r="AW156" s="132">
        <v>0</v>
      </c>
      <c r="AX156" s="132">
        <v>0</v>
      </c>
      <c r="AY156" s="132">
        <v>0</v>
      </c>
      <c r="AZ156" s="175">
        <f>IF(Prod[[#This Row],[S1Cycle]]&lt;&gt;0,1,0)</f>
        <v>0</v>
      </c>
      <c r="BA156" s="175">
        <f>IF(Prod[[#This Row],[S2Cycle]]&lt;&gt;0,1,0)</f>
        <v>0</v>
      </c>
      <c r="BB156" s="175">
        <f>IF(Prod[[#This Row],[S3Cycle]]&lt;&gt;0,1,0)</f>
        <v>0</v>
      </c>
      <c r="BC156" s="175">
        <f>MAX(Prod[[#This Row],[S1Cavity]],Prod[[#This Row],[S2Cavity]],Prod[[#This Row],[S3Cavity]])</f>
        <v>0</v>
      </c>
      <c r="BD156" s="175" t="b">
        <f>RegExpMatch(Prod[[#This Row],[MoldNo]], "^DEO-(B|C)")</f>
        <v>0</v>
      </c>
      <c r="BE156" s="175" t="b">
        <f>RegExpMatch(Prod[[#This Row],[MoldNo]], "^JAC")</f>
        <v>0</v>
      </c>
    </row>
    <row r="157" spans="1:57" x14ac:dyDescent="0.2">
      <c r="A157" s="117">
        <v>45453</v>
      </c>
      <c r="B157" s="130" t="s">
        <v>194</v>
      </c>
      <c r="C157" s="131" t="s">
        <v>9</v>
      </c>
      <c r="D157" s="119"/>
      <c r="E157" s="131"/>
      <c r="F157" s="119"/>
      <c r="G157" s="119" t="str">
        <f>IF(OR(Prod[[#This Row],[S1Hrs]]&gt;0,Prod[[#This Row],[S2Hrs]]&gt;0,Prod[[#This Row],[S3Hrs]]&gt;0),"Running","Down")</f>
        <v>Down</v>
      </c>
      <c r="H157" s="194">
        <v>0</v>
      </c>
      <c r="I157" s="185">
        <v>0</v>
      </c>
      <c r="J157" s="130">
        <v>0</v>
      </c>
      <c r="K157" s="130">
        <v>0</v>
      </c>
      <c r="L157" s="120">
        <f>Prod[[#This Row],[S1Shot]]*Prod[[#This Row],[S1Cavity]]-Prod[[#This Row],[S1Dft]]</f>
        <v>0</v>
      </c>
      <c r="M157" s="134"/>
      <c r="N157" s="194">
        <v>0</v>
      </c>
      <c r="O157" s="185">
        <v>0</v>
      </c>
      <c r="P157" s="130">
        <v>0</v>
      </c>
      <c r="Q157" s="130">
        <v>0</v>
      </c>
      <c r="R157" s="120">
        <f>Prod[[#This Row],[S2Shot]]*Prod[[#This Row],[S2Cavity]]-Prod[[#This Row],[S2Dft]]</f>
        <v>0</v>
      </c>
      <c r="S157" s="134"/>
      <c r="T157" s="194">
        <v>0</v>
      </c>
      <c r="U157" s="185">
        <v>0</v>
      </c>
      <c r="V157" s="130">
        <v>0</v>
      </c>
      <c r="W157" s="130">
        <v>0</v>
      </c>
      <c r="X157" s="120">
        <f>Prod[[#This Row],[S3Shot]]*Prod[[#This Row],[S3Cavity]]-Prod[[#This Row],[S3Dft]]</f>
        <v>0</v>
      </c>
      <c r="Y157" s="134"/>
      <c r="Z157" s="120">
        <f>SUM(Prod[[#This Row],[S1Qty]],Prod[[#This Row],[S2Qty]],Prod[[#This Row],[S3Qty]])</f>
        <v>0</v>
      </c>
      <c r="AA157" s="134"/>
      <c r="AB157" s="135"/>
      <c r="AC157" s="118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2">
        <f>IF(Prod[[#This Row],[S1Hrs]]=0,0,Prod[[#This Row],[S1Shot]]*Prod[[#This Row],[S1Cycle]]/(Prod[[#This Row],[S1Hrs]]*60*60))</f>
        <v>0</v>
      </c>
      <c r="AT157" s="132">
        <f>IF(Prod[[#This Row],[S2Hrs]]=0,0,Prod[[#This Row],[S2Shot]]*Prod[[#This Row],[S2Cycle]]/(Prod[[#This Row],[S2Hrs]]*60*60))</f>
        <v>0</v>
      </c>
      <c r="AU157" s="132">
        <f>IF(Prod[[#This Row],[S3Hrs]]=0,0,Prod[[#This Row],[S3Shot]]*Prod[[#This Row],[S3Cycle]]/(Prod[[#This Row],[S3Hrs]]*60*60))</f>
        <v>0</v>
      </c>
      <c r="AV157" s="132">
        <f>IFERROR(AVERAGEIF(Prod[[#This Row],[S1%]:[S3%]], "&lt;&gt;0"),0)</f>
        <v>0</v>
      </c>
      <c r="AW157" s="132">
        <v>0</v>
      </c>
      <c r="AX157" s="132">
        <v>0</v>
      </c>
      <c r="AY157" s="132">
        <v>0</v>
      </c>
      <c r="AZ157" s="175">
        <f>IF(Prod[[#This Row],[S1Cycle]]&lt;&gt;0,1,0)</f>
        <v>0</v>
      </c>
      <c r="BA157" s="175">
        <f>IF(Prod[[#This Row],[S2Cycle]]&lt;&gt;0,1,0)</f>
        <v>0</v>
      </c>
      <c r="BB157" s="175">
        <f>IF(Prod[[#This Row],[S3Cycle]]&lt;&gt;0,1,0)</f>
        <v>0</v>
      </c>
      <c r="BC157" s="175">
        <f>MAX(Prod[[#This Row],[S1Cavity]],Prod[[#This Row],[S2Cavity]],Prod[[#This Row],[S3Cavity]])</f>
        <v>0</v>
      </c>
      <c r="BD157" s="175" t="b">
        <f>RegExpMatch(Prod[[#This Row],[MoldNo]], "^DEO-(B|C)")</f>
        <v>0</v>
      </c>
      <c r="BE157" s="175" t="b">
        <f>RegExpMatch(Prod[[#This Row],[MoldNo]], "^JAC")</f>
        <v>0</v>
      </c>
    </row>
    <row r="158" spans="1:57" x14ac:dyDescent="0.2">
      <c r="A158" s="117">
        <v>45453</v>
      </c>
      <c r="B158" s="130" t="s">
        <v>164</v>
      </c>
      <c r="C158" s="131" t="s">
        <v>144</v>
      </c>
      <c r="D158" s="119"/>
      <c r="E158" s="131"/>
      <c r="F158" s="119"/>
      <c r="G158" s="119" t="str">
        <f>IF(OR(Prod[[#This Row],[S1Hrs]]&gt;0,Prod[[#This Row],[S2Hrs]]&gt;0,Prod[[#This Row],[S3Hrs]]&gt;0),"Running","Down")</f>
        <v>Down</v>
      </c>
      <c r="H158" s="194">
        <v>0</v>
      </c>
      <c r="I158" s="185">
        <v>0</v>
      </c>
      <c r="J158" s="130">
        <v>0</v>
      </c>
      <c r="K158" s="130">
        <v>0</v>
      </c>
      <c r="L158" s="120">
        <f>Prod[[#This Row],[S1Shot]]*Prod[[#This Row],[S1Cavity]]-Prod[[#This Row],[S1Dft]]</f>
        <v>0</v>
      </c>
      <c r="M158" s="136">
        <f>SUM(Prod[[#This Row],[S1Mold]],Prod[[#This Row],[S1Print]],Prod[[#This Row],[S1Ovlp]],Prod[[#This Row],[S1Seam]],Prod[[#This Row],[S1Dmg]])</f>
        <v>0</v>
      </c>
      <c r="N158" s="194">
        <v>0</v>
      </c>
      <c r="O158" s="185">
        <v>0</v>
      </c>
      <c r="P158" s="130">
        <v>0</v>
      </c>
      <c r="Q158" s="130">
        <v>0</v>
      </c>
      <c r="R158" s="120">
        <f>Prod[[#This Row],[S2Shot]]*Prod[[#This Row],[S2Cavity]]-Prod[[#This Row],[S2Dft]]</f>
        <v>0</v>
      </c>
      <c r="S158" s="136">
        <f>SUM(Prod[[#This Row],[S2Mold]],Prod[[#This Row],[S2Print]],Prod[[#This Row],[S2Ovlp]],Prod[[#This Row],[S2Seam]],Prod[[#This Row],[S2Dmg]])</f>
        <v>0</v>
      </c>
      <c r="T158" s="194">
        <v>0</v>
      </c>
      <c r="U158" s="185">
        <v>0</v>
      </c>
      <c r="V158" s="130">
        <v>0</v>
      </c>
      <c r="W158" s="130">
        <v>0</v>
      </c>
      <c r="X158" s="120">
        <f>Prod[[#This Row],[S3Shot]]*Prod[[#This Row],[S3Cavity]]-Prod[[#This Row],[S3Dft]]</f>
        <v>0</v>
      </c>
      <c r="Y158" s="120">
        <f>SUM(Prod[[#This Row],[S3Mold]],Prod[[#This Row],[S3Print]],Prod[[#This Row],[S3Ovlp]],Prod[[#This Row],[S3Seam]],Prod[[#This Row],[S3Dmg]])</f>
        <v>0</v>
      </c>
      <c r="Z158" s="120">
        <f>SUM(Prod[[#This Row],[S1Qty]],Prod[[#This Row],[S2Qty]],Prod[[#This Row],[S3Qty]])</f>
        <v>0</v>
      </c>
      <c r="AA158" s="120">
        <f>SUM(Prod[[#This Row],[S1Dft]],Prod[[#This Row],[S2Dft]],Prod[[#This Row],[S3Dft]])</f>
        <v>0</v>
      </c>
      <c r="AB158" s="121">
        <f>IF(Prod[[#This Row],[Total]]=0,0,Prod[[#This Row],[TotalDft]]/Prod[[#This Row],[Total]])</f>
        <v>0</v>
      </c>
      <c r="AC158" s="118"/>
      <c r="AD158" s="120">
        <v>0</v>
      </c>
      <c r="AE158" s="120">
        <v>0</v>
      </c>
      <c r="AF158" s="120">
        <v>0</v>
      </c>
      <c r="AG158" s="120">
        <v>0</v>
      </c>
      <c r="AH158" s="120">
        <v>0</v>
      </c>
      <c r="AI158" s="120">
        <v>0</v>
      </c>
      <c r="AJ158" s="120">
        <v>0</v>
      </c>
      <c r="AK158" s="120">
        <v>0</v>
      </c>
      <c r="AL158" s="120">
        <v>0</v>
      </c>
      <c r="AM158" s="120">
        <v>0</v>
      </c>
      <c r="AN158" s="120">
        <v>0</v>
      </c>
      <c r="AO158" s="120">
        <v>0</v>
      </c>
      <c r="AP158" s="120">
        <v>0</v>
      </c>
      <c r="AQ158" s="120">
        <v>0</v>
      </c>
      <c r="AR158" s="120">
        <v>0</v>
      </c>
      <c r="AS158" s="132">
        <f>IF(Prod[[#This Row],[S1Hrs]]=0,0,Prod[[#This Row],[S1Shot]]*Prod[[#This Row],[S1Cycle]]/(Prod[[#This Row],[S1Hrs]]*60*60))</f>
        <v>0</v>
      </c>
      <c r="AT158" s="132">
        <f>IF(Prod[[#This Row],[S2Hrs]]=0,0,Prod[[#This Row],[S2Shot]]*Prod[[#This Row],[S2Cycle]]/(Prod[[#This Row],[S2Hrs]]*60*60))</f>
        <v>0</v>
      </c>
      <c r="AU158" s="132">
        <f>IF(Prod[[#This Row],[S3Hrs]]=0,0,Prod[[#This Row],[S3Shot]]*Prod[[#This Row],[S3Cycle]]/(Prod[[#This Row],[S3Hrs]]*60*60))</f>
        <v>0</v>
      </c>
      <c r="AV158" s="132">
        <f>IFERROR(AVERAGEIF(Prod[[#This Row],[S1%]:[S3%]], "&lt;&gt;0"),0)</f>
        <v>0</v>
      </c>
      <c r="AW158" s="132">
        <v>0</v>
      </c>
      <c r="AX158" s="132">
        <v>0</v>
      </c>
      <c r="AY158" s="132">
        <v>0</v>
      </c>
      <c r="AZ158" s="175">
        <f>IF(Prod[[#This Row],[S1Cycle]]&lt;&gt;0,1,0)</f>
        <v>0</v>
      </c>
      <c r="BA158" s="175">
        <f>IF(Prod[[#This Row],[S2Cycle]]&lt;&gt;0,1,0)</f>
        <v>0</v>
      </c>
      <c r="BB158" s="175">
        <f>IF(Prod[[#This Row],[S3Cycle]]&lt;&gt;0,1,0)</f>
        <v>0</v>
      </c>
      <c r="BC158" s="175">
        <f>MAX(Prod[[#This Row],[S1Cavity]],Prod[[#This Row],[S2Cavity]],Prod[[#This Row],[S3Cavity]])</f>
        <v>0</v>
      </c>
      <c r="BD158" s="175" t="b">
        <f>RegExpMatch(Prod[[#This Row],[MoldNo]], "^DEO-(B|C)")</f>
        <v>1</v>
      </c>
      <c r="BE158" s="175" t="b">
        <f>RegExpMatch(Prod[[#This Row],[MoldNo]], "^JAC")</f>
        <v>0</v>
      </c>
    </row>
    <row r="159" spans="1:57" x14ac:dyDescent="0.2">
      <c r="A159" s="117">
        <v>45453</v>
      </c>
      <c r="B159" s="130" t="s">
        <v>162</v>
      </c>
      <c r="C159" s="131" t="s">
        <v>163</v>
      </c>
      <c r="D159" s="119"/>
      <c r="E159" s="131"/>
      <c r="F159" s="119"/>
      <c r="G159" s="119" t="str">
        <f>IF(OR(Prod[[#This Row],[S1Hrs]]&gt;0,Prod[[#This Row],[S2Hrs]]&gt;0,Prod[[#This Row],[S3Hrs]]&gt;0),"Running","Down")</f>
        <v>Down</v>
      </c>
      <c r="H159" s="194">
        <v>0</v>
      </c>
      <c r="I159" s="185">
        <v>0</v>
      </c>
      <c r="J159" s="130">
        <v>0</v>
      </c>
      <c r="K159" s="130">
        <v>0</v>
      </c>
      <c r="L159" s="120">
        <f>Prod[[#This Row],[S1Shot]]*Prod[[#This Row],[S1Cavity]]-Prod[[#This Row],[S1Dft]]</f>
        <v>0</v>
      </c>
      <c r="M159" s="136">
        <f>SUM(Prod[[#This Row],[S1Mold]],Prod[[#This Row],[S1Print]],Prod[[#This Row],[S1Ovlp]],Prod[[#This Row],[S1Seam]],Prod[[#This Row],[S1Dmg]])</f>
        <v>0</v>
      </c>
      <c r="N159" s="194">
        <v>0</v>
      </c>
      <c r="O159" s="185">
        <v>0</v>
      </c>
      <c r="P159" s="130">
        <v>0</v>
      </c>
      <c r="Q159" s="130">
        <v>0</v>
      </c>
      <c r="R159" s="120">
        <f>Prod[[#This Row],[S2Shot]]*Prod[[#This Row],[S2Cavity]]-Prod[[#This Row],[S2Dft]]</f>
        <v>0</v>
      </c>
      <c r="S159" s="136">
        <f>SUM(Prod[[#This Row],[S2Mold]],Prod[[#This Row],[S2Print]],Prod[[#This Row],[S2Ovlp]],Prod[[#This Row],[S2Seam]],Prod[[#This Row],[S2Dmg]])</f>
        <v>0</v>
      </c>
      <c r="T159" s="194">
        <v>0</v>
      </c>
      <c r="U159" s="185">
        <v>0</v>
      </c>
      <c r="V159" s="130">
        <v>0</v>
      </c>
      <c r="W159" s="130">
        <v>0</v>
      </c>
      <c r="X159" s="120">
        <f>Prod[[#This Row],[S3Shot]]*Prod[[#This Row],[S3Cavity]]-Prod[[#This Row],[S3Dft]]</f>
        <v>0</v>
      </c>
      <c r="Y159" s="120">
        <f>SUM(Prod[[#This Row],[S3Mold]],Prod[[#This Row],[S3Print]],Prod[[#This Row],[S3Ovlp]],Prod[[#This Row],[S3Seam]],Prod[[#This Row],[S3Dmg]])</f>
        <v>0</v>
      </c>
      <c r="Z159" s="120">
        <f>SUM(Prod[[#This Row],[S1Qty]],Prod[[#This Row],[S2Qty]],Prod[[#This Row],[S3Qty]])</f>
        <v>0</v>
      </c>
      <c r="AA159" s="120">
        <f>SUM(Prod[[#This Row],[S1Dft]],Prod[[#This Row],[S2Dft]],Prod[[#This Row],[S3Dft]])</f>
        <v>0</v>
      </c>
      <c r="AB159" s="121">
        <f>IF(Prod[[#This Row],[Total]]=0,0,Prod[[#This Row],[TotalDft]]/Prod[[#This Row],[Total]])</f>
        <v>0</v>
      </c>
      <c r="AC159" s="118"/>
      <c r="AD159" s="120">
        <v>0</v>
      </c>
      <c r="AE159" s="120">
        <v>0</v>
      </c>
      <c r="AF159" s="120">
        <v>0</v>
      </c>
      <c r="AG159" s="120">
        <v>0</v>
      </c>
      <c r="AH159" s="120">
        <v>0</v>
      </c>
      <c r="AI159" s="120">
        <v>0</v>
      </c>
      <c r="AJ159" s="120">
        <v>0</v>
      </c>
      <c r="AK159" s="120">
        <v>0</v>
      </c>
      <c r="AL159" s="120">
        <v>0</v>
      </c>
      <c r="AM159" s="120">
        <v>0</v>
      </c>
      <c r="AN159" s="120">
        <v>0</v>
      </c>
      <c r="AO159" s="120">
        <v>0</v>
      </c>
      <c r="AP159" s="120">
        <v>0</v>
      </c>
      <c r="AQ159" s="120">
        <v>0</v>
      </c>
      <c r="AR159" s="120">
        <v>0</v>
      </c>
      <c r="AS159" s="132">
        <f>IF(Prod[[#This Row],[S1Hrs]]=0,0,Prod[[#This Row],[S1Shot]]*Prod[[#This Row],[S1Cycle]]/(Prod[[#This Row],[S1Hrs]]*60*60))</f>
        <v>0</v>
      </c>
      <c r="AT159" s="132">
        <f>IF(Prod[[#This Row],[S2Hrs]]=0,0,Prod[[#This Row],[S2Shot]]*Prod[[#This Row],[S2Cycle]]/(Prod[[#This Row],[S2Hrs]]*60*60))</f>
        <v>0</v>
      </c>
      <c r="AU159" s="132">
        <f>IF(Prod[[#This Row],[S3Hrs]]=0,0,Prod[[#This Row],[S3Shot]]*Prod[[#This Row],[S3Cycle]]/(Prod[[#This Row],[S3Hrs]]*60*60))</f>
        <v>0</v>
      </c>
      <c r="AV159" s="132">
        <f>IFERROR(AVERAGEIF(Prod[[#This Row],[S1%]:[S3%]], "&lt;&gt;0"),0)</f>
        <v>0</v>
      </c>
      <c r="AW159" s="132">
        <v>0</v>
      </c>
      <c r="AX159" s="132">
        <v>0</v>
      </c>
      <c r="AY159" s="132">
        <v>0</v>
      </c>
      <c r="AZ159" s="175">
        <f>IF(Prod[[#This Row],[S1Cycle]]&lt;&gt;0,1,0)</f>
        <v>0</v>
      </c>
      <c r="BA159" s="175">
        <f>IF(Prod[[#This Row],[S2Cycle]]&lt;&gt;0,1,0)</f>
        <v>0</v>
      </c>
      <c r="BB159" s="175">
        <f>IF(Prod[[#This Row],[S3Cycle]]&lt;&gt;0,1,0)</f>
        <v>0</v>
      </c>
      <c r="BC159" s="175">
        <f>MAX(Prod[[#This Row],[S1Cavity]],Prod[[#This Row],[S2Cavity]],Prod[[#This Row],[S3Cavity]])</f>
        <v>0</v>
      </c>
      <c r="BD159" s="175" t="b">
        <f>RegExpMatch(Prod[[#This Row],[MoldNo]], "^DEO-(B|C)")</f>
        <v>1</v>
      </c>
      <c r="BE159" s="175" t="b">
        <f>RegExpMatch(Prod[[#This Row],[MoldNo]], "^JAC")</f>
        <v>0</v>
      </c>
    </row>
    <row r="160" spans="1:57" x14ac:dyDescent="0.2">
      <c r="A160" s="117">
        <v>45453</v>
      </c>
      <c r="B160" s="130" t="s">
        <v>174</v>
      </c>
      <c r="C160" s="131" t="s">
        <v>175</v>
      </c>
      <c r="D160" s="119">
        <v>27716</v>
      </c>
      <c r="E160" s="131" t="s">
        <v>199</v>
      </c>
      <c r="F160" s="119">
        <v>814</v>
      </c>
      <c r="G160" s="119" t="str">
        <f>IF(OR(Prod[[#This Row],[S1Hrs]]&gt;0,Prod[[#This Row],[S2Hrs]]&gt;0,Prod[[#This Row],[S3Hrs]]&gt;0),"Running","Down")</f>
        <v>Running</v>
      </c>
      <c r="H160" s="194">
        <v>20.89</v>
      </c>
      <c r="I160" s="185">
        <v>8</v>
      </c>
      <c r="J160" s="130">
        <v>1393</v>
      </c>
      <c r="K160" s="130">
        <v>8</v>
      </c>
      <c r="L160" s="120">
        <f>Prod[[#This Row],[S1Shot]]*Prod[[#This Row],[S1Cavity]]-Prod[[#This Row],[S1Dft]]</f>
        <v>10994</v>
      </c>
      <c r="M160" s="136">
        <f>SUM(Prod[[#This Row],[S1Mold]],Prod[[#This Row],[S1Print]],Prod[[#This Row],[S1Ovlp]],Prod[[#This Row],[S1Seam]],Prod[[#This Row],[S1Dmg]])</f>
        <v>150</v>
      </c>
      <c r="N160" s="194">
        <v>20.98</v>
      </c>
      <c r="O160" s="185">
        <v>8</v>
      </c>
      <c r="P160" s="130">
        <v>1505</v>
      </c>
      <c r="Q160" s="130">
        <v>8</v>
      </c>
      <c r="R160" s="120">
        <f>Prod[[#This Row],[S2Shot]]*Prod[[#This Row],[S2Cavity]]-Prod[[#This Row],[S2Dft]]</f>
        <v>11900</v>
      </c>
      <c r="S160" s="136">
        <f>SUM(Prod[[#This Row],[S2Mold]],Prod[[#This Row],[S2Print]],Prod[[#This Row],[S2Ovlp]],Prod[[#This Row],[S2Seam]],Prod[[#This Row],[S2Dmg]])</f>
        <v>140</v>
      </c>
      <c r="T160" s="194">
        <v>20.88</v>
      </c>
      <c r="U160" s="185">
        <v>8</v>
      </c>
      <c r="V160" s="130">
        <v>1073</v>
      </c>
      <c r="W160" s="130">
        <v>8</v>
      </c>
      <c r="X160" s="120">
        <f>Prod[[#This Row],[S3Shot]]*Prod[[#This Row],[S3Cavity]]-Prod[[#This Row],[S3Dft]]</f>
        <v>8449</v>
      </c>
      <c r="Y160" s="120">
        <f>SUM(Prod[[#This Row],[S3Mold]],Prod[[#This Row],[S3Print]],Prod[[#This Row],[S3Ovlp]],Prod[[#This Row],[S3Seam]],Prod[[#This Row],[S3Dmg]])</f>
        <v>135</v>
      </c>
      <c r="Z160" s="120">
        <f>SUM(Prod[[#This Row],[S1Qty]],Prod[[#This Row],[S2Qty]],Prod[[#This Row],[S3Qty]])</f>
        <v>31343</v>
      </c>
      <c r="AA160" s="120">
        <f>SUM(Prod[[#This Row],[S1Dft]],Prod[[#This Row],[S2Dft]],Prod[[#This Row],[S3Dft]])</f>
        <v>425</v>
      </c>
      <c r="AB160" s="121">
        <f>IF(Prod[[#This Row],[Total]]=0,0,Prod[[#This Row],[TotalDft]]/Prod[[#This Row],[Total]])</f>
        <v>1.355964649203969E-2</v>
      </c>
      <c r="AC160" s="131"/>
      <c r="AD160" s="120">
        <v>25</v>
      </c>
      <c r="AE160" s="120">
        <v>20</v>
      </c>
      <c r="AF160" s="120">
        <v>20</v>
      </c>
      <c r="AG160" s="120">
        <v>125</v>
      </c>
      <c r="AH160" s="120">
        <v>120</v>
      </c>
      <c r="AI160" s="120">
        <v>115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32">
        <f>IF(Prod[[#This Row],[S1Hrs]]=0,0,Prod[[#This Row],[S1Shot]]*Prod[[#This Row],[S1Cycle]]/(Prod[[#This Row],[S1Hrs]]*60*60))</f>
        <v>1.0104086805555557</v>
      </c>
      <c r="AT160" s="132">
        <f>IF(Prod[[#This Row],[S2Hrs]]=0,0,Prod[[#This Row],[S2Shot]]*Prod[[#This Row],[S2Cycle]]/(Prod[[#This Row],[S2Hrs]]*60*60))</f>
        <v>1.0963506944444446</v>
      </c>
      <c r="AU160" s="132">
        <f>IF(Prod[[#This Row],[S3Hrs]]=0,0,Prod[[#This Row],[S3Shot]]*Prod[[#This Row],[S3Cycle]]/(Prod[[#This Row],[S3Hrs]]*60*60))</f>
        <v>0.77792499999999998</v>
      </c>
      <c r="AV160" s="132">
        <f>IFERROR(AVERAGEIF(Prod[[#This Row],[S1%]:[S3%]], "&lt;&gt;0"),0)</f>
        <v>0.96156145833333329</v>
      </c>
      <c r="AW160" s="132">
        <v>0</v>
      </c>
      <c r="AX160" s="132">
        <v>0</v>
      </c>
      <c r="AY160" s="132">
        <v>0</v>
      </c>
      <c r="AZ160" s="175">
        <f>IF(Prod[[#This Row],[S1Cycle]]&lt;&gt;0,1,0)</f>
        <v>1</v>
      </c>
      <c r="BA160" s="175">
        <f>IF(Prod[[#This Row],[S2Cycle]]&lt;&gt;0,1,0)</f>
        <v>1</v>
      </c>
      <c r="BB160" s="175">
        <f>IF(Prod[[#This Row],[S3Cycle]]&lt;&gt;0,1,0)</f>
        <v>1</v>
      </c>
      <c r="BC160" s="175">
        <f>MAX(Prod[[#This Row],[S1Cavity]],Prod[[#This Row],[S2Cavity]],Prod[[#This Row],[S3Cavity]])</f>
        <v>8</v>
      </c>
      <c r="BD160" s="175" t="b">
        <f>RegExpMatch(Prod[[#This Row],[MoldNo]], "^DEO-(B|C)")</f>
        <v>1</v>
      </c>
      <c r="BE160" s="175" t="b">
        <f>RegExpMatch(Prod[[#This Row],[MoldNo]], "^JAC")</f>
        <v>0</v>
      </c>
    </row>
    <row r="161" spans="1:57" x14ac:dyDescent="0.2">
      <c r="A161" s="117">
        <v>45453</v>
      </c>
      <c r="B161" s="130" t="s">
        <v>176</v>
      </c>
      <c r="C161" s="131" t="s">
        <v>81</v>
      </c>
      <c r="D161" s="119">
        <v>27716</v>
      </c>
      <c r="E161" s="119" t="s">
        <v>199</v>
      </c>
      <c r="F161" s="119">
        <v>814</v>
      </c>
      <c r="G161" s="119" t="str">
        <f>IF(OR(Prod[[#This Row],[S1Hrs]]&gt;0,Prod[[#This Row],[S2Hrs]]&gt;0,Prod[[#This Row],[S3Hrs]]&gt;0),"Running","Down")</f>
        <v>Running</v>
      </c>
      <c r="H161" s="194">
        <v>21.78</v>
      </c>
      <c r="I161" s="185">
        <v>8</v>
      </c>
      <c r="J161" s="130">
        <v>1335</v>
      </c>
      <c r="K161" s="130">
        <v>8</v>
      </c>
      <c r="L161" s="120">
        <f>Prod[[#This Row],[S1Shot]]*Prod[[#This Row],[S1Cavity]]-Prod[[#This Row],[S1Dft]]</f>
        <v>10535</v>
      </c>
      <c r="M161" s="136">
        <f>SUM(Prod[[#This Row],[S1Mold]],Prod[[#This Row],[S1Print]],Prod[[#This Row],[S1Ovlp]],Prod[[#This Row],[S1Seam]],Prod[[#This Row],[S1Dmg]])</f>
        <v>145</v>
      </c>
      <c r="N161" s="194">
        <v>21.79</v>
      </c>
      <c r="O161" s="185">
        <v>8</v>
      </c>
      <c r="P161" s="130">
        <v>1372</v>
      </c>
      <c r="Q161" s="130">
        <v>8</v>
      </c>
      <c r="R161" s="120">
        <f>Prod[[#This Row],[S2Shot]]*Prod[[#This Row],[S2Cavity]]-Prod[[#This Row],[S2Dft]]</f>
        <v>10831</v>
      </c>
      <c r="S161" s="136">
        <f>SUM(Prod[[#This Row],[S2Mold]],Prod[[#This Row],[S2Print]],Prod[[#This Row],[S2Ovlp]],Prod[[#This Row],[S2Seam]],Prod[[#This Row],[S2Dmg]])</f>
        <v>145</v>
      </c>
      <c r="T161" s="194">
        <v>21.83</v>
      </c>
      <c r="U161" s="185">
        <v>4</v>
      </c>
      <c r="V161" s="130">
        <v>513</v>
      </c>
      <c r="W161" s="130">
        <v>8</v>
      </c>
      <c r="X161" s="120">
        <f>Prod[[#This Row],[S3Shot]]*Prod[[#This Row],[S3Cavity]]-Prod[[#This Row],[S3Dft]]</f>
        <v>4029</v>
      </c>
      <c r="Y161" s="120">
        <f>SUM(Prod[[#This Row],[S3Mold]],Prod[[#This Row],[S3Print]],Prod[[#This Row],[S3Ovlp]],Prod[[#This Row],[S3Seam]],Prod[[#This Row],[S3Dmg]])</f>
        <v>75</v>
      </c>
      <c r="Z161" s="120">
        <f>SUM(Prod[[#This Row],[S1Qty]],Prod[[#This Row],[S2Qty]],Prod[[#This Row],[S3Qty]])</f>
        <v>25395</v>
      </c>
      <c r="AA161" s="120">
        <f>SUM(Prod[[#This Row],[S1Dft]],Prod[[#This Row],[S2Dft]],Prod[[#This Row],[S3Dft]])</f>
        <v>365</v>
      </c>
      <c r="AB161" s="121">
        <f>IF(Prod[[#This Row],[Total]]=0,0,Prod[[#This Row],[TotalDft]]/Prod[[#This Row],[Total]])</f>
        <v>1.4372908052766293E-2</v>
      </c>
      <c r="AC161" s="131"/>
      <c r="AD161" s="120">
        <v>20</v>
      </c>
      <c r="AE161" s="120">
        <v>25</v>
      </c>
      <c r="AF161" s="120">
        <v>15</v>
      </c>
      <c r="AG161" s="120">
        <v>125</v>
      </c>
      <c r="AH161" s="120">
        <v>120</v>
      </c>
      <c r="AI161" s="120">
        <v>60</v>
      </c>
      <c r="AJ161" s="120">
        <v>0</v>
      </c>
      <c r="AK161" s="120">
        <v>0</v>
      </c>
      <c r="AL161" s="120">
        <v>0</v>
      </c>
      <c r="AM161" s="120">
        <v>0</v>
      </c>
      <c r="AN161" s="120">
        <v>0</v>
      </c>
      <c r="AO161" s="120">
        <v>0</v>
      </c>
      <c r="AP161" s="120">
        <v>0</v>
      </c>
      <c r="AQ161" s="120">
        <v>0</v>
      </c>
      <c r="AR161" s="120">
        <v>0</v>
      </c>
      <c r="AS161" s="132">
        <f>IF(Prod[[#This Row],[S1Hrs]]=0,0,Prod[[#This Row],[S1Shot]]*Prod[[#This Row],[S1Cycle]]/(Prod[[#This Row],[S1Hrs]]*60*60))</f>
        <v>1.0095937500000001</v>
      </c>
      <c r="AT161" s="132">
        <f>IF(Prod[[#This Row],[S2Hrs]]=0,0,Prod[[#This Row],[S2Shot]]*Prod[[#This Row],[S2Cycle]]/(Prod[[#This Row],[S2Hrs]]*60*60))</f>
        <v>1.0380513888888887</v>
      </c>
      <c r="AU161" s="132">
        <f>IF(Prod[[#This Row],[S3Hrs]]=0,0,Prod[[#This Row],[S3Shot]]*Prod[[#This Row],[S3Cycle]]/(Prod[[#This Row],[S3Hrs]]*60*60))</f>
        <v>0.77769374999999996</v>
      </c>
      <c r="AV161" s="132">
        <f>IFERROR(AVERAGEIF(Prod[[#This Row],[S1%]:[S3%]], "&lt;&gt;0"),0)</f>
        <v>0.94177962962962969</v>
      </c>
      <c r="AW161" s="132">
        <v>0</v>
      </c>
      <c r="AX161" s="132">
        <v>0</v>
      </c>
      <c r="AY161" s="132">
        <v>0</v>
      </c>
      <c r="AZ161" s="175">
        <f>IF(Prod[[#This Row],[S1Cycle]]&lt;&gt;0,1,0)</f>
        <v>1</v>
      </c>
      <c r="BA161" s="175">
        <f>IF(Prod[[#This Row],[S2Cycle]]&lt;&gt;0,1,0)</f>
        <v>1</v>
      </c>
      <c r="BB161" s="175">
        <f>IF(Prod[[#This Row],[S3Cycle]]&lt;&gt;0,1,0)</f>
        <v>1</v>
      </c>
      <c r="BC161" s="175">
        <f>MAX(Prod[[#This Row],[S1Cavity]],Prod[[#This Row],[S2Cavity]],Prod[[#This Row],[S3Cavity]])</f>
        <v>8</v>
      </c>
      <c r="BD161" s="175" t="b">
        <f>RegExpMatch(Prod[[#This Row],[MoldNo]], "^DEO-(B|C)")</f>
        <v>1</v>
      </c>
      <c r="BE161" s="175" t="b">
        <f>RegExpMatch(Prod[[#This Row],[MoldNo]], "^JAC")</f>
        <v>0</v>
      </c>
    </row>
    <row r="162" spans="1:57" x14ac:dyDescent="0.2">
      <c r="A162" s="117">
        <v>45453</v>
      </c>
      <c r="B162" s="130" t="s">
        <v>176</v>
      </c>
      <c r="C162" s="131" t="s">
        <v>81</v>
      </c>
      <c r="D162" s="119">
        <v>27715</v>
      </c>
      <c r="E162" s="119" t="s">
        <v>199</v>
      </c>
      <c r="F162" s="119">
        <v>814</v>
      </c>
      <c r="G162" s="119" t="str">
        <f>IF(OR(Prod[[#This Row],[S1Hrs]]&gt;0,Prod[[#This Row],[S2Hrs]]&gt;0,Prod[[#This Row],[S3Hrs]]&gt;0),"Running","Down")</f>
        <v>Running</v>
      </c>
      <c r="H162" s="194">
        <v>0</v>
      </c>
      <c r="I162" s="185">
        <v>0</v>
      </c>
      <c r="J162" s="130">
        <v>0</v>
      </c>
      <c r="K162" s="130">
        <v>0</v>
      </c>
      <c r="L162" s="120">
        <f>Prod[[#This Row],[S1Shot]]*Prod[[#This Row],[S1Cavity]]-Prod[[#This Row],[S1Dft]]</f>
        <v>0</v>
      </c>
      <c r="M162" s="136">
        <f>SUM(Prod[[#This Row],[S1Mold]],Prod[[#This Row],[S1Print]],Prod[[#This Row],[S1Ovlp]],Prod[[#This Row],[S1Seam]],Prod[[#This Row],[S1Dmg]])</f>
        <v>0</v>
      </c>
      <c r="N162" s="194">
        <v>0</v>
      </c>
      <c r="O162" s="185">
        <v>0</v>
      </c>
      <c r="P162" s="130">
        <v>0</v>
      </c>
      <c r="Q162" s="130">
        <v>0</v>
      </c>
      <c r="R162" s="120">
        <f>Prod[[#This Row],[S2Shot]]*Prod[[#This Row],[S2Cavity]]-Prod[[#This Row],[S2Dft]]</f>
        <v>0</v>
      </c>
      <c r="S162" s="136">
        <f>SUM(Prod[[#This Row],[S2Mold]],Prod[[#This Row],[S2Print]],Prod[[#This Row],[S2Ovlp]],Prod[[#This Row],[S2Seam]],Prod[[#This Row],[S2Dmg]])</f>
        <v>0</v>
      </c>
      <c r="T162" s="194">
        <v>21.79</v>
      </c>
      <c r="U162" s="185">
        <v>4</v>
      </c>
      <c r="V162" s="130">
        <v>595</v>
      </c>
      <c r="W162" s="130">
        <v>8</v>
      </c>
      <c r="X162" s="120">
        <f>Prod[[#This Row],[S3Shot]]*Prod[[#This Row],[S3Cavity]]-Prod[[#This Row],[S3Dft]]</f>
        <v>4685</v>
      </c>
      <c r="Y162" s="120">
        <f>SUM(Prod[[#This Row],[S3Mold]],Prod[[#This Row],[S3Print]],Prod[[#This Row],[S3Ovlp]],Prod[[#This Row],[S3Seam]],Prod[[#This Row],[S3Dmg]])</f>
        <v>75</v>
      </c>
      <c r="Z162" s="120">
        <f>SUM(Prod[[#This Row],[S1Qty]],Prod[[#This Row],[S2Qty]],Prod[[#This Row],[S3Qty]])</f>
        <v>4685</v>
      </c>
      <c r="AA162" s="120">
        <f>SUM(Prod[[#This Row],[S1Dft]],Prod[[#This Row],[S2Dft]],Prod[[#This Row],[S3Dft]])</f>
        <v>75</v>
      </c>
      <c r="AB162" s="121">
        <f>IF(Prod[[#This Row],[Total]]=0,0,Prod[[#This Row],[TotalDft]]/Prod[[#This Row],[Total]])</f>
        <v>1.6008537886872998E-2</v>
      </c>
      <c r="AC162" s="131" t="s">
        <v>237</v>
      </c>
      <c r="AD162" s="120">
        <v>0</v>
      </c>
      <c r="AE162" s="120">
        <v>0</v>
      </c>
      <c r="AF162" s="120">
        <v>10</v>
      </c>
      <c r="AG162" s="120">
        <v>0</v>
      </c>
      <c r="AH162" s="120">
        <v>0</v>
      </c>
      <c r="AI162" s="120">
        <v>65</v>
      </c>
      <c r="AJ162" s="120">
        <v>0</v>
      </c>
      <c r="AK162" s="120">
        <v>0</v>
      </c>
      <c r="AL162" s="120">
        <v>0</v>
      </c>
      <c r="AM162" s="120">
        <v>0</v>
      </c>
      <c r="AN162" s="120">
        <v>0</v>
      </c>
      <c r="AO162" s="120">
        <v>0</v>
      </c>
      <c r="AP162" s="120">
        <v>0</v>
      </c>
      <c r="AQ162" s="120">
        <v>0</v>
      </c>
      <c r="AR162" s="120">
        <v>0</v>
      </c>
      <c r="AS162" s="132">
        <f>IF(Prod[[#This Row],[S1Hrs]]=0,0,Prod[[#This Row],[S1Shot]]*Prod[[#This Row],[S1Cycle]]/(Prod[[#This Row],[S1Hrs]]*60*60))</f>
        <v>0</v>
      </c>
      <c r="AT162" s="132">
        <f>IF(Prod[[#This Row],[S2Hrs]]=0,0,Prod[[#This Row],[S2Shot]]*Prod[[#This Row],[S2Cycle]]/(Prod[[#This Row],[S2Hrs]]*60*60))</f>
        <v>0</v>
      </c>
      <c r="AU162" s="132">
        <f>IF(Prod[[#This Row],[S3Hrs]]=0,0,Prod[[#This Row],[S3Shot]]*Prod[[#This Row],[S3Cycle]]/(Prod[[#This Row],[S3Hrs]]*60*60))</f>
        <v>0.90035069444444438</v>
      </c>
      <c r="AV162" s="132">
        <f>IFERROR(AVERAGEIF(Prod[[#This Row],[S1%]:[S3%]], "&lt;&gt;0"),0)</f>
        <v>0.90035069444444438</v>
      </c>
      <c r="AW162" s="132">
        <v>0</v>
      </c>
      <c r="AX162" s="132">
        <v>0</v>
      </c>
      <c r="AY162" s="132">
        <v>0</v>
      </c>
      <c r="AZ162" s="175">
        <f>IF(Prod[[#This Row],[S1Cycle]]&lt;&gt;0,1,0)</f>
        <v>0</v>
      </c>
      <c r="BA162" s="175">
        <f>IF(Prod[[#This Row],[S2Cycle]]&lt;&gt;0,1,0)</f>
        <v>0</v>
      </c>
      <c r="BB162" s="175">
        <f>IF(Prod[[#This Row],[S3Cycle]]&lt;&gt;0,1,0)</f>
        <v>1</v>
      </c>
      <c r="BC162" s="175">
        <f>MAX(Prod[[#This Row],[S1Cavity]],Prod[[#This Row],[S2Cavity]],Prod[[#This Row],[S3Cavity]])</f>
        <v>8</v>
      </c>
      <c r="BD162" s="175" t="b">
        <f>RegExpMatch(Prod[[#This Row],[MoldNo]], "^DEO-(B|C)")</f>
        <v>1</v>
      </c>
      <c r="BE162" s="175" t="b">
        <f>RegExpMatch(Prod[[#This Row],[MoldNo]], "^JAC")</f>
        <v>0</v>
      </c>
    </row>
    <row r="163" spans="1:57" x14ac:dyDescent="0.2">
      <c r="A163" s="117">
        <v>45453</v>
      </c>
      <c r="B163" s="130" t="s">
        <v>195</v>
      </c>
      <c r="C163" s="119" t="s">
        <v>145</v>
      </c>
      <c r="D163" s="119">
        <v>27761</v>
      </c>
      <c r="E163" s="131" t="s">
        <v>199</v>
      </c>
      <c r="F163" s="119">
        <v>814</v>
      </c>
      <c r="G163" s="119" t="str">
        <f>IF(OR(Prod[[#This Row],[S1Hrs]]&gt;0,Prod[[#This Row],[S2Hrs]]&gt;0,Prod[[#This Row],[S3Hrs]]&gt;0),"Running","Down")</f>
        <v>Running</v>
      </c>
      <c r="H163" s="194">
        <v>13.45</v>
      </c>
      <c r="I163" s="185">
        <v>8</v>
      </c>
      <c r="J163" s="130">
        <v>2119</v>
      </c>
      <c r="K163" s="130">
        <v>16</v>
      </c>
      <c r="L163" s="120">
        <f>Prod[[#This Row],[S1Shot]]*Prod[[#This Row],[S1Cavity]]-Prod[[#This Row],[S1Dft]]</f>
        <v>33904</v>
      </c>
      <c r="M163" s="134"/>
      <c r="N163" s="194">
        <v>13.45</v>
      </c>
      <c r="O163" s="185">
        <v>8</v>
      </c>
      <c r="P163" s="130">
        <v>2176</v>
      </c>
      <c r="Q163" s="130">
        <v>16</v>
      </c>
      <c r="R163" s="120">
        <f>Prod[[#This Row],[S2Shot]]*Prod[[#This Row],[S2Cavity]]-Prod[[#This Row],[S2Dft]]</f>
        <v>34816</v>
      </c>
      <c r="S163" s="134"/>
      <c r="T163" s="194">
        <v>13.46</v>
      </c>
      <c r="U163" s="185">
        <v>8</v>
      </c>
      <c r="V163" s="130">
        <v>2135</v>
      </c>
      <c r="W163" s="130">
        <v>16</v>
      </c>
      <c r="X163" s="120">
        <f>Prod[[#This Row],[S3Shot]]*Prod[[#This Row],[S3Cavity]]-Prod[[#This Row],[S3Dft]]</f>
        <v>34160</v>
      </c>
      <c r="Y163" s="134"/>
      <c r="Z163" s="120">
        <f>SUM(Prod[[#This Row],[S1Qty]],Prod[[#This Row],[S2Qty]],Prod[[#This Row],[S3Qty]])</f>
        <v>102880</v>
      </c>
      <c r="AA163" s="134"/>
      <c r="AB163" s="135"/>
      <c r="AC163" s="118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2">
        <f>IF(Prod[[#This Row],[S1Hrs]]=0,0,Prod[[#This Row],[S1Shot]]*Prod[[#This Row],[S1Cycle]]/(Prod[[#This Row],[S1Hrs]]*60*60))</f>
        <v>0.98960243055555552</v>
      </c>
      <c r="AT163" s="132">
        <f>IF(Prod[[#This Row],[S2Hrs]]=0,0,Prod[[#This Row],[S2Shot]]*Prod[[#This Row],[S2Cycle]]/(Prod[[#This Row],[S2Hrs]]*60*60))</f>
        <v>1.0162222222222221</v>
      </c>
      <c r="AU163" s="132">
        <f>IF(Prod[[#This Row],[S3Hrs]]=0,0,Prod[[#This Row],[S3Shot]]*Prod[[#This Row],[S3Cycle]]/(Prod[[#This Row],[S3Hrs]]*60*60))</f>
        <v>0.99781597222222229</v>
      </c>
      <c r="AV163" s="132">
        <f>IFERROR(AVERAGEIF(Prod[[#This Row],[S1%]:[S3%]], "&lt;&gt;0"),0)</f>
        <v>1.0012135416666668</v>
      </c>
      <c r="AW163" s="132">
        <v>0</v>
      </c>
      <c r="AX163" s="132">
        <v>0</v>
      </c>
      <c r="AY163" s="132">
        <v>0</v>
      </c>
      <c r="AZ163" s="175">
        <f>IF(Prod[[#This Row],[S1Cycle]]&lt;&gt;0,1,0)</f>
        <v>1</v>
      </c>
      <c r="BA163" s="175">
        <f>IF(Prod[[#This Row],[S2Cycle]]&lt;&gt;0,1,0)</f>
        <v>1</v>
      </c>
      <c r="BB163" s="175">
        <f>IF(Prod[[#This Row],[S3Cycle]]&lt;&gt;0,1,0)</f>
        <v>1</v>
      </c>
      <c r="BC163" s="175">
        <f>MAX(Prod[[#This Row],[S1Cavity]],Prod[[#This Row],[S2Cavity]],Prod[[#This Row],[S3Cavity]])</f>
        <v>16</v>
      </c>
      <c r="BD163" s="175" t="b">
        <f>RegExpMatch(Prod[[#This Row],[MoldNo]], "^DEO-(B|C)")</f>
        <v>0</v>
      </c>
      <c r="BE163" s="175" t="b">
        <f>RegExpMatch(Prod[[#This Row],[MoldNo]], "^JAC")</f>
        <v>0</v>
      </c>
    </row>
    <row r="164" spans="1:57" x14ac:dyDescent="0.2">
      <c r="A164" s="195">
        <v>45454</v>
      </c>
      <c r="B164" s="196" t="s">
        <v>190</v>
      </c>
      <c r="C164" s="197" t="s">
        <v>153</v>
      </c>
      <c r="D164" s="197">
        <v>27647</v>
      </c>
      <c r="E164" s="198" t="s">
        <v>199</v>
      </c>
      <c r="F164" s="197">
        <v>6331</v>
      </c>
      <c r="G164" s="197" t="str">
        <f>IF(OR(Prod[[#This Row],[S1Hrs]]&gt;0,Prod[[#This Row],[S2Hrs]]&gt;0,Prod[[#This Row],[S3Hrs]]&gt;0),"Running","Down")</f>
        <v>Running</v>
      </c>
      <c r="H164" s="199">
        <v>22.69</v>
      </c>
      <c r="I164" s="200">
        <v>8</v>
      </c>
      <c r="J164" s="196">
        <v>1268</v>
      </c>
      <c r="K164" s="201">
        <v>4</v>
      </c>
      <c r="L164" s="196">
        <f>Prod[[#This Row],[S1Shot]]*Prod[[#This Row],[S1Cavity]]-Prod[[#This Row],[S1Dft]]</f>
        <v>5065</v>
      </c>
      <c r="M164" s="202">
        <f>SUM(Prod[[#This Row],[S1Mold]],Prod[[#This Row],[S1Print]],Prod[[#This Row],[S1Ovlp]],Prod[[#This Row],[S1Seam]],Prod[[#This Row],[S1Dmg]])</f>
        <v>7</v>
      </c>
      <c r="N164" s="199">
        <v>22.79</v>
      </c>
      <c r="O164" s="200">
        <v>8</v>
      </c>
      <c r="P164" s="196">
        <v>1306</v>
      </c>
      <c r="Q164" s="201">
        <v>4</v>
      </c>
      <c r="R164" s="196">
        <f>Prod[[#This Row],[S2Shot]]*Prod[[#This Row],[S2Cavity]]-Prod[[#This Row],[S2Dft]]</f>
        <v>5216</v>
      </c>
      <c r="S164" s="202">
        <f>SUM(Prod[[#This Row],[S2Mold]],Prod[[#This Row],[S2Print]],Prod[[#This Row],[S2Ovlp]],Prod[[#This Row],[S2Seam]],Prod[[#This Row],[S2Dmg]])</f>
        <v>8</v>
      </c>
      <c r="T164" s="199">
        <v>22.45</v>
      </c>
      <c r="U164" s="200">
        <v>8</v>
      </c>
      <c r="V164" s="196">
        <v>1282</v>
      </c>
      <c r="W164" s="201">
        <v>4</v>
      </c>
      <c r="X164" s="196">
        <f>Prod[[#This Row],[S3Shot]]*Prod[[#This Row],[S3Cavity]]-Prod[[#This Row],[S3Dft]]</f>
        <v>5122</v>
      </c>
      <c r="Y164" s="196">
        <f>SUM(Prod[[#This Row],[S3Mold]],Prod[[#This Row],[S3Print]],Prod[[#This Row],[S3Ovlp]],Prod[[#This Row],[S3Seam]],Prod[[#This Row],[S3Dmg]])</f>
        <v>6</v>
      </c>
      <c r="Z164" s="196">
        <f>SUM(Prod[[#This Row],[S1Qty]],Prod[[#This Row],[S2Qty]],Prod[[#This Row],[S3Qty]])</f>
        <v>15403</v>
      </c>
      <c r="AA164" s="196">
        <f>SUM(Prod[[#This Row],[S1Dft]],Prod[[#This Row],[S2Dft]],Prod[[#This Row],[S3Dft]])</f>
        <v>21</v>
      </c>
      <c r="AB164" s="203">
        <f>IF(Prod[[#This Row],[Total]]=0,0,Prod[[#This Row],[TotalDft]]/Prod[[#This Row],[Total]])</f>
        <v>1.3633707719275467E-3</v>
      </c>
      <c r="AC164" s="204"/>
      <c r="AD164" s="196">
        <v>7</v>
      </c>
      <c r="AE164" s="196">
        <v>8</v>
      </c>
      <c r="AF164" s="196">
        <v>6</v>
      </c>
      <c r="AG164" s="196">
        <v>0</v>
      </c>
      <c r="AH164" s="196">
        <v>0</v>
      </c>
      <c r="AI164" s="196">
        <v>0</v>
      </c>
      <c r="AJ164" s="196">
        <v>0</v>
      </c>
      <c r="AK164" s="196">
        <v>0</v>
      </c>
      <c r="AL164" s="196">
        <v>0</v>
      </c>
      <c r="AM164" s="196">
        <v>0</v>
      </c>
      <c r="AN164" s="196">
        <v>0</v>
      </c>
      <c r="AO164" s="196">
        <v>0</v>
      </c>
      <c r="AP164" s="196">
        <v>0</v>
      </c>
      <c r="AQ164" s="196">
        <v>0</v>
      </c>
      <c r="AR164" s="196">
        <v>0</v>
      </c>
      <c r="AS164" s="205">
        <f>IF(Prod[[#This Row],[S1Hrs]]=0,0,Prod[[#This Row],[S1Shot]]*Prod[[#This Row],[S1Cycle]]/(Prod[[#This Row],[S1Hrs]]*60*60))</f>
        <v>0.99899027777777782</v>
      </c>
      <c r="AT164" s="205">
        <f>IF(Prod[[#This Row],[S2Hrs]]=0,0,Prod[[#This Row],[S2Shot]]*Prod[[#This Row],[S2Cycle]]/(Prod[[#This Row],[S2Hrs]]*60*60))</f>
        <v>1.0334631944444443</v>
      </c>
      <c r="AU164" s="205">
        <f>IF(Prod[[#This Row],[S3Hrs]]=0,0,Prod[[#This Row],[S3Shot]]*Prod[[#This Row],[S3Cycle]]/(Prod[[#This Row],[S3Hrs]]*60*60))</f>
        <v>0.99933680555555549</v>
      </c>
      <c r="AV164" s="205">
        <f>IFERROR(AVERAGEIF(Prod[[#This Row],[S1%]:[S3%]], "&lt;&gt;0"),0)</f>
        <v>1.0105967592592593</v>
      </c>
      <c r="AW164" s="205">
        <v>0</v>
      </c>
      <c r="AX164" s="205">
        <v>0</v>
      </c>
      <c r="AY164" s="205">
        <v>0</v>
      </c>
      <c r="AZ164" s="206">
        <f>IF(Prod[[#This Row],[S1Cycle]]&lt;&gt;0,1,0)</f>
        <v>1</v>
      </c>
      <c r="BA164" s="206">
        <f>IF(Prod[[#This Row],[S2Cycle]]&lt;&gt;0,1,0)</f>
        <v>1</v>
      </c>
      <c r="BB164" s="206">
        <f>IF(Prod[[#This Row],[S3Cycle]]&lt;&gt;0,1,0)</f>
        <v>1</v>
      </c>
      <c r="BC164" s="206">
        <f>MAX(Prod[[#This Row],[S1Cavity]],Prod[[#This Row],[S2Cavity]],Prod[[#This Row],[S3Cavity]])</f>
        <v>4</v>
      </c>
      <c r="BD164" s="206" t="b">
        <f>RegExpMatch(Prod[[#This Row],[MoldNo]], "^DEO-(B|C)")</f>
        <v>0</v>
      </c>
      <c r="BE164" s="206" t="b">
        <f>RegExpMatch(Prod[[#This Row],[MoldNo]], "^JAC")</f>
        <v>1</v>
      </c>
    </row>
    <row r="165" spans="1:57" x14ac:dyDescent="0.2">
      <c r="A165" s="195">
        <v>45454</v>
      </c>
      <c r="B165" s="201" t="s">
        <v>6</v>
      </c>
      <c r="C165" s="198" t="s">
        <v>8</v>
      </c>
      <c r="D165" s="197">
        <v>27760</v>
      </c>
      <c r="E165" s="198" t="s">
        <v>235</v>
      </c>
      <c r="F165" s="197">
        <v>814</v>
      </c>
      <c r="G165" s="197" t="str">
        <f>IF(OR(Prod[[#This Row],[S1Hrs]]&gt;0,Prod[[#This Row],[S2Hrs]]&gt;0,Prod[[#This Row],[S3Hrs]]&gt;0),"Running","Down")</f>
        <v>Running</v>
      </c>
      <c r="H165" s="199">
        <v>21.91</v>
      </c>
      <c r="I165" s="200">
        <v>8</v>
      </c>
      <c r="J165" s="196">
        <v>1308</v>
      </c>
      <c r="K165" s="201">
        <v>8</v>
      </c>
      <c r="L165" s="196">
        <f>Prod[[#This Row],[S1Shot]]*Prod[[#This Row],[S1Cavity]]-Prod[[#This Row],[S1Dft]]</f>
        <v>10429</v>
      </c>
      <c r="M165" s="202">
        <f>SUM(Prod[[#This Row],[S1Mold]],Prod[[#This Row],[S1Print]],Prod[[#This Row],[S1Ovlp]],Prod[[#This Row],[S1Seam]],Prod[[#This Row],[S1Dmg]])</f>
        <v>35</v>
      </c>
      <c r="N165" s="199">
        <v>21.9</v>
      </c>
      <c r="O165" s="200">
        <v>8</v>
      </c>
      <c r="P165" s="196">
        <v>1428</v>
      </c>
      <c r="Q165" s="201">
        <v>8</v>
      </c>
      <c r="R165" s="196">
        <f>Prod[[#This Row],[S2Shot]]*Prod[[#This Row],[S2Cavity]]-Prod[[#This Row],[S2Dft]]</f>
        <v>11389</v>
      </c>
      <c r="S165" s="202">
        <f>SUM(Prod[[#This Row],[S2Mold]],Prod[[#This Row],[S2Print]],Prod[[#This Row],[S2Ovlp]],Prod[[#This Row],[S2Seam]],Prod[[#This Row],[S2Dmg]])</f>
        <v>35</v>
      </c>
      <c r="T165" s="199">
        <v>21.89</v>
      </c>
      <c r="U165" s="200">
        <v>8</v>
      </c>
      <c r="V165" s="196">
        <v>1062</v>
      </c>
      <c r="W165" s="201">
        <v>8</v>
      </c>
      <c r="X165" s="196">
        <f>Prod[[#This Row],[S3Shot]]*Prod[[#This Row],[S3Cavity]]-Prod[[#This Row],[S3Dft]]</f>
        <v>8466</v>
      </c>
      <c r="Y165" s="196">
        <f>SUM(Prod[[#This Row],[S3Mold]],Prod[[#This Row],[S3Print]],Prod[[#This Row],[S3Ovlp]],Prod[[#This Row],[S3Seam]],Prod[[#This Row],[S3Dmg]])</f>
        <v>30</v>
      </c>
      <c r="Z165" s="196">
        <f>SUM(Prod[[#This Row],[S1Qty]],Prod[[#This Row],[S2Qty]],Prod[[#This Row],[S3Qty]])</f>
        <v>30284</v>
      </c>
      <c r="AA165" s="196">
        <f>SUM(Prod[[#This Row],[S1Dft]],Prod[[#This Row],[S2Dft]],Prod[[#This Row],[S3Dft]])</f>
        <v>100</v>
      </c>
      <c r="AB165" s="203">
        <f>IF(Prod[[#This Row],[Total]]=0,0,Prod[[#This Row],[TotalDft]]/Prod[[#This Row],[Total]])</f>
        <v>3.3020737022850348E-3</v>
      </c>
      <c r="AC165" s="198"/>
      <c r="AD165" s="196">
        <v>10</v>
      </c>
      <c r="AE165" s="196">
        <v>12</v>
      </c>
      <c r="AF165" s="196">
        <v>10</v>
      </c>
      <c r="AG165" s="196">
        <v>25</v>
      </c>
      <c r="AH165" s="196">
        <v>23</v>
      </c>
      <c r="AI165" s="196">
        <v>20</v>
      </c>
      <c r="AJ165" s="196">
        <v>0</v>
      </c>
      <c r="AK165" s="196">
        <v>0</v>
      </c>
      <c r="AL165" s="196">
        <v>0</v>
      </c>
      <c r="AM165" s="196">
        <v>0</v>
      </c>
      <c r="AN165" s="196">
        <v>0</v>
      </c>
      <c r="AO165" s="196">
        <v>0</v>
      </c>
      <c r="AP165" s="196">
        <v>0</v>
      </c>
      <c r="AQ165" s="196">
        <v>0</v>
      </c>
      <c r="AR165" s="196">
        <v>0</v>
      </c>
      <c r="AS165" s="205">
        <f>IF(Prod[[#This Row],[S1Hrs]]=0,0,Prod[[#This Row],[S1Shot]]*Prod[[#This Row],[S1Cycle]]/(Prod[[#This Row],[S1Hrs]]*60*60))</f>
        <v>0.99507916666666663</v>
      </c>
      <c r="AT165" s="205">
        <f>IF(Prod[[#This Row],[S2Hrs]]=0,0,Prod[[#This Row],[S2Shot]]*Prod[[#This Row],[S2Cycle]]/(Prod[[#This Row],[S2Hrs]]*60*60))</f>
        <v>1.0858749999999999</v>
      </c>
      <c r="AU165" s="205">
        <f>IF(Prod[[#This Row],[S3Hrs]]=0,0,Prod[[#This Row],[S3Shot]]*Prod[[#This Row],[S3Cycle]]/(Prod[[#This Row],[S3Hrs]]*60*60))</f>
        <v>0.80719375000000004</v>
      </c>
      <c r="AV165" s="205">
        <f>IFERROR(AVERAGEIF(Prod[[#This Row],[S1%]:[S3%]], "&lt;&gt;0"),0)</f>
        <v>0.96271597222222216</v>
      </c>
      <c r="AW165" s="205">
        <v>0</v>
      </c>
      <c r="AX165" s="205">
        <v>0</v>
      </c>
      <c r="AY165" s="205">
        <v>0</v>
      </c>
      <c r="AZ165" s="206">
        <f>IF(Prod[[#This Row],[S1Cycle]]&lt;&gt;0,1,0)</f>
        <v>1</v>
      </c>
      <c r="BA165" s="206">
        <f>IF(Prod[[#This Row],[S2Cycle]]&lt;&gt;0,1,0)</f>
        <v>1</v>
      </c>
      <c r="BB165" s="206">
        <f>IF(Prod[[#This Row],[S3Cycle]]&lt;&gt;0,1,0)</f>
        <v>1</v>
      </c>
      <c r="BC165" s="206">
        <f>MAX(Prod[[#This Row],[S1Cavity]],Prod[[#This Row],[S2Cavity]],Prod[[#This Row],[S3Cavity]])</f>
        <v>8</v>
      </c>
      <c r="BD165" s="206" t="b">
        <f>RegExpMatch(Prod[[#This Row],[MoldNo]], "^DEO-(B|C)")</f>
        <v>1</v>
      </c>
      <c r="BE165" s="206" t="b">
        <f>RegExpMatch(Prod[[#This Row],[MoldNo]], "^JAC")</f>
        <v>0</v>
      </c>
    </row>
    <row r="166" spans="1:57" x14ac:dyDescent="0.2">
      <c r="A166" s="195">
        <v>45454</v>
      </c>
      <c r="B166" s="196" t="s">
        <v>7</v>
      </c>
      <c r="C166" s="197" t="s">
        <v>172</v>
      </c>
      <c r="D166" s="197">
        <v>27760</v>
      </c>
      <c r="E166" s="198" t="s">
        <v>199</v>
      </c>
      <c r="F166" s="197">
        <v>814</v>
      </c>
      <c r="G166" s="197" t="str">
        <f>IF(OR(Prod[[#This Row],[S1Hrs]]&gt;0,Prod[[#This Row],[S2Hrs]]&gt;0,Prod[[#This Row],[S3Hrs]]&gt;0),"Running","Down")</f>
        <v>Running</v>
      </c>
      <c r="H166" s="199">
        <v>20.79</v>
      </c>
      <c r="I166" s="200">
        <v>8</v>
      </c>
      <c r="J166" s="196">
        <v>1314</v>
      </c>
      <c r="K166" s="201">
        <v>8</v>
      </c>
      <c r="L166" s="196">
        <f>Prod[[#This Row],[S1Shot]]*Prod[[#This Row],[S1Cavity]]-Prod[[#This Row],[S1Dft]]</f>
        <v>10362</v>
      </c>
      <c r="M166" s="202">
        <f>SUM(Prod[[#This Row],[S1Mold]],Prod[[#This Row],[S1Print]],Prod[[#This Row],[S1Ovlp]],Prod[[#This Row],[S1Seam]],Prod[[#This Row],[S1Dmg]])</f>
        <v>150</v>
      </c>
      <c r="N166" s="199">
        <v>20.78</v>
      </c>
      <c r="O166" s="200">
        <v>7</v>
      </c>
      <c r="P166" s="196">
        <v>1232</v>
      </c>
      <c r="Q166" s="201">
        <v>8</v>
      </c>
      <c r="R166" s="196">
        <f>Prod[[#This Row],[S2Shot]]*Prod[[#This Row],[S2Cavity]]-Prod[[#This Row],[S2Dft]]</f>
        <v>9711</v>
      </c>
      <c r="S166" s="202">
        <f>SUM(Prod[[#This Row],[S2Mold]],Prod[[#This Row],[S2Print]],Prod[[#This Row],[S2Ovlp]],Prod[[#This Row],[S2Seam]],Prod[[#This Row],[S2Dmg]])</f>
        <v>145</v>
      </c>
      <c r="T166" s="199">
        <v>0</v>
      </c>
      <c r="U166" s="200">
        <v>0</v>
      </c>
      <c r="V166" s="196">
        <v>0</v>
      </c>
      <c r="W166" s="201">
        <v>0</v>
      </c>
      <c r="X166" s="196">
        <f>Prod[[#This Row],[S3Shot]]*Prod[[#This Row],[S3Cavity]]-Prod[[#This Row],[S3Dft]]</f>
        <v>0</v>
      </c>
      <c r="Y166" s="196">
        <f>SUM(Prod[[#This Row],[S3Mold]],Prod[[#This Row],[S3Print]],Prod[[#This Row],[S3Ovlp]],Prod[[#This Row],[S3Seam]],Prod[[#This Row],[S3Dmg]])</f>
        <v>0</v>
      </c>
      <c r="Z166" s="196">
        <f>SUM(Prod[[#This Row],[S1Qty]],Prod[[#This Row],[S2Qty]],Prod[[#This Row],[S3Qty]])</f>
        <v>20073</v>
      </c>
      <c r="AA166" s="196">
        <f>SUM(Prod[[#This Row],[S1Dft]],Prod[[#This Row],[S2Dft]],Prod[[#This Row],[S3Dft]])</f>
        <v>295</v>
      </c>
      <c r="AB166" s="203">
        <f>IF(Prod[[#This Row],[Total]]=0,0,Prod[[#This Row],[TotalDft]]/Prod[[#This Row],[Total]])</f>
        <v>1.4696358292233348E-2</v>
      </c>
      <c r="AC166" s="198"/>
      <c r="AD166" s="196">
        <v>25</v>
      </c>
      <c r="AE166" s="196">
        <v>25</v>
      </c>
      <c r="AF166" s="196">
        <v>0</v>
      </c>
      <c r="AG166" s="196">
        <v>125</v>
      </c>
      <c r="AH166" s="196">
        <v>120</v>
      </c>
      <c r="AI166" s="196">
        <v>0</v>
      </c>
      <c r="AJ166" s="196">
        <v>0</v>
      </c>
      <c r="AK166" s="196">
        <v>0</v>
      </c>
      <c r="AL166" s="196">
        <v>0</v>
      </c>
      <c r="AM166" s="196">
        <v>0</v>
      </c>
      <c r="AN166" s="196">
        <v>0</v>
      </c>
      <c r="AO166" s="196">
        <v>0</v>
      </c>
      <c r="AP166" s="196">
        <v>0</v>
      </c>
      <c r="AQ166" s="196">
        <v>0</v>
      </c>
      <c r="AR166" s="196">
        <v>0</v>
      </c>
      <c r="AS166" s="205">
        <f>IF(Prod[[#This Row],[S1Hrs]]=0,0,Prod[[#This Row],[S1Shot]]*Prod[[#This Row],[S1Cycle]]/(Prod[[#This Row],[S1Hrs]]*60*60))</f>
        <v>0.94854374999999991</v>
      </c>
      <c r="AT166" s="205">
        <f>IF(Prod[[#This Row],[S2Hrs]]=0,0,Prod[[#This Row],[S2Shot]]*Prod[[#This Row],[S2Cycle]]/(Prod[[#This Row],[S2Hrs]]*60*60))</f>
        <v>1.0159111111111112</v>
      </c>
      <c r="AU166" s="205">
        <f>IF(Prod[[#This Row],[S3Hrs]]=0,0,Prod[[#This Row],[S3Shot]]*Prod[[#This Row],[S3Cycle]]/(Prod[[#This Row],[S3Hrs]]*60*60))</f>
        <v>0</v>
      </c>
      <c r="AV166" s="205">
        <f>IFERROR(AVERAGEIF(Prod[[#This Row],[S1%]:[S3%]], "&lt;&gt;0"),0)</f>
        <v>0.98222743055555561</v>
      </c>
      <c r="AW166" s="205">
        <v>0</v>
      </c>
      <c r="AX166" s="205">
        <v>0</v>
      </c>
      <c r="AY166" s="205">
        <v>0</v>
      </c>
      <c r="AZ166" s="206">
        <f>IF(Prod[[#This Row],[S1Cycle]]&lt;&gt;0,1,0)</f>
        <v>1</v>
      </c>
      <c r="BA166" s="206">
        <f>IF(Prod[[#This Row],[S2Cycle]]&lt;&gt;0,1,0)</f>
        <v>1</v>
      </c>
      <c r="BB166" s="206">
        <f>IF(Prod[[#This Row],[S3Cycle]]&lt;&gt;0,1,0)</f>
        <v>0</v>
      </c>
      <c r="BC166" s="206">
        <f>MAX(Prod[[#This Row],[S1Cavity]],Prod[[#This Row],[S2Cavity]],Prod[[#This Row],[S3Cavity]])</f>
        <v>8</v>
      </c>
      <c r="BD166" s="206" t="b">
        <f>RegExpMatch(Prod[[#This Row],[MoldNo]], "^DEO-(B|C)")</f>
        <v>1</v>
      </c>
      <c r="BE166" s="206" t="b">
        <f>RegExpMatch(Prod[[#This Row],[MoldNo]], "^JAC")</f>
        <v>0</v>
      </c>
    </row>
    <row r="167" spans="1:57" x14ac:dyDescent="0.2">
      <c r="A167" s="195">
        <v>45454</v>
      </c>
      <c r="B167" s="196" t="s">
        <v>7</v>
      </c>
      <c r="C167" s="197" t="s">
        <v>172</v>
      </c>
      <c r="D167" s="197">
        <v>27692</v>
      </c>
      <c r="E167" s="198" t="s">
        <v>239</v>
      </c>
      <c r="F167" s="197">
        <v>6331</v>
      </c>
      <c r="G167" s="197" t="str">
        <f>IF(OR(Prod[[#This Row],[S1Hrs]]&gt;0,Prod[[#This Row],[S2Hrs]]&gt;0,Prod[[#This Row],[S3Hrs]]&gt;0),"Running","Down")</f>
        <v>Running</v>
      </c>
      <c r="H167" s="199">
        <v>0</v>
      </c>
      <c r="I167" s="200">
        <v>0</v>
      </c>
      <c r="J167" s="196">
        <v>0</v>
      </c>
      <c r="K167" s="201">
        <v>0</v>
      </c>
      <c r="L167" s="196">
        <f>Prod[[#This Row],[S1Shot]]*Prod[[#This Row],[S1Cavity]]-Prod[[#This Row],[S1Dft]]</f>
        <v>0</v>
      </c>
      <c r="M167" s="202">
        <f>SUM(Prod[[#This Row],[S1Mold]],Prod[[#This Row],[S1Print]],Prod[[#This Row],[S1Ovlp]],Prod[[#This Row],[S1Seam]],Prod[[#This Row],[S1Dmg]])</f>
        <v>0</v>
      </c>
      <c r="N167" s="199">
        <v>0</v>
      </c>
      <c r="O167" s="200">
        <v>0</v>
      </c>
      <c r="P167" s="196">
        <v>0</v>
      </c>
      <c r="Q167" s="201">
        <v>0</v>
      </c>
      <c r="R167" s="196">
        <f>Prod[[#This Row],[S2Shot]]*Prod[[#This Row],[S2Cavity]]-Prod[[#This Row],[S2Dft]]</f>
        <v>0</v>
      </c>
      <c r="S167" s="202">
        <f>SUM(Prod[[#This Row],[S2Mold]],Prod[[#This Row],[S2Print]],Prod[[#This Row],[S2Ovlp]],Prod[[#This Row],[S2Seam]],Prod[[#This Row],[S2Dmg]])</f>
        <v>0</v>
      </c>
      <c r="T167" s="199">
        <v>20.79</v>
      </c>
      <c r="U167" s="200">
        <v>5.5</v>
      </c>
      <c r="V167" s="196">
        <v>906</v>
      </c>
      <c r="W167" s="201">
        <v>8</v>
      </c>
      <c r="X167" s="196">
        <f>Prod[[#This Row],[S3Shot]]*Prod[[#This Row],[S3Cavity]]-Prod[[#This Row],[S3Dft]]</f>
        <v>7118</v>
      </c>
      <c r="Y167" s="196">
        <f>SUM(Prod[[#This Row],[S3Mold]],Prod[[#This Row],[S3Print]],Prod[[#This Row],[S3Ovlp]],Prod[[#This Row],[S3Seam]],Prod[[#This Row],[S3Dmg]])</f>
        <v>130</v>
      </c>
      <c r="Z167" s="196">
        <f>SUM(Prod[[#This Row],[S1Qty]],Prod[[#This Row],[S2Qty]],Prod[[#This Row],[S3Qty]])</f>
        <v>7118</v>
      </c>
      <c r="AA167" s="196">
        <f>SUM(Prod[[#This Row],[S1Dft]],Prod[[#This Row],[S2Dft]],Prod[[#This Row],[S3Dft]])</f>
        <v>130</v>
      </c>
      <c r="AB167" s="203">
        <f>IF(Prod[[#This Row],[Total]]=0,0,Prod[[#This Row],[TotalDft]]/Prod[[#This Row],[Total]])</f>
        <v>1.8263557178982859E-2</v>
      </c>
      <c r="AC167" s="198" t="s">
        <v>240</v>
      </c>
      <c r="AD167" s="196">
        <v>0</v>
      </c>
      <c r="AE167" s="196">
        <v>0</v>
      </c>
      <c r="AF167" s="196">
        <v>20</v>
      </c>
      <c r="AG167" s="196">
        <v>0</v>
      </c>
      <c r="AH167" s="196">
        <v>0</v>
      </c>
      <c r="AI167" s="196">
        <v>110</v>
      </c>
      <c r="AJ167" s="196">
        <v>0</v>
      </c>
      <c r="AK167" s="196">
        <v>0</v>
      </c>
      <c r="AL167" s="196">
        <v>0</v>
      </c>
      <c r="AM167" s="196">
        <v>0</v>
      </c>
      <c r="AN167" s="196">
        <v>0</v>
      </c>
      <c r="AO167" s="196">
        <v>0</v>
      </c>
      <c r="AP167" s="196">
        <v>0</v>
      </c>
      <c r="AQ167" s="196">
        <v>0</v>
      </c>
      <c r="AR167" s="196">
        <v>0</v>
      </c>
      <c r="AS167" s="205">
        <f>IF(Prod[[#This Row],[S1Hrs]]=0,0,Prod[[#This Row],[S1Shot]]*Prod[[#This Row],[S1Cycle]]/(Prod[[#This Row],[S1Hrs]]*60*60))</f>
        <v>0</v>
      </c>
      <c r="AT167" s="205">
        <f>IF(Prod[[#This Row],[S2Hrs]]=0,0,Prod[[#This Row],[S2Shot]]*Prod[[#This Row],[S2Cycle]]/(Prod[[#This Row],[S2Hrs]]*60*60))</f>
        <v>0</v>
      </c>
      <c r="AU167" s="205">
        <f>IF(Prod[[#This Row],[S3Hrs]]=0,0,Prod[[#This Row],[S3Shot]]*Prod[[#This Row],[S3Cycle]]/(Prod[[#This Row],[S3Hrs]]*60*60))</f>
        <v>0.95129999999999992</v>
      </c>
      <c r="AV167" s="205">
        <f>IFERROR(AVERAGEIF(Prod[[#This Row],[S1%]:[S3%]], "&lt;&gt;0"),0)</f>
        <v>0.95129999999999992</v>
      </c>
      <c r="AW167" s="205">
        <v>0</v>
      </c>
      <c r="AX167" s="205">
        <v>0</v>
      </c>
      <c r="AY167" s="205">
        <v>0</v>
      </c>
      <c r="AZ167" s="206">
        <f>IF(Prod[[#This Row],[S1Cycle]]&lt;&gt;0,1,0)</f>
        <v>0</v>
      </c>
      <c r="BA167" s="206">
        <f>IF(Prod[[#This Row],[S2Cycle]]&lt;&gt;0,1,0)</f>
        <v>0</v>
      </c>
      <c r="BB167" s="206">
        <f>IF(Prod[[#This Row],[S3Cycle]]&lt;&gt;0,1,0)</f>
        <v>1</v>
      </c>
      <c r="BC167" s="206">
        <f>MAX(Prod[[#This Row],[S1Cavity]],Prod[[#This Row],[S2Cavity]],Prod[[#This Row],[S3Cavity]])</f>
        <v>8</v>
      </c>
      <c r="BD167" s="206" t="b">
        <f>RegExpMatch(Prod[[#This Row],[MoldNo]], "^DEO-(B|C)")</f>
        <v>1</v>
      </c>
      <c r="BE167" s="206" t="b">
        <f>RegExpMatch(Prod[[#This Row],[MoldNo]], "^JAC")</f>
        <v>0</v>
      </c>
    </row>
    <row r="168" spans="1:57" x14ac:dyDescent="0.2">
      <c r="A168" s="195">
        <v>45454</v>
      </c>
      <c r="B168" s="196" t="s">
        <v>85</v>
      </c>
      <c r="C168" s="197" t="s">
        <v>165</v>
      </c>
      <c r="D168" s="197">
        <v>27430</v>
      </c>
      <c r="E168" s="198" t="s">
        <v>199</v>
      </c>
      <c r="F168" s="197">
        <v>6331</v>
      </c>
      <c r="G168" s="197" t="str">
        <f>IF(OR(Prod[[#This Row],[S1Hrs]]&gt;0,Prod[[#This Row],[S2Hrs]]&gt;0,Prod[[#This Row],[S3Hrs]]&gt;0),"Running","Down")</f>
        <v>Running</v>
      </c>
      <c r="H168" s="199">
        <v>20.43</v>
      </c>
      <c r="I168" s="200">
        <v>8</v>
      </c>
      <c r="J168" s="196">
        <v>1469</v>
      </c>
      <c r="K168" s="201">
        <v>16</v>
      </c>
      <c r="L168" s="196">
        <f>Prod[[#This Row],[S1Shot]]*Prod[[#This Row],[S1Cavity]]-Prod[[#This Row],[S1Dft]]</f>
        <v>23504</v>
      </c>
      <c r="M168" s="207"/>
      <c r="N168" s="199">
        <v>20.43</v>
      </c>
      <c r="O168" s="200">
        <v>8</v>
      </c>
      <c r="P168" s="196">
        <v>1544</v>
      </c>
      <c r="Q168" s="201">
        <v>16</v>
      </c>
      <c r="R168" s="196">
        <f>Prod[[#This Row],[S2Shot]]*Prod[[#This Row],[S2Cavity]]-Prod[[#This Row],[S2Dft]]</f>
        <v>24704</v>
      </c>
      <c r="S168" s="207"/>
      <c r="T168" s="199">
        <v>20.43</v>
      </c>
      <c r="U168" s="200">
        <v>8</v>
      </c>
      <c r="V168" s="196">
        <v>1265</v>
      </c>
      <c r="W168" s="201">
        <v>16</v>
      </c>
      <c r="X168" s="196">
        <f>Prod[[#This Row],[S3Shot]]*Prod[[#This Row],[S3Cavity]]-Prod[[#This Row],[S3Dft]]</f>
        <v>20240</v>
      </c>
      <c r="Y168" s="207"/>
      <c r="Z168" s="196">
        <f>SUM(Prod[[#This Row],[S1Qty]],Prod[[#This Row],[S2Qty]],Prod[[#This Row],[S3Qty]])</f>
        <v>68448</v>
      </c>
      <c r="AA168" s="207"/>
      <c r="AB168" s="208"/>
      <c r="AC168" s="204"/>
      <c r="AD168" s="207"/>
      <c r="AE168" s="207"/>
      <c r="AF168" s="207"/>
      <c r="AG168" s="207"/>
      <c r="AH168" s="207"/>
      <c r="AI168" s="207"/>
      <c r="AJ168" s="207"/>
      <c r="AK168" s="207"/>
      <c r="AL168" s="207"/>
      <c r="AM168" s="207"/>
      <c r="AN168" s="207"/>
      <c r="AO168" s="207"/>
      <c r="AP168" s="207"/>
      <c r="AQ168" s="207"/>
      <c r="AR168" s="207"/>
      <c r="AS168" s="205">
        <f>IF(Prod[[#This Row],[S1Hrs]]=0,0,Prod[[#This Row],[S1Shot]]*Prod[[#This Row],[S1Cycle]]/(Prod[[#This Row],[S1Hrs]]*60*60))</f>
        <v>1.042071875</v>
      </c>
      <c r="AT168" s="205">
        <f>IF(Prod[[#This Row],[S2Hrs]]=0,0,Prod[[#This Row],[S2Shot]]*Prod[[#This Row],[S2Cycle]]/(Prod[[#This Row],[S2Hrs]]*60*60))</f>
        <v>1.095275</v>
      </c>
      <c r="AU168" s="205">
        <f>IF(Prod[[#This Row],[S3Hrs]]=0,0,Prod[[#This Row],[S3Shot]]*Prod[[#This Row],[S3Cycle]]/(Prod[[#This Row],[S3Hrs]]*60*60))</f>
        <v>0.89735937500000007</v>
      </c>
      <c r="AV168" s="205">
        <f>IFERROR(AVERAGEIF(Prod[[#This Row],[S1%]:[S3%]], "&lt;&gt;0"),0)</f>
        <v>1.0115687500000001</v>
      </c>
      <c r="AW168" s="205">
        <v>0</v>
      </c>
      <c r="AX168" s="205">
        <v>0</v>
      </c>
      <c r="AY168" s="205">
        <v>0</v>
      </c>
      <c r="AZ168" s="206">
        <f>IF(Prod[[#This Row],[S1Cycle]]&lt;&gt;0,1,0)</f>
        <v>1</v>
      </c>
      <c r="BA168" s="206">
        <f>IF(Prod[[#This Row],[S2Cycle]]&lt;&gt;0,1,0)</f>
        <v>1</v>
      </c>
      <c r="BB168" s="206">
        <f>IF(Prod[[#This Row],[S3Cycle]]&lt;&gt;0,1,0)</f>
        <v>1</v>
      </c>
      <c r="BC168" s="206">
        <f>MAX(Prod[[#This Row],[S1Cavity]],Prod[[#This Row],[S2Cavity]],Prod[[#This Row],[S3Cavity]])</f>
        <v>16</v>
      </c>
      <c r="BD168" s="206" t="b">
        <f>RegExpMatch(Prod[[#This Row],[MoldNo]], "^DEO-(B|C)")</f>
        <v>0</v>
      </c>
      <c r="BE168" s="206" t="b">
        <f>RegExpMatch(Prod[[#This Row],[MoldNo]], "^JAC")</f>
        <v>0</v>
      </c>
    </row>
    <row r="169" spans="1:57" x14ac:dyDescent="0.2">
      <c r="A169" s="195">
        <v>45454</v>
      </c>
      <c r="B169" s="196" t="s">
        <v>196</v>
      </c>
      <c r="C169" s="197" t="s">
        <v>82</v>
      </c>
      <c r="D169" s="197">
        <v>24738</v>
      </c>
      <c r="E169" s="198" t="s">
        <v>199</v>
      </c>
      <c r="F169" s="197">
        <v>814</v>
      </c>
      <c r="G169" s="197" t="str">
        <f>IF(OR(Prod[[#This Row],[S1Hrs]]&gt;0,Prod[[#This Row],[S2Hrs]]&gt;0,Prod[[#This Row],[S3Hrs]]&gt;0),"Running","Down")</f>
        <v>Running</v>
      </c>
      <c r="H169" s="199">
        <v>19.54</v>
      </c>
      <c r="I169" s="200">
        <v>6</v>
      </c>
      <c r="J169" s="196">
        <v>1145</v>
      </c>
      <c r="K169" s="201">
        <v>16</v>
      </c>
      <c r="L169" s="196">
        <f>Prod[[#This Row],[S1Shot]]*Prod[[#This Row],[S1Cavity]]-Prod[[#This Row],[S1Dft]]</f>
        <v>18320</v>
      </c>
      <c r="M169" s="207"/>
      <c r="N169" s="199">
        <v>20.010000000000002</v>
      </c>
      <c r="O169" s="200">
        <v>8</v>
      </c>
      <c r="P169" s="196">
        <v>1198</v>
      </c>
      <c r="Q169" s="201">
        <v>16</v>
      </c>
      <c r="R169" s="196">
        <f>Prod[[#This Row],[S2Shot]]*Prod[[#This Row],[S2Cavity]]-Prod[[#This Row],[S2Dft]]</f>
        <v>19168</v>
      </c>
      <c r="S169" s="207"/>
      <c r="T169" s="199">
        <v>20.7</v>
      </c>
      <c r="U169" s="200">
        <v>8</v>
      </c>
      <c r="V169" s="196">
        <v>1327</v>
      </c>
      <c r="W169" s="201">
        <v>16</v>
      </c>
      <c r="X169" s="196">
        <f>Prod[[#This Row],[S3Shot]]*Prod[[#This Row],[S3Cavity]]-Prod[[#This Row],[S3Dft]]</f>
        <v>21232</v>
      </c>
      <c r="Y169" s="207"/>
      <c r="Z169" s="196">
        <f>SUM(Prod[[#This Row],[S1Qty]],Prod[[#This Row],[S2Qty]],Prod[[#This Row],[S3Qty]])</f>
        <v>58720</v>
      </c>
      <c r="AA169" s="207"/>
      <c r="AB169" s="208"/>
      <c r="AC169" s="204"/>
      <c r="AD169" s="207"/>
      <c r="AE169" s="207"/>
      <c r="AF169" s="207"/>
      <c r="AG169" s="207"/>
      <c r="AH169" s="207"/>
      <c r="AI169" s="207"/>
      <c r="AJ169" s="207"/>
      <c r="AK169" s="207"/>
      <c r="AL169" s="207"/>
      <c r="AM169" s="207"/>
      <c r="AN169" s="207"/>
      <c r="AO169" s="207"/>
      <c r="AP169" s="207"/>
      <c r="AQ169" s="207"/>
      <c r="AR169" s="207"/>
      <c r="AS169" s="205">
        <f>IF(Prod[[#This Row],[S1Hrs]]=0,0,Prod[[#This Row],[S1Shot]]*Prod[[#This Row],[S1Cycle]]/(Prod[[#This Row],[S1Hrs]]*60*60))</f>
        <v>1.035800925925926</v>
      </c>
      <c r="AT169" s="205">
        <f>IF(Prod[[#This Row],[S2Hrs]]=0,0,Prod[[#This Row],[S2Shot]]*Prod[[#This Row],[S2Cycle]]/(Prod[[#This Row],[S2Hrs]]*60*60))</f>
        <v>0.83236041666666682</v>
      </c>
      <c r="AU169" s="205">
        <f>IF(Prod[[#This Row],[S3Hrs]]=0,0,Prod[[#This Row],[S3Shot]]*Prod[[#This Row],[S3Cycle]]/(Prod[[#This Row],[S3Hrs]]*60*60))</f>
        <v>0.95378124999999991</v>
      </c>
      <c r="AV169" s="205">
        <f>IFERROR(AVERAGEIF(Prod[[#This Row],[S1%]:[S3%]], "&lt;&gt;0"),0)</f>
        <v>0.94064753086419761</v>
      </c>
      <c r="AW169" s="205">
        <v>0</v>
      </c>
      <c r="AX169" s="205">
        <v>0</v>
      </c>
      <c r="AY169" s="205">
        <v>0</v>
      </c>
      <c r="AZ169" s="206">
        <f>IF(Prod[[#This Row],[S1Cycle]]&lt;&gt;0,1,0)</f>
        <v>1</v>
      </c>
      <c r="BA169" s="206">
        <f>IF(Prod[[#This Row],[S2Cycle]]&lt;&gt;0,1,0)</f>
        <v>1</v>
      </c>
      <c r="BB169" s="206">
        <f>IF(Prod[[#This Row],[S3Cycle]]&lt;&gt;0,1,0)</f>
        <v>1</v>
      </c>
      <c r="BC169" s="206">
        <f>MAX(Prod[[#This Row],[S1Cavity]],Prod[[#This Row],[S2Cavity]],Prod[[#This Row],[S3Cavity]])</f>
        <v>16</v>
      </c>
      <c r="BD169" s="206" t="b">
        <f>RegExpMatch(Prod[[#This Row],[MoldNo]], "^DEO-(B|C)")</f>
        <v>0</v>
      </c>
      <c r="BE169" s="206" t="b">
        <f>RegExpMatch(Prod[[#This Row],[MoldNo]], "^JAC")</f>
        <v>0</v>
      </c>
    </row>
    <row r="170" spans="1:57" x14ac:dyDescent="0.2">
      <c r="A170" s="195">
        <v>45454</v>
      </c>
      <c r="B170" s="196" t="s">
        <v>192</v>
      </c>
      <c r="C170" s="198" t="s">
        <v>193</v>
      </c>
      <c r="D170" s="197">
        <v>27716</v>
      </c>
      <c r="E170" s="198" t="s">
        <v>199</v>
      </c>
      <c r="F170" s="197">
        <v>814</v>
      </c>
      <c r="G170" s="197" t="str">
        <f>IF(OR(Prod[[#This Row],[S1Hrs]]&gt;0,Prod[[#This Row],[S2Hrs]]&gt;0,Prod[[#This Row],[S3Hrs]]&gt;0),"Running","Down")</f>
        <v>Running</v>
      </c>
      <c r="H170" s="199">
        <v>17.25</v>
      </c>
      <c r="I170" s="200">
        <v>8</v>
      </c>
      <c r="J170" s="196">
        <v>1650</v>
      </c>
      <c r="K170" s="201">
        <v>24</v>
      </c>
      <c r="L170" s="196">
        <f>Prod[[#This Row],[S1Shot]]*Prod[[#This Row],[S1Cavity]]-Prod[[#This Row],[S1Dft]]</f>
        <v>39600</v>
      </c>
      <c r="M170" s="207"/>
      <c r="N170" s="199">
        <v>17.25</v>
      </c>
      <c r="O170" s="200">
        <v>8</v>
      </c>
      <c r="P170" s="196">
        <v>1749</v>
      </c>
      <c r="Q170" s="201">
        <v>24</v>
      </c>
      <c r="R170" s="196">
        <f>Prod[[#This Row],[S2Shot]]*Prod[[#This Row],[S2Cavity]]-Prod[[#This Row],[S2Dft]]</f>
        <v>41976</v>
      </c>
      <c r="S170" s="207"/>
      <c r="T170" s="199">
        <v>17.25</v>
      </c>
      <c r="U170" s="200">
        <v>8</v>
      </c>
      <c r="V170" s="196">
        <v>1604</v>
      </c>
      <c r="W170" s="201">
        <v>24</v>
      </c>
      <c r="X170" s="196">
        <f>Prod[[#This Row],[S3Shot]]*Prod[[#This Row],[S3Cavity]]-Prod[[#This Row],[S3Dft]]</f>
        <v>38496</v>
      </c>
      <c r="Y170" s="207"/>
      <c r="Z170" s="196">
        <f>SUM(Prod[[#This Row],[S1Qty]],Prod[[#This Row],[S2Qty]],Prod[[#This Row],[S3Qty]])</f>
        <v>120072</v>
      </c>
      <c r="AA170" s="207"/>
      <c r="AB170" s="208"/>
      <c r="AC170" s="204"/>
      <c r="AD170" s="207"/>
      <c r="AE170" s="207"/>
      <c r="AF170" s="207"/>
      <c r="AG170" s="207"/>
      <c r="AH170" s="207"/>
      <c r="AI170" s="207"/>
      <c r="AJ170" s="207"/>
      <c r="AK170" s="207"/>
      <c r="AL170" s="207"/>
      <c r="AM170" s="207"/>
      <c r="AN170" s="207"/>
      <c r="AO170" s="207"/>
      <c r="AP170" s="207"/>
      <c r="AQ170" s="207"/>
      <c r="AR170" s="207"/>
      <c r="AS170" s="205">
        <f>IF(Prod[[#This Row],[S1Hrs]]=0,0,Prod[[#This Row],[S1Shot]]*Prod[[#This Row],[S1Cycle]]/(Prod[[#This Row],[S1Hrs]]*60*60))</f>
        <v>0.98828125</v>
      </c>
      <c r="AT170" s="205">
        <f>IF(Prod[[#This Row],[S2Hrs]]=0,0,Prod[[#This Row],[S2Shot]]*Prod[[#This Row],[S2Cycle]]/(Prod[[#This Row],[S2Hrs]]*60*60))</f>
        <v>1.047578125</v>
      </c>
      <c r="AU170" s="205">
        <f>IF(Prod[[#This Row],[S3Hrs]]=0,0,Prod[[#This Row],[S3Shot]]*Prod[[#This Row],[S3Cycle]]/(Prod[[#This Row],[S3Hrs]]*60*60))</f>
        <v>0.96072916666666663</v>
      </c>
      <c r="AV170" s="205">
        <f>IFERROR(AVERAGEIF(Prod[[#This Row],[S1%]:[S3%]], "&lt;&gt;0"),0)</f>
        <v>0.99886284722222241</v>
      </c>
      <c r="AW170" s="205">
        <v>0</v>
      </c>
      <c r="AX170" s="205">
        <v>0</v>
      </c>
      <c r="AY170" s="205">
        <v>0</v>
      </c>
      <c r="AZ170" s="206">
        <f>IF(Prod[[#This Row],[S1Cycle]]&lt;&gt;0,1,0)</f>
        <v>1</v>
      </c>
      <c r="BA170" s="206">
        <f>IF(Prod[[#This Row],[S2Cycle]]&lt;&gt;0,1,0)</f>
        <v>1</v>
      </c>
      <c r="BB170" s="206">
        <f>IF(Prod[[#This Row],[S3Cycle]]&lt;&gt;0,1,0)</f>
        <v>1</v>
      </c>
      <c r="BC170" s="206">
        <f>MAX(Prod[[#This Row],[S1Cavity]],Prod[[#This Row],[S2Cavity]],Prod[[#This Row],[S3Cavity]])</f>
        <v>24</v>
      </c>
      <c r="BD170" s="206" t="b">
        <f>RegExpMatch(Prod[[#This Row],[MoldNo]], "^DEO-(B|C)")</f>
        <v>0</v>
      </c>
      <c r="BE170" s="206" t="b">
        <f>RegExpMatch(Prod[[#This Row],[MoldNo]], "^JAC")</f>
        <v>0</v>
      </c>
    </row>
    <row r="171" spans="1:57" x14ac:dyDescent="0.2">
      <c r="A171" s="195">
        <v>45454</v>
      </c>
      <c r="B171" s="196" t="s">
        <v>168</v>
      </c>
      <c r="C171" s="197" t="s">
        <v>169</v>
      </c>
      <c r="D171" s="197"/>
      <c r="E171" s="198"/>
      <c r="F171" s="197"/>
      <c r="G171" s="197" t="str">
        <f>IF(OR(Prod[[#This Row],[S1Hrs]]&gt;0,Prod[[#This Row],[S2Hrs]]&gt;0,Prod[[#This Row],[S3Hrs]]&gt;0),"Running","Down")</f>
        <v>Down</v>
      </c>
      <c r="H171" s="199">
        <v>0</v>
      </c>
      <c r="I171" s="200">
        <v>0</v>
      </c>
      <c r="J171" s="196">
        <v>0</v>
      </c>
      <c r="K171" s="201">
        <v>0</v>
      </c>
      <c r="L171" s="196">
        <f>Prod[[#This Row],[S1Shot]]*Prod[[#This Row],[S1Cavity]]-Prod[[#This Row],[S1Dft]]</f>
        <v>0</v>
      </c>
      <c r="M171" s="207"/>
      <c r="N171" s="199">
        <v>0</v>
      </c>
      <c r="O171" s="200">
        <v>0</v>
      </c>
      <c r="P171" s="196">
        <v>0</v>
      </c>
      <c r="Q171" s="201">
        <v>0</v>
      </c>
      <c r="R171" s="196">
        <f>Prod[[#This Row],[S2Shot]]*Prod[[#This Row],[S2Cavity]]-Prod[[#This Row],[S2Dft]]</f>
        <v>0</v>
      </c>
      <c r="S171" s="207"/>
      <c r="T171" s="199">
        <v>0</v>
      </c>
      <c r="U171" s="200">
        <v>0</v>
      </c>
      <c r="V171" s="196">
        <v>0</v>
      </c>
      <c r="W171" s="201">
        <v>0</v>
      </c>
      <c r="X171" s="196">
        <f>Prod[[#This Row],[S3Shot]]*Prod[[#This Row],[S3Cavity]]-Prod[[#This Row],[S3Dft]]</f>
        <v>0</v>
      </c>
      <c r="Y171" s="207"/>
      <c r="Z171" s="196">
        <f>SUM(Prod[[#This Row],[S1Qty]],Prod[[#This Row],[S2Qty]],Prod[[#This Row],[S3Qty]])</f>
        <v>0</v>
      </c>
      <c r="AA171" s="207"/>
      <c r="AB171" s="208"/>
      <c r="AC171" s="204"/>
      <c r="AD171" s="207"/>
      <c r="AE171" s="207"/>
      <c r="AF171" s="207"/>
      <c r="AG171" s="207"/>
      <c r="AH171" s="207"/>
      <c r="AI171" s="207"/>
      <c r="AJ171" s="207"/>
      <c r="AK171" s="207"/>
      <c r="AL171" s="207"/>
      <c r="AM171" s="207"/>
      <c r="AN171" s="207"/>
      <c r="AO171" s="207"/>
      <c r="AP171" s="207"/>
      <c r="AQ171" s="207"/>
      <c r="AR171" s="207"/>
      <c r="AS171" s="205">
        <f>IF(Prod[[#This Row],[S1Hrs]]=0,0,Prod[[#This Row],[S1Shot]]*Prod[[#This Row],[S1Cycle]]/(Prod[[#This Row],[S1Hrs]]*60*60))</f>
        <v>0</v>
      </c>
      <c r="AT171" s="205">
        <f>IF(Prod[[#This Row],[S2Hrs]]=0,0,Prod[[#This Row],[S2Shot]]*Prod[[#This Row],[S2Cycle]]/(Prod[[#This Row],[S2Hrs]]*60*60))</f>
        <v>0</v>
      </c>
      <c r="AU171" s="205">
        <f>IF(Prod[[#This Row],[S3Hrs]]=0,0,Prod[[#This Row],[S3Shot]]*Prod[[#This Row],[S3Cycle]]/(Prod[[#This Row],[S3Hrs]]*60*60))</f>
        <v>0</v>
      </c>
      <c r="AV171" s="205">
        <f>IFERROR(AVERAGEIF(Prod[[#This Row],[S1%]:[S3%]], "&lt;&gt;0"),0)</f>
        <v>0</v>
      </c>
      <c r="AW171" s="205">
        <v>0</v>
      </c>
      <c r="AX171" s="205">
        <v>0</v>
      </c>
      <c r="AY171" s="205">
        <v>0</v>
      </c>
      <c r="AZ171" s="206">
        <f>IF(Prod[[#This Row],[S1Cycle]]&lt;&gt;0,1,0)</f>
        <v>0</v>
      </c>
      <c r="BA171" s="206">
        <f>IF(Prod[[#This Row],[S2Cycle]]&lt;&gt;0,1,0)</f>
        <v>0</v>
      </c>
      <c r="BB171" s="206">
        <f>IF(Prod[[#This Row],[S3Cycle]]&lt;&gt;0,1,0)</f>
        <v>0</v>
      </c>
      <c r="BC171" s="206">
        <f>MAX(Prod[[#This Row],[S1Cavity]],Prod[[#This Row],[S2Cavity]],Prod[[#This Row],[S3Cavity]])</f>
        <v>0</v>
      </c>
      <c r="BD171" s="206" t="b">
        <f>RegExpMatch(Prod[[#This Row],[MoldNo]], "^DEO-(B|C)")</f>
        <v>0</v>
      </c>
      <c r="BE171" s="206" t="b">
        <f>RegExpMatch(Prod[[#This Row],[MoldNo]], "^JAC")</f>
        <v>0</v>
      </c>
    </row>
    <row r="172" spans="1:57" x14ac:dyDescent="0.2">
      <c r="A172" s="195">
        <v>45454</v>
      </c>
      <c r="B172" s="196" t="s">
        <v>146</v>
      </c>
      <c r="C172" s="197" t="s">
        <v>84</v>
      </c>
      <c r="D172" s="197"/>
      <c r="E172" s="198"/>
      <c r="F172" s="197"/>
      <c r="G172" s="197" t="str">
        <f>IF(OR(Prod[[#This Row],[S1Hrs]]&gt;0,Prod[[#This Row],[S2Hrs]]&gt;0,Prod[[#This Row],[S3Hrs]]&gt;0),"Running","Down")</f>
        <v>Down</v>
      </c>
      <c r="H172" s="199">
        <v>0</v>
      </c>
      <c r="I172" s="200">
        <v>0</v>
      </c>
      <c r="J172" s="196">
        <v>0</v>
      </c>
      <c r="K172" s="201">
        <v>0</v>
      </c>
      <c r="L172" s="196">
        <f>Prod[[#This Row],[S1Shot]]*Prod[[#This Row],[S1Cavity]]-Prod[[#This Row],[S1Dft]]</f>
        <v>0</v>
      </c>
      <c r="M172" s="207"/>
      <c r="N172" s="199">
        <v>0</v>
      </c>
      <c r="O172" s="200">
        <v>0</v>
      </c>
      <c r="P172" s="196">
        <v>0</v>
      </c>
      <c r="Q172" s="201">
        <v>0</v>
      </c>
      <c r="R172" s="196">
        <f>Prod[[#This Row],[S2Shot]]*Prod[[#This Row],[S2Cavity]]-Prod[[#This Row],[S2Dft]]</f>
        <v>0</v>
      </c>
      <c r="S172" s="207"/>
      <c r="T172" s="199">
        <v>0</v>
      </c>
      <c r="U172" s="200">
        <v>0</v>
      </c>
      <c r="V172" s="196">
        <v>0</v>
      </c>
      <c r="W172" s="201">
        <v>0</v>
      </c>
      <c r="X172" s="196">
        <f>Prod[[#This Row],[S3Shot]]*Prod[[#This Row],[S3Cavity]]-Prod[[#This Row],[S3Dft]]</f>
        <v>0</v>
      </c>
      <c r="Y172" s="207"/>
      <c r="Z172" s="196">
        <f>SUM(Prod[[#This Row],[S1Qty]],Prod[[#This Row],[S2Qty]],Prod[[#This Row],[S3Qty]])</f>
        <v>0</v>
      </c>
      <c r="AA172" s="207"/>
      <c r="AB172" s="208"/>
      <c r="AC172" s="204"/>
      <c r="AD172" s="207"/>
      <c r="AE172" s="207"/>
      <c r="AF172" s="207"/>
      <c r="AG172" s="207"/>
      <c r="AH172" s="207"/>
      <c r="AI172" s="207"/>
      <c r="AJ172" s="207"/>
      <c r="AK172" s="207"/>
      <c r="AL172" s="207"/>
      <c r="AM172" s="207"/>
      <c r="AN172" s="207"/>
      <c r="AO172" s="207"/>
      <c r="AP172" s="207"/>
      <c r="AQ172" s="207"/>
      <c r="AR172" s="207"/>
      <c r="AS172" s="205">
        <f>IF(Prod[[#This Row],[S1Hrs]]=0,0,Prod[[#This Row],[S1Shot]]*Prod[[#This Row],[S1Cycle]]/(Prod[[#This Row],[S1Hrs]]*60*60))</f>
        <v>0</v>
      </c>
      <c r="AT172" s="205">
        <f>IF(Prod[[#This Row],[S2Hrs]]=0,0,Prod[[#This Row],[S2Shot]]*Prod[[#This Row],[S2Cycle]]/(Prod[[#This Row],[S2Hrs]]*60*60))</f>
        <v>0</v>
      </c>
      <c r="AU172" s="205">
        <f>IF(Prod[[#This Row],[S3Hrs]]=0,0,Prod[[#This Row],[S3Shot]]*Prod[[#This Row],[S3Cycle]]/(Prod[[#This Row],[S3Hrs]]*60*60))</f>
        <v>0</v>
      </c>
      <c r="AV172" s="205">
        <f>IFERROR(AVERAGEIF(Prod[[#This Row],[S1%]:[S3%]], "&lt;&gt;0"),0)</f>
        <v>0</v>
      </c>
      <c r="AW172" s="205">
        <v>0</v>
      </c>
      <c r="AX172" s="205">
        <v>0</v>
      </c>
      <c r="AY172" s="205">
        <v>0</v>
      </c>
      <c r="AZ172" s="206">
        <f>IF(Prod[[#This Row],[S1Cycle]]&lt;&gt;0,1,0)</f>
        <v>0</v>
      </c>
      <c r="BA172" s="206">
        <f>IF(Prod[[#This Row],[S2Cycle]]&lt;&gt;0,1,0)</f>
        <v>0</v>
      </c>
      <c r="BB172" s="206">
        <f>IF(Prod[[#This Row],[S3Cycle]]&lt;&gt;0,1,0)</f>
        <v>0</v>
      </c>
      <c r="BC172" s="206">
        <f>MAX(Prod[[#This Row],[S1Cavity]],Prod[[#This Row],[S2Cavity]],Prod[[#This Row],[S3Cavity]])</f>
        <v>0</v>
      </c>
      <c r="BD172" s="206" t="b">
        <f>RegExpMatch(Prod[[#This Row],[MoldNo]], "^DEO-(B|C)")</f>
        <v>0</v>
      </c>
      <c r="BE172" s="206" t="b">
        <f>RegExpMatch(Prod[[#This Row],[MoldNo]], "^JAC")</f>
        <v>0</v>
      </c>
    </row>
    <row r="173" spans="1:57" x14ac:dyDescent="0.2">
      <c r="A173" s="195">
        <v>45454</v>
      </c>
      <c r="B173" s="201" t="s">
        <v>194</v>
      </c>
      <c r="C173" s="198" t="s">
        <v>9</v>
      </c>
      <c r="D173" s="197"/>
      <c r="E173" s="198"/>
      <c r="F173" s="197"/>
      <c r="G173" s="197" t="str">
        <f>IF(OR(Prod[[#This Row],[S1Hrs]]&gt;0,Prod[[#This Row],[S2Hrs]]&gt;0,Prod[[#This Row],[S3Hrs]]&gt;0),"Running","Down")</f>
        <v>Down</v>
      </c>
      <c r="H173" s="199">
        <v>0</v>
      </c>
      <c r="I173" s="200">
        <v>0</v>
      </c>
      <c r="J173" s="196">
        <v>0</v>
      </c>
      <c r="K173" s="201">
        <v>0</v>
      </c>
      <c r="L173" s="196">
        <f>Prod[[#This Row],[S1Shot]]*Prod[[#This Row],[S1Cavity]]-Prod[[#This Row],[S1Dft]]</f>
        <v>0</v>
      </c>
      <c r="M173" s="207"/>
      <c r="N173" s="199">
        <v>0</v>
      </c>
      <c r="O173" s="200">
        <v>0</v>
      </c>
      <c r="P173" s="196">
        <v>0</v>
      </c>
      <c r="Q173" s="201">
        <v>0</v>
      </c>
      <c r="R173" s="196">
        <f>Prod[[#This Row],[S2Shot]]*Prod[[#This Row],[S2Cavity]]-Prod[[#This Row],[S2Dft]]</f>
        <v>0</v>
      </c>
      <c r="S173" s="207"/>
      <c r="T173" s="199">
        <v>0</v>
      </c>
      <c r="U173" s="200">
        <v>0</v>
      </c>
      <c r="V173" s="196">
        <v>0</v>
      </c>
      <c r="W173" s="201">
        <v>0</v>
      </c>
      <c r="X173" s="196">
        <f>Prod[[#This Row],[S3Shot]]*Prod[[#This Row],[S3Cavity]]-Prod[[#This Row],[S3Dft]]</f>
        <v>0</v>
      </c>
      <c r="Y173" s="207"/>
      <c r="Z173" s="196">
        <f>SUM(Prod[[#This Row],[S1Qty]],Prod[[#This Row],[S2Qty]],Prod[[#This Row],[S3Qty]])</f>
        <v>0</v>
      </c>
      <c r="AA173" s="207"/>
      <c r="AB173" s="208"/>
      <c r="AC173" s="204"/>
      <c r="AD173" s="207"/>
      <c r="AE173" s="207"/>
      <c r="AF173" s="207"/>
      <c r="AG173" s="207"/>
      <c r="AH173" s="207"/>
      <c r="AI173" s="207"/>
      <c r="AJ173" s="207"/>
      <c r="AK173" s="207"/>
      <c r="AL173" s="207"/>
      <c r="AM173" s="207"/>
      <c r="AN173" s="207"/>
      <c r="AO173" s="207"/>
      <c r="AP173" s="207"/>
      <c r="AQ173" s="207"/>
      <c r="AR173" s="207"/>
      <c r="AS173" s="205">
        <f>IF(Prod[[#This Row],[S1Hrs]]=0,0,Prod[[#This Row],[S1Shot]]*Prod[[#This Row],[S1Cycle]]/(Prod[[#This Row],[S1Hrs]]*60*60))</f>
        <v>0</v>
      </c>
      <c r="AT173" s="205">
        <f>IF(Prod[[#This Row],[S2Hrs]]=0,0,Prod[[#This Row],[S2Shot]]*Prod[[#This Row],[S2Cycle]]/(Prod[[#This Row],[S2Hrs]]*60*60))</f>
        <v>0</v>
      </c>
      <c r="AU173" s="205">
        <f>IF(Prod[[#This Row],[S3Hrs]]=0,0,Prod[[#This Row],[S3Shot]]*Prod[[#This Row],[S3Cycle]]/(Prod[[#This Row],[S3Hrs]]*60*60))</f>
        <v>0</v>
      </c>
      <c r="AV173" s="205">
        <f>IFERROR(AVERAGEIF(Prod[[#This Row],[S1%]:[S3%]], "&lt;&gt;0"),0)</f>
        <v>0</v>
      </c>
      <c r="AW173" s="205">
        <v>0</v>
      </c>
      <c r="AX173" s="205">
        <v>0</v>
      </c>
      <c r="AY173" s="205">
        <v>0</v>
      </c>
      <c r="AZ173" s="206">
        <f>IF(Prod[[#This Row],[S1Cycle]]&lt;&gt;0,1,0)</f>
        <v>0</v>
      </c>
      <c r="BA173" s="206">
        <f>IF(Prod[[#This Row],[S2Cycle]]&lt;&gt;0,1,0)</f>
        <v>0</v>
      </c>
      <c r="BB173" s="206">
        <f>IF(Prod[[#This Row],[S3Cycle]]&lt;&gt;0,1,0)</f>
        <v>0</v>
      </c>
      <c r="BC173" s="206">
        <f>MAX(Prod[[#This Row],[S1Cavity]],Prod[[#This Row],[S2Cavity]],Prod[[#This Row],[S3Cavity]])</f>
        <v>0</v>
      </c>
      <c r="BD173" s="206" t="b">
        <f>RegExpMatch(Prod[[#This Row],[MoldNo]], "^DEO-(B|C)")</f>
        <v>0</v>
      </c>
      <c r="BE173" s="206" t="b">
        <f>RegExpMatch(Prod[[#This Row],[MoldNo]], "^JAC")</f>
        <v>0</v>
      </c>
    </row>
    <row r="174" spans="1:57" x14ac:dyDescent="0.2">
      <c r="A174" s="195">
        <v>45454</v>
      </c>
      <c r="B174" s="201" t="s">
        <v>164</v>
      </c>
      <c r="C174" s="198" t="s">
        <v>144</v>
      </c>
      <c r="D174" s="197"/>
      <c r="E174" s="198"/>
      <c r="F174" s="197"/>
      <c r="G174" s="197" t="str">
        <f>IF(OR(Prod[[#This Row],[S1Hrs]]&gt;0,Prod[[#This Row],[S2Hrs]]&gt;0,Prod[[#This Row],[S3Hrs]]&gt;0),"Running","Down")</f>
        <v>Down</v>
      </c>
      <c r="H174" s="199">
        <v>0</v>
      </c>
      <c r="I174" s="200">
        <v>0</v>
      </c>
      <c r="J174" s="196">
        <v>0</v>
      </c>
      <c r="K174" s="201">
        <v>0</v>
      </c>
      <c r="L174" s="196">
        <f>Prod[[#This Row],[S1Shot]]*Prod[[#This Row],[S1Cavity]]-Prod[[#This Row],[S1Dft]]</f>
        <v>0</v>
      </c>
      <c r="M174" s="202">
        <f>SUM(Prod[[#This Row],[S1Mold]],Prod[[#This Row],[S1Print]],Prod[[#This Row],[S1Ovlp]],Prod[[#This Row],[S1Seam]],Prod[[#This Row],[S1Dmg]])</f>
        <v>0</v>
      </c>
      <c r="N174" s="199">
        <v>0</v>
      </c>
      <c r="O174" s="200">
        <v>0</v>
      </c>
      <c r="P174" s="196">
        <v>0</v>
      </c>
      <c r="Q174" s="201">
        <v>0</v>
      </c>
      <c r="R174" s="196">
        <f>Prod[[#This Row],[S2Shot]]*Prod[[#This Row],[S2Cavity]]-Prod[[#This Row],[S2Dft]]</f>
        <v>0</v>
      </c>
      <c r="S174" s="202">
        <f>SUM(Prod[[#This Row],[S2Mold]],Prod[[#This Row],[S2Print]],Prod[[#This Row],[S2Ovlp]],Prod[[#This Row],[S2Seam]],Prod[[#This Row],[S2Dmg]])</f>
        <v>0</v>
      </c>
      <c r="T174" s="199">
        <v>0</v>
      </c>
      <c r="U174" s="200">
        <v>0</v>
      </c>
      <c r="V174" s="196">
        <v>0</v>
      </c>
      <c r="W174" s="201">
        <v>0</v>
      </c>
      <c r="X174" s="196">
        <f>Prod[[#This Row],[S3Shot]]*Prod[[#This Row],[S3Cavity]]-Prod[[#This Row],[S3Dft]]</f>
        <v>0</v>
      </c>
      <c r="Y174" s="196">
        <f>SUM(Prod[[#This Row],[S3Mold]],Prod[[#This Row],[S3Print]],Prod[[#This Row],[S3Ovlp]],Prod[[#This Row],[S3Seam]],Prod[[#This Row],[S3Dmg]])</f>
        <v>0</v>
      </c>
      <c r="Z174" s="196">
        <f>SUM(Prod[[#This Row],[S1Qty]],Prod[[#This Row],[S2Qty]],Prod[[#This Row],[S3Qty]])</f>
        <v>0</v>
      </c>
      <c r="AA174" s="196">
        <f>SUM(Prod[[#This Row],[S1Dft]],Prod[[#This Row],[S2Dft]],Prod[[#This Row],[S3Dft]])</f>
        <v>0</v>
      </c>
      <c r="AB174" s="203">
        <f>IF(Prod[[#This Row],[Total]]=0,0,Prod[[#This Row],[TotalDft]]/Prod[[#This Row],[Total]])</f>
        <v>0</v>
      </c>
      <c r="AC174" s="204"/>
      <c r="AD174" s="196">
        <v>0</v>
      </c>
      <c r="AE174" s="196">
        <v>0</v>
      </c>
      <c r="AF174" s="196">
        <v>0</v>
      </c>
      <c r="AG174" s="196">
        <v>0</v>
      </c>
      <c r="AH174" s="196">
        <v>0</v>
      </c>
      <c r="AI174" s="196">
        <v>0</v>
      </c>
      <c r="AJ174" s="196">
        <v>0</v>
      </c>
      <c r="AK174" s="196">
        <v>0</v>
      </c>
      <c r="AL174" s="196">
        <v>0</v>
      </c>
      <c r="AM174" s="196">
        <v>0</v>
      </c>
      <c r="AN174" s="196">
        <v>0</v>
      </c>
      <c r="AO174" s="196">
        <v>0</v>
      </c>
      <c r="AP174" s="196">
        <v>0</v>
      </c>
      <c r="AQ174" s="196">
        <v>0</v>
      </c>
      <c r="AR174" s="196">
        <v>0</v>
      </c>
      <c r="AS174" s="205">
        <f>IF(Prod[[#This Row],[S1Hrs]]=0,0,Prod[[#This Row],[S1Shot]]*Prod[[#This Row],[S1Cycle]]/(Prod[[#This Row],[S1Hrs]]*60*60))</f>
        <v>0</v>
      </c>
      <c r="AT174" s="205">
        <f>IF(Prod[[#This Row],[S2Hrs]]=0,0,Prod[[#This Row],[S2Shot]]*Prod[[#This Row],[S2Cycle]]/(Prod[[#This Row],[S2Hrs]]*60*60))</f>
        <v>0</v>
      </c>
      <c r="AU174" s="205">
        <f>IF(Prod[[#This Row],[S3Hrs]]=0,0,Prod[[#This Row],[S3Shot]]*Prod[[#This Row],[S3Cycle]]/(Prod[[#This Row],[S3Hrs]]*60*60))</f>
        <v>0</v>
      </c>
      <c r="AV174" s="205">
        <f>IFERROR(AVERAGEIF(Prod[[#This Row],[S1%]:[S3%]], "&lt;&gt;0"),0)</f>
        <v>0</v>
      </c>
      <c r="AW174" s="205">
        <v>0</v>
      </c>
      <c r="AX174" s="205">
        <v>0</v>
      </c>
      <c r="AY174" s="205">
        <v>0</v>
      </c>
      <c r="AZ174" s="206">
        <f>IF(Prod[[#This Row],[S1Cycle]]&lt;&gt;0,1,0)</f>
        <v>0</v>
      </c>
      <c r="BA174" s="206">
        <f>IF(Prod[[#This Row],[S2Cycle]]&lt;&gt;0,1,0)</f>
        <v>0</v>
      </c>
      <c r="BB174" s="206">
        <f>IF(Prod[[#This Row],[S3Cycle]]&lt;&gt;0,1,0)</f>
        <v>0</v>
      </c>
      <c r="BC174" s="206">
        <f>MAX(Prod[[#This Row],[S1Cavity]],Prod[[#This Row],[S2Cavity]],Prod[[#This Row],[S3Cavity]])</f>
        <v>0</v>
      </c>
      <c r="BD174" s="206" t="b">
        <f>RegExpMatch(Prod[[#This Row],[MoldNo]], "^DEO-(B|C)")</f>
        <v>1</v>
      </c>
      <c r="BE174" s="206" t="b">
        <f>RegExpMatch(Prod[[#This Row],[MoldNo]], "^JAC")</f>
        <v>0</v>
      </c>
    </row>
    <row r="175" spans="1:57" x14ac:dyDescent="0.2">
      <c r="A175" s="195">
        <v>45454</v>
      </c>
      <c r="B175" s="201" t="s">
        <v>162</v>
      </c>
      <c r="C175" s="198" t="s">
        <v>163</v>
      </c>
      <c r="D175" s="197"/>
      <c r="E175" s="198"/>
      <c r="F175" s="197"/>
      <c r="G175" s="197" t="str">
        <f>IF(OR(Prod[[#This Row],[S1Hrs]]&gt;0,Prod[[#This Row],[S2Hrs]]&gt;0,Prod[[#This Row],[S3Hrs]]&gt;0),"Running","Down")</f>
        <v>Down</v>
      </c>
      <c r="H175" s="199">
        <v>0</v>
      </c>
      <c r="I175" s="200">
        <v>0</v>
      </c>
      <c r="J175" s="196">
        <v>0</v>
      </c>
      <c r="K175" s="201">
        <v>0</v>
      </c>
      <c r="L175" s="196">
        <f>Prod[[#This Row],[S1Shot]]*Prod[[#This Row],[S1Cavity]]-Prod[[#This Row],[S1Dft]]</f>
        <v>0</v>
      </c>
      <c r="M175" s="202">
        <f>SUM(Prod[[#This Row],[S1Mold]],Prod[[#This Row],[S1Print]],Prod[[#This Row],[S1Ovlp]],Prod[[#This Row],[S1Seam]],Prod[[#This Row],[S1Dmg]])</f>
        <v>0</v>
      </c>
      <c r="N175" s="199">
        <v>0</v>
      </c>
      <c r="O175" s="200">
        <v>0</v>
      </c>
      <c r="P175" s="196">
        <v>0</v>
      </c>
      <c r="Q175" s="201">
        <v>0</v>
      </c>
      <c r="R175" s="196">
        <f>Prod[[#This Row],[S2Shot]]*Prod[[#This Row],[S2Cavity]]-Prod[[#This Row],[S2Dft]]</f>
        <v>0</v>
      </c>
      <c r="S175" s="202">
        <f>SUM(Prod[[#This Row],[S2Mold]],Prod[[#This Row],[S2Print]],Prod[[#This Row],[S2Ovlp]],Prod[[#This Row],[S2Seam]],Prod[[#This Row],[S2Dmg]])</f>
        <v>0</v>
      </c>
      <c r="T175" s="199">
        <v>0</v>
      </c>
      <c r="U175" s="200">
        <v>0</v>
      </c>
      <c r="V175" s="196">
        <v>0</v>
      </c>
      <c r="W175" s="201">
        <v>0</v>
      </c>
      <c r="X175" s="196">
        <f>Prod[[#This Row],[S3Shot]]*Prod[[#This Row],[S3Cavity]]-Prod[[#This Row],[S3Dft]]</f>
        <v>0</v>
      </c>
      <c r="Y175" s="196">
        <f>SUM(Prod[[#This Row],[S3Mold]],Prod[[#This Row],[S3Print]],Prod[[#This Row],[S3Ovlp]],Prod[[#This Row],[S3Seam]],Prod[[#This Row],[S3Dmg]])</f>
        <v>0</v>
      </c>
      <c r="Z175" s="196">
        <f>SUM(Prod[[#This Row],[S1Qty]],Prod[[#This Row],[S2Qty]],Prod[[#This Row],[S3Qty]])</f>
        <v>0</v>
      </c>
      <c r="AA175" s="196">
        <f>SUM(Prod[[#This Row],[S1Dft]],Prod[[#This Row],[S2Dft]],Prod[[#This Row],[S3Dft]])</f>
        <v>0</v>
      </c>
      <c r="AB175" s="203">
        <f>IF(Prod[[#This Row],[Total]]=0,0,Prod[[#This Row],[TotalDft]]/Prod[[#This Row],[Total]])</f>
        <v>0</v>
      </c>
      <c r="AC175" s="204"/>
      <c r="AD175" s="196">
        <v>0</v>
      </c>
      <c r="AE175" s="196">
        <v>0</v>
      </c>
      <c r="AF175" s="196">
        <v>0</v>
      </c>
      <c r="AG175" s="196">
        <v>0</v>
      </c>
      <c r="AH175" s="196">
        <v>0</v>
      </c>
      <c r="AI175" s="196">
        <v>0</v>
      </c>
      <c r="AJ175" s="196">
        <v>0</v>
      </c>
      <c r="AK175" s="196">
        <v>0</v>
      </c>
      <c r="AL175" s="196">
        <v>0</v>
      </c>
      <c r="AM175" s="196">
        <v>0</v>
      </c>
      <c r="AN175" s="196">
        <v>0</v>
      </c>
      <c r="AO175" s="196">
        <v>0</v>
      </c>
      <c r="AP175" s="196">
        <v>0</v>
      </c>
      <c r="AQ175" s="196">
        <v>0</v>
      </c>
      <c r="AR175" s="196">
        <v>0</v>
      </c>
      <c r="AS175" s="205">
        <f>IF(Prod[[#This Row],[S1Hrs]]=0,0,Prod[[#This Row],[S1Shot]]*Prod[[#This Row],[S1Cycle]]/(Prod[[#This Row],[S1Hrs]]*60*60))</f>
        <v>0</v>
      </c>
      <c r="AT175" s="205">
        <f>IF(Prod[[#This Row],[S2Hrs]]=0,0,Prod[[#This Row],[S2Shot]]*Prod[[#This Row],[S2Cycle]]/(Prod[[#This Row],[S2Hrs]]*60*60))</f>
        <v>0</v>
      </c>
      <c r="AU175" s="205">
        <f>IF(Prod[[#This Row],[S3Hrs]]=0,0,Prod[[#This Row],[S3Shot]]*Prod[[#This Row],[S3Cycle]]/(Prod[[#This Row],[S3Hrs]]*60*60))</f>
        <v>0</v>
      </c>
      <c r="AV175" s="205">
        <f>IFERROR(AVERAGEIF(Prod[[#This Row],[S1%]:[S3%]], "&lt;&gt;0"),0)</f>
        <v>0</v>
      </c>
      <c r="AW175" s="205">
        <v>0</v>
      </c>
      <c r="AX175" s="205">
        <v>0</v>
      </c>
      <c r="AY175" s="205">
        <v>0</v>
      </c>
      <c r="AZ175" s="206">
        <f>IF(Prod[[#This Row],[S1Cycle]]&lt;&gt;0,1,0)</f>
        <v>0</v>
      </c>
      <c r="BA175" s="206">
        <f>IF(Prod[[#This Row],[S2Cycle]]&lt;&gt;0,1,0)</f>
        <v>0</v>
      </c>
      <c r="BB175" s="206">
        <f>IF(Prod[[#This Row],[S3Cycle]]&lt;&gt;0,1,0)</f>
        <v>0</v>
      </c>
      <c r="BC175" s="206">
        <f>MAX(Prod[[#This Row],[S1Cavity]],Prod[[#This Row],[S2Cavity]],Prod[[#This Row],[S3Cavity]])</f>
        <v>0</v>
      </c>
      <c r="BD175" s="206" t="b">
        <f>RegExpMatch(Prod[[#This Row],[MoldNo]], "^DEO-(B|C)")</f>
        <v>1</v>
      </c>
      <c r="BE175" s="206" t="b">
        <f>RegExpMatch(Prod[[#This Row],[MoldNo]], "^JAC")</f>
        <v>0</v>
      </c>
    </row>
    <row r="176" spans="1:57" x14ac:dyDescent="0.2">
      <c r="A176" s="195">
        <v>45454</v>
      </c>
      <c r="B176" s="201" t="s">
        <v>174</v>
      </c>
      <c r="C176" s="198" t="s">
        <v>175</v>
      </c>
      <c r="D176" s="197">
        <v>27715</v>
      </c>
      <c r="E176" s="197" t="s">
        <v>199</v>
      </c>
      <c r="F176" s="197">
        <v>814</v>
      </c>
      <c r="G176" s="197" t="str">
        <f>IF(OR(Prod[[#This Row],[S1Hrs]]&gt;0,Prod[[#This Row],[S2Hrs]]&gt;0,Prod[[#This Row],[S3Hrs]]&gt;0),"Running","Down")</f>
        <v>Running</v>
      </c>
      <c r="H176" s="199">
        <v>20.88</v>
      </c>
      <c r="I176" s="200">
        <v>6</v>
      </c>
      <c r="J176" s="196">
        <v>1093</v>
      </c>
      <c r="K176" s="201">
        <v>8</v>
      </c>
      <c r="L176" s="196">
        <f>Prod[[#This Row],[S1Shot]]*Prod[[#This Row],[S1Cavity]]-Prod[[#This Row],[S1Dft]]</f>
        <v>8622</v>
      </c>
      <c r="M176" s="202">
        <f>SUM(Prod[[#This Row],[S1Mold]],Prod[[#This Row],[S1Print]],Prod[[#This Row],[S1Ovlp]],Prod[[#This Row],[S1Seam]],Prod[[#This Row],[S1Dmg]])</f>
        <v>122</v>
      </c>
      <c r="N176" s="199">
        <v>21.88</v>
      </c>
      <c r="O176" s="200">
        <v>8</v>
      </c>
      <c r="P176" s="196">
        <v>1358</v>
      </c>
      <c r="Q176" s="201">
        <v>8</v>
      </c>
      <c r="R176" s="196">
        <f>Prod[[#This Row],[S2Shot]]*Prod[[#This Row],[S2Cavity]]-Prod[[#This Row],[S2Dft]]</f>
        <v>10734</v>
      </c>
      <c r="S176" s="202">
        <f>SUM(Prod[[#This Row],[S2Mold]],Prod[[#This Row],[S2Print]],Prod[[#This Row],[S2Ovlp]],Prod[[#This Row],[S2Seam]],Prod[[#This Row],[S2Dmg]])</f>
        <v>130</v>
      </c>
      <c r="T176" s="199">
        <v>21.98</v>
      </c>
      <c r="U176" s="200">
        <v>8</v>
      </c>
      <c r="V176" s="196">
        <v>1195</v>
      </c>
      <c r="W176" s="201">
        <v>8</v>
      </c>
      <c r="X176" s="196">
        <f>Prod[[#This Row],[S3Shot]]*Prod[[#This Row],[S3Cavity]]-Prod[[#This Row],[S3Dft]]</f>
        <v>9432</v>
      </c>
      <c r="Y176" s="196">
        <f>SUM(Prod[[#This Row],[S3Mold]],Prod[[#This Row],[S3Print]],Prod[[#This Row],[S3Ovlp]],Prod[[#This Row],[S3Seam]],Prod[[#This Row],[S3Dmg]])</f>
        <v>128</v>
      </c>
      <c r="Z176" s="196">
        <f>SUM(Prod[[#This Row],[S1Qty]],Prod[[#This Row],[S2Qty]],Prod[[#This Row],[S3Qty]])</f>
        <v>28788</v>
      </c>
      <c r="AA176" s="196">
        <f>SUM(Prod[[#This Row],[S1Dft]],Prod[[#This Row],[S2Dft]],Prod[[#This Row],[S3Dft]])</f>
        <v>380</v>
      </c>
      <c r="AB176" s="203">
        <f>IF(Prod[[#This Row],[Total]]=0,0,Prod[[#This Row],[TotalDft]]/Prod[[#This Row],[Total]])</f>
        <v>1.3199944421286648E-2</v>
      </c>
      <c r="AC176" s="198" t="s">
        <v>244</v>
      </c>
      <c r="AD176" s="196">
        <v>20</v>
      </c>
      <c r="AE176" s="196">
        <v>20</v>
      </c>
      <c r="AF176" s="196">
        <v>18</v>
      </c>
      <c r="AG176" s="196">
        <v>102</v>
      </c>
      <c r="AH176" s="196">
        <v>110</v>
      </c>
      <c r="AI176" s="196">
        <v>110</v>
      </c>
      <c r="AJ176" s="196">
        <v>0</v>
      </c>
      <c r="AK176" s="196">
        <v>0</v>
      </c>
      <c r="AL176" s="196">
        <v>0</v>
      </c>
      <c r="AM176" s="196">
        <v>0</v>
      </c>
      <c r="AN176" s="196">
        <v>0</v>
      </c>
      <c r="AO176" s="196">
        <v>0</v>
      </c>
      <c r="AP176" s="196">
        <v>0</v>
      </c>
      <c r="AQ176" s="196">
        <v>0</v>
      </c>
      <c r="AR176" s="196">
        <v>0</v>
      </c>
      <c r="AS176" s="205">
        <f>IF(Prod[[#This Row],[S1Hrs]]=0,0,Prod[[#This Row],[S1Shot]]*Prod[[#This Row],[S1Cycle]]/(Prod[[#This Row],[S1Hrs]]*60*60))</f>
        <v>1.0565666666666667</v>
      </c>
      <c r="AT176" s="205">
        <f>IF(Prod[[#This Row],[S2Hrs]]=0,0,Prod[[#This Row],[S2Shot]]*Prod[[#This Row],[S2Cycle]]/(Prod[[#This Row],[S2Hrs]]*60*60))</f>
        <v>1.0317027777777776</v>
      </c>
      <c r="AU176" s="205">
        <f>IF(Prod[[#This Row],[S3Hrs]]=0,0,Prod[[#This Row],[S3Shot]]*Prod[[#This Row],[S3Cycle]]/(Prod[[#This Row],[S3Hrs]]*60*60))</f>
        <v>0.9120173611111112</v>
      </c>
      <c r="AV176" s="205">
        <f>IFERROR(AVERAGEIF(Prod[[#This Row],[S1%]:[S3%]], "&lt;&gt;0"),0)</f>
        <v>1.0000956018518519</v>
      </c>
      <c r="AW176" s="205">
        <v>0</v>
      </c>
      <c r="AX176" s="205">
        <v>0</v>
      </c>
      <c r="AY176" s="205">
        <v>2</v>
      </c>
      <c r="AZ176" s="206">
        <f>IF(Prod[[#This Row],[S1Cycle]]&lt;&gt;0,1,0)</f>
        <v>1</v>
      </c>
      <c r="BA176" s="206">
        <f>IF(Prod[[#This Row],[S2Cycle]]&lt;&gt;0,1,0)</f>
        <v>1</v>
      </c>
      <c r="BB176" s="206">
        <f>IF(Prod[[#This Row],[S3Cycle]]&lt;&gt;0,1,0)</f>
        <v>1</v>
      </c>
      <c r="BC176" s="206">
        <f>MAX(Prod[[#This Row],[S1Cavity]],Prod[[#This Row],[S2Cavity]],Prod[[#This Row],[S3Cavity]])</f>
        <v>8</v>
      </c>
      <c r="BD176" s="206" t="b">
        <f>RegExpMatch(Prod[[#This Row],[MoldNo]], "^DEO-(B|C)")</f>
        <v>1</v>
      </c>
      <c r="BE176" s="206" t="b">
        <f>RegExpMatch(Prod[[#This Row],[MoldNo]], "^JAC")</f>
        <v>0</v>
      </c>
    </row>
    <row r="177" spans="1:57" x14ac:dyDescent="0.2">
      <c r="A177" s="195">
        <v>45454</v>
      </c>
      <c r="B177" s="201" t="s">
        <v>176</v>
      </c>
      <c r="C177" s="198" t="s">
        <v>81</v>
      </c>
      <c r="D177" s="197">
        <v>27715</v>
      </c>
      <c r="E177" s="197" t="s">
        <v>199</v>
      </c>
      <c r="F177" s="197">
        <v>814</v>
      </c>
      <c r="G177" s="197" t="str">
        <f>IF(OR(Prod[[#This Row],[S1Hrs]]&gt;0,Prod[[#This Row],[S2Hrs]]&gt;0,Prod[[#This Row],[S3Hrs]]&gt;0),"Running","Down")</f>
        <v>Running</v>
      </c>
      <c r="H177" s="199">
        <v>21.79</v>
      </c>
      <c r="I177" s="200">
        <v>6</v>
      </c>
      <c r="J177" s="196">
        <v>979</v>
      </c>
      <c r="K177" s="201">
        <v>8</v>
      </c>
      <c r="L177" s="196">
        <f>Prod[[#This Row],[S1Shot]]*Prod[[#This Row],[S1Cavity]]-Prod[[#This Row],[S1Dft]]</f>
        <v>7682</v>
      </c>
      <c r="M177" s="202">
        <f>SUM(Prod[[#This Row],[S1Mold]],Prod[[#This Row],[S1Print]],Prod[[#This Row],[S1Ovlp]],Prod[[#This Row],[S1Seam]],Prod[[#This Row],[S1Dmg]])</f>
        <v>150</v>
      </c>
      <c r="N177" s="199">
        <v>21.89</v>
      </c>
      <c r="O177" s="200">
        <v>8</v>
      </c>
      <c r="P177" s="196">
        <v>1373</v>
      </c>
      <c r="Q177" s="201">
        <v>8</v>
      </c>
      <c r="R177" s="196">
        <f>Prod[[#This Row],[S2Shot]]*Prod[[#This Row],[S2Cavity]]-Prod[[#This Row],[S2Dft]]</f>
        <v>10839</v>
      </c>
      <c r="S177" s="202">
        <f>SUM(Prod[[#This Row],[S2Mold]],Prod[[#This Row],[S2Print]],Prod[[#This Row],[S2Ovlp]],Prod[[#This Row],[S2Seam]],Prod[[#This Row],[S2Dmg]])</f>
        <v>145</v>
      </c>
      <c r="T177" s="199">
        <v>21.89</v>
      </c>
      <c r="U177" s="200">
        <v>8</v>
      </c>
      <c r="V177" s="196">
        <v>1246</v>
      </c>
      <c r="W177" s="201">
        <v>8</v>
      </c>
      <c r="X177" s="196">
        <f>Prod[[#This Row],[S3Shot]]*Prod[[#This Row],[S3Cavity]]-Prod[[#This Row],[S3Dft]]</f>
        <v>9828</v>
      </c>
      <c r="Y177" s="196">
        <f>SUM(Prod[[#This Row],[S3Mold]],Prod[[#This Row],[S3Print]],Prod[[#This Row],[S3Ovlp]],Prod[[#This Row],[S3Seam]],Prod[[#This Row],[S3Dmg]])</f>
        <v>140</v>
      </c>
      <c r="Z177" s="196">
        <f>SUM(Prod[[#This Row],[S1Qty]],Prod[[#This Row],[S2Qty]],Prod[[#This Row],[S3Qty]])</f>
        <v>28349</v>
      </c>
      <c r="AA177" s="196">
        <f>SUM(Prod[[#This Row],[S1Dft]],Prod[[#This Row],[S2Dft]],Prod[[#This Row],[S3Dft]])</f>
        <v>435</v>
      </c>
      <c r="AB177" s="203">
        <f>IF(Prod[[#This Row],[Total]]=0,0,Prod[[#This Row],[TotalDft]]/Prod[[#This Row],[Total]])</f>
        <v>1.5344456594588874E-2</v>
      </c>
      <c r="AC177" s="198" t="s">
        <v>244</v>
      </c>
      <c r="AD177" s="196">
        <v>25</v>
      </c>
      <c r="AE177" s="196">
        <v>25</v>
      </c>
      <c r="AF177" s="196">
        <v>20</v>
      </c>
      <c r="AG177" s="196">
        <v>125</v>
      </c>
      <c r="AH177" s="196">
        <v>120</v>
      </c>
      <c r="AI177" s="196">
        <v>120</v>
      </c>
      <c r="AJ177" s="196">
        <v>0</v>
      </c>
      <c r="AK177" s="196">
        <v>0</v>
      </c>
      <c r="AL177" s="196">
        <v>0</v>
      </c>
      <c r="AM177" s="196">
        <v>0</v>
      </c>
      <c r="AN177" s="196">
        <v>0</v>
      </c>
      <c r="AO177" s="196">
        <v>0</v>
      </c>
      <c r="AP177" s="196">
        <v>0</v>
      </c>
      <c r="AQ177" s="196">
        <v>0</v>
      </c>
      <c r="AR177" s="196">
        <v>0</v>
      </c>
      <c r="AS177" s="205">
        <f>IF(Prod[[#This Row],[S1Hrs]]=0,0,Prod[[#This Row],[S1Shot]]*Prod[[#This Row],[S1Cycle]]/(Prod[[#This Row],[S1Hrs]]*60*60))</f>
        <v>0.98761157407407407</v>
      </c>
      <c r="AT177" s="205">
        <f>IF(Prod[[#This Row],[S2Hrs]]=0,0,Prod[[#This Row],[S2Shot]]*Prod[[#This Row],[S2Cycle]]/(Prod[[#This Row],[S2Hrs]]*60*60))</f>
        <v>1.0435753472222222</v>
      </c>
      <c r="AU177" s="205">
        <f>IF(Prod[[#This Row],[S3Hrs]]=0,0,Prod[[#This Row],[S3Shot]]*Prod[[#This Row],[S3Cycle]]/(Prod[[#This Row],[S3Hrs]]*60*60))</f>
        <v>0.94704652777777787</v>
      </c>
      <c r="AV177" s="205">
        <f>IFERROR(AVERAGEIF(Prod[[#This Row],[S1%]:[S3%]], "&lt;&gt;0"),0)</f>
        <v>0.99274448302469132</v>
      </c>
      <c r="AW177" s="205">
        <v>0</v>
      </c>
      <c r="AX177" s="205">
        <v>0</v>
      </c>
      <c r="AY177" s="205">
        <v>2</v>
      </c>
      <c r="AZ177" s="206">
        <f>IF(Prod[[#This Row],[S1Cycle]]&lt;&gt;0,1,0)</f>
        <v>1</v>
      </c>
      <c r="BA177" s="206">
        <f>IF(Prod[[#This Row],[S2Cycle]]&lt;&gt;0,1,0)</f>
        <v>1</v>
      </c>
      <c r="BB177" s="206">
        <f>IF(Prod[[#This Row],[S3Cycle]]&lt;&gt;0,1,0)</f>
        <v>1</v>
      </c>
      <c r="BC177" s="206">
        <f>MAX(Prod[[#This Row],[S1Cavity]],Prod[[#This Row],[S2Cavity]],Prod[[#This Row],[S3Cavity]])</f>
        <v>8</v>
      </c>
      <c r="BD177" s="206" t="b">
        <f>RegExpMatch(Prod[[#This Row],[MoldNo]], "^DEO-(B|C)")</f>
        <v>1</v>
      </c>
      <c r="BE177" s="206" t="b">
        <f>RegExpMatch(Prod[[#This Row],[MoldNo]], "^JAC")</f>
        <v>0</v>
      </c>
    </row>
    <row r="178" spans="1:57" x14ac:dyDescent="0.2">
      <c r="A178" s="195">
        <v>45454</v>
      </c>
      <c r="B178" s="201" t="s">
        <v>195</v>
      </c>
      <c r="C178" s="197" t="s">
        <v>145</v>
      </c>
      <c r="D178" s="197">
        <v>27761</v>
      </c>
      <c r="E178" s="198" t="s">
        <v>199</v>
      </c>
      <c r="F178" s="197">
        <v>814</v>
      </c>
      <c r="G178" s="197" t="str">
        <f>IF(OR(Prod[[#This Row],[S1Hrs]]&gt;0,Prod[[#This Row],[S2Hrs]]&gt;0,Prod[[#This Row],[S3Hrs]]&gt;0),"Running","Down")</f>
        <v>Running</v>
      </c>
      <c r="H178" s="199">
        <v>13.44</v>
      </c>
      <c r="I178" s="200">
        <v>8</v>
      </c>
      <c r="J178" s="196">
        <v>2146</v>
      </c>
      <c r="K178" s="201">
        <v>16</v>
      </c>
      <c r="L178" s="196">
        <f>Prod[[#This Row],[S1Shot]]*Prod[[#This Row],[S1Cavity]]-Prod[[#This Row],[S1Dft]]</f>
        <v>34336</v>
      </c>
      <c r="M178" s="207"/>
      <c r="N178" s="199">
        <v>13.44</v>
      </c>
      <c r="O178" s="200">
        <v>8</v>
      </c>
      <c r="P178" s="196">
        <v>2252</v>
      </c>
      <c r="Q178" s="201">
        <v>16</v>
      </c>
      <c r="R178" s="196">
        <f>Prod[[#This Row],[S2Shot]]*Prod[[#This Row],[S2Cavity]]-Prod[[#This Row],[S2Dft]]</f>
        <v>36032</v>
      </c>
      <c r="S178" s="207"/>
      <c r="T178" s="199">
        <v>13.43</v>
      </c>
      <c r="U178" s="200">
        <v>8</v>
      </c>
      <c r="V178" s="196">
        <v>2013</v>
      </c>
      <c r="W178" s="201">
        <v>16</v>
      </c>
      <c r="X178" s="196">
        <f>Prod[[#This Row],[S3Shot]]*Prod[[#This Row],[S3Cavity]]-Prod[[#This Row],[S3Dft]]</f>
        <v>32208</v>
      </c>
      <c r="Y178" s="207"/>
      <c r="Z178" s="196">
        <f>SUM(Prod[[#This Row],[S1Qty]],Prod[[#This Row],[S2Qty]],Prod[[#This Row],[S3Qty]])</f>
        <v>102576</v>
      </c>
      <c r="AA178" s="207"/>
      <c r="AB178" s="208"/>
      <c r="AC178" s="204"/>
      <c r="AD178" s="207"/>
      <c r="AE178" s="207"/>
      <c r="AF178" s="207"/>
      <c r="AG178" s="207"/>
      <c r="AH178" s="207"/>
      <c r="AI178" s="207"/>
      <c r="AJ178" s="207"/>
      <c r="AK178" s="207"/>
      <c r="AL178" s="207"/>
      <c r="AM178" s="207"/>
      <c r="AN178" s="207"/>
      <c r="AO178" s="207"/>
      <c r="AP178" s="207"/>
      <c r="AQ178" s="207"/>
      <c r="AR178" s="207"/>
      <c r="AS178" s="205">
        <f>IF(Prod[[#This Row],[S1Hrs]]=0,0,Prod[[#This Row],[S1Shot]]*Prod[[#This Row],[S1Cycle]]/(Prod[[#This Row],[S1Hrs]]*60*60))</f>
        <v>1.0014666666666665</v>
      </c>
      <c r="AT178" s="205">
        <f>IF(Prod[[#This Row],[S2Hrs]]=0,0,Prod[[#This Row],[S2Shot]]*Prod[[#This Row],[S2Cycle]]/(Prod[[#This Row],[S2Hrs]]*60*60))</f>
        <v>1.0509333333333333</v>
      </c>
      <c r="AU178" s="205">
        <f>IF(Prod[[#This Row],[S3Hrs]]=0,0,Prod[[#This Row],[S3Shot]]*Prod[[#This Row],[S3Cycle]]/(Prod[[#This Row],[S3Hrs]]*60*60))</f>
        <v>0.93870104166666668</v>
      </c>
      <c r="AV178" s="205">
        <f>IFERROR(AVERAGEIF(Prod[[#This Row],[S1%]:[S3%]], "&lt;&gt;0"),0)</f>
        <v>0.99703368055555541</v>
      </c>
      <c r="AW178" s="205">
        <v>0</v>
      </c>
      <c r="AX178" s="205">
        <v>0</v>
      </c>
      <c r="AY178" s="205">
        <v>0</v>
      </c>
      <c r="AZ178" s="206">
        <f>IF(Prod[[#This Row],[S1Cycle]]&lt;&gt;0,1,0)</f>
        <v>1</v>
      </c>
      <c r="BA178" s="206">
        <f>IF(Prod[[#This Row],[S2Cycle]]&lt;&gt;0,1,0)</f>
        <v>1</v>
      </c>
      <c r="BB178" s="206">
        <f>IF(Prod[[#This Row],[S3Cycle]]&lt;&gt;0,1,0)</f>
        <v>1</v>
      </c>
      <c r="BC178" s="206">
        <f>MAX(Prod[[#This Row],[S1Cavity]],Prod[[#This Row],[S2Cavity]],Prod[[#This Row],[S3Cavity]])</f>
        <v>16</v>
      </c>
      <c r="BD178" s="206" t="b">
        <f>RegExpMatch(Prod[[#This Row],[MoldNo]], "^DEO-(B|C)")</f>
        <v>0</v>
      </c>
      <c r="BE178" s="206" t="b">
        <f>RegExpMatch(Prod[[#This Row],[MoldNo]], "^JAC")</f>
        <v>0</v>
      </c>
    </row>
    <row r="179" spans="1:57" x14ac:dyDescent="0.2">
      <c r="A179" s="117">
        <v>45455</v>
      </c>
      <c r="B179" s="120" t="s">
        <v>190</v>
      </c>
      <c r="C179" s="119" t="s">
        <v>153</v>
      </c>
      <c r="D179" s="119">
        <v>27647</v>
      </c>
      <c r="E179" s="131" t="s">
        <v>199</v>
      </c>
      <c r="F179" s="119">
        <v>6331</v>
      </c>
      <c r="G179" s="119" t="str">
        <f>IF(OR(Prod[[#This Row],[S1Hrs]]&gt;0,Prod[[#This Row],[S2Hrs]]&gt;0,Prod[[#This Row],[S3Hrs]]&gt;0),"Running","Down")</f>
        <v>Running</v>
      </c>
      <c r="H179" s="194">
        <v>22.69</v>
      </c>
      <c r="I179" s="185">
        <v>8</v>
      </c>
      <c r="J179" s="130">
        <v>1226</v>
      </c>
      <c r="K179" s="130">
        <v>4</v>
      </c>
      <c r="L179" s="120">
        <f>Prod[[#This Row],[S1Shot]]*Prod[[#This Row],[S1Cavity]]-Prod[[#This Row],[S1Dft]]</f>
        <v>4897</v>
      </c>
      <c r="M179" s="136">
        <f>SUM(Prod[[#This Row],[S1Mold]],Prod[[#This Row],[S1Print]],Prod[[#This Row],[S1Ovlp]],Prod[[#This Row],[S1Seam]],Prod[[#This Row],[S1Dmg]])</f>
        <v>7</v>
      </c>
      <c r="N179" s="194">
        <v>22.69</v>
      </c>
      <c r="O179" s="185">
        <v>8</v>
      </c>
      <c r="P179" s="130">
        <v>1296</v>
      </c>
      <c r="Q179" s="130">
        <v>4</v>
      </c>
      <c r="R179" s="120">
        <f>Prod[[#This Row],[S2Shot]]*Prod[[#This Row],[S2Cavity]]-Prod[[#This Row],[S2Dft]]</f>
        <v>5178</v>
      </c>
      <c r="S179" s="136">
        <f>SUM(Prod[[#This Row],[S2Mold]],Prod[[#This Row],[S2Print]],Prod[[#This Row],[S2Ovlp]],Prod[[#This Row],[S2Seam]],Prod[[#This Row],[S2Dmg]])</f>
        <v>6</v>
      </c>
      <c r="T179" s="194">
        <v>22.69</v>
      </c>
      <c r="U179" s="185">
        <v>8</v>
      </c>
      <c r="V179" s="130">
        <v>1270</v>
      </c>
      <c r="W179" s="130">
        <v>4</v>
      </c>
      <c r="X179" s="120">
        <f>Prod[[#This Row],[S3Shot]]*Prod[[#This Row],[S3Cavity]]-Prod[[#This Row],[S3Dft]]</f>
        <v>5075</v>
      </c>
      <c r="Y179" s="120">
        <f>SUM(Prod[[#This Row],[S3Mold]],Prod[[#This Row],[S3Print]],Prod[[#This Row],[S3Ovlp]],Prod[[#This Row],[S3Seam]],Prod[[#This Row],[S3Dmg]])</f>
        <v>5</v>
      </c>
      <c r="Z179" s="120">
        <f>SUM(Prod[[#This Row],[S1Qty]],Prod[[#This Row],[S2Qty]],Prod[[#This Row],[S3Qty]])</f>
        <v>15150</v>
      </c>
      <c r="AA179" s="120">
        <f>SUM(Prod[[#This Row],[S1Dft]],Prod[[#This Row],[S2Dft]],Prod[[#This Row],[S3Dft]])</f>
        <v>18</v>
      </c>
      <c r="AB179" s="121">
        <f>IF(Prod[[#This Row],[Total]]=0,0,Prod[[#This Row],[TotalDft]]/Prod[[#This Row],[Total]])</f>
        <v>1.1881188118811881E-3</v>
      </c>
      <c r="AC179" s="118"/>
      <c r="AD179" s="120">
        <v>7</v>
      </c>
      <c r="AE179" s="120">
        <v>6</v>
      </c>
      <c r="AF179" s="120">
        <v>5</v>
      </c>
      <c r="AG179" s="120">
        <v>0</v>
      </c>
      <c r="AH179" s="120">
        <v>0</v>
      </c>
      <c r="AI179" s="120">
        <v>0</v>
      </c>
      <c r="AJ179" s="120">
        <v>0</v>
      </c>
      <c r="AK179" s="120">
        <v>0</v>
      </c>
      <c r="AL179" s="120">
        <v>0</v>
      </c>
      <c r="AM179" s="120">
        <v>0</v>
      </c>
      <c r="AN179" s="120">
        <v>0</v>
      </c>
      <c r="AO179" s="120">
        <v>0</v>
      </c>
      <c r="AP179" s="120">
        <v>0</v>
      </c>
      <c r="AQ179" s="120">
        <v>0</v>
      </c>
      <c r="AR179" s="120">
        <v>0</v>
      </c>
      <c r="AS179" s="132">
        <f>IF(Prod[[#This Row],[S1Hrs]]=0,0,Prod[[#This Row],[S1Shot]]*Prod[[#This Row],[S1Cycle]]/(Prod[[#This Row],[S1Hrs]]*60*60))</f>
        <v>0.96590069444444449</v>
      </c>
      <c r="AT179" s="132">
        <f>IF(Prod[[#This Row],[S2Hrs]]=0,0,Prod[[#This Row],[S2Shot]]*Prod[[#This Row],[S2Cycle]]/(Prod[[#This Row],[S2Hrs]]*60*60))</f>
        <v>1.02105</v>
      </c>
      <c r="AU179" s="132">
        <f>IF(Prod[[#This Row],[S3Hrs]]=0,0,Prod[[#This Row],[S3Shot]]*Prod[[#This Row],[S3Cycle]]/(Prod[[#This Row],[S3Hrs]]*60*60))</f>
        <v>1.0005659722222224</v>
      </c>
      <c r="AV179" s="132">
        <f>IFERROR(AVERAGEIF(Prod[[#This Row],[S1%]:[S3%]], "&lt;&gt;0"),0)</f>
        <v>0.99583888888888905</v>
      </c>
      <c r="AW179" s="132">
        <v>0</v>
      </c>
      <c r="AX179" s="132">
        <v>0</v>
      </c>
      <c r="AY179" s="132">
        <v>0</v>
      </c>
      <c r="AZ179" s="175">
        <f>IF(Prod[[#This Row],[S1Cycle]]&lt;&gt;0,1,0)</f>
        <v>1</v>
      </c>
      <c r="BA179" s="175">
        <f>IF(Prod[[#This Row],[S2Cycle]]&lt;&gt;0,1,0)</f>
        <v>1</v>
      </c>
      <c r="BB179" s="175">
        <f>IF(Prod[[#This Row],[S3Cycle]]&lt;&gt;0,1,0)</f>
        <v>1</v>
      </c>
      <c r="BC179" s="175">
        <f>MAX(Prod[[#This Row],[S1Cavity]],Prod[[#This Row],[S2Cavity]],Prod[[#This Row],[S3Cavity]])</f>
        <v>4</v>
      </c>
      <c r="BD179" s="175" t="b">
        <f>RegExpMatch(Prod[[#This Row],[MoldNo]], "^DEO-(B|C)")</f>
        <v>0</v>
      </c>
      <c r="BE179" s="175" t="b">
        <f>RegExpMatch(Prod[[#This Row],[MoldNo]], "^JAC")</f>
        <v>1</v>
      </c>
    </row>
    <row r="180" spans="1:57" x14ac:dyDescent="0.2">
      <c r="A180" s="117">
        <v>45455</v>
      </c>
      <c r="B180" s="130" t="s">
        <v>6</v>
      </c>
      <c r="C180" s="131" t="s">
        <v>8</v>
      </c>
      <c r="D180" s="119">
        <v>27760</v>
      </c>
      <c r="E180" s="131" t="s">
        <v>235</v>
      </c>
      <c r="F180" s="119">
        <v>814</v>
      </c>
      <c r="G180" s="119" t="str">
        <f>IF(OR(Prod[[#This Row],[S1Hrs]]&gt;0,Prod[[#This Row],[S2Hrs]]&gt;0,Prod[[#This Row],[S3Hrs]]&gt;0),"Running","Down")</f>
        <v>Running</v>
      </c>
      <c r="H180" s="194">
        <v>21.8</v>
      </c>
      <c r="I180" s="185">
        <v>6</v>
      </c>
      <c r="J180" s="130">
        <v>1062</v>
      </c>
      <c r="K180" s="130">
        <v>8</v>
      </c>
      <c r="L180" s="120">
        <f>Prod[[#This Row],[S1Shot]]*Prod[[#This Row],[S1Cavity]]-Prod[[#This Row],[S1Dft]]</f>
        <v>8476</v>
      </c>
      <c r="M180" s="136">
        <f>SUM(Prod[[#This Row],[S1Mold]],Prod[[#This Row],[S1Print]],Prod[[#This Row],[S1Ovlp]],Prod[[#This Row],[S1Seam]],Prod[[#This Row],[S1Dmg]])</f>
        <v>20</v>
      </c>
      <c r="N180" s="194">
        <v>21.9</v>
      </c>
      <c r="O180" s="185">
        <v>3.5</v>
      </c>
      <c r="P180" s="130">
        <v>921</v>
      </c>
      <c r="Q180" s="130">
        <v>8</v>
      </c>
      <c r="R180" s="120">
        <f>Prod[[#This Row],[S2Shot]]*Prod[[#This Row],[S2Cavity]]-Prod[[#This Row],[S2Dft]]</f>
        <v>7353</v>
      </c>
      <c r="S180" s="136">
        <f>SUM(Prod[[#This Row],[S2Mold]],Prod[[#This Row],[S2Print]],Prod[[#This Row],[S2Ovlp]],Prod[[#This Row],[S2Seam]],Prod[[#This Row],[S2Dmg]])</f>
        <v>15</v>
      </c>
      <c r="T180" s="194">
        <v>0</v>
      </c>
      <c r="U180" s="185">
        <v>0</v>
      </c>
      <c r="V180" s="130">
        <v>0</v>
      </c>
      <c r="W180" s="130">
        <v>0</v>
      </c>
      <c r="X180" s="120">
        <f>Prod[[#This Row],[S3Shot]]*Prod[[#This Row],[S3Cavity]]-Prod[[#This Row],[S3Dft]]</f>
        <v>0</v>
      </c>
      <c r="Y180" s="120">
        <f>SUM(Prod[[#This Row],[S3Mold]],Prod[[#This Row],[S3Print]],Prod[[#This Row],[S3Ovlp]],Prod[[#This Row],[S3Seam]],Prod[[#This Row],[S3Dmg]])</f>
        <v>0</v>
      </c>
      <c r="Z180" s="120">
        <f>SUM(Prod[[#This Row],[S1Qty]],Prod[[#This Row],[S2Qty]],Prod[[#This Row],[S3Qty]])</f>
        <v>15829</v>
      </c>
      <c r="AA180" s="120">
        <f>SUM(Prod[[#This Row],[S1Dft]],Prod[[#This Row],[S2Dft]],Prod[[#This Row],[S3Dft]])</f>
        <v>35</v>
      </c>
      <c r="AB180" s="121">
        <f>IF(Prod[[#This Row],[Total]]=0,0,Prod[[#This Row],[TotalDft]]/Prod[[#This Row],[Total]])</f>
        <v>2.2111314675595426E-3</v>
      </c>
      <c r="AC180" s="131"/>
      <c r="AD180" s="120">
        <v>10</v>
      </c>
      <c r="AE180" s="120">
        <v>5</v>
      </c>
      <c r="AF180" s="120">
        <v>0</v>
      </c>
      <c r="AG180" s="120">
        <v>10</v>
      </c>
      <c r="AH180" s="120">
        <v>10</v>
      </c>
      <c r="AI180" s="120">
        <v>0</v>
      </c>
      <c r="AJ180" s="120">
        <v>0</v>
      </c>
      <c r="AK180" s="120">
        <v>0</v>
      </c>
      <c r="AL180" s="120">
        <v>0</v>
      </c>
      <c r="AM180" s="120">
        <v>0</v>
      </c>
      <c r="AN180" s="120">
        <v>0</v>
      </c>
      <c r="AO180" s="120">
        <v>0</v>
      </c>
      <c r="AP180" s="120">
        <v>0</v>
      </c>
      <c r="AQ180" s="120">
        <v>0</v>
      </c>
      <c r="AR180" s="120">
        <v>0</v>
      </c>
      <c r="AS180" s="132">
        <f>IF(Prod[[#This Row],[S1Hrs]]=0,0,Prod[[#This Row],[S1Shot]]*Prod[[#This Row],[S1Cycle]]/(Prod[[#This Row],[S1Hrs]]*60*60))</f>
        <v>1.0718333333333334</v>
      </c>
      <c r="AT180" s="132">
        <f>IF(Prod[[#This Row],[S2Hrs]]=0,0,Prod[[#This Row],[S2Shot]]*Prod[[#This Row],[S2Cycle]]/(Prod[[#This Row],[S2Hrs]]*60*60))</f>
        <v>1.600785714285714</v>
      </c>
      <c r="AU180" s="132">
        <f>IF(Prod[[#This Row],[S3Hrs]]=0,0,Prod[[#This Row],[S3Shot]]*Prod[[#This Row],[S3Cycle]]/(Prod[[#This Row],[S3Hrs]]*60*60))</f>
        <v>0</v>
      </c>
      <c r="AV180" s="132">
        <f>IFERROR(AVERAGEIF(Prod[[#This Row],[S1%]:[S3%]], "&lt;&gt;0"),0)</f>
        <v>1.3363095238095237</v>
      </c>
      <c r="AW180" s="132">
        <v>0</v>
      </c>
      <c r="AX180" s="132">
        <v>0</v>
      </c>
      <c r="AY180" s="132">
        <v>0</v>
      </c>
      <c r="AZ180" s="175">
        <f>IF(Prod[[#This Row],[S1Cycle]]&lt;&gt;0,1,0)</f>
        <v>1</v>
      </c>
      <c r="BA180" s="175">
        <f>IF(Prod[[#This Row],[S2Cycle]]&lt;&gt;0,1,0)</f>
        <v>1</v>
      </c>
      <c r="BB180" s="175">
        <f>IF(Prod[[#This Row],[S3Cycle]]&lt;&gt;0,1,0)</f>
        <v>0</v>
      </c>
      <c r="BC180" s="175">
        <f>MAX(Prod[[#This Row],[S1Cavity]],Prod[[#This Row],[S2Cavity]],Prod[[#This Row],[S3Cavity]])</f>
        <v>8</v>
      </c>
      <c r="BD180" s="175" t="b">
        <f>RegExpMatch(Prod[[#This Row],[MoldNo]], "^DEO-(B|C)")</f>
        <v>1</v>
      </c>
      <c r="BE180" s="175" t="b">
        <f>RegExpMatch(Prod[[#This Row],[MoldNo]], "^JAC")</f>
        <v>0</v>
      </c>
    </row>
    <row r="181" spans="1:57" x14ac:dyDescent="0.2">
      <c r="A181" s="117">
        <v>45455</v>
      </c>
      <c r="B181" s="120" t="s">
        <v>7</v>
      </c>
      <c r="C181" s="119" t="s">
        <v>172</v>
      </c>
      <c r="D181" s="119">
        <v>27692</v>
      </c>
      <c r="E181" s="131" t="s">
        <v>239</v>
      </c>
      <c r="F181" s="119">
        <v>6331</v>
      </c>
      <c r="G181" s="119" t="str">
        <f>IF(OR(Prod[[#This Row],[S1Hrs]]&gt;0,Prod[[#This Row],[S2Hrs]]&gt;0,Prod[[#This Row],[S3Hrs]]&gt;0),"Running","Down")</f>
        <v>Running</v>
      </c>
      <c r="H181" s="194">
        <v>20.8</v>
      </c>
      <c r="I181" s="185">
        <v>8</v>
      </c>
      <c r="J181" s="130">
        <v>1401</v>
      </c>
      <c r="K181" s="130">
        <v>8</v>
      </c>
      <c r="L181" s="120">
        <f>Prod[[#This Row],[S1Shot]]*Prod[[#This Row],[S1Cavity]]-Prod[[#This Row],[S1Dft]]</f>
        <v>11068</v>
      </c>
      <c r="M181" s="136">
        <f>SUM(Prod[[#This Row],[S1Mold]],Prod[[#This Row],[S1Print]],Prod[[#This Row],[S1Ovlp]],Prod[[#This Row],[S1Seam]],Prod[[#This Row],[S1Dmg]])</f>
        <v>140</v>
      </c>
      <c r="N181" s="194">
        <v>20.8</v>
      </c>
      <c r="O181" s="185">
        <v>8</v>
      </c>
      <c r="P181" s="130">
        <v>1538</v>
      </c>
      <c r="Q181" s="130">
        <v>8</v>
      </c>
      <c r="R181" s="120">
        <f>Prod[[#This Row],[S2Shot]]*Prod[[#This Row],[S2Cavity]]-Prod[[#This Row],[S2Dft]]</f>
        <v>12169</v>
      </c>
      <c r="S181" s="136">
        <f>SUM(Prod[[#This Row],[S2Mold]],Prod[[#This Row],[S2Print]],Prod[[#This Row],[S2Ovlp]],Prod[[#This Row],[S2Seam]],Prod[[#This Row],[S2Dmg]])</f>
        <v>135</v>
      </c>
      <c r="T181" s="194">
        <v>20.84</v>
      </c>
      <c r="U181" s="185">
        <v>5.5</v>
      </c>
      <c r="V181" s="130">
        <v>772</v>
      </c>
      <c r="W181" s="130">
        <v>8</v>
      </c>
      <c r="X181" s="120">
        <f>Prod[[#This Row],[S3Shot]]*Prod[[#This Row],[S3Cavity]]-Prod[[#This Row],[S3Dft]]</f>
        <v>6101</v>
      </c>
      <c r="Y181" s="120">
        <f>SUM(Prod[[#This Row],[S3Mold]],Prod[[#This Row],[S3Print]],Prod[[#This Row],[S3Ovlp]],Prod[[#This Row],[S3Seam]],Prod[[#This Row],[S3Dmg]])</f>
        <v>75</v>
      </c>
      <c r="Z181" s="120">
        <f>SUM(Prod[[#This Row],[S1Qty]],Prod[[#This Row],[S2Qty]],Prod[[#This Row],[S3Qty]])</f>
        <v>29338</v>
      </c>
      <c r="AA181" s="120">
        <f>SUM(Prod[[#This Row],[S1Dft]],Prod[[#This Row],[S2Dft]],Prod[[#This Row],[S3Dft]])</f>
        <v>350</v>
      </c>
      <c r="AB181" s="121">
        <f>IF(Prod[[#This Row],[Total]]=0,0,Prod[[#This Row],[TotalDft]]/Prod[[#This Row],[Total]])</f>
        <v>1.1929920239961825E-2</v>
      </c>
      <c r="AC181" s="131"/>
      <c r="AD181" s="120">
        <v>20</v>
      </c>
      <c r="AE181" s="120">
        <v>25</v>
      </c>
      <c r="AF181" s="120">
        <v>15</v>
      </c>
      <c r="AG181" s="120">
        <v>120</v>
      </c>
      <c r="AH181" s="120">
        <v>110</v>
      </c>
      <c r="AI181" s="120">
        <v>60</v>
      </c>
      <c r="AJ181" s="120">
        <v>0</v>
      </c>
      <c r="AK181" s="120">
        <v>0</v>
      </c>
      <c r="AL181" s="120">
        <v>0</v>
      </c>
      <c r="AM181" s="120">
        <v>0</v>
      </c>
      <c r="AN181" s="120">
        <v>0</v>
      </c>
      <c r="AO181" s="120">
        <v>0</v>
      </c>
      <c r="AP181" s="120">
        <v>0</v>
      </c>
      <c r="AQ181" s="120">
        <v>0</v>
      </c>
      <c r="AR181" s="120">
        <v>0</v>
      </c>
      <c r="AS181" s="132">
        <f>IF(Prod[[#This Row],[S1Hrs]]=0,0,Prod[[#This Row],[S1Shot]]*Prod[[#This Row],[S1Cycle]]/(Prod[[#This Row],[S1Hrs]]*60*60))</f>
        <v>1.0118333333333334</v>
      </c>
      <c r="AT181" s="132">
        <f>IF(Prod[[#This Row],[S2Hrs]]=0,0,Prod[[#This Row],[S2Shot]]*Prod[[#This Row],[S2Cycle]]/(Prod[[#This Row],[S2Hrs]]*60*60))</f>
        <v>1.1107777777777779</v>
      </c>
      <c r="AU181" s="132">
        <f>IF(Prod[[#This Row],[S3Hrs]]=0,0,Prod[[#This Row],[S3Shot]]*Prod[[#This Row],[S3Cycle]]/(Prod[[#This Row],[S3Hrs]]*60*60))</f>
        <v>0.81254949494949491</v>
      </c>
      <c r="AV181" s="132">
        <f>IFERROR(AVERAGEIF(Prod[[#This Row],[S1%]:[S3%]], "&lt;&gt;0"),0)</f>
        <v>0.97838686868686875</v>
      </c>
      <c r="AW181" s="132">
        <v>0</v>
      </c>
      <c r="AX181" s="132">
        <v>0</v>
      </c>
      <c r="AY181" s="132">
        <v>0</v>
      </c>
      <c r="AZ181" s="175">
        <f>IF(Prod[[#This Row],[S1Cycle]]&lt;&gt;0,1,0)</f>
        <v>1</v>
      </c>
      <c r="BA181" s="175">
        <f>IF(Prod[[#This Row],[S2Cycle]]&lt;&gt;0,1,0)</f>
        <v>1</v>
      </c>
      <c r="BB181" s="175">
        <f>IF(Prod[[#This Row],[S3Cycle]]&lt;&gt;0,1,0)</f>
        <v>1</v>
      </c>
      <c r="BC181" s="175">
        <f>MAX(Prod[[#This Row],[S1Cavity]],Prod[[#This Row],[S2Cavity]],Prod[[#This Row],[S3Cavity]])</f>
        <v>8</v>
      </c>
      <c r="BD181" s="175" t="b">
        <f>RegExpMatch(Prod[[#This Row],[MoldNo]], "^DEO-(B|C)")</f>
        <v>1</v>
      </c>
      <c r="BE181" s="175" t="b">
        <f>RegExpMatch(Prod[[#This Row],[MoldNo]], "^JAC")</f>
        <v>0</v>
      </c>
    </row>
    <row r="182" spans="1:57" x14ac:dyDescent="0.2">
      <c r="A182" s="117">
        <v>45455</v>
      </c>
      <c r="B182" s="120" t="s">
        <v>7</v>
      </c>
      <c r="C182" s="119" t="s">
        <v>172</v>
      </c>
      <c r="D182" s="119">
        <v>27651</v>
      </c>
      <c r="E182" s="131" t="s">
        <v>239</v>
      </c>
      <c r="F182" s="119">
        <v>6331</v>
      </c>
      <c r="G182" s="119" t="str">
        <f>IF(OR(Prod[[#This Row],[S1Hrs]]&gt;0,Prod[[#This Row],[S2Hrs]]&gt;0,Prod[[#This Row],[S3Hrs]]&gt;0),"Running","Down")</f>
        <v>Running</v>
      </c>
      <c r="H182" s="194">
        <v>0</v>
      </c>
      <c r="I182" s="185">
        <v>0</v>
      </c>
      <c r="J182" s="130">
        <v>0</v>
      </c>
      <c r="K182" s="130">
        <v>0</v>
      </c>
      <c r="L182" s="120">
        <f>Prod[[#This Row],[S1Shot]]*Prod[[#This Row],[S1Cavity]]-Prod[[#This Row],[S1Dft]]</f>
        <v>0</v>
      </c>
      <c r="M182" s="136">
        <f>SUM(Prod[[#This Row],[S1Mold]],Prod[[#This Row],[S1Print]],Prod[[#This Row],[S1Ovlp]],Prod[[#This Row],[S1Seam]],Prod[[#This Row],[S1Dmg]])</f>
        <v>0</v>
      </c>
      <c r="N182" s="194">
        <v>0</v>
      </c>
      <c r="O182" s="185">
        <v>0</v>
      </c>
      <c r="P182" s="130">
        <v>0</v>
      </c>
      <c r="Q182" s="130">
        <v>0</v>
      </c>
      <c r="R182" s="120">
        <f>Prod[[#This Row],[S2Shot]]*Prod[[#This Row],[S2Cavity]]-Prod[[#This Row],[S2Dft]]</f>
        <v>0</v>
      </c>
      <c r="S182" s="136">
        <f>SUM(Prod[[#This Row],[S2Mold]],Prod[[#This Row],[S2Print]],Prod[[#This Row],[S2Ovlp]],Prod[[#This Row],[S2Seam]],Prod[[#This Row],[S2Dmg]])</f>
        <v>0</v>
      </c>
      <c r="T182" s="194">
        <v>20.84</v>
      </c>
      <c r="U182" s="185">
        <v>2.5</v>
      </c>
      <c r="V182" s="130">
        <v>306</v>
      </c>
      <c r="W182" s="130">
        <v>8</v>
      </c>
      <c r="X182" s="120">
        <f>Prod[[#This Row],[S3Shot]]*Prod[[#This Row],[S3Cavity]]-Prod[[#This Row],[S3Dft]]</f>
        <v>2403</v>
      </c>
      <c r="Y182" s="120">
        <f>SUM(Prod[[#This Row],[S3Mold]],Prod[[#This Row],[S3Print]],Prod[[#This Row],[S3Ovlp]],Prod[[#This Row],[S3Seam]],Prod[[#This Row],[S3Dmg]])</f>
        <v>45</v>
      </c>
      <c r="Z182" s="120">
        <f>SUM(Prod[[#This Row],[S1Qty]],Prod[[#This Row],[S2Qty]],Prod[[#This Row],[S3Qty]])</f>
        <v>2403</v>
      </c>
      <c r="AA182" s="120">
        <f>SUM(Prod[[#This Row],[S1Dft]],Prod[[#This Row],[S2Dft]],Prod[[#This Row],[S3Dft]])</f>
        <v>45</v>
      </c>
      <c r="AB182" s="121">
        <f>IF(Prod[[#This Row],[Total]]=0,0,Prod[[#This Row],[TotalDft]]/Prod[[#This Row],[Total]])</f>
        <v>1.8726591760299626E-2</v>
      </c>
      <c r="AC182" s="131" t="s">
        <v>245</v>
      </c>
      <c r="AD182" s="120">
        <v>0</v>
      </c>
      <c r="AE182" s="120">
        <v>0</v>
      </c>
      <c r="AF182" s="120">
        <v>5</v>
      </c>
      <c r="AG182" s="120">
        <v>0</v>
      </c>
      <c r="AH182" s="120">
        <v>0</v>
      </c>
      <c r="AI182" s="120">
        <v>40</v>
      </c>
      <c r="AJ182" s="120">
        <v>0</v>
      </c>
      <c r="AK182" s="120">
        <v>0</v>
      </c>
      <c r="AL182" s="120">
        <v>0</v>
      </c>
      <c r="AM182" s="120">
        <v>0</v>
      </c>
      <c r="AN182" s="120">
        <v>0</v>
      </c>
      <c r="AO182" s="120">
        <v>0</v>
      </c>
      <c r="AP182" s="120">
        <v>0</v>
      </c>
      <c r="AQ182" s="120">
        <v>0</v>
      </c>
      <c r="AR182" s="120">
        <v>0</v>
      </c>
      <c r="AS182" s="132">
        <f>IF(Prod[[#This Row],[S1Hrs]]=0,0,Prod[[#This Row],[S1Shot]]*Prod[[#This Row],[S1Cycle]]/(Prod[[#This Row],[S1Hrs]]*60*60))</f>
        <v>0</v>
      </c>
      <c r="AT182" s="132">
        <f>IF(Prod[[#This Row],[S2Hrs]]=0,0,Prod[[#This Row],[S2Shot]]*Prod[[#This Row],[S2Cycle]]/(Prod[[#This Row],[S2Hrs]]*60*60))</f>
        <v>0</v>
      </c>
      <c r="AU182" s="132">
        <f>IF(Prod[[#This Row],[S3Hrs]]=0,0,Prod[[#This Row],[S3Shot]]*Prod[[#This Row],[S3Cycle]]/(Prod[[#This Row],[S3Hrs]]*60*60))</f>
        <v>0.70855999999999997</v>
      </c>
      <c r="AV182" s="132">
        <f>IFERROR(AVERAGEIF(Prod[[#This Row],[S1%]:[S3%]], "&lt;&gt;0"),0)</f>
        <v>0.70855999999999997</v>
      </c>
      <c r="AW182" s="132">
        <v>0</v>
      </c>
      <c r="AX182" s="132">
        <v>0</v>
      </c>
      <c r="AY182" s="132">
        <v>0</v>
      </c>
      <c r="AZ182" s="175">
        <f>IF(Prod[[#This Row],[S1Cycle]]&lt;&gt;0,1,0)</f>
        <v>0</v>
      </c>
      <c r="BA182" s="175">
        <f>IF(Prod[[#This Row],[S2Cycle]]&lt;&gt;0,1,0)</f>
        <v>0</v>
      </c>
      <c r="BB182" s="175">
        <f>IF(Prod[[#This Row],[S3Cycle]]&lt;&gt;0,1,0)</f>
        <v>1</v>
      </c>
      <c r="BC182" s="175">
        <f>MAX(Prod[[#This Row],[S1Cavity]],Prod[[#This Row],[S2Cavity]],Prod[[#This Row],[S3Cavity]])</f>
        <v>8</v>
      </c>
      <c r="BD182" s="175" t="b">
        <f>RegExpMatch(Prod[[#This Row],[MoldNo]], "^DEO-(B|C)")</f>
        <v>1</v>
      </c>
      <c r="BE182" s="175" t="b">
        <f>RegExpMatch(Prod[[#This Row],[MoldNo]], "^JAC")</f>
        <v>0</v>
      </c>
    </row>
    <row r="183" spans="1:57" x14ac:dyDescent="0.2">
      <c r="A183" s="117">
        <v>45455</v>
      </c>
      <c r="B183" s="120" t="s">
        <v>85</v>
      </c>
      <c r="C183" s="119" t="s">
        <v>165</v>
      </c>
      <c r="D183" s="119">
        <v>27430</v>
      </c>
      <c r="E183" s="131" t="s">
        <v>199</v>
      </c>
      <c r="F183" s="119">
        <v>6331</v>
      </c>
      <c r="G183" s="119" t="str">
        <f>IF(OR(Prod[[#This Row],[S1Hrs]]&gt;0,Prod[[#This Row],[S2Hrs]]&gt;0,Prod[[#This Row],[S3Hrs]]&gt;0),"Running","Down")</f>
        <v>Running</v>
      </c>
      <c r="H183" s="194">
        <v>20.43</v>
      </c>
      <c r="I183" s="185">
        <v>4</v>
      </c>
      <c r="J183" s="130">
        <v>657</v>
      </c>
      <c r="K183" s="130">
        <v>16</v>
      </c>
      <c r="L183" s="120">
        <f>Prod[[#This Row],[S1Shot]]*Prod[[#This Row],[S1Cavity]]-Prod[[#This Row],[S1Dft]]</f>
        <v>10512</v>
      </c>
      <c r="M183" s="134"/>
      <c r="N183" s="194">
        <v>0</v>
      </c>
      <c r="O183" s="185">
        <v>0</v>
      </c>
      <c r="P183" s="130">
        <v>0</v>
      </c>
      <c r="Q183" s="130">
        <v>0</v>
      </c>
      <c r="R183" s="120">
        <f>Prod[[#This Row],[S2Shot]]*Prod[[#This Row],[S2Cavity]]-Prod[[#This Row],[S2Dft]]</f>
        <v>0</v>
      </c>
      <c r="S183" s="134"/>
      <c r="T183" s="194">
        <v>0</v>
      </c>
      <c r="U183" s="185">
        <v>0</v>
      </c>
      <c r="V183" s="130">
        <v>0</v>
      </c>
      <c r="W183" s="130">
        <v>0</v>
      </c>
      <c r="X183" s="120">
        <f>Prod[[#This Row],[S3Shot]]*Prod[[#This Row],[S3Cavity]]-Prod[[#This Row],[S3Dft]]</f>
        <v>0</v>
      </c>
      <c r="Y183" s="134"/>
      <c r="Z183" s="120">
        <f>SUM(Prod[[#This Row],[S1Qty]],Prod[[#This Row],[S2Qty]],Prod[[#This Row],[S3Qty]])</f>
        <v>10512</v>
      </c>
      <c r="AA183" s="134"/>
      <c r="AB183" s="135"/>
      <c r="AC183" s="131" t="s">
        <v>258</v>
      </c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2">
        <f>IF(Prod[[#This Row],[S1Hrs]]=0,0,Prod[[#This Row],[S1Shot]]*Prod[[#This Row],[S1Cycle]]/(Prod[[#This Row],[S1Hrs]]*60*60))</f>
        <v>0.93211875</v>
      </c>
      <c r="AT183" s="132">
        <f>IF(Prod[[#This Row],[S2Hrs]]=0,0,Prod[[#This Row],[S2Shot]]*Prod[[#This Row],[S2Cycle]]/(Prod[[#This Row],[S2Hrs]]*60*60))</f>
        <v>0</v>
      </c>
      <c r="AU183" s="132">
        <f>IF(Prod[[#This Row],[S3Hrs]]=0,0,Prod[[#This Row],[S3Shot]]*Prod[[#This Row],[S3Cycle]]/(Prod[[#This Row],[S3Hrs]]*60*60))</f>
        <v>0</v>
      </c>
      <c r="AV183" s="132">
        <f>IFERROR(AVERAGEIF(Prod[[#This Row],[S1%]:[S3%]], "&lt;&gt;0"),0)</f>
        <v>0.93211875</v>
      </c>
      <c r="AW183" s="132">
        <v>0</v>
      </c>
      <c r="AX183" s="132">
        <v>0</v>
      </c>
      <c r="AY183" s="132">
        <v>0</v>
      </c>
      <c r="AZ183" s="175">
        <f>IF(Prod[[#This Row],[S1Cycle]]&lt;&gt;0,1,0)</f>
        <v>1</v>
      </c>
      <c r="BA183" s="175">
        <f>IF(Prod[[#This Row],[S2Cycle]]&lt;&gt;0,1,0)</f>
        <v>0</v>
      </c>
      <c r="BB183" s="175">
        <f>IF(Prod[[#This Row],[S3Cycle]]&lt;&gt;0,1,0)</f>
        <v>0</v>
      </c>
      <c r="BC183" s="175">
        <f>MAX(Prod[[#This Row],[S1Cavity]],Prod[[#This Row],[S2Cavity]],Prod[[#This Row],[S3Cavity]])</f>
        <v>16</v>
      </c>
      <c r="BD183" s="175" t="b">
        <f>RegExpMatch(Prod[[#This Row],[MoldNo]], "^DEO-(B|C)")</f>
        <v>0</v>
      </c>
      <c r="BE183" s="175" t="b">
        <f>RegExpMatch(Prod[[#This Row],[MoldNo]], "^JAC")</f>
        <v>0</v>
      </c>
    </row>
    <row r="184" spans="1:57" x14ac:dyDescent="0.2">
      <c r="A184" s="117">
        <v>45455</v>
      </c>
      <c r="B184" s="120" t="s">
        <v>85</v>
      </c>
      <c r="C184" s="119" t="s">
        <v>165</v>
      </c>
      <c r="D184" s="119">
        <v>27692</v>
      </c>
      <c r="E184" s="131" t="s">
        <v>239</v>
      </c>
      <c r="F184" s="119">
        <v>6331</v>
      </c>
      <c r="G184" s="119" t="str">
        <f>IF(OR(Prod[[#This Row],[S1Hrs]]&gt;0,Prod[[#This Row],[S2Hrs]]&gt;0,Prod[[#This Row],[S3Hrs]]&gt;0),"Running","Down")</f>
        <v>Running</v>
      </c>
      <c r="H184" s="194">
        <v>20.43</v>
      </c>
      <c r="I184" s="185">
        <v>4</v>
      </c>
      <c r="J184" s="130">
        <v>688</v>
      </c>
      <c r="K184" s="130">
        <v>16</v>
      </c>
      <c r="L184" s="120">
        <f>Prod[[#This Row],[S1Shot]]*Prod[[#This Row],[S1Cavity]]-Prod[[#This Row],[S1Dft]]</f>
        <v>11008</v>
      </c>
      <c r="M184" s="134"/>
      <c r="N184" s="194">
        <v>20.43</v>
      </c>
      <c r="O184" s="185">
        <v>8</v>
      </c>
      <c r="P184" s="130">
        <v>1459</v>
      </c>
      <c r="Q184" s="130">
        <v>16</v>
      </c>
      <c r="R184" s="120">
        <f>Prod[[#This Row],[S2Shot]]*Prod[[#This Row],[S2Cavity]]-Prod[[#This Row],[S2Dft]]</f>
        <v>23344</v>
      </c>
      <c r="S184" s="134"/>
      <c r="T184" s="194">
        <v>20.420000000000002</v>
      </c>
      <c r="U184" s="185">
        <v>8</v>
      </c>
      <c r="V184" s="130">
        <v>1326</v>
      </c>
      <c r="W184" s="130">
        <v>16</v>
      </c>
      <c r="X184" s="120">
        <f>Prod[[#This Row],[S3Shot]]*Prod[[#This Row],[S3Cavity]]-Prod[[#This Row],[S3Dft]]</f>
        <v>21216</v>
      </c>
      <c r="Y184" s="134"/>
      <c r="Z184" s="120">
        <f>SUM(Prod[[#This Row],[S1Qty]],Prod[[#This Row],[S2Qty]],Prod[[#This Row],[S3Qty]])</f>
        <v>55568</v>
      </c>
      <c r="AA184" s="134"/>
      <c r="AB184" s="135"/>
      <c r="AC184" s="118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2">
        <f>IF(Prod[[#This Row],[S1Hrs]]=0,0,Prod[[#This Row],[S1Shot]]*Prod[[#This Row],[S1Cycle]]/(Prod[[#This Row],[S1Hrs]]*60*60))</f>
        <v>0.97609999999999997</v>
      </c>
      <c r="AT184" s="132">
        <f>IF(Prod[[#This Row],[S2Hrs]]=0,0,Prod[[#This Row],[S2Shot]]*Prod[[#This Row],[S2Cycle]]/(Prod[[#This Row],[S2Hrs]]*60*60))</f>
        <v>1.0349781249999999</v>
      </c>
      <c r="AU184" s="132">
        <f>IF(Prod[[#This Row],[S3Hrs]]=0,0,Prod[[#This Row],[S3Shot]]*Prod[[#This Row],[S3Cycle]]/(Prod[[#This Row],[S3Hrs]]*60*60))</f>
        <v>0.9401708333333334</v>
      </c>
      <c r="AV184" s="132">
        <f>IFERROR(AVERAGEIF(Prod[[#This Row],[S1%]:[S3%]], "&lt;&gt;0"),0)</f>
        <v>0.98374965277777771</v>
      </c>
      <c r="AW184" s="132">
        <v>0</v>
      </c>
      <c r="AX184" s="132">
        <v>0</v>
      </c>
      <c r="AY184" s="132">
        <v>0</v>
      </c>
      <c r="AZ184" s="175">
        <f>IF(Prod[[#This Row],[S1Cycle]]&lt;&gt;0,1,0)</f>
        <v>1</v>
      </c>
      <c r="BA184" s="175">
        <f>IF(Prod[[#This Row],[S2Cycle]]&lt;&gt;0,1,0)</f>
        <v>1</v>
      </c>
      <c r="BB184" s="175">
        <f>IF(Prod[[#This Row],[S3Cycle]]&lt;&gt;0,1,0)</f>
        <v>1</v>
      </c>
      <c r="BC184" s="175">
        <f>MAX(Prod[[#This Row],[S1Cavity]],Prod[[#This Row],[S2Cavity]],Prod[[#This Row],[S3Cavity]])</f>
        <v>16</v>
      </c>
      <c r="BD184" s="175" t="b">
        <f>RegExpMatch(Prod[[#This Row],[MoldNo]], "^DEO-(B|C)")</f>
        <v>0</v>
      </c>
      <c r="BE184" s="175" t="b">
        <f>RegExpMatch(Prod[[#This Row],[MoldNo]], "^JAC")</f>
        <v>0</v>
      </c>
    </row>
    <row r="185" spans="1:57" x14ac:dyDescent="0.2">
      <c r="A185" s="117">
        <v>45455</v>
      </c>
      <c r="B185" s="120" t="s">
        <v>196</v>
      </c>
      <c r="C185" s="119" t="s">
        <v>82</v>
      </c>
      <c r="D185" s="119">
        <v>27438</v>
      </c>
      <c r="E185" s="131" t="s">
        <v>199</v>
      </c>
      <c r="F185" s="119">
        <v>814</v>
      </c>
      <c r="G185" s="119" t="str">
        <f>IF(OR(Prod[[#This Row],[S1Hrs]]&gt;0,Prod[[#This Row],[S2Hrs]]&gt;0,Prod[[#This Row],[S3Hrs]]&gt;0),"Running","Down")</f>
        <v>Running</v>
      </c>
      <c r="H185" s="194">
        <v>20.69</v>
      </c>
      <c r="I185" s="185">
        <v>8</v>
      </c>
      <c r="J185" s="130">
        <v>1331</v>
      </c>
      <c r="K185" s="130">
        <v>16</v>
      </c>
      <c r="L185" s="120">
        <f>Prod[[#This Row],[S1Shot]]*Prod[[#This Row],[S1Cavity]]-Prod[[#This Row],[S1Dft]]</f>
        <v>21296</v>
      </c>
      <c r="M185" s="134"/>
      <c r="N185" s="194">
        <v>20.61</v>
      </c>
      <c r="O185" s="185">
        <v>1.75</v>
      </c>
      <c r="P185" s="130">
        <v>314</v>
      </c>
      <c r="Q185" s="130">
        <v>16</v>
      </c>
      <c r="R185" s="120">
        <f>Prod[[#This Row],[S2Shot]]*Prod[[#This Row],[S2Cavity]]-Prod[[#This Row],[S2Dft]]</f>
        <v>5024</v>
      </c>
      <c r="S185" s="134"/>
      <c r="T185" s="194">
        <v>0</v>
      </c>
      <c r="U185" s="185">
        <v>0</v>
      </c>
      <c r="V185" s="130">
        <v>0</v>
      </c>
      <c r="W185" s="130">
        <v>0</v>
      </c>
      <c r="X185" s="120">
        <f>Prod[[#This Row],[S3Shot]]*Prod[[#This Row],[S3Cavity]]-Prod[[#This Row],[S3Dft]]</f>
        <v>0</v>
      </c>
      <c r="Y185" s="134"/>
      <c r="Z185" s="120">
        <f>SUM(Prod[[#This Row],[S1Qty]],Prod[[#This Row],[S2Qty]],Prod[[#This Row],[S3Qty]])</f>
        <v>26320</v>
      </c>
      <c r="AA185" s="134"/>
      <c r="AB185" s="135"/>
      <c r="AC185" s="118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2">
        <f>IF(Prod[[#This Row],[S1Hrs]]=0,0,Prod[[#This Row],[S1Shot]]*Prod[[#This Row],[S1Cycle]]/(Prod[[#This Row],[S1Hrs]]*60*60))</f>
        <v>0.95619409722222237</v>
      </c>
      <c r="AT185" s="132">
        <f>IF(Prod[[#This Row],[S2Hrs]]=0,0,Prod[[#This Row],[S2Shot]]*Prod[[#This Row],[S2Cycle]]/(Prod[[#This Row],[S2Hrs]]*60*60))</f>
        <v>1.0272285714285714</v>
      </c>
      <c r="AU185" s="132">
        <f>IF(Prod[[#This Row],[S3Hrs]]=0,0,Prod[[#This Row],[S3Shot]]*Prod[[#This Row],[S3Cycle]]/(Prod[[#This Row],[S3Hrs]]*60*60))</f>
        <v>0</v>
      </c>
      <c r="AV185" s="132">
        <f>IFERROR(AVERAGEIF(Prod[[#This Row],[S1%]:[S3%]], "&lt;&gt;0"),0)</f>
        <v>0.99171133432539693</v>
      </c>
      <c r="AW185" s="132">
        <v>0.5</v>
      </c>
      <c r="AX185" s="132">
        <v>0</v>
      </c>
      <c r="AY185" s="132">
        <v>0</v>
      </c>
      <c r="AZ185" s="175">
        <f>IF(Prod[[#This Row],[S1Cycle]]&lt;&gt;0,1,0)</f>
        <v>1</v>
      </c>
      <c r="BA185" s="175">
        <f>IF(Prod[[#This Row],[S2Cycle]]&lt;&gt;0,1,0)</f>
        <v>1</v>
      </c>
      <c r="BB185" s="175">
        <f>IF(Prod[[#This Row],[S3Cycle]]&lt;&gt;0,1,0)</f>
        <v>0</v>
      </c>
      <c r="BC185" s="175">
        <f>MAX(Prod[[#This Row],[S1Cavity]],Prod[[#This Row],[S2Cavity]],Prod[[#This Row],[S3Cavity]])</f>
        <v>16</v>
      </c>
      <c r="BD185" s="175" t="b">
        <f>RegExpMatch(Prod[[#This Row],[MoldNo]], "^DEO-(B|C)")</f>
        <v>0</v>
      </c>
      <c r="BE185" s="175" t="b">
        <f>RegExpMatch(Prod[[#This Row],[MoldNo]], "^JAC")</f>
        <v>0</v>
      </c>
    </row>
    <row r="186" spans="1:57" x14ac:dyDescent="0.2">
      <c r="A186" s="117">
        <v>45455</v>
      </c>
      <c r="B186" s="120" t="s">
        <v>192</v>
      </c>
      <c r="C186" s="131" t="s">
        <v>193</v>
      </c>
      <c r="D186" s="119">
        <v>27716</v>
      </c>
      <c r="E186" s="131" t="s">
        <v>199</v>
      </c>
      <c r="F186" s="119">
        <v>814</v>
      </c>
      <c r="G186" s="119" t="str">
        <f>IF(OR(Prod[[#This Row],[S1Hrs]]&gt;0,Prod[[#This Row],[S2Hrs]]&gt;0,Prod[[#This Row],[S3Hrs]]&gt;0),"Running","Down")</f>
        <v>Running</v>
      </c>
      <c r="H186" s="194">
        <v>17.25</v>
      </c>
      <c r="I186" s="185">
        <v>4</v>
      </c>
      <c r="J186" s="130">
        <v>696</v>
      </c>
      <c r="K186" s="130">
        <v>24</v>
      </c>
      <c r="L186" s="120">
        <f>Prod[[#This Row],[S1Shot]]*Prod[[#This Row],[S1Cavity]]-Prod[[#This Row],[S1Dft]]</f>
        <v>16704</v>
      </c>
      <c r="M186" s="134"/>
      <c r="N186" s="194">
        <v>0</v>
      </c>
      <c r="O186" s="185">
        <v>0</v>
      </c>
      <c r="P186" s="130">
        <v>0</v>
      </c>
      <c r="Q186" s="130">
        <v>0</v>
      </c>
      <c r="R186" s="120">
        <f>Prod[[#This Row],[S2Shot]]*Prod[[#This Row],[S2Cavity]]-Prod[[#This Row],[S2Dft]]</f>
        <v>0</v>
      </c>
      <c r="S186" s="134"/>
      <c r="T186" s="194">
        <v>0</v>
      </c>
      <c r="U186" s="185">
        <v>0</v>
      </c>
      <c r="V186" s="130">
        <v>0</v>
      </c>
      <c r="W186" s="130">
        <v>0</v>
      </c>
      <c r="X186" s="120">
        <f>Prod[[#This Row],[S3Shot]]*Prod[[#This Row],[S3Cavity]]-Prod[[#This Row],[S3Dft]]</f>
        <v>0</v>
      </c>
      <c r="Y186" s="134"/>
      <c r="Z186" s="120">
        <f>SUM(Prod[[#This Row],[S1Qty]],Prod[[#This Row],[S2Qty]],Prod[[#This Row],[S3Qty]])</f>
        <v>16704</v>
      </c>
      <c r="AA186" s="134"/>
      <c r="AB186" s="135"/>
      <c r="AC186" s="131" t="s">
        <v>258</v>
      </c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2">
        <f>IF(Prod[[#This Row],[S1Hrs]]=0,0,Prod[[#This Row],[S1Shot]]*Prod[[#This Row],[S1Cycle]]/(Prod[[#This Row],[S1Hrs]]*60*60))</f>
        <v>0.83374999999999999</v>
      </c>
      <c r="AT186" s="132">
        <f>IF(Prod[[#This Row],[S2Hrs]]=0,0,Prod[[#This Row],[S2Shot]]*Prod[[#This Row],[S2Cycle]]/(Prod[[#This Row],[S2Hrs]]*60*60))</f>
        <v>0</v>
      </c>
      <c r="AU186" s="132">
        <f>IF(Prod[[#This Row],[S3Hrs]]=0,0,Prod[[#This Row],[S3Shot]]*Prod[[#This Row],[S3Cycle]]/(Prod[[#This Row],[S3Hrs]]*60*60))</f>
        <v>0</v>
      </c>
      <c r="AV186" s="132">
        <f>IFERROR(AVERAGEIF(Prod[[#This Row],[S1%]:[S3%]], "&lt;&gt;0"),0)</f>
        <v>0.83374999999999999</v>
      </c>
      <c r="AW186" s="132">
        <v>0</v>
      </c>
      <c r="AX186" s="132">
        <v>0</v>
      </c>
      <c r="AY186" s="132">
        <v>0</v>
      </c>
      <c r="AZ186" s="175">
        <f>IF(Prod[[#This Row],[S1Cycle]]&lt;&gt;0,1,0)</f>
        <v>1</v>
      </c>
      <c r="BA186" s="175">
        <f>IF(Prod[[#This Row],[S2Cycle]]&lt;&gt;0,1,0)</f>
        <v>0</v>
      </c>
      <c r="BB186" s="175">
        <f>IF(Prod[[#This Row],[S3Cycle]]&lt;&gt;0,1,0)</f>
        <v>0</v>
      </c>
      <c r="BC186" s="175">
        <f>MAX(Prod[[#This Row],[S1Cavity]],Prod[[#This Row],[S2Cavity]],Prod[[#This Row],[S3Cavity]])</f>
        <v>24</v>
      </c>
      <c r="BD186" s="175" t="b">
        <f>RegExpMatch(Prod[[#This Row],[MoldNo]], "^DEO-(B|C)")</f>
        <v>0</v>
      </c>
      <c r="BE186" s="175" t="b">
        <f>RegExpMatch(Prod[[#This Row],[MoldNo]], "^JAC")</f>
        <v>0</v>
      </c>
    </row>
    <row r="187" spans="1:57" x14ac:dyDescent="0.2">
      <c r="A187" s="117">
        <v>45455</v>
      </c>
      <c r="B187" s="120" t="s">
        <v>192</v>
      </c>
      <c r="C187" s="131" t="s">
        <v>193</v>
      </c>
      <c r="D187" s="119">
        <v>27692</v>
      </c>
      <c r="E187" s="131" t="s">
        <v>239</v>
      </c>
      <c r="F187" s="119">
        <v>6331</v>
      </c>
      <c r="G187" s="119" t="str">
        <f>IF(OR(Prod[[#This Row],[S1Hrs]]&gt;0,Prod[[#This Row],[S2Hrs]]&gt;0,Prod[[#This Row],[S3Hrs]]&gt;0),"Running","Down")</f>
        <v>Running</v>
      </c>
      <c r="H187" s="194">
        <v>17.5</v>
      </c>
      <c r="I187" s="185">
        <v>4</v>
      </c>
      <c r="J187" s="130">
        <v>743</v>
      </c>
      <c r="K187" s="130">
        <v>24</v>
      </c>
      <c r="L187" s="120">
        <f>Prod[[#This Row],[S1Shot]]*Prod[[#This Row],[S1Cavity]]-Prod[[#This Row],[S1Dft]]</f>
        <v>17832</v>
      </c>
      <c r="M187" s="134"/>
      <c r="N187" s="194">
        <v>17.260000000000002</v>
      </c>
      <c r="O187" s="185">
        <v>8</v>
      </c>
      <c r="P187" s="130">
        <v>1748</v>
      </c>
      <c r="Q187" s="130">
        <v>24</v>
      </c>
      <c r="R187" s="120">
        <f>Prod[[#This Row],[S2Shot]]*Prod[[#This Row],[S2Cavity]]-Prod[[#This Row],[S2Dft]]</f>
        <v>41952</v>
      </c>
      <c r="S187" s="134"/>
      <c r="T187" s="194">
        <v>17.25</v>
      </c>
      <c r="U187" s="185">
        <v>8</v>
      </c>
      <c r="V187" s="130">
        <v>1516</v>
      </c>
      <c r="W187" s="130">
        <v>24</v>
      </c>
      <c r="X187" s="120">
        <f>Prod[[#This Row],[S3Shot]]*Prod[[#This Row],[S3Cavity]]-Prod[[#This Row],[S3Dft]]</f>
        <v>36384</v>
      </c>
      <c r="Y187" s="134"/>
      <c r="Z187" s="120">
        <f>SUM(Prod[[#This Row],[S1Qty]],Prod[[#This Row],[S2Qty]],Prod[[#This Row],[S3Qty]])</f>
        <v>96168</v>
      </c>
      <c r="AA187" s="134"/>
      <c r="AB187" s="135"/>
      <c r="AC187" s="118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2">
        <f>IF(Prod[[#This Row],[S1Hrs]]=0,0,Prod[[#This Row],[S1Shot]]*Prod[[#This Row],[S1Cycle]]/(Prod[[#This Row],[S1Hrs]]*60*60))</f>
        <v>0.90295138888888893</v>
      </c>
      <c r="AT187" s="132">
        <f>IF(Prod[[#This Row],[S2Hrs]]=0,0,Prod[[#This Row],[S2Shot]]*Prod[[#This Row],[S2Cycle]]/(Prod[[#This Row],[S2Hrs]]*60*60))</f>
        <v>1.0475861111111113</v>
      </c>
      <c r="AU187" s="132">
        <f>IF(Prod[[#This Row],[S3Hrs]]=0,0,Prod[[#This Row],[S3Shot]]*Prod[[#This Row],[S3Cycle]]/(Prod[[#This Row],[S3Hrs]]*60*60))</f>
        <v>0.90802083333333339</v>
      </c>
      <c r="AV187" s="132">
        <f>IFERROR(AVERAGEIF(Prod[[#This Row],[S1%]:[S3%]], "&lt;&gt;0"),0)</f>
        <v>0.95285277777777788</v>
      </c>
      <c r="AW187" s="132">
        <v>0</v>
      </c>
      <c r="AX187" s="132">
        <v>0</v>
      </c>
      <c r="AY187" s="132">
        <v>0</v>
      </c>
      <c r="AZ187" s="175">
        <f>IF(Prod[[#This Row],[S1Cycle]]&lt;&gt;0,1,0)</f>
        <v>1</v>
      </c>
      <c r="BA187" s="175">
        <f>IF(Prod[[#This Row],[S2Cycle]]&lt;&gt;0,1,0)</f>
        <v>1</v>
      </c>
      <c r="BB187" s="175">
        <f>IF(Prod[[#This Row],[S3Cycle]]&lt;&gt;0,1,0)</f>
        <v>1</v>
      </c>
      <c r="BC187" s="175">
        <f>MAX(Prod[[#This Row],[S1Cavity]],Prod[[#This Row],[S2Cavity]],Prod[[#This Row],[S3Cavity]])</f>
        <v>24</v>
      </c>
      <c r="BD187" s="175" t="b">
        <f>RegExpMatch(Prod[[#This Row],[MoldNo]], "^DEO-(B|C)")</f>
        <v>0</v>
      </c>
      <c r="BE187" s="175" t="b">
        <f>RegExpMatch(Prod[[#This Row],[MoldNo]], "^JAC")</f>
        <v>0</v>
      </c>
    </row>
    <row r="188" spans="1:57" x14ac:dyDescent="0.2">
      <c r="A188" s="117">
        <v>45455</v>
      </c>
      <c r="B188" s="120" t="s">
        <v>168</v>
      </c>
      <c r="C188" s="119" t="s">
        <v>169</v>
      </c>
      <c r="D188" s="119"/>
      <c r="E188" s="131"/>
      <c r="F188" s="119"/>
      <c r="G188" s="119" t="str">
        <f>IF(OR(Prod[[#This Row],[S1Hrs]]&gt;0,Prod[[#This Row],[S2Hrs]]&gt;0,Prod[[#This Row],[S3Hrs]]&gt;0),"Running","Down")</f>
        <v>Down</v>
      </c>
      <c r="H188" s="194">
        <v>0</v>
      </c>
      <c r="I188" s="185">
        <v>0</v>
      </c>
      <c r="J188" s="130">
        <v>0</v>
      </c>
      <c r="K188" s="130">
        <v>0</v>
      </c>
      <c r="L188" s="120">
        <f>Prod[[#This Row],[S1Shot]]*Prod[[#This Row],[S1Cavity]]-Prod[[#This Row],[S1Dft]]</f>
        <v>0</v>
      </c>
      <c r="M188" s="134"/>
      <c r="N188" s="194">
        <v>0</v>
      </c>
      <c r="O188" s="185">
        <v>0</v>
      </c>
      <c r="P188" s="130">
        <v>0</v>
      </c>
      <c r="Q188" s="130">
        <v>0</v>
      </c>
      <c r="R188" s="120">
        <f>Prod[[#This Row],[S2Shot]]*Prod[[#This Row],[S2Cavity]]-Prod[[#This Row],[S2Dft]]</f>
        <v>0</v>
      </c>
      <c r="S188" s="134"/>
      <c r="T188" s="194">
        <v>0</v>
      </c>
      <c r="U188" s="185">
        <v>0</v>
      </c>
      <c r="V188" s="130">
        <v>0</v>
      </c>
      <c r="W188" s="130">
        <v>0</v>
      </c>
      <c r="X188" s="120">
        <f>Prod[[#This Row],[S3Shot]]*Prod[[#This Row],[S3Cavity]]-Prod[[#This Row],[S3Dft]]</f>
        <v>0</v>
      </c>
      <c r="Y188" s="134"/>
      <c r="Z188" s="120">
        <f>SUM(Prod[[#This Row],[S1Qty]],Prod[[#This Row],[S2Qty]],Prod[[#This Row],[S3Qty]])</f>
        <v>0</v>
      </c>
      <c r="AA188" s="134"/>
      <c r="AB188" s="135"/>
      <c r="AC188" s="118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2">
        <f>IF(Prod[[#This Row],[S1Hrs]]=0,0,Prod[[#This Row],[S1Shot]]*Prod[[#This Row],[S1Cycle]]/(Prod[[#This Row],[S1Hrs]]*60*60))</f>
        <v>0</v>
      </c>
      <c r="AT188" s="132">
        <f>IF(Prod[[#This Row],[S2Hrs]]=0,0,Prod[[#This Row],[S2Shot]]*Prod[[#This Row],[S2Cycle]]/(Prod[[#This Row],[S2Hrs]]*60*60))</f>
        <v>0</v>
      </c>
      <c r="AU188" s="132">
        <f>IF(Prod[[#This Row],[S3Hrs]]=0,0,Prod[[#This Row],[S3Shot]]*Prod[[#This Row],[S3Cycle]]/(Prod[[#This Row],[S3Hrs]]*60*60))</f>
        <v>0</v>
      </c>
      <c r="AV188" s="132">
        <f>IFERROR(AVERAGEIF(Prod[[#This Row],[S1%]:[S3%]], "&lt;&gt;0"),0)</f>
        <v>0</v>
      </c>
      <c r="AW188" s="132">
        <v>0</v>
      </c>
      <c r="AX188" s="132">
        <v>0</v>
      </c>
      <c r="AY188" s="132">
        <v>0</v>
      </c>
      <c r="AZ188" s="175">
        <f>IF(Prod[[#This Row],[S1Cycle]]&lt;&gt;0,1,0)</f>
        <v>0</v>
      </c>
      <c r="BA188" s="175">
        <f>IF(Prod[[#This Row],[S2Cycle]]&lt;&gt;0,1,0)</f>
        <v>0</v>
      </c>
      <c r="BB188" s="175">
        <f>IF(Prod[[#This Row],[S3Cycle]]&lt;&gt;0,1,0)</f>
        <v>0</v>
      </c>
      <c r="BC188" s="175">
        <f>MAX(Prod[[#This Row],[S1Cavity]],Prod[[#This Row],[S2Cavity]],Prod[[#This Row],[S3Cavity]])</f>
        <v>0</v>
      </c>
      <c r="BD188" s="175" t="b">
        <f>RegExpMatch(Prod[[#This Row],[MoldNo]], "^DEO-(B|C)")</f>
        <v>0</v>
      </c>
      <c r="BE188" s="175" t="b">
        <f>RegExpMatch(Prod[[#This Row],[MoldNo]], "^JAC")</f>
        <v>0</v>
      </c>
    </row>
    <row r="189" spans="1:57" x14ac:dyDescent="0.2">
      <c r="A189" s="117">
        <v>45455</v>
      </c>
      <c r="B189" s="120" t="s">
        <v>146</v>
      </c>
      <c r="C189" s="119" t="s">
        <v>84</v>
      </c>
      <c r="D189" s="119">
        <v>27501</v>
      </c>
      <c r="E189" s="131" t="s">
        <v>199</v>
      </c>
      <c r="F189" s="119">
        <v>6331</v>
      </c>
      <c r="G189" s="119" t="str">
        <f>IF(OR(Prod[[#This Row],[S1Hrs]]&gt;0,Prod[[#This Row],[S2Hrs]]&gt;0,Prod[[#This Row],[S3Hrs]]&gt;0),"Running","Down")</f>
        <v>Running</v>
      </c>
      <c r="H189" s="194">
        <v>14.28</v>
      </c>
      <c r="I189" s="185">
        <v>8</v>
      </c>
      <c r="J189" s="130">
        <v>2016</v>
      </c>
      <c r="K189" s="130">
        <v>8</v>
      </c>
      <c r="L189" s="120">
        <f>Prod[[#This Row],[S1Shot]]*Prod[[#This Row],[S1Cavity]]-Prod[[#This Row],[S1Dft]]</f>
        <v>16128</v>
      </c>
      <c r="M189" s="134"/>
      <c r="N189" s="194">
        <v>14.27</v>
      </c>
      <c r="O189" s="185">
        <v>8</v>
      </c>
      <c r="P189" s="130">
        <v>2175</v>
      </c>
      <c r="Q189" s="130">
        <v>8</v>
      </c>
      <c r="R189" s="120">
        <f>Prod[[#This Row],[S2Shot]]*Prod[[#This Row],[S2Cavity]]-Prod[[#This Row],[S2Dft]]</f>
        <v>17400</v>
      </c>
      <c r="S189" s="134"/>
      <c r="T189" s="194">
        <v>14.27</v>
      </c>
      <c r="U189" s="185">
        <v>8</v>
      </c>
      <c r="V189" s="130">
        <v>1834</v>
      </c>
      <c r="W189" s="130">
        <v>8</v>
      </c>
      <c r="X189" s="120">
        <f>Prod[[#This Row],[S3Shot]]*Prod[[#This Row],[S3Cavity]]-Prod[[#This Row],[S3Dft]]</f>
        <v>14672</v>
      </c>
      <c r="Y189" s="134"/>
      <c r="Z189" s="120">
        <f>SUM(Prod[[#This Row],[S1Qty]],Prod[[#This Row],[S2Qty]],Prod[[#This Row],[S3Qty]])</f>
        <v>48200</v>
      </c>
      <c r="AA189" s="134"/>
      <c r="AB189" s="135"/>
      <c r="AC189" s="118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2">
        <f>IF(Prod[[#This Row],[S1Hrs]]=0,0,Prod[[#This Row],[S1Shot]]*Prod[[#This Row],[S1Cycle]]/(Prod[[#This Row],[S1Hrs]]*60*60))</f>
        <v>0.99959999999999993</v>
      </c>
      <c r="AT189" s="132">
        <f>IF(Prod[[#This Row],[S2Hrs]]=0,0,Prod[[#This Row],[S2Shot]]*Prod[[#This Row],[S2Cycle]]/(Prod[[#This Row],[S2Hrs]]*60*60))</f>
        <v>1.0776822916666666</v>
      </c>
      <c r="AU189" s="132">
        <f>IF(Prod[[#This Row],[S3Hrs]]=0,0,Prod[[#This Row],[S3Shot]]*Prod[[#This Row],[S3Cycle]]/(Prod[[#This Row],[S3Hrs]]*60*60))</f>
        <v>0.90872152777777782</v>
      </c>
      <c r="AV189" s="132">
        <f>IFERROR(AVERAGEIF(Prod[[#This Row],[S1%]:[S3%]], "&lt;&gt;0"),0)</f>
        <v>0.99533460648148153</v>
      </c>
      <c r="AW189" s="132">
        <v>0</v>
      </c>
      <c r="AX189" s="132">
        <v>0</v>
      </c>
      <c r="AY189" s="132">
        <v>0</v>
      </c>
      <c r="AZ189" s="175">
        <f>IF(Prod[[#This Row],[S1Cycle]]&lt;&gt;0,1,0)</f>
        <v>1</v>
      </c>
      <c r="BA189" s="175">
        <f>IF(Prod[[#This Row],[S2Cycle]]&lt;&gt;0,1,0)</f>
        <v>1</v>
      </c>
      <c r="BB189" s="175">
        <f>IF(Prod[[#This Row],[S3Cycle]]&lt;&gt;0,1,0)</f>
        <v>1</v>
      </c>
      <c r="BC189" s="175">
        <f>MAX(Prod[[#This Row],[S1Cavity]],Prod[[#This Row],[S2Cavity]],Prod[[#This Row],[S3Cavity]])</f>
        <v>8</v>
      </c>
      <c r="BD189" s="175" t="b">
        <f>RegExpMatch(Prod[[#This Row],[MoldNo]], "^DEO-(B|C)")</f>
        <v>0</v>
      </c>
      <c r="BE189" s="175" t="b">
        <f>RegExpMatch(Prod[[#This Row],[MoldNo]], "^JAC")</f>
        <v>0</v>
      </c>
    </row>
    <row r="190" spans="1:57" x14ac:dyDescent="0.2">
      <c r="A190" s="117">
        <v>45455</v>
      </c>
      <c r="B190" s="130" t="s">
        <v>194</v>
      </c>
      <c r="C190" s="131" t="s">
        <v>9</v>
      </c>
      <c r="D190" s="119">
        <v>27692</v>
      </c>
      <c r="E190" s="131" t="s">
        <v>239</v>
      </c>
      <c r="F190" s="119">
        <v>6331</v>
      </c>
      <c r="G190" s="119" t="str">
        <f>IF(OR(Prod[[#This Row],[S1Hrs]]&gt;0,Prod[[#This Row],[S2Hrs]]&gt;0,Prod[[#This Row],[S3Hrs]]&gt;0),"Running","Down")</f>
        <v>Running</v>
      </c>
      <c r="H190" s="194">
        <v>17.46</v>
      </c>
      <c r="I190" s="185">
        <v>1</v>
      </c>
      <c r="J190" s="130">
        <v>142</v>
      </c>
      <c r="K190" s="130">
        <v>8</v>
      </c>
      <c r="L190" s="120">
        <f>Prod[[#This Row],[S1Shot]]*Prod[[#This Row],[S1Cavity]]-Prod[[#This Row],[S1Dft]]</f>
        <v>1136</v>
      </c>
      <c r="M190" s="134"/>
      <c r="N190" s="194">
        <v>17.579999999999998</v>
      </c>
      <c r="O190" s="185">
        <v>8</v>
      </c>
      <c r="P190" s="130">
        <v>1324</v>
      </c>
      <c r="Q190" s="130">
        <v>8</v>
      </c>
      <c r="R190" s="120">
        <f>Prod[[#This Row],[S2Shot]]*Prod[[#This Row],[S2Cavity]]-Prod[[#This Row],[S2Dft]]</f>
        <v>10592</v>
      </c>
      <c r="S190" s="134"/>
      <c r="T190" s="194">
        <v>17.57</v>
      </c>
      <c r="U190" s="185">
        <v>8</v>
      </c>
      <c r="V190" s="130">
        <v>1368</v>
      </c>
      <c r="W190" s="130">
        <v>8</v>
      </c>
      <c r="X190" s="120">
        <f>Prod[[#This Row],[S3Shot]]*Prod[[#This Row],[S3Cavity]]-Prod[[#This Row],[S3Dft]]</f>
        <v>10944</v>
      </c>
      <c r="Y190" s="134"/>
      <c r="Z190" s="120">
        <f>SUM(Prod[[#This Row],[S1Qty]],Prod[[#This Row],[S2Qty]],Prod[[#This Row],[S3Qty]])</f>
        <v>22672</v>
      </c>
      <c r="AA190" s="134"/>
      <c r="AB190" s="135"/>
      <c r="AC190" s="118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2">
        <f>IF(Prod[[#This Row],[S1Hrs]]=0,0,Prod[[#This Row],[S1Shot]]*Prod[[#This Row],[S1Cycle]]/(Prod[[#This Row],[S1Hrs]]*60*60))</f>
        <v>0.68870000000000009</v>
      </c>
      <c r="AT190" s="132">
        <f>IF(Prod[[#This Row],[S2Hrs]]=0,0,Prod[[#This Row],[S2Shot]]*Prod[[#This Row],[S2Cycle]]/(Prod[[#This Row],[S2Hrs]]*60*60))</f>
        <v>0.80819166666666664</v>
      </c>
      <c r="AU190" s="132">
        <f>IF(Prod[[#This Row],[S3Hrs]]=0,0,Prod[[#This Row],[S3Shot]]*Prod[[#This Row],[S3Cycle]]/(Prod[[#This Row],[S3Hrs]]*60*60))</f>
        <v>0.83457500000000007</v>
      </c>
      <c r="AV190" s="132">
        <f>IFERROR(AVERAGEIF(Prod[[#This Row],[S1%]:[S3%]], "&lt;&gt;0"),0)</f>
        <v>0.77715555555555549</v>
      </c>
      <c r="AW190" s="132">
        <v>0.5</v>
      </c>
      <c r="AX190" s="132">
        <v>0</v>
      </c>
      <c r="AY190" s="132">
        <v>0</v>
      </c>
      <c r="AZ190" s="175">
        <f>IF(Prod[[#This Row],[S1Cycle]]&lt;&gt;0,1,0)</f>
        <v>1</v>
      </c>
      <c r="BA190" s="175">
        <f>IF(Prod[[#This Row],[S2Cycle]]&lt;&gt;0,1,0)</f>
        <v>1</v>
      </c>
      <c r="BB190" s="175">
        <f>IF(Prod[[#This Row],[S3Cycle]]&lt;&gt;0,1,0)</f>
        <v>1</v>
      </c>
      <c r="BC190" s="175">
        <f>MAX(Prod[[#This Row],[S1Cavity]],Prod[[#This Row],[S2Cavity]],Prod[[#This Row],[S3Cavity]])</f>
        <v>8</v>
      </c>
      <c r="BD190" s="175" t="b">
        <f>RegExpMatch(Prod[[#This Row],[MoldNo]], "^DEO-(B|C)")</f>
        <v>0</v>
      </c>
      <c r="BE190" s="175" t="b">
        <f>RegExpMatch(Prod[[#This Row],[MoldNo]], "^JAC")</f>
        <v>0</v>
      </c>
    </row>
    <row r="191" spans="1:57" x14ac:dyDescent="0.2">
      <c r="A191" s="117">
        <v>45455</v>
      </c>
      <c r="B191" s="130" t="s">
        <v>164</v>
      </c>
      <c r="C191" s="131" t="s">
        <v>144</v>
      </c>
      <c r="D191" s="119"/>
      <c r="E191" s="131"/>
      <c r="F191" s="119"/>
      <c r="G191" s="119" t="str">
        <f>IF(OR(Prod[[#This Row],[S1Hrs]]&gt;0,Prod[[#This Row],[S2Hrs]]&gt;0,Prod[[#This Row],[S3Hrs]]&gt;0),"Running","Down")</f>
        <v>Down</v>
      </c>
      <c r="H191" s="194">
        <v>0</v>
      </c>
      <c r="I191" s="185">
        <v>0</v>
      </c>
      <c r="J191" s="130">
        <v>0</v>
      </c>
      <c r="K191" s="130">
        <v>0</v>
      </c>
      <c r="L191" s="120">
        <f>Prod[[#This Row],[S1Shot]]*Prod[[#This Row],[S1Cavity]]-Prod[[#This Row],[S1Dft]]</f>
        <v>0</v>
      </c>
      <c r="M191" s="136">
        <f>SUM(Prod[[#This Row],[S1Mold]],Prod[[#This Row],[S1Print]],Prod[[#This Row],[S1Ovlp]],Prod[[#This Row],[S1Seam]],Prod[[#This Row],[S1Dmg]])</f>
        <v>0</v>
      </c>
      <c r="N191" s="194">
        <v>0</v>
      </c>
      <c r="O191" s="185">
        <v>0</v>
      </c>
      <c r="P191" s="130">
        <v>0</v>
      </c>
      <c r="Q191" s="130">
        <v>0</v>
      </c>
      <c r="R191" s="120">
        <f>Prod[[#This Row],[S2Shot]]*Prod[[#This Row],[S2Cavity]]-Prod[[#This Row],[S2Dft]]</f>
        <v>0</v>
      </c>
      <c r="S191" s="136">
        <f>SUM(Prod[[#This Row],[S2Mold]],Prod[[#This Row],[S2Print]],Prod[[#This Row],[S2Ovlp]],Prod[[#This Row],[S2Seam]],Prod[[#This Row],[S2Dmg]])</f>
        <v>0</v>
      </c>
      <c r="T191" s="194">
        <v>0</v>
      </c>
      <c r="U191" s="185">
        <v>0</v>
      </c>
      <c r="V191" s="130">
        <v>0</v>
      </c>
      <c r="W191" s="130">
        <v>0</v>
      </c>
      <c r="X191" s="120">
        <f>Prod[[#This Row],[S3Shot]]*Prod[[#This Row],[S3Cavity]]-Prod[[#This Row],[S3Dft]]</f>
        <v>0</v>
      </c>
      <c r="Y191" s="120">
        <f>SUM(Prod[[#This Row],[S3Mold]],Prod[[#This Row],[S3Print]],Prod[[#This Row],[S3Ovlp]],Prod[[#This Row],[S3Seam]],Prod[[#This Row],[S3Dmg]])</f>
        <v>0</v>
      </c>
      <c r="Z191" s="120">
        <f>SUM(Prod[[#This Row],[S1Qty]],Prod[[#This Row],[S2Qty]],Prod[[#This Row],[S3Qty]])</f>
        <v>0</v>
      </c>
      <c r="AA191" s="120">
        <f>SUM(Prod[[#This Row],[S1Dft]],Prod[[#This Row],[S2Dft]],Prod[[#This Row],[S3Dft]])</f>
        <v>0</v>
      </c>
      <c r="AB191" s="121">
        <f>IF(Prod[[#This Row],[Total]]=0,0,Prod[[#This Row],[TotalDft]]/Prod[[#This Row],[Total]])</f>
        <v>0</v>
      </c>
      <c r="AC191" s="118"/>
      <c r="AD191" s="120">
        <v>0</v>
      </c>
      <c r="AE191" s="120">
        <v>0</v>
      </c>
      <c r="AF191" s="120">
        <v>0</v>
      </c>
      <c r="AG191" s="120">
        <v>0</v>
      </c>
      <c r="AH191" s="120">
        <v>0</v>
      </c>
      <c r="AI191" s="120">
        <v>0</v>
      </c>
      <c r="AJ191" s="120">
        <v>0</v>
      </c>
      <c r="AK191" s="120">
        <v>0</v>
      </c>
      <c r="AL191" s="120">
        <v>0</v>
      </c>
      <c r="AM191" s="120">
        <v>0</v>
      </c>
      <c r="AN191" s="120">
        <v>0</v>
      </c>
      <c r="AO191" s="120">
        <v>0</v>
      </c>
      <c r="AP191" s="120">
        <v>0</v>
      </c>
      <c r="AQ191" s="120">
        <v>0</v>
      </c>
      <c r="AR191" s="120">
        <v>0</v>
      </c>
      <c r="AS191" s="132">
        <f>IF(Prod[[#This Row],[S1Hrs]]=0,0,Prod[[#This Row],[S1Shot]]*Prod[[#This Row],[S1Cycle]]/(Prod[[#This Row],[S1Hrs]]*60*60))</f>
        <v>0</v>
      </c>
      <c r="AT191" s="132">
        <f>IF(Prod[[#This Row],[S2Hrs]]=0,0,Prod[[#This Row],[S2Shot]]*Prod[[#This Row],[S2Cycle]]/(Prod[[#This Row],[S2Hrs]]*60*60))</f>
        <v>0</v>
      </c>
      <c r="AU191" s="132">
        <f>IF(Prod[[#This Row],[S3Hrs]]=0,0,Prod[[#This Row],[S3Shot]]*Prod[[#This Row],[S3Cycle]]/(Prod[[#This Row],[S3Hrs]]*60*60))</f>
        <v>0</v>
      </c>
      <c r="AV191" s="132">
        <f>IFERROR(AVERAGEIF(Prod[[#This Row],[S1%]:[S3%]], "&lt;&gt;0"),0)</f>
        <v>0</v>
      </c>
      <c r="AW191" s="132">
        <v>0</v>
      </c>
      <c r="AX191" s="132">
        <v>0</v>
      </c>
      <c r="AY191" s="132">
        <v>0</v>
      </c>
      <c r="AZ191" s="175">
        <f>IF(Prod[[#This Row],[S1Cycle]]&lt;&gt;0,1,0)</f>
        <v>0</v>
      </c>
      <c r="BA191" s="175">
        <f>IF(Prod[[#This Row],[S2Cycle]]&lt;&gt;0,1,0)</f>
        <v>0</v>
      </c>
      <c r="BB191" s="175">
        <f>IF(Prod[[#This Row],[S3Cycle]]&lt;&gt;0,1,0)</f>
        <v>0</v>
      </c>
      <c r="BC191" s="175">
        <f>MAX(Prod[[#This Row],[S1Cavity]],Prod[[#This Row],[S2Cavity]],Prod[[#This Row],[S3Cavity]])</f>
        <v>0</v>
      </c>
      <c r="BD191" s="175" t="b">
        <f>RegExpMatch(Prod[[#This Row],[MoldNo]], "^DEO-(B|C)")</f>
        <v>1</v>
      </c>
      <c r="BE191" s="175" t="b">
        <f>RegExpMatch(Prod[[#This Row],[MoldNo]], "^JAC")</f>
        <v>0</v>
      </c>
    </row>
    <row r="192" spans="1:57" x14ac:dyDescent="0.2">
      <c r="A192" s="117">
        <v>45455</v>
      </c>
      <c r="B192" s="130" t="s">
        <v>162</v>
      </c>
      <c r="C192" s="131" t="s">
        <v>163</v>
      </c>
      <c r="D192" s="119"/>
      <c r="E192" s="131"/>
      <c r="F192" s="119"/>
      <c r="G192" s="119" t="str">
        <f>IF(OR(Prod[[#This Row],[S1Hrs]]&gt;0,Prod[[#This Row],[S2Hrs]]&gt;0,Prod[[#This Row],[S3Hrs]]&gt;0),"Running","Down")</f>
        <v>Down</v>
      </c>
      <c r="H192" s="194">
        <v>0</v>
      </c>
      <c r="I192" s="185">
        <v>0</v>
      </c>
      <c r="J192" s="130">
        <v>0</v>
      </c>
      <c r="K192" s="130">
        <v>0</v>
      </c>
      <c r="L192" s="120">
        <f>Prod[[#This Row],[S1Shot]]*Prod[[#This Row],[S1Cavity]]-Prod[[#This Row],[S1Dft]]</f>
        <v>0</v>
      </c>
      <c r="M192" s="136">
        <f>SUM(Prod[[#This Row],[S1Mold]],Prod[[#This Row],[S1Print]],Prod[[#This Row],[S1Ovlp]],Prod[[#This Row],[S1Seam]],Prod[[#This Row],[S1Dmg]])</f>
        <v>0</v>
      </c>
      <c r="N192" s="194">
        <v>0</v>
      </c>
      <c r="O192" s="185">
        <v>0</v>
      </c>
      <c r="P192" s="130">
        <v>0</v>
      </c>
      <c r="Q192" s="130">
        <v>0</v>
      </c>
      <c r="R192" s="120">
        <f>Prod[[#This Row],[S2Shot]]*Prod[[#This Row],[S2Cavity]]-Prod[[#This Row],[S2Dft]]</f>
        <v>0</v>
      </c>
      <c r="S192" s="136">
        <f>SUM(Prod[[#This Row],[S2Mold]],Prod[[#This Row],[S2Print]],Prod[[#This Row],[S2Ovlp]],Prod[[#This Row],[S2Seam]],Prod[[#This Row],[S2Dmg]])</f>
        <v>0</v>
      </c>
      <c r="T192" s="194">
        <v>0</v>
      </c>
      <c r="U192" s="185">
        <v>0</v>
      </c>
      <c r="V192" s="130">
        <v>0</v>
      </c>
      <c r="W192" s="130">
        <v>0</v>
      </c>
      <c r="X192" s="120">
        <f>Prod[[#This Row],[S3Shot]]*Prod[[#This Row],[S3Cavity]]-Prod[[#This Row],[S3Dft]]</f>
        <v>0</v>
      </c>
      <c r="Y192" s="120">
        <f>SUM(Prod[[#This Row],[S3Mold]],Prod[[#This Row],[S3Print]],Prod[[#This Row],[S3Ovlp]],Prod[[#This Row],[S3Seam]],Prod[[#This Row],[S3Dmg]])</f>
        <v>0</v>
      </c>
      <c r="Z192" s="120">
        <f>SUM(Prod[[#This Row],[S1Qty]],Prod[[#This Row],[S2Qty]],Prod[[#This Row],[S3Qty]])</f>
        <v>0</v>
      </c>
      <c r="AA192" s="120">
        <f>SUM(Prod[[#This Row],[S1Dft]],Prod[[#This Row],[S2Dft]],Prod[[#This Row],[S3Dft]])</f>
        <v>0</v>
      </c>
      <c r="AB192" s="121">
        <f>IF(Prod[[#This Row],[Total]]=0,0,Prod[[#This Row],[TotalDft]]/Prod[[#This Row],[Total]])</f>
        <v>0</v>
      </c>
      <c r="AC192" s="118"/>
      <c r="AD192" s="120">
        <v>0</v>
      </c>
      <c r="AE192" s="120">
        <v>0</v>
      </c>
      <c r="AF192" s="120">
        <v>0</v>
      </c>
      <c r="AG192" s="120">
        <v>0</v>
      </c>
      <c r="AH192" s="120">
        <v>0</v>
      </c>
      <c r="AI192" s="120">
        <v>0</v>
      </c>
      <c r="AJ192" s="120">
        <v>0</v>
      </c>
      <c r="AK192" s="120">
        <v>0</v>
      </c>
      <c r="AL192" s="120">
        <v>0</v>
      </c>
      <c r="AM192" s="120">
        <v>0</v>
      </c>
      <c r="AN192" s="120">
        <v>0</v>
      </c>
      <c r="AO192" s="120">
        <v>0</v>
      </c>
      <c r="AP192" s="120">
        <v>0</v>
      </c>
      <c r="AQ192" s="120">
        <v>0</v>
      </c>
      <c r="AR192" s="120">
        <v>0</v>
      </c>
      <c r="AS192" s="132">
        <f>IF(Prod[[#This Row],[S1Hrs]]=0,0,Prod[[#This Row],[S1Shot]]*Prod[[#This Row],[S1Cycle]]/(Prod[[#This Row],[S1Hrs]]*60*60))</f>
        <v>0</v>
      </c>
      <c r="AT192" s="132">
        <f>IF(Prod[[#This Row],[S2Hrs]]=0,0,Prod[[#This Row],[S2Shot]]*Prod[[#This Row],[S2Cycle]]/(Prod[[#This Row],[S2Hrs]]*60*60))</f>
        <v>0</v>
      </c>
      <c r="AU192" s="132">
        <f>IF(Prod[[#This Row],[S3Hrs]]=0,0,Prod[[#This Row],[S3Shot]]*Prod[[#This Row],[S3Cycle]]/(Prod[[#This Row],[S3Hrs]]*60*60))</f>
        <v>0</v>
      </c>
      <c r="AV192" s="132">
        <f>IFERROR(AVERAGEIF(Prod[[#This Row],[S1%]:[S3%]], "&lt;&gt;0"),0)</f>
        <v>0</v>
      </c>
      <c r="AW192" s="132">
        <v>0</v>
      </c>
      <c r="AX192" s="132">
        <v>0</v>
      </c>
      <c r="AY192" s="132">
        <v>0</v>
      </c>
      <c r="AZ192" s="175">
        <f>IF(Prod[[#This Row],[S1Cycle]]&lt;&gt;0,1,0)</f>
        <v>0</v>
      </c>
      <c r="BA192" s="175">
        <f>IF(Prod[[#This Row],[S2Cycle]]&lt;&gt;0,1,0)</f>
        <v>0</v>
      </c>
      <c r="BB192" s="175">
        <f>IF(Prod[[#This Row],[S3Cycle]]&lt;&gt;0,1,0)</f>
        <v>0</v>
      </c>
      <c r="BC192" s="175">
        <f>MAX(Prod[[#This Row],[S1Cavity]],Prod[[#This Row],[S2Cavity]],Prod[[#This Row],[S3Cavity]])</f>
        <v>0</v>
      </c>
      <c r="BD192" s="175" t="b">
        <f>RegExpMatch(Prod[[#This Row],[MoldNo]], "^DEO-(B|C)")</f>
        <v>1</v>
      </c>
      <c r="BE192" s="175" t="b">
        <f>RegExpMatch(Prod[[#This Row],[MoldNo]], "^JAC")</f>
        <v>0</v>
      </c>
    </row>
    <row r="193" spans="1:57" x14ac:dyDescent="0.2">
      <c r="A193" s="117">
        <v>45455</v>
      </c>
      <c r="B193" s="130" t="s">
        <v>174</v>
      </c>
      <c r="C193" s="131" t="s">
        <v>175</v>
      </c>
      <c r="D193" s="119">
        <v>27715</v>
      </c>
      <c r="E193" s="119" t="s">
        <v>199</v>
      </c>
      <c r="F193" s="119">
        <v>814</v>
      </c>
      <c r="G193" s="119" t="str">
        <f>IF(OR(Prod[[#This Row],[S1Hrs]]&gt;0,Prod[[#This Row],[S2Hrs]]&gt;0,Prod[[#This Row],[S3Hrs]]&gt;0),"Running","Down")</f>
        <v>Running</v>
      </c>
      <c r="H193" s="194">
        <v>21.99</v>
      </c>
      <c r="I193" s="185">
        <v>8</v>
      </c>
      <c r="J193" s="130">
        <v>1366</v>
      </c>
      <c r="K193" s="130">
        <v>8</v>
      </c>
      <c r="L193" s="120">
        <f>Prod[[#This Row],[S1Shot]]*Prod[[#This Row],[S1Cavity]]-Prod[[#This Row],[S1Dft]]</f>
        <v>10788</v>
      </c>
      <c r="M193" s="136">
        <f>SUM(Prod[[#This Row],[S1Mold]],Prod[[#This Row],[S1Print]],Prod[[#This Row],[S1Ovlp]],Prod[[#This Row],[S1Seam]],Prod[[#This Row],[S1Dmg]])</f>
        <v>140</v>
      </c>
      <c r="N193" s="194">
        <v>21.99</v>
      </c>
      <c r="O193" s="185">
        <v>4.5</v>
      </c>
      <c r="P193" s="130">
        <v>788</v>
      </c>
      <c r="Q193" s="130">
        <v>8</v>
      </c>
      <c r="R193" s="120">
        <f>Prod[[#This Row],[S2Shot]]*Prod[[#This Row],[S2Cavity]]-Prod[[#This Row],[S2Dft]]</f>
        <v>6234</v>
      </c>
      <c r="S193" s="136">
        <f>SUM(Prod[[#This Row],[S2Mold]],Prod[[#This Row],[S2Print]],Prod[[#This Row],[S2Ovlp]],Prod[[#This Row],[S2Seam]],Prod[[#This Row],[S2Dmg]])</f>
        <v>70</v>
      </c>
      <c r="T193" s="194">
        <v>0</v>
      </c>
      <c r="U193" s="185">
        <v>0</v>
      </c>
      <c r="V193" s="130">
        <v>0</v>
      </c>
      <c r="W193" s="130">
        <v>0</v>
      </c>
      <c r="X193" s="120">
        <f>Prod[[#This Row],[S3Shot]]*Prod[[#This Row],[S3Cavity]]-Prod[[#This Row],[S3Dft]]</f>
        <v>0</v>
      </c>
      <c r="Y193" s="120">
        <f>SUM(Prod[[#This Row],[S3Mold]],Prod[[#This Row],[S3Print]],Prod[[#This Row],[S3Ovlp]],Prod[[#This Row],[S3Seam]],Prod[[#This Row],[S3Dmg]])</f>
        <v>0</v>
      </c>
      <c r="Z193" s="120">
        <f>SUM(Prod[[#This Row],[S1Qty]],Prod[[#This Row],[S2Qty]],Prod[[#This Row],[S3Qty]])</f>
        <v>17022</v>
      </c>
      <c r="AA193" s="120">
        <f>SUM(Prod[[#This Row],[S1Dft]],Prod[[#This Row],[S2Dft]],Prod[[#This Row],[S3Dft]])</f>
        <v>210</v>
      </c>
      <c r="AB193" s="121">
        <f>IF(Prod[[#This Row],[Total]]=0,0,Prod[[#This Row],[TotalDft]]/Prod[[#This Row],[Total]])</f>
        <v>1.2336975678533662E-2</v>
      </c>
      <c r="AC193" s="131"/>
      <c r="AD193" s="120">
        <v>20</v>
      </c>
      <c r="AE193" s="120">
        <v>10</v>
      </c>
      <c r="AF193" s="120">
        <v>0</v>
      </c>
      <c r="AG193" s="120">
        <v>120</v>
      </c>
      <c r="AH193" s="120">
        <v>60</v>
      </c>
      <c r="AI193" s="120">
        <v>0</v>
      </c>
      <c r="AJ193" s="120">
        <v>0</v>
      </c>
      <c r="AK193" s="120">
        <v>0</v>
      </c>
      <c r="AL193" s="120">
        <v>0</v>
      </c>
      <c r="AM193" s="120">
        <v>0</v>
      </c>
      <c r="AN193" s="120">
        <v>0</v>
      </c>
      <c r="AO193" s="120">
        <v>0</v>
      </c>
      <c r="AP193" s="120">
        <v>0</v>
      </c>
      <c r="AQ193" s="120">
        <v>0</v>
      </c>
      <c r="AR193" s="120">
        <v>0</v>
      </c>
      <c r="AS193" s="132">
        <f>IF(Prod[[#This Row],[S1Hrs]]=0,0,Prod[[#This Row],[S1Shot]]*Prod[[#This Row],[S1Cycle]]/(Prod[[#This Row],[S1Hrs]]*60*60))</f>
        <v>1.0429979166666665</v>
      </c>
      <c r="AT193" s="132">
        <f>IF(Prod[[#This Row],[S2Hrs]]=0,0,Prod[[#This Row],[S2Shot]]*Prod[[#This Row],[S2Cycle]]/(Prod[[#This Row],[S2Hrs]]*60*60))</f>
        <v>1.0696370370370369</v>
      </c>
      <c r="AU193" s="132">
        <f>IF(Prod[[#This Row],[S3Hrs]]=0,0,Prod[[#This Row],[S3Shot]]*Prod[[#This Row],[S3Cycle]]/(Prod[[#This Row],[S3Hrs]]*60*60))</f>
        <v>0</v>
      </c>
      <c r="AV193" s="132">
        <f>IFERROR(AVERAGEIF(Prod[[#This Row],[S1%]:[S3%]], "&lt;&gt;0"),0)</f>
        <v>1.0563174768518517</v>
      </c>
      <c r="AW193" s="132">
        <v>0</v>
      </c>
      <c r="AX193" s="132">
        <v>0</v>
      </c>
      <c r="AY193" s="132">
        <v>0</v>
      </c>
      <c r="AZ193" s="175">
        <f>IF(Prod[[#This Row],[S1Cycle]]&lt;&gt;0,1,0)</f>
        <v>1</v>
      </c>
      <c r="BA193" s="175">
        <f>IF(Prod[[#This Row],[S2Cycle]]&lt;&gt;0,1,0)</f>
        <v>1</v>
      </c>
      <c r="BB193" s="175">
        <f>IF(Prod[[#This Row],[S3Cycle]]&lt;&gt;0,1,0)</f>
        <v>0</v>
      </c>
      <c r="BC193" s="175">
        <f>MAX(Prod[[#This Row],[S1Cavity]],Prod[[#This Row],[S2Cavity]],Prod[[#This Row],[S3Cavity]])</f>
        <v>8</v>
      </c>
      <c r="BD193" s="175" t="b">
        <f>RegExpMatch(Prod[[#This Row],[MoldNo]], "^DEO-(B|C)")</f>
        <v>1</v>
      </c>
      <c r="BE193" s="175" t="b">
        <f>RegExpMatch(Prod[[#This Row],[MoldNo]], "^JAC")</f>
        <v>0</v>
      </c>
    </row>
    <row r="194" spans="1:57" x14ac:dyDescent="0.2">
      <c r="A194" s="117">
        <v>45455</v>
      </c>
      <c r="B194" s="130" t="s">
        <v>174</v>
      </c>
      <c r="C194" s="131" t="s">
        <v>175</v>
      </c>
      <c r="D194" s="119">
        <v>27576</v>
      </c>
      <c r="E194" s="119" t="s">
        <v>199</v>
      </c>
      <c r="F194" s="119">
        <v>814</v>
      </c>
      <c r="G194" s="119" t="str">
        <f>IF(OR(Prod[[#This Row],[S1Hrs]]&gt;0,Prod[[#This Row],[S2Hrs]]&gt;0,Prod[[#This Row],[S3Hrs]]&gt;0),"Running","Down")</f>
        <v>Running</v>
      </c>
      <c r="H194" s="194">
        <v>0</v>
      </c>
      <c r="I194" s="185">
        <v>0</v>
      </c>
      <c r="J194" s="130">
        <v>0</v>
      </c>
      <c r="K194" s="130">
        <v>0</v>
      </c>
      <c r="L194" s="120">
        <f>Prod[[#This Row],[S1Shot]]*Prod[[#This Row],[S1Cavity]]-Prod[[#This Row],[S1Dft]]</f>
        <v>0</v>
      </c>
      <c r="M194" s="136">
        <f>SUM(Prod[[#This Row],[S1Mold]],Prod[[#This Row],[S1Print]],Prod[[#This Row],[S1Ovlp]],Prod[[#This Row],[S1Seam]],Prod[[#This Row],[S1Dmg]])</f>
        <v>0</v>
      </c>
      <c r="N194" s="194">
        <v>21.99</v>
      </c>
      <c r="O194" s="185">
        <v>3.5</v>
      </c>
      <c r="P194" s="130">
        <v>618</v>
      </c>
      <c r="Q194" s="130">
        <v>8</v>
      </c>
      <c r="R194" s="120">
        <f>Prod[[#This Row],[S2Shot]]*Prod[[#This Row],[S2Cavity]]-Prod[[#This Row],[S2Dft]]</f>
        <v>4874</v>
      </c>
      <c r="S194" s="136">
        <f>SUM(Prod[[#This Row],[S2Mold]],Prod[[#This Row],[S2Print]],Prod[[#This Row],[S2Ovlp]],Prod[[#This Row],[S2Seam]],Prod[[#This Row],[S2Dmg]])</f>
        <v>70</v>
      </c>
      <c r="T194" s="194">
        <v>21.99</v>
      </c>
      <c r="U194" s="185">
        <v>8</v>
      </c>
      <c r="V194" s="130">
        <v>1185</v>
      </c>
      <c r="W194" s="130">
        <v>8</v>
      </c>
      <c r="X194" s="120">
        <f>Prod[[#This Row],[S3Shot]]*Prod[[#This Row],[S3Cavity]]-Prod[[#This Row],[S3Dft]]</f>
        <v>9340</v>
      </c>
      <c r="Y194" s="120">
        <f>SUM(Prod[[#This Row],[S3Mold]],Prod[[#This Row],[S3Print]],Prod[[#This Row],[S3Ovlp]],Prod[[#This Row],[S3Seam]],Prod[[#This Row],[S3Dmg]])</f>
        <v>140</v>
      </c>
      <c r="Z194" s="120">
        <f>SUM(Prod[[#This Row],[S1Qty]],Prod[[#This Row],[S2Qty]],Prod[[#This Row],[S3Qty]])</f>
        <v>14214</v>
      </c>
      <c r="AA194" s="120">
        <f>SUM(Prod[[#This Row],[S1Dft]],Prod[[#This Row],[S2Dft]],Prod[[#This Row],[S3Dft]])</f>
        <v>210</v>
      </c>
      <c r="AB194" s="121">
        <f>IF(Prod[[#This Row],[Total]]=0,0,Prod[[#This Row],[TotalDft]]/Prod[[#This Row],[Total]])</f>
        <v>1.4774166314900802E-2</v>
      </c>
      <c r="AC194" s="131" t="s">
        <v>246</v>
      </c>
      <c r="AD194" s="120">
        <v>0</v>
      </c>
      <c r="AE194" s="120">
        <v>10</v>
      </c>
      <c r="AF194" s="120">
        <v>25</v>
      </c>
      <c r="AG194" s="120">
        <v>0</v>
      </c>
      <c r="AH194" s="120">
        <v>60</v>
      </c>
      <c r="AI194" s="120">
        <v>115</v>
      </c>
      <c r="AJ194" s="120">
        <v>0</v>
      </c>
      <c r="AK194" s="120">
        <v>0</v>
      </c>
      <c r="AL194" s="120">
        <v>0</v>
      </c>
      <c r="AM194" s="120">
        <v>0</v>
      </c>
      <c r="AN194" s="120">
        <v>0</v>
      </c>
      <c r="AO194" s="120">
        <v>0</v>
      </c>
      <c r="AP194" s="120">
        <v>0</v>
      </c>
      <c r="AQ194" s="120">
        <v>0</v>
      </c>
      <c r="AR194" s="120">
        <v>0</v>
      </c>
      <c r="AS194" s="132">
        <f>IF(Prod[[#This Row],[S1Hrs]]=0,0,Prod[[#This Row],[S1Shot]]*Prod[[#This Row],[S1Cycle]]/(Prod[[#This Row],[S1Hrs]]*60*60))</f>
        <v>0</v>
      </c>
      <c r="AT194" s="132">
        <f>IF(Prod[[#This Row],[S2Hrs]]=0,0,Prod[[#This Row],[S2Shot]]*Prod[[#This Row],[S2Cycle]]/(Prod[[#This Row],[S2Hrs]]*60*60))</f>
        <v>1.0785571428571428</v>
      </c>
      <c r="AU194" s="132">
        <f>IF(Prod[[#This Row],[S3Hrs]]=0,0,Prod[[#This Row],[S3Shot]]*Prod[[#This Row],[S3Cycle]]/(Prod[[#This Row],[S3Hrs]]*60*60))</f>
        <v>0.90479687499999994</v>
      </c>
      <c r="AV194" s="132">
        <f>IFERROR(AVERAGEIF(Prod[[#This Row],[S1%]:[S3%]], "&lt;&gt;0"),0)</f>
        <v>0.99167700892857136</v>
      </c>
      <c r="AW194" s="132">
        <v>0</v>
      </c>
      <c r="AX194" s="132">
        <v>0</v>
      </c>
      <c r="AY194" s="132">
        <v>0</v>
      </c>
      <c r="AZ194" s="175">
        <f>IF(Prod[[#This Row],[S1Cycle]]&lt;&gt;0,1,0)</f>
        <v>0</v>
      </c>
      <c r="BA194" s="175">
        <f>IF(Prod[[#This Row],[S2Cycle]]&lt;&gt;0,1,0)</f>
        <v>1</v>
      </c>
      <c r="BB194" s="175">
        <f>IF(Prod[[#This Row],[S3Cycle]]&lt;&gt;0,1,0)</f>
        <v>1</v>
      </c>
      <c r="BC194" s="175">
        <f>MAX(Prod[[#This Row],[S1Cavity]],Prod[[#This Row],[S2Cavity]],Prod[[#This Row],[S3Cavity]])</f>
        <v>8</v>
      </c>
      <c r="BD194" s="175" t="b">
        <f>RegExpMatch(Prod[[#This Row],[MoldNo]], "^DEO-(B|C)")</f>
        <v>1</v>
      </c>
      <c r="BE194" s="175" t="b">
        <f>RegExpMatch(Prod[[#This Row],[MoldNo]], "^JAC")</f>
        <v>0</v>
      </c>
    </row>
    <row r="195" spans="1:57" x14ac:dyDescent="0.2">
      <c r="A195" s="117">
        <v>45455</v>
      </c>
      <c r="B195" s="130" t="s">
        <v>176</v>
      </c>
      <c r="C195" s="131" t="s">
        <v>81</v>
      </c>
      <c r="D195" s="119">
        <v>27715</v>
      </c>
      <c r="E195" s="119" t="s">
        <v>199</v>
      </c>
      <c r="F195" s="119">
        <v>814</v>
      </c>
      <c r="G195" s="119" t="str">
        <f>IF(OR(Prod[[#This Row],[S1Hrs]]&gt;0,Prod[[#This Row],[S2Hrs]]&gt;0,Prod[[#This Row],[S3Hrs]]&gt;0),"Running","Down")</f>
        <v>Running</v>
      </c>
      <c r="H195" s="194">
        <v>21.89</v>
      </c>
      <c r="I195" s="185">
        <v>8</v>
      </c>
      <c r="J195" s="130">
        <v>1282</v>
      </c>
      <c r="K195" s="130">
        <v>8</v>
      </c>
      <c r="L195" s="120">
        <f>Prod[[#This Row],[S1Shot]]*Prod[[#This Row],[S1Cavity]]-Prod[[#This Row],[S1Dft]]</f>
        <v>10111</v>
      </c>
      <c r="M195" s="136">
        <f>SUM(Prod[[#This Row],[S1Mold]],Prod[[#This Row],[S1Print]],Prod[[#This Row],[S1Ovlp]],Prod[[#This Row],[S1Seam]],Prod[[#This Row],[S1Dmg]])</f>
        <v>145</v>
      </c>
      <c r="N195" s="194">
        <v>21.88</v>
      </c>
      <c r="O195" s="185">
        <v>2</v>
      </c>
      <c r="P195" s="130">
        <v>311</v>
      </c>
      <c r="Q195" s="130">
        <v>8</v>
      </c>
      <c r="R195" s="120">
        <f>Prod[[#This Row],[S2Shot]]*Prod[[#This Row],[S2Cavity]]-Prod[[#This Row],[S2Dft]]</f>
        <v>2463</v>
      </c>
      <c r="S195" s="136">
        <f>SUM(Prod[[#This Row],[S2Mold]],Prod[[#This Row],[S2Print]],Prod[[#This Row],[S2Ovlp]],Prod[[#This Row],[S2Seam]],Prod[[#This Row],[S2Dmg]])</f>
        <v>25</v>
      </c>
      <c r="T195" s="194">
        <v>0</v>
      </c>
      <c r="U195" s="185">
        <v>0</v>
      </c>
      <c r="V195" s="130">
        <v>0</v>
      </c>
      <c r="W195" s="130">
        <v>0</v>
      </c>
      <c r="X195" s="120">
        <f>Prod[[#This Row],[S3Shot]]*Prod[[#This Row],[S3Cavity]]-Prod[[#This Row],[S3Dft]]</f>
        <v>0</v>
      </c>
      <c r="Y195" s="120">
        <f>SUM(Prod[[#This Row],[S3Mold]],Prod[[#This Row],[S3Print]],Prod[[#This Row],[S3Ovlp]],Prod[[#This Row],[S3Seam]],Prod[[#This Row],[S3Dmg]])</f>
        <v>0</v>
      </c>
      <c r="Z195" s="120">
        <f>SUM(Prod[[#This Row],[S1Qty]],Prod[[#This Row],[S2Qty]],Prod[[#This Row],[S3Qty]])</f>
        <v>12574</v>
      </c>
      <c r="AA195" s="120">
        <f>SUM(Prod[[#This Row],[S1Dft]],Prod[[#This Row],[S2Dft]],Prod[[#This Row],[S3Dft]])</f>
        <v>170</v>
      </c>
      <c r="AB195" s="121">
        <f>IF(Prod[[#This Row],[Total]]=0,0,Prod[[#This Row],[TotalDft]]/Prod[[#This Row],[Total]])</f>
        <v>1.3519961825990138E-2</v>
      </c>
      <c r="AC195" s="131"/>
      <c r="AD195" s="120">
        <v>20</v>
      </c>
      <c r="AE195" s="120">
        <v>5</v>
      </c>
      <c r="AF195" s="120">
        <v>0</v>
      </c>
      <c r="AG195" s="120">
        <v>125</v>
      </c>
      <c r="AH195" s="120">
        <v>20</v>
      </c>
      <c r="AI195" s="120">
        <v>0</v>
      </c>
      <c r="AJ195" s="120">
        <v>0</v>
      </c>
      <c r="AK195" s="120">
        <v>0</v>
      </c>
      <c r="AL195" s="120">
        <v>0</v>
      </c>
      <c r="AM195" s="120">
        <v>0</v>
      </c>
      <c r="AN195" s="120">
        <v>0</v>
      </c>
      <c r="AO195" s="120">
        <v>0</v>
      </c>
      <c r="AP195" s="120">
        <v>0</v>
      </c>
      <c r="AQ195" s="120">
        <v>0</v>
      </c>
      <c r="AR195" s="120">
        <v>0</v>
      </c>
      <c r="AS195" s="132">
        <f>IF(Prod[[#This Row],[S1Hrs]]=0,0,Prod[[#This Row],[S1Shot]]*Prod[[#This Row],[S1Cycle]]/(Prod[[#This Row],[S1Hrs]]*60*60))</f>
        <v>0.97440902777777771</v>
      </c>
      <c r="AT195" s="132">
        <f>IF(Prod[[#This Row],[S2Hrs]]=0,0,Prod[[#This Row],[S2Shot]]*Prod[[#This Row],[S2Cycle]]/(Prod[[#This Row],[S2Hrs]]*60*60))</f>
        <v>0.94509444444444435</v>
      </c>
      <c r="AU195" s="132">
        <f>IF(Prod[[#This Row],[S3Hrs]]=0,0,Prod[[#This Row],[S3Shot]]*Prod[[#This Row],[S3Cycle]]/(Prod[[#This Row],[S3Hrs]]*60*60))</f>
        <v>0</v>
      </c>
      <c r="AV195" s="132">
        <f>IFERROR(AVERAGEIF(Prod[[#This Row],[S1%]:[S3%]], "&lt;&gt;0"),0)</f>
        <v>0.95975173611111098</v>
      </c>
      <c r="AW195" s="132">
        <v>0</v>
      </c>
      <c r="AX195" s="132">
        <v>0</v>
      </c>
      <c r="AY195" s="132">
        <v>0</v>
      </c>
      <c r="AZ195" s="175">
        <f>IF(Prod[[#This Row],[S1Cycle]]&lt;&gt;0,1,0)</f>
        <v>1</v>
      </c>
      <c r="BA195" s="175">
        <f>IF(Prod[[#This Row],[S2Cycle]]&lt;&gt;0,1,0)</f>
        <v>1</v>
      </c>
      <c r="BB195" s="175">
        <f>IF(Prod[[#This Row],[S3Cycle]]&lt;&gt;0,1,0)</f>
        <v>0</v>
      </c>
      <c r="BC195" s="175">
        <f>MAX(Prod[[#This Row],[S1Cavity]],Prod[[#This Row],[S2Cavity]],Prod[[#This Row],[S3Cavity]])</f>
        <v>8</v>
      </c>
      <c r="BD195" s="175" t="b">
        <f>RegExpMatch(Prod[[#This Row],[MoldNo]], "^DEO-(B|C)")</f>
        <v>1</v>
      </c>
      <c r="BE195" s="175" t="b">
        <f>RegExpMatch(Prod[[#This Row],[MoldNo]], "^JAC")</f>
        <v>0</v>
      </c>
    </row>
    <row r="196" spans="1:57" x14ac:dyDescent="0.2">
      <c r="A196" s="117">
        <v>45455</v>
      </c>
      <c r="B196" s="130" t="s">
        <v>176</v>
      </c>
      <c r="C196" s="131" t="s">
        <v>81</v>
      </c>
      <c r="D196" s="119">
        <v>27576</v>
      </c>
      <c r="E196" s="119" t="s">
        <v>199</v>
      </c>
      <c r="F196" s="119">
        <v>814</v>
      </c>
      <c r="G196" s="119" t="str">
        <f>IF(OR(Prod[[#This Row],[S1Hrs]]&gt;0,Prod[[#This Row],[S2Hrs]]&gt;0,Prod[[#This Row],[S3Hrs]]&gt;0),"Running","Down")</f>
        <v>Running</v>
      </c>
      <c r="H196" s="194">
        <v>0</v>
      </c>
      <c r="I196" s="185">
        <v>0</v>
      </c>
      <c r="J196" s="130">
        <v>0</v>
      </c>
      <c r="K196" s="130">
        <v>0</v>
      </c>
      <c r="L196" s="120">
        <f>Prod[[#This Row],[S1Shot]]*Prod[[#This Row],[S1Cavity]]-Prod[[#This Row],[S1Dft]]</f>
        <v>0</v>
      </c>
      <c r="M196" s="136">
        <f>SUM(Prod[[#This Row],[S1Mold]],Prod[[#This Row],[S1Print]],Prod[[#This Row],[S1Ovlp]],Prod[[#This Row],[S1Seam]],Prod[[#This Row],[S1Dmg]])</f>
        <v>0</v>
      </c>
      <c r="N196" s="194">
        <v>21.88</v>
      </c>
      <c r="O196" s="185">
        <v>6</v>
      </c>
      <c r="P196" s="130">
        <v>998</v>
      </c>
      <c r="Q196" s="130">
        <v>8</v>
      </c>
      <c r="R196" s="120">
        <f>Prod[[#This Row],[S2Shot]]*Prod[[#This Row],[S2Cavity]]-Prod[[#This Row],[S2Dft]]</f>
        <v>7864</v>
      </c>
      <c r="S196" s="136">
        <f>SUM(Prod[[#This Row],[S2Mold]],Prod[[#This Row],[S2Print]],Prod[[#This Row],[S2Ovlp]],Prod[[#This Row],[S2Seam]],Prod[[#This Row],[S2Dmg]])</f>
        <v>120</v>
      </c>
      <c r="T196" s="194">
        <v>21.89</v>
      </c>
      <c r="U196" s="185">
        <v>8</v>
      </c>
      <c r="V196" s="130">
        <v>1146</v>
      </c>
      <c r="W196" s="130">
        <v>8</v>
      </c>
      <c r="X196" s="120">
        <f>Prod[[#This Row],[S3Shot]]*Prod[[#This Row],[S3Cavity]]-Prod[[#This Row],[S3Dft]]</f>
        <v>9038</v>
      </c>
      <c r="Y196" s="120">
        <f>SUM(Prod[[#This Row],[S3Mold]],Prod[[#This Row],[S3Print]],Prod[[#This Row],[S3Ovlp]],Prod[[#This Row],[S3Seam]],Prod[[#This Row],[S3Dmg]])</f>
        <v>130</v>
      </c>
      <c r="Z196" s="120">
        <f>SUM(Prod[[#This Row],[S1Qty]],Prod[[#This Row],[S2Qty]],Prod[[#This Row],[S3Qty]])</f>
        <v>16902</v>
      </c>
      <c r="AA196" s="120">
        <f>SUM(Prod[[#This Row],[S1Dft]],Prod[[#This Row],[S2Dft]],Prod[[#This Row],[S3Dft]])</f>
        <v>250</v>
      </c>
      <c r="AB196" s="121">
        <f>IF(Prod[[#This Row],[Total]]=0,0,Prod[[#This Row],[TotalDft]]/Prod[[#This Row],[Total]])</f>
        <v>1.4791148976452491E-2</v>
      </c>
      <c r="AC196" s="131" t="s">
        <v>247</v>
      </c>
      <c r="AD196" s="120">
        <v>0</v>
      </c>
      <c r="AE196" s="120">
        <v>20</v>
      </c>
      <c r="AF196" s="120">
        <v>20</v>
      </c>
      <c r="AG196" s="120">
        <v>0</v>
      </c>
      <c r="AH196" s="120">
        <v>100</v>
      </c>
      <c r="AI196" s="120">
        <v>110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32">
        <f>IF(Prod[[#This Row],[S1Hrs]]=0,0,Prod[[#This Row],[S1Shot]]*Prod[[#This Row],[S1Cycle]]/(Prod[[#This Row],[S1Hrs]]*60*60))</f>
        <v>0</v>
      </c>
      <c r="AT196" s="132">
        <f>IF(Prod[[#This Row],[S2Hrs]]=0,0,Prod[[#This Row],[S2Shot]]*Prod[[#This Row],[S2Cycle]]/(Prod[[#This Row],[S2Hrs]]*60*60))</f>
        <v>1.010937037037037</v>
      </c>
      <c r="AU196" s="132">
        <f>IF(Prod[[#This Row],[S3Hrs]]=0,0,Prod[[#This Row],[S3Shot]]*Prod[[#This Row],[S3Cycle]]/(Prod[[#This Row],[S3Hrs]]*60*60))</f>
        <v>0.87103958333333342</v>
      </c>
      <c r="AV196" s="132">
        <f>IFERROR(AVERAGEIF(Prod[[#This Row],[S1%]:[S3%]], "&lt;&gt;0"),0)</f>
        <v>0.94098831018518525</v>
      </c>
      <c r="AW196" s="132">
        <v>0</v>
      </c>
      <c r="AX196" s="132">
        <v>0</v>
      </c>
      <c r="AY196" s="132">
        <v>0</v>
      </c>
      <c r="AZ196" s="175">
        <f>IF(Prod[[#This Row],[S1Cycle]]&lt;&gt;0,1,0)</f>
        <v>0</v>
      </c>
      <c r="BA196" s="175">
        <f>IF(Prod[[#This Row],[S2Cycle]]&lt;&gt;0,1,0)</f>
        <v>1</v>
      </c>
      <c r="BB196" s="175">
        <f>IF(Prod[[#This Row],[S3Cycle]]&lt;&gt;0,1,0)</f>
        <v>1</v>
      </c>
      <c r="BC196" s="175">
        <f>MAX(Prod[[#This Row],[S1Cavity]],Prod[[#This Row],[S2Cavity]],Prod[[#This Row],[S3Cavity]])</f>
        <v>8</v>
      </c>
      <c r="BD196" s="175" t="b">
        <f>RegExpMatch(Prod[[#This Row],[MoldNo]], "^DEO-(B|C)")</f>
        <v>1</v>
      </c>
      <c r="BE196" s="175" t="b">
        <f>RegExpMatch(Prod[[#This Row],[MoldNo]], "^JAC")</f>
        <v>0</v>
      </c>
    </row>
    <row r="197" spans="1:57" x14ac:dyDescent="0.2">
      <c r="A197" s="117">
        <v>45455</v>
      </c>
      <c r="B197" s="130" t="s">
        <v>195</v>
      </c>
      <c r="C197" s="119" t="s">
        <v>145</v>
      </c>
      <c r="D197" s="119">
        <v>27761</v>
      </c>
      <c r="E197" s="131" t="s">
        <v>199</v>
      </c>
      <c r="F197" s="119">
        <v>814</v>
      </c>
      <c r="G197" s="119" t="str">
        <f>IF(OR(Prod[[#This Row],[S1Hrs]]&gt;0,Prod[[#This Row],[S2Hrs]]&gt;0,Prod[[#This Row],[S3Hrs]]&gt;0),"Running","Down")</f>
        <v>Running</v>
      </c>
      <c r="H197" s="194">
        <v>13.43</v>
      </c>
      <c r="I197" s="185">
        <v>8</v>
      </c>
      <c r="J197" s="130">
        <v>2143</v>
      </c>
      <c r="K197" s="130">
        <v>16</v>
      </c>
      <c r="L197" s="120">
        <f>Prod[[#This Row],[S1Shot]]*Prod[[#This Row],[S1Cavity]]-Prod[[#This Row],[S1Dft]]</f>
        <v>34288</v>
      </c>
      <c r="M197" s="134"/>
      <c r="N197" s="194">
        <v>13.43</v>
      </c>
      <c r="O197" s="185">
        <v>8</v>
      </c>
      <c r="P197" s="130">
        <v>2261</v>
      </c>
      <c r="Q197" s="130">
        <v>16</v>
      </c>
      <c r="R197" s="120">
        <f>Prod[[#This Row],[S2Shot]]*Prod[[#This Row],[S2Cavity]]-Prod[[#This Row],[S2Dft]]</f>
        <v>36176</v>
      </c>
      <c r="S197" s="134"/>
      <c r="T197" s="194">
        <v>13.42</v>
      </c>
      <c r="U197" s="185">
        <v>8</v>
      </c>
      <c r="V197" s="130">
        <v>2037</v>
      </c>
      <c r="W197" s="130">
        <v>16</v>
      </c>
      <c r="X197" s="120">
        <f>Prod[[#This Row],[S3Shot]]*Prod[[#This Row],[S3Cavity]]-Prod[[#This Row],[S3Dft]]</f>
        <v>32592</v>
      </c>
      <c r="Y197" s="134"/>
      <c r="Z197" s="120">
        <f>SUM(Prod[[#This Row],[S1Qty]],Prod[[#This Row],[S2Qty]],Prod[[#This Row],[S3Qty]])</f>
        <v>103056</v>
      </c>
      <c r="AA197" s="134"/>
      <c r="AB197" s="135"/>
      <c r="AC197" s="118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2">
        <f>IF(Prod[[#This Row],[S1Hrs]]=0,0,Prod[[#This Row],[S1Shot]]*Prod[[#This Row],[S1Cycle]]/(Prod[[#This Row],[S1Hrs]]*60*60))</f>
        <v>0.99932256944444442</v>
      </c>
      <c r="AT197" s="132">
        <f>IF(Prod[[#This Row],[S2Hrs]]=0,0,Prod[[#This Row],[S2Shot]]*Prod[[#This Row],[S2Cycle]]/(Prod[[#This Row],[S2Hrs]]*60*60))</f>
        <v>1.0543482638888888</v>
      </c>
      <c r="AU197" s="132">
        <f>IF(Prod[[#This Row],[S3Hrs]]=0,0,Prod[[#This Row],[S3Shot]]*Prod[[#This Row],[S3Cycle]]/(Prod[[#This Row],[S3Hrs]]*60*60))</f>
        <v>0.94918541666666667</v>
      </c>
      <c r="AV197" s="132">
        <f>IFERROR(AVERAGEIF(Prod[[#This Row],[S1%]:[S3%]], "&lt;&gt;0"),0)</f>
        <v>1.0009520833333332</v>
      </c>
      <c r="AW197" s="132">
        <v>0</v>
      </c>
      <c r="AX197" s="132">
        <v>0</v>
      </c>
      <c r="AY197" s="132">
        <v>0</v>
      </c>
      <c r="AZ197" s="175">
        <f>IF(Prod[[#This Row],[S1Cycle]]&lt;&gt;0,1,0)</f>
        <v>1</v>
      </c>
      <c r="BA197" s="175">
        <f>IF(Prod[[#This Row],[S2Cycle]]&lt;&gt;0,1,0)</f>
        <v>1</v>
      </c>
      <c r="BB197" s="175">
        <f>IF(Prod[[#This Row],[S3Cycle]]&lt;&gt;0,1,0)</f>
        <v>1</v>
      </c>
      <c r="BC197" s="175">
        <f>MAX(Prod[[#This Row],[S1Cavity]],Prod[[#This Row],[S2Cavity]],Prod[[#This Row],[S3Cavity]])</f>
        <v>16</v>
      </c>
      <c r="BD197" s="175" t="b">
        <f>RegExpMatch(Prod[[#This Row],[MoldNo]], "^DEO-(B|C)")</f>
        <v>0</v>
      </c>
      <c r="BE197" s="175" t="b">
        <f>RegExpMatch(Prod[[#This Row],[MoldNo]], "^JAC")</f>
        <v>0</v>
      </c>
    </row>
    <row r="198" spans="1:57" x14ac:dyDescent="0.2">
      <c r="A198" s="117">
        <v>45456</v>
      </c>
      <c r="B198" s="120" t="s">
        <v>190</v>
      </c>
      <c r="C198" s="119" t="s">
        <v>153</v>
      </c>
      <c r="D198" s="119">
        <v>27422</v>
      </c>
      <c r="E198" s="131" t="s">
        <v>199</v>
      </c>
      <c r="F198" s="119">
        <v>6331</v>
      </c>
      <c r="G198" s="119" t="str">
        <f>IF(OR(Prod[[#This Row],[S1Hrs]]&gt;0,Prod[[#This Row],[S2Hrs]]&gt;0,Prod[[#This Row],[S3Hrs]]&gt;0),"Running","Down")</f>
        <v>Running</v>
      </c>
      <c r="H198" s="194">
        <v>22.69</v>
      </c>
      <c r="I198" s="185">
        <v>8</v>
      </c>
      <c r="J198" s="130">
        <v>1255</v>
      </c>
      <c r="K198" s="130">
        <v>4</v>
      </c>
      <c r="L198" s="120">
        <f>Prod[[#This Row],[S1Shot]]*Prod[[#This Row],[S1Cavity]]-Prod[[#This Row],[S1Dft]]</f>
        <v>5014</v>
      </c>
      <c r="M198" s="136">
        <f>SUM(Prod[[#This Row],[S1Mold]],Prod[[#This Row],[S1Print]],Prod[[#This Row],[S1Ovlp]],Prod[[#This Row],[S1Seam]],Prod[[#This Row],[S1Dmg]])</f>
        <v>6</v>
      </c>
      <c r="N198" s="194">
        <v>22.68</v>
      </c>
      <c r="O198" s="185">
        <v>8</v>
      </c>
      <c r="P198" s="130">
        <v>1250</v>
      </c>
      <c r="Q198" s="130">
        <v>4</v>
      </c>
      <c r="R198" s="120">
        <f>Prod[[#This Row],[S2Shot]]*Prod[[#This Row],[S2Cavity]]-Prod[[#This Row],[S2Dft]]</f>
        <v>4994</v>
      </c>
      <c r="S198" s="136">
        <f>SUM(Prod[[#This Row],[S2Mold]],Prod[[#This Row],[S2Print]],Prod[[#This Row],[S2Ovlp]],Prod[[#This Row],[S2Seam]],Prod[[#This Row],[S2Dmg]])</f>
        <v>6</v>
      </c>
      <c r="T198" s="194">
        <v>22.68</v>
      </c>
      <c r="U198" s="185">
        <v>8</v>
      </c>
      <c r="V198" s="130">
        <v>1245</v>
      </c>
      <c r="W198" s="130">
        <v>4</v>
      </c>
      <c r="X198" s="120">
        <f>Prod[[#This Row],[S3Shot]]*Prod[[#This Row],[S3Cavity]]-Prod[[#This Row],[S3Dft]]</f>
        <v>4972</v>
      </c>
      <c r="Y198" s="120">
        <f>SUM(Prod[[#This Row],[S3Mold]],Prod[[#This Row],[S3Print]],Prod[[#This Row],[S3Ovlp]],Prod[[#This Row],[S3Seam]],Prod[[#This Row],[S3Dmg]])</f>
        <v>8</v>
      </c>
      <c r="Z198" s="120">
        <f>SUM(Prod[[#This Row],[S1Qty]],Prod[[#This Row],[S2Qty]],Prod[[#This Row],[S3Qty]])</f>
        <v>14980</v>
      </c>
      <c r="AA198" s="120">
        <f>SUM(Prod[[#This Row],[S1Dft]],Prod[[#This Row],[S2Dft]],Prod[[#This Row],[S3Dft]])</f>
        <v>20</v>
      </c>
      <c r="AB198" s="121">
        <f>IF(Prod[[#This Row],[Total]]=0,0,Prod[[#This Row],[TotalDft]]/Prod[[#This Row],[Total]])</f>
        <v>1.3351134846461949E-3</v>
      </c>
      <c r="AC198" s="118"/>
      <c r="AD198" s="120">
        <v>6</v>
      </c>
      <c r="AE198" s="120">
        <v>6</v>
      </c>
      <c r="AF198" s="120">
        <v>8</v>
      </c>
      <c r="AG198" s="120">
        <v>0</v>
      </c>
      <c r="AH198" s="120">
        <v>0</v>
      </c>
      <c r="AI198" s="120">
        <v>0</v>
      </c>
      <c r="AJ198" s="120">
        <v>0</v>
      </c>
      <c r="AK198" s="120">
        <v>0</v>
      </c>
      <c r="AL198" s="120">
        <v>0</v>
      </c>
      <c r="AM198" s="120">
        <v>0</v>
      </c>
      <c r="AN198" s="120">
        <v>0</v>
      </c>
      <c r="AO198" s="120">
        <v>0</v>
      </c>
      <c r="AP198" s="120">
        <v>0</v>
      </c>
      <c r="AQ198" s="120">
        <v>0</v>
      </c>
      <c r="AR198" s="120">
        <v>0</v>
      </c>
      <c r="AS198" s="132">
        <f>IF(Prod[[#This Row],[S1Hrs]]=0,0,Prod[[#This Row],[S1Shot]]*Prod[[#This Row],[S1Cycle]]/(Prod[[#This Row],[S1Hrs]]*60*60))</f>
        <v>0.98874826388888892</v>
      </c>
      <c r="AT198" s="132">
        <f>IF(Prod[[#This Row],[S2Hrs]]=0,0,Prod[[#This Row],[S2Shot]]*Prod[[#This Row],[S2Cycle]]/(Prod[[#This Row],[S2Hrs]]*60*60))</f>
        <v>0.984375</v>
      </c>
      <c r="AU198" s="132">
        <f>IF(Prod[[#This Row],[S3Hrs]]=0,0,Prod[[#This Row],[S3Shot]]*Prod[[#This Row],[S3Cycle]]/(Prod[[#This Row],[S3Hrs]]*60*60))</f>
        <v>0.98043749999999996</v>
      </c>
      <c r="AV198" s="132">
        <f>IFERROR(AVERAGEIF(Prod[[#This Row],[S1%]:[S3%]], "&lt;&gt;0"),0)</f>
        <v>0.98452025462962967</v>
      </c>
      <c r="AW198" s="132">
        <v>0</v>
      </c>
      <c r="AX198" s="132">
        <v>0</v>
      </c>
      <c r="AY198" s="132">
        <v>0</v>
      </c>
      <c r="AZ198" s="175">
        <f>IF(Prod[[#This Row],[S1Cycle]]&lt;&gt;0,1,0)</f>
        <v>1</v>
      </c>
      <c r="BA198" s="175">
        <f>IF(Prod[[#This Row],[S2Cycle]]&lt;&gt;0,1,0)</f>
        <v>1</v>
      </c>
      <c r="BB198" s="175">
        <f>IF(Prod[[#This Row],[S3Cycle]]&lt;&gt;0,1,0)</f>
        <v>1</v>
      </c>
      <c r="BC198" s="175">
        <f>MAX(Prod[[#This Row],[S1Cavity]],Prod[[#This Row],[S2Cavity]],Prod[[#This Row],[S3Cavity]])</f>
        <v>4</v>
      </c>
      <c r="BD198" s="175" t="b">
        <f>RegExpMatch(Prod[[#This Row],[MoldNo]], "^DEO-(B|C)")</f>
        <v>0</v>
      </c>
      <c r="BE198" s="175" t="b">
        <f>RegExpMatch(Prod[[#This Row],[MoldNo]], "^JAC")</f>
        <v>1</v>
      </c>
    </row>
    <row r="199" spans="1:57" x14ac:dyDescent="0.2">
      <c r="A199" s="117">
        <v>45456</v>
      </c>
      <c r="B199" s="130" t="s">
        <v>6</v>
      </c>
      <c r="C199" s="131" t="s">
        <v>8</v>
      </c>
      <c r="D199" s="119"/>
      <c r="E199" s="131"/>
      <c r="F199" s="119"/>
      <c r="G199" s="119" t="str">
        <f>IF(OR(Prod[[#This Row],[S1Hrs]]&gt;0,Prod[[#This Row],[S2Hrs]]&gt;0,Prod[[#This Row],[S3Hrs]]&gt;0),"Running","Down")</f>
        <v>Down</v>
      </c>
      <c r="H199" s="194">
        <v>0</v>
      </c>
      <c r="I199" s="185">
        <v>0</v>
      </c>
      <c r="J199" s="130">
        <v>0</v>
      </c>
      <c r="K199" s="130">
        <v>0</v>
      </c>
      <c r="L199" s="120">
        <f>Prod[[#This Row],[S1Shot]]*Prod[[#This Row],[S1Cavity]]-Prod[[#This Row],[S1Dft]]</f>
        <v>0</v>
      </c>
      <c r="M199" s="136">
        <f>SUM(Prod[[#This Row],[S1Mold]],Prod[[#This Row],[S1Print]],Prod[[#This Row],[S1Ovlp]],Prod[[#This Row],[S1Seam]],Prod[[#This Row],[S1Dmg]])</f>
        <v>0</v>
      </c>
      <c r="N199" s="194">
        <v>0</v>
      </c>
      <c r="O199" s="185">
        <v>0</v>
      </c>
      <c r="P199" s="130">
        <v>0</v>
      </c>
      <c r="Q199" s="130">
        <v>0</v>
      </c>
      <c r="R199" s="120">
        <f>Prod[[#This Row],[S2Shot]]*Prod[[#This Row],[S2Cavity]]-Prod[[#This Row],[S2Dft]]</f>
        <v>0</v>
      </c>
      <c r="S199" s="136">
        <f>SUM(Prod[[#This Row],[S2Mold]],Prod[[#This Row],[S2Print]],Prod[[#This Row],[S2Ovlp]],Prod[[#This Row],[S2Seam]],Prod[[#This Row],[S2Dmg]])</f>
        <v>0</v>
      </c>
      <c r="T199" s="194">
        <v>0</v>
      </c>
      <c r="U199" s="185">
        <v>0</v>
      </c>
      <c r="V199" s="130">
        <v>0</v>
      </c>
      <c r="W199" s="130">
        <v>0</v>
      </c>
      <c r="X199" s="120">
        <f>Prod[[#This Row],[S3Shot]]*Prod[[#This Row],[S3Cavity]]-Prod[[#This Row],[S3Dft]]</f>
        <v>0</v>
      </c>
      <c r="Y199" s="120">
        <f>SUM(Prod[[#This Row],[S3Mold]],Prod[[#This Row],[S3Print]],Prod[[#This Row],[S3Ovlp]],Prod[[#This Row],[S3Seam]],Prod[[#This Row],[S3Dmg]])</f>
        <v>0</v>
      </c>
      <c r="Z199" s="120">
        <f>SUM(Prod[[#This Row],[S1Qty]],Prod[[#This Row],[S2Qty]],Prod[[#This Row],[S3Qty]])</f>
        <v>0</v>
      </c>
      <c r="AA199" s="120">
        <f>SUM(Prod[[#This Row],[S1Dft]],Prod[[#This Row],[S2Dft]],Prod[[#This Row],[S3Dft]])</f>
        <v>0</v>
      </c>
      <c r="AB199" s="121">
        <f>IF(Prod[[#This Row],[Total]]=0,0,Prod[[#This Row],[TotalDft]]/Prod[[#This Row],[Total]])</f>
        <v>0</v>
      </c>
      <c r="AC199" s="131"/>
      <c r="AD199" s="120">
        <v>0</v>
      </c>
      <c r="AE199" s="120">
        <v>0</v>
      </c>
      <c r="AF199" s="120">
        <v>0</v>
      </c>
      <c r="AG199" s="120">
        <v>0</v>
      </c>
      <c r="AH199" s="120">
        <v>0</v>
      </c>
      <c r="AI199" s="120">
        <v>0</v>
      </c>
      <c r="AJ199" s="120">
        <v>0</v>
      </c>
      <c r="AK199" s="120">
        <v>0</v>
      </c>
      <c r="AL199" s="120">
        <v>0</v>
      </c>
      <c r="AM199" s="120">
        <v>0</v>
      </c>
      <c r="AN199" s="120">
        <v>0</v>
      </c>
      <c r="AO199" s="120">
        <v>0</v>
      </c>
      <c r="AP199" s="120">
        <v>0</v>
      </c>
      <c r="AQ199" s="120">
        <v>0</v>
      </c>
      <c r="AR199" s="120">
        <v>0</v>
      </c>
      <c r="AS199" s="132">
        <f>IF(Prod[[#This Row],[S1Hrs]]=0,0,Prod[[#This Row],[S1Shot]]*Prod[[#This Row],[S1Cycle]]/(Prod[[#This Row],[S1Hrs]]*60*60))</f>
        <v>0</v>
      </c>
      <c r="AT199" s="132">
        <f>IF(Prod[[#This Row],[S2Hrs]]=0,0,Prod[[#This Row],[S2Shot]]*Prod[[#This Row],[S2Cycle]]/(Prod[[#This Row],[S2Hrs]]*60*60))</f>
        <v>0</v>
      </c>
      <c r="AU199" s="132">
        <f>IF(Prod[[#This Row],[S3Hrs]]=0,0,Prod[[#This Row],[S3Shot]]*Prod[[#This Row],[S3Cycle]]/(Prod[[#This Row],[S3Hrs]]*60*60))</f>
        <v>0</v>
      </c>
      <c r="AV199" s="132">
        <f>IFERROR(AVERAGEIF(Prod[[#This Row],[S1%]:[S3%]], "&lt;&gt;0"),0)</f>
        <v>0</v>
      </c>
      <c r="AW199" s="132">
        <v>0</v>
      </c>
      <c r="AX199" s="132">
        <v>0</v>
      </c>
      <c r="AY199" s="132">
        <v>0</v>
      </c>
      <c r="AZ199" s="175">
        <f>IF(Prod[[#This Row],[S1Cycle]]&lt;&gt;0,1,0)</f>
        <v>0</v>
      </c>
      <c r="BA199" s="175">
        <f>IF(Prod[[#This Row],[S2Cycle]]&lt;&gt;0,1,0)</f>
        <v>0</v>
      </c>
      <c r="BB199" s="175">
        <f>IF(Prod[[#This Row],[S3Cycle]]&lt;&gt;0,1,0)</f>
        <v>0</v>
      </c>
      <c r="BC199" s="175">
        <f>MAX(Prod[[#This Row],[S1Cavity]],Prod[[#This Row],[S2Cavity]],Prod[[#This Row],[S3Cavity]])</f>
        <v>0</v>
      </c>
      <c r="BD199" s="175" t="b">
        <f>RegExpMatch(Prod[[#This Row],[MoldNo]], "^DEO-(B|C)")</f>
        <v>1</v>
      </c>
      <c r="BE199" s="175" t="b">
        <f>RegExpMatch(Prod[[#This Row],[MoldNo]], "^JAC")</f>
        <v>0</v>
      </c>
    </row>
    <row r="200" spans="1:57" x14ac:dyDescent="0.2">
      <c r="A200" s="117">
        <v>45456</v>
      </c>
      <c r="B200" s="120" t="s">
        <v>7</v>
      </c>
      <c r="C200" s="119" t="s">
        <v>172</v>
      </c>
      <c r="D200" s="119">
        <v>27651</v>
      </c>
      <c r="E200" s="131" t="s">
        <v>239</v>
      </c>
      <c r="F200" s="119">
        <v>6331</v>
      </c>
      <c r="G200" s="119" t="str">
        <f>IF(OR(Prod[[#This Row],[S1Hrs]]&gt;0,Prod[[#This Row],[S2Hrs]]&gt;0,Prod[[#This Row],[S3Hrs]]&gt;0),"Running","Down")</f>
        <v>Running</v>
      </c>
      <c r="H200" s="194">
        <v>20.8</v>
      </c>
      <c r="I200" s="185">
        <v>8</v>
      </c>
      <c r="J200" s="130">
        <v>1360</v>
      </c>
      <c r="K200" s="130">
        <v>8</v>
      </c>
      <c r="L200" s="120">
        <f>Prod[[#This Row],[S1Shot]]*Prod[[#This Row],[S1Cavity]]-Prod[[#This Row],[S1Dft]]</f>
        <v>10755</v>
      </c>
      <c r="M200" s="136">
        <f>SUM(Prod[[#This Row],[S1Mold]],Prod[[#This Row],[S1Print]],Prod[[#This Row],[S1Ovlp]],Prod[[#This Row],[S1Seam]],Prod[[#This Row],[S1Dmg]])</f>
        <v>125</v>
      </c>
      <c r="N200" s="194">
        <v>20.85</v>
      </c>
      <c r="O200" s="185">
        <v>8</v>
      </c>
      <c r="P200" s="130">
        <v>1448</v>
      </c>
      <c r="Q200" s="130">
        <v>8</v>
      </c>
      <c r="R200" s="120">
        <f>Prod[[#This Row],[S2Shot]]*Prod[[#This Row],[S2Cavity]]-Prod[[#This Row],[S2Dft]]</f>
        <v>11459</v>
      </c>
      <c r="S200" s="136">
        <f>SUM(Prod[[#This Row],[S2Mold]],Prod[[#This Row],[S2Print]],Prod[[#This Row],[S2Ovlp]],Prod[[#This Row],[S2Seam]],Prod[[#This Row],[S2Dmg]])</f>
        <v>125</v>
      </c>
      <c r="T200" s="194">
        <v>20.84</v>
      </c>
      <c r="U200" s="185">
        <v>8</v>
      </c>
      <c r="V200" s="130">
        <v>1237</v>
      </c>
      <c r="W200" s="130">
        <v>8</v>
      </c>
      <c r="X200" s="120">
        <f>Prod[[#This Row],[S3Shot]]*Prod[[#This Row],[S3Cavity]]-Prod[[#This Row],[S3Dft]]</f>
        <v>9781</v>
      </c>
      <c r="Y200" s="120">
        <f>SUM(Prod[[#This Row],[S3Mold]],Prod[[#This Row],[S3Print]],Prod[[#This Row],[S3Ovlp]],Prod[[#This Row],[S3Seam]],Prod[[#This Row],[S3Dmg]])</f>
        <v>115</v>
      </c>
      <c r="Z200" s="120">
        <f>SUM(Prod[[#This Row],[S1Qty]],Prod[[#This Row],[S2Qty]],Prod[[#This Row],[S3Qty]])</f>
        <v>31995</v>
      </c>
      <c r="AA200" s="120">
        <f>SUM(Prod[[#This Row],[S1Dft]],Prod[[#This Row],[S2Dft]],Prod[[#This Row],[S3Dft]])</f>
        <v>365</v>
      </c>
      <c r="AB200" s="121">
        <f>IF(Prod[[#This Row],[Total]]=0,0,Prod[[#This Row],[TotalDft]]/Prod[[#This Row],[Total]])</f>
        <v>1.1408032505078918E-2</v>
      </c>
      <c r="AC200" s="131" t="s">
        <v>249</v>
      </c>
      <c r="AD200" s="120">
        <v>20</v>
      </c>
      <c r="AE200" s="120">
        <v>20</v>
      </c>
      <c r="AF200" s="120">
        <v>15</v>
      </c>
      <c r="AG200" s="120">
        <v>105</v>
      </c>
      <c r="AH200" s="120">
        <v>105</v>
      </c>
      <c r="AI200" s="120">
        <v>100</v>
      </c>
      <c r="AJ200" s="120">
        <v>0</v>
      </c>
      <c r="AK200" s="120">
        <v>0</v>
      </c>
      <c r="AL200" s="120">
        <v>0</v>
      </c>
      <c r="AM200" s="120">
        <v>0</v>
      </c>
      <c r="AN200" s="120">
        <v>0</v>
      </c>
      <c r="AO200" s="120">
        <v>0</v>
      </c>
      <c r="AP200" s="120">
        <v>0</v>
      </c>
      <c r="AQ200" s="120">
        <v>0</v>
      </c>
      <c r="AR200" s="120">
        <v>0</v>
      </c>
      <c r="AS200" s="132">
        <f>IF(Prod[[#This Row],[S1Hrs]]=0,0,Prod[[#This Row],[S1Shot]]*Prod[[#This Row],[S1Cycle]]/(Prod[[#This Row],[S1Hrs]]*60*60))</f>
        <v>0.98222222222222222</v>
      </c>
      <c r="AT200" s="132">
        <f>IF(Prod[[#This Row],[S2Hrs]]=0,0,Prod[[#This Row],[S2Shot]]*Prod[[#This Row],[S2Cycle]]/(Prod[[#This Row],[S2Hrs]]*60*60))</f>
        <v>1.0482916666666668</v>
      </c>
      <c r="AU200" s="132">
        <f>IF(Prod[[#This Row],[S3Hrs]]=0,0,Prod[[#This Row],[S3Shot]]*Prod[[#This Row],[S3Cycle]]/(Prod[[#This Row],[S3Hrs]]*60*60))</f>
        <v>0.89510694444444439</v>
      </c>
      <c r="AV200" s="132">
        <f>IFERROR(AVERAGEIF(Prod[[#This Row],[S1%]:[S3%]], "&lt;&gt;0"),0)</f>
        <v>0.97520694444444445</v>
      </c>
      <c r="AW200" s="132">
        <v>0.5</v>
      </c>
      <c r="AX200" s="132">
        <v>0</v>
      </c>
      <c r="AY200" s="132">
        <v>0</v>
      </c>
      <c r="AZ200" s="175">
        <f>IF(Prod[[#This Row],[S1Cycle]]&lt;&gt;0,1,0)</f>
        <v>1</v>
      </c>
      <c r="BA200" s="175">
        <f>IF(Prod[[#This Row],[S2Cycle]]&lt;&gt;0,1,0)</f>
        <v>1</v>
      </c>
      <c r="BB200" s="175">
        <f>IF(Prod[[#This Row],[S3Cycle]]&lt;&gt;0,1,0)</f>
        <v>1</v>
      </c>
      <c r="BC200" s="175">
        <f>MAX(Prod[[#This Row],[S1Cavity]],Prod[[#This Row],[S2Cavity]],Prod[[#This Row],[S3Cavity]])</f>
        <v>8</v>
      </c>
      <c r="BD200" s="175" t="b">
        <f>RegExpMatch(Prod[[#This Row],[MoldNo]], "^DEO-(B|C)")</f>
        <v>1</v>
      </c>
      <c r="BE200" s="175" t="b">
        <f>RegExpMatch(Prod[[#This Row],[MoldNo]], "^JAC")</f>
        <v>0</v>
      </c>
    </row>
    <row r="201" spans="1:57" x14ac:dyDescent="0.2">
      <c r="A201" s="117">
        <v>45456</v>
      </c>
      <c r="B201" s="120" t="s">
        <v>85</v>
      </c>
      <c r="C201" s="119" t="s">
        <v>165</v>
      </c>
      <c r="D201" s="119">
        <v>27692</v>
      </c>
      <c r="E201" s="131" t="s">
        <v>239</v>
      </c>
      <c r="F201" s="119">
        <v>6331</v>
      </c>
      <c r="G201" s="119" t="str">
        <f>IF(OR(Prod[[#This Row],[S1Hrs]]&gt;0,Prod[[#This Row],[S2Hrs]]&gt;0,Prod[[#This Row],[S3Hrs]]&gt;0),"Running","Down")</f>
        <v>Running</v>
      </c>
      <c r="H201" s="194">
        <v>20.43</v>
      </c>
      <c r="I201" s="185">
        <v>8</v>
      </c>
      <c r="J201" s="130">
        <v>1403</v>
      </c>
      <c r="K201" s="130">
        <v>16</v>
      </c>
      <c r="L201" s="120">
        <f>Prod[[#This Row],[S1Shot]]*Prod[[#This Row],[S1Cavity]]-Prod[[#This Row],[S1Dft]]</f>
        <v>22448</v>
      </c>
      <c r="M201" s="134"/>
      <c r="N201" s="194">
        <v>20.43</v>
      </c>
      <c r="O201" s="185">
        <v>8</v>
      </c>
      <c r="P201" s="130">
        <v>1494</v>
      </c>
      <c r="Q201" s="130">
        <v>16</v>
      </c>
      <c r="R201" s="120">
        <f>Prod[[#This Row],[S2Shot]]*Prod[[#This Row],[S2Cavity]]-Prod[[#This Row],[S2Dft]]</f>
        <v>23904</v>
      </c>
      <c r="S201" s="134"/>
      <c r="T201" s="194">
        <v>20.43</v>
      </c>
      <c r="U201" s="185">
        <v>3</v>
      </c>
      <c r="V201" s="130">
        <v>570</v>
      </c>
      <c r="W201" s="130">
        <v>16</v>
      </c>
      <c r="X201" s="120">
        <f>Prod[[#This Row],[S3Shot]]*Prod[[#This Row],[S3Cavity]]-Prod[[#This Row],[S3Dft]]</f>
        <v>9120</v>
      </c>
      <c r="Y201" s="134"/>
      <c r="Z201" s="120">
        <f>SUM(Prod[[#This Row],[S1Qty]],Prod[[#This Row],[S2Qty]],Prod[[#This Row],[S3Qty]])</f>
        <v>55472</v>
      </c>
      <c r="AA201" s="134"/>
      <c r="AB201" s="135"/>
      <c r="AC201" s="118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2">
        <f>IF(Prod[[#This Row],[S1Hrs]]=0,0,Prod[[#This Row],[S1Shot]]*Prod[[#This Row],[S1Cycle]]/(Prod[[#This Row],[S1Hrs]]*60*60))</f>
        <v>0.99525312500000007</v>
      </c>
      <c r="AT201" s="132">
        <f>IF(Prod[[#This Row],[S2Hrs]]=0,0,Prod[[#This Row],[S2Shot]]*Prod[[#This Row],[S2Cycle]]/(Prod[[#This Row],[S2Hrs]]*60*60))</f>
        <v>1.0598062499999998</v>
      </c>
      <c r="AU201" s="132">
        <f>IF(Prod[[#This Row],[S3Hrs]]=0,0,Prod[[#This Row],[S3Shot]]*Prod[[#This Row],[S3Cycle]]/(Prod[[#This Row],[S3Hrs]]*60*60))</f>
        <v>1.0782499999999999</v>
      </c>
      <c r="AV201" s="132">
        <f>IFERROR(AVERAGEIF(Prod[[#This Row],[S1%]:[S3%]], "&lt;&gt;0"),0)</f>
        <v>1.0444364583333332</v>
      </c>
      <c r="AW201" s="132">
        <v>0</v>
      </c>
      <c r="AX201" s="132">
        <v>0</v>
      </c>
      <c r="AY201" s="132">
        <v>0</v>
      </c>
      <c r="AZ201" s="175">
        <f>IF(Prod[[#This Row],[S1Cycle]]&lt;&gt;0,1,0)</f>
        <v>1</v>
      </c>
      <c r="BA201" s="175">
        <f>IF(Prod[[#This Row],[S2Cycle]]&lt;&gt;0,1,0)</f>
        <v>1</v>
      </c>
      <c r="BB201" s="175">
        <f>IF(Prod[[#This Row],[S3Cycle]]&lt;&gt;0,1,0)</f>
        <v>1</v>
      </c>
      <c r="BC201" s="175">
        <f>MAX(Prod[[#This Row],[S1Cavity]],Prod[[#This Row],[S2Cavity]],Prod[[#This Row],[S3Cavity]])</f>
        <v>16</v>
      </c>
      <c r="BD201" s="175" t="b">
        <f>RegExpMatch(Prod[[#This Row],[MoldNo]], "^DEO-(B|C)")</f>
        <v>0</v>
      </c>
      <c r="BE201" s="175" t="b">
        <f>RegExpMatch(Prod[[#This Row],[MoldNo]], "^JAC")</f>
        <v>0</v>
      </c>
    </row>
    <row r="202" spans="1:57" x14ac:dyDescent="0.2">
      <c r="A202" s="117">
        <v>45456</v>
      </c>
      <c r="B202" s="120" t="s">
        <v>85</v>
      </c>
      <c r="C202" s="119" t="s">
        <v>165</v>
      </c>
      <c r="D202" s="119"/>
      <c r="E202" s="131"/>
      <c r="F202" s="119"/>
      <c r="G202" s="119" t="str">
        <f>IF(OR(Prod[[#This Row],[S1Hrs]]&gt;0,Prod[[#This Row],[S2Hrs]]&gt;0,Prod[[#This Row],[S3Hrs]]&gt;0),"Running","Down")</f>
        <v>Down</v>
      </c>
      <c r="H202" s="194">
        <v>0</v>
      </c>
      <c r="I202" s="185">
        <v>0</v>
      </c>
      <c r="J202" s="130">
        <v>0</v>
      </c>
      <c r="K202" s="130">
        <v>0</v>
      </c>
      <c r="L202" s="120">
        <f>Prod[[#This Row],[S1Shot]]*Prod[[#This Row],[S1Cavity]]-Prod[[#This Row],[S1Dft]]</f>
        <v>0</v>
      </c>
      <c r="M202" s="134"/>
      <c r="N202" s="194">
        <v>0</v>
      </c>
      <c r="O202" s="185">
        <v>0</v>
      </c>
      <c r="P202" s="130">
        <v>0</v>
      </c>
      <c r="Q202" s="130">
        <v>0</v>
      </c>
      <c r="R202" s="120">
        <f>Prod[[#This Row],[S2Shot]]*Prod[[#This Row],[S2Cavity]]-Prod[[#This Row],[S2Dft]]</f>
        <v>0</v>
      </c>
      <c r="S202" s="134"/>
      <c r="T202" s="194">
        <v>0</v>
      </c>
      <c r="U202" s="185">
        <v>0</v>
      </c>
      <c r="V202" s="130">
        <v>0</v>
      </c>
      <c r="W202" s="130">
        <v>0</v>
      </c>
      <c r="X202" s="120">
        <f>Prod[[#This Row],[S3Shot]]*Prod[[#This Row],[S3Cavity]]-Prod[[#This Row],[S3Dft]]</f>
        <v>0</v>
      </c>
      <c r="Y202" s="134"/>
      <c r="Z202" s="120">
        <f>SUM(Prod[[#This Row],[S1Qty]],Prod[[#This Row],[S2Qty]],Prod[[#This Row],[S3Qty]])</f>
        <v>0</v>
      </c>
      <c r="AA202" s="134"/>
      <c r="AB202" s="135"/>
      <c r="AC202" s="118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2">
        <f>IF(Prod[[#This Row],[S1Hrs]]=0,0,Prod[[#This Row],[S1Shot]]*Prod[[#This Row],[S1Cycle]]/(Prod[[#This Row],[S1Hrs]]*60*60))</f>
        <v>0</v>
      </c>
      <c r="AT202" s="132">
        <f>IF(Prod[[#This Row],[S2Hrs]]=0,0,Prod[[#This Row],[S2Shot]]*Prod[[#This Row],[S2Cycle]]/(Prod[[#This Row],[S2Hrs]]*60*60))</f>
        <v>0</v>
      </c>
      <c r="AU202" s="132">
        <f>IF(Prod[[#This Row],[S3Hrs]]=0,0,Prod[[#This Row],[S3Shot]]*Prod[[#This Row],[S3Cycle]]/(Prod[[#This Row],[S3Hrs]]*60*60))</f>
        <v>0</v>
      </c>
      <c r="AV202" s="132">
        <f>IFERROR(AVERAGEIF(Prod[[#This Row],[S1%]:[S3%]], "&lt;&gt;0"),0)</f>
        <v>0</v>
      </c>
      <c r="AW202" s="132">
        <v>0</v>
      </c>
      <c r="AX202" s="132">
        <v>0</v>
      </c>
      <c r="AY202" s="132">
        <v>0</v>
      </c>
      <c r="AZ202" s="175">
        <f>IF(Prod[[#This Row],[S1Cycle]]&lt;&gt;0,1,0)</f>
        <v>0</v>
      </c>
      <c r="BA202" s="175">
        <f>IF(Prod[[#This Row],[S2Cycle]]&lt;&gt;0,1,0)</f>
        <v>0</v>
      </c>
      <c r="BB202" s="175">
        <f>IF(Prod[[#This Row],[S3Cycle]]&lt;&gt;0,1,0)</f>
        <v>0</v>
      </c>
      <c r="BC202" s="175">
        <f>MAX(Prod[[#This Row],[S1Cavity]],Prod[[#This Row],[S2Cavity]],Prod[[#This Row],[S3Cavity]])</f>
        <v>0</v>
      </c>
      <c r="BD202" s="175" t="b">
        <f>RegExpMatch(Prod[[#This Row],[MoldNo]], "^DEO-(B|C)")</f>
        <v>0</v>
      </c>
      <c r="BE202" s="175" t="b">
        <f>RegExpMatch(Prod[[#This Row],[MoldNo]], "^JAC")</f>
        <v>0</v>
      </c>
    </row>
    <row r="203" spans="1:57" x14ac:dyDescent="0.2">
      <c r="A203" s="117">
        <v>45456</v>
      </c>
      <c r="B203" s="120" t="s">
        <v>196</v>
      </c>
      <c r="C203" s="119" t="s">
        <v>82</v>
      </c>
      <c r="D203" s="119">
        <v>27438</v>
      </c>
      <c r="E203" s="131" t="s">
        <v>199</v>
      </c>
      <c r="F203" s="119">
        <v>814</v>
      </c>
      <c r="G203" s="119" t="str">
        <f>IF(OR(Prod[[#This Row],[S1Hrs]]&gt;0,Prod[[#This Row],[S2Hrs]]&gt;0,Prod[[#This Row],[S3Hrs]]&gt;0),"Running","Down")</f>
        <v>Running</v>
      </c>
      <c r="H203" s="194">
        <v>20.7</v>
      </c>
      <c r="I203" s="185">
        <v>5.5</v>
      </c>
      <c r="J203" s="130">
        <v>881</v>
      </c>
      <c r="K203" s="130">
        <v>16</v>
      </c>
      <c r="L203" s="120">
        <f>Prod[[#This Row],[S1Shot]]*Prod[[#This Row],[S1Cavity]]-Prod[[#This Row],[S1Dft]]</f>
        <v>14096</v>
      </c>
      <c r="M203" s="134"/>
      <c r="N203" s="194">
        <v>20.67</v>
      </c>
      <c r="O203" s="185">
        <v>8</v>
      </c>
      <c r="P203" s="130">
        <v>1465</v>
      </c>
      <c r="Q203" s="130">
        <v>16</v>
      </c>
      <c r="R203" s="120">
        <f>Prod[[#This Row],[S2Shot]]*Prod[[#This Row],[S2Cavity]]-Prod[[#This Row],[S2Dft]]</f>
        <v>23440</v>
      </c>
      <c r="S203" s="134"/>
      <c r="T203" s="194">
        <v>20.69</v>
      </c>
      <c r="U203" s="185">
        <v>8</v>
      </c>
      <c r="V203" s="130">
        <v>1409</v>
      </c>
      <c r="W203" s="130">
        <v>16</v>
      </c>
      <c r="X203" s="120">
        <f>Prod[[#This Row],[S3Shot]]*Prod[[#This Row],[S3Cavity]]-Prod[[#This Row],[S3Dft]]</f>
        <v>22544</v>
      </c>
      <c r="Y203" s="134"/>
      <c r="Z203" s="120">
        <f>SUM(Prod[[#This Row],[S1Qty]],Prod[[#This Row],[S2Qty]],Prod[[#This Row],[S3Qty]])</f>
        <v>60080</v>
      </c>
      <c r="AA203" s="134"/>
      <c r="AB203" s="135"/>
      <c r="AC203" s="118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2">
        <f>IF(Prod[[#This Row],[S1Hrs]]=0,0,Prod[[#This Row],[S1Shot]]*Prod[[#This Row],[S1Cycle]]/(Prod[[#This Row],[S1Hrs]]*60*60))</f>
        <v>0.92104545454545461</v>
      </c>
      <c r="AT203" s="132">
        <f>IF(Prod[[#This Row],[S2Hrs]]=0,0,Prod[[#This Row],[S2Shot]]*Prod[[#This Row],[S2Cycle]]/(Prod[[#This Row],[S2Hrs]]*60*60))</f>
        <v>1.0514427083333335</v>
      </c>
      <c r="AU203" s="132">
        <f>IF(Prod[[#This Row],[S3Hrs]]=0,0,Prod[[#This Row],[S3Shot]]*Prod[[#This Row],[S3Cycle]]/(Prod[[#This Row],[S3Hrs]]*60*60))</f>
        <v>1.012229513888889</v>
      </c>
      <c r="AV203" s="132">
        <f>IFERROR(AVERAGEIF(Prod[[#This Row],[S1%]:[S3%]], "&lt;&gt;0"),0)</f>
        <v>0.99490589225589243</v>
      </c>
      <c r="AW203" s="132">
        <v>0</v>
      </c>
      <c r="AX203" s="132">
        <v>2.5</v>
      </c>
      <c r="AY203" s="132">
        <v>0</v>
      </c>
      <c r="AZ203" s="175">
        <f>IF(Prod[[#This Row],[S1Cycle]]&lt;&gt;0,1,0)</f>
        <v>1</v>
      </c>
      <c r="BA203" s="175">
        <f>IF(Prod[[#This Row],[S2Cycle]]&lt;&gt;0,1,0)</f>
        <v>1</v>
      </c>
      <c r="BB203" s="175">
        <f>IF(Prod[[#This Row],[S3Cycle]]&lt;&gt;0,1,0)</f>
        <v>1</v>
      </c>
      <c r="BC203" s="175">
        <f>MAX(Prod[[#This Row],[S1Cavity]],Prod[[#This Row],[S2Cavity]],Prod[[#This Row],[S3Cavity]])</f>
        <v>16</v>
      </c>
      <c r="BD203" s="175" t="b">
        <f>RegExpMatch(Prod[[#This Row],[MoldNo]], "^DEO-(B|C)")</f>
        <v>0</v>
      </c>
      <c r="BE203" s="175" t="b">
        <f>RegExpMatch(Prod[[#This Row],[MoldNo]], "^JAC")</f>
        <v>0</v>
      </c>
    </row>
    <row r="204" spans="1:57" x14ac:dyDescent="0.2">
      <c r="A204" s="117">
        <v>45456</v>
      </c>
      <c r="B204" s="120" t="s">
        <v>192</v>
      </c>
      <c r="C204" s="131" t="s">
        <v>193</v>
      </c>
      <c r="D204" s="119"/>
      <c r="E204" s="131"/>
      <c r="F204" s="119"/>
      <c r="G204" s="119" t="str">
        <f>IF(OR(Prod[[#This Row],[S1Hrs]]&gt;0,Prod[[#This Row],[S2Hrs]]&gt;0,Prod[[#This Row],[S3Hrs]]&gt;0),"Running","Down")</f>
        <v>Down</v>
      </c>
      <c r="H204" s="194">
        <v>0</v>
      </c>
      <c r="I204" s="185">
        <v>0</v>
      </c>
      <c r="J204" s="130">
        <v>0</v>
      </c>
      <c r="K204" s="130">
        <v>0</v>
      </c>
      <c r="L204" s="120">
        <f>Prod[[#This Row],[S1Shot]]*Prod[[#This Row],[S1Cavity]]-Prod[[#This Row],[S1Dft]]</f>
        <v>0</v>
      </c>
      <c r="M204" s="134"/>
      <c r="N204" s="194">
        <v>0</v>
      </c>
      <c r="O204" s="185">
        <v>0</v>
      </c>
      <c r="P204" s="130">
        <v>0</v>
      </c>
      <c r="Q204" s="130">
        <v>0</v>
      </c>
      <c r="R204" s="120">
        <f>Prod[[#This Row],[S2Shot]]*Prod[[#This Row],[S2Cavity]]-Prod[[#This Row],[S2Dft]]</f>
        <v>0</v>
      </c>
      <c r="S204" s="134"/>
      <c r="T204" s="194">
        <v>0</v>
      </c>
      <c r="U204" s="185">
        <v>0</v>
      </c>
      <c r="V204" s="130">
        <v>0</v>
      </c>
      <c r="W204" s="130">
        <v>0</v>
      </c>
      <c r="X204" s="120">
        <f>Prod[[#This Row],[S3Shot]]*Prod[[#This Row],[S3Cavity]]-Prod[[#This Row],[S3Dft]]</f>
        <v>0</v>
      </c>
      <c r="Y204" s="134"/>
      <c r="Z204" s="120">
        <f>SUM(Prod[[#This Row],[S1Qty]],Prod[[#This Row],[S2Qty]],Prod[[#This Row],[S3Qty]])</f>
        <v>0</v>
      </c>
      <c r="AA204" s="134"/>
      <c r="AB204" s="135"/>
      <c r="AC204" s="118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2">
        <f>IF(Prod[[#This Row],[S1Hrs]]=0,0,Prod[[#This Row],[S1Shot]]*Prod[[#This Row],[S1Cycle]]/(Prod[[#This Row],[S1Hrs]]*60*60))</f>
        <v>0</v>
      </c>
      <c r="AT204" s="132">
        <f>IF(Prod[[#This Row],[S2Hrs]]=0,0,Prod[[#This Row],[S2Shot]]*Prod[[#This Row],[S2Cycle]]/(Prod[[#This Row],[S2Hrs]]*60*60))</f>
        <v>0</v>
      </c>
      <c r="AU204" s="132">
        <f>IF(Prod[[#This Row],[S3Hrs]]=0,0,Prod[[#This Row],[S3Shot]]*Prod[[#This Row],[S3Cycle]]/(Prod[[#This Row],[S3Hrs]]*60*60))</f>
        <v>0</v>
      </c>
      <c r="AV204" s="132">
        <f>IFERROR(AVERAGEIF(Prod[[#This Row],[S1%]:[S3%]], "&lt;&gt;0"),0)</f>
        <v>0</v>
      </c>
      <c r="AW204" s="132">
        <v>0</v>
      </c>
      <c r="AX204" s="132">
        <v>0</v>
      </c>
      <c r="AY204" s="132">
        <v>0</v>
      </c>
      <c r="AZ204" s="175">
        <f>IF(Prod[[#This Row],[S1Cycle]]&lt;&gt;0,1,0)</f>
        <v>0</v>
      </c>
      <c r="BA204" s="175">
        <f>IF(Prod[[#This Row],[S2Cycle]]&lt;&gt;0,1,0)</f>
        <v>0</v>
      </c>
      <c r="BB204" s="175">
        <f>IF(Prod[[#This Row],[S3Cycle]]&lt;&gt;0,1,0)</f>
        <v>0</v>
      </c>
      <c r="BC204" s="175">
        <f>MAX(Prod[[#This Row],[S1Cavity]],Prod[[#This Row],[S2Cavity]],Prod[[#This Row],[S3Cavity]])</f>
        <v>0</v>
      </c>
      <c r="BD204" s="175" t="b">
        <f>RegExpMatch(Prod[[#This Row],[MoldNo]], "^DEO-(B|C)")</f>
        <v>0</v>
      </c>
      <c r="BE204" s="175" t="b">
        <f>RegExpMatch(Prod[[#This Row],[MoldNo]], "^JAC")</f>
        <v>0</v>
      </c>
    </row>
    <row r="205" spans="1:57" x14ac:dyDescent="0.2">
      <c r="A205" s="117">
        <v>45456</v>
      </c>
      <c r="B205" s="120" t="s">
        <v>168</v>
      </c>
      <c r="C205" s="119" t="s">
        <v>169</v>
      </c>
      <c r="D205" s="119" t="s">
        <v>250</v>
      </c>
      <c r="E205" s="131" t="s">
        <v>199</v>
      </c>
      <c r="F205" s="119">
        <v>814</v>
      </c>
      <c r="G205" s="119" t="str">
        <f>IF(OR(Prod[[#This Row],[S1Hrs]]&gt;0,Prod[[#This Row],[S2Hrs]]&gt;0,Prod[[#This Row],[S3Hrs]]&gt;0),"Running","Down")</f>
        <v>Running</v>
      </c>
      <c r="H205" s="194">
        <v>15.49</v>
      </c>
      <c r="I205" s="185">
        <v>8</v>
      </c>
      <c r="J205" s="130">
        <v>1816</v>
      </c>
      <c r="K205" s="130">
        <v>15</v>
      </c>
      <c r="L205" s="120">
        <f>Prod[[#This Row],[S1Shot]]*Prod[[#This Row],[S1Cavity]]-Prod[[#This Row],[S1Dft]]</f>
        <v>27240</v>
      </c>
      <c r="M205" s="134"/>
      <c r="N205" s="194">
        <v>15.45</v>
      </c>
      <c r="O205" s="185">
        <v>8</v>
      </c>
      <c r="P205" s="130">
        <v>2022</v>
      </c>
      <c r="Q205" s="130">
        <v>15</v>
      </c>
      <c r="R205" s="120">
        <f>Prod[[#This Row],[S2Shot]]*Prod[[#This Row],[S2Cavity]]-Prod[[#This Row],[S2Dft]]</f>
        <v>30330</v>
      </c>
      <c r="S205" s="134"/>
      <c r="T205" s="194">
        <v>15.45</v>
      </c>
      <c r="U205" s="185">
        <v>8</v>
      </c>
      <c r="V205" s="130">
        <v>1781</v>
      </c>
      <c r="W205" s="130">
        <v>15</v>
      </c>
      <c r="X205" s="120">
        <f>Prod[[#This Row],[S3Shot]]*Prod[[#This Row],[S3Cavity]]-Prod[[#This Row],[S3Dft]]</f>
        <v>26715</v>
      </c>
      <c r="Y205" s="134"/>
      <c r="Z205" s="120">
        <f>SUM(Prod[[#This Row],[S1Qty]],Prod[[#This Row],[S2Qty]],Prod[[#This Row],[S3Qty]])</f>
        <v>84285</v>
      </c>
      <c r="AA205" s="134"/>
      <c r="AB205" s="135"/>
      <c r="AC205" s="131" t="s">
        <v>251</v>
      </c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2">
        <f>IF(Prod[[#This Row],[S1Hrs]]=0,0,Prod[[#This Row],[S1Shot]]*Prod[[#This Row],[S1Cycle]]/(Prod[[#This Row],[S1Hrs]]*60*60))</f>
        <v>0.97673055555555555</v>
      </c>
      <c r="AT205" s="132">
        <f>IF(Prod[[#This Row],[S2Hrs]]=0,0,Prod[[#This Row],[S2Shot]]*Prod[[#This Row],[S2Cycle]]/(Prod[[#This Row],[S2Hrs]]*60*60))</f>
        <v>1.08471875</v>
      </c>
      <c r="AU205" s="132">
        <f>IF(Prod[[#This Row],[S3Hrs]]=0,0,Prod[[#This Row],[S3Shot]]*Prod[[#This Row],[S3Cycle]]/(Prod[[#This Row],[S3Hrs]]*60*60))</f>
        <v>0.95543229166666654</v>
      </c>
      <c r="AV205" s="132">
        <f>IFERROR(AVERAGEIF(Prod[[#This Row],[S1%]:[S3%]], "&lt;&gt;0"),0)</f>
        <v>1.0056271990740739</v>
      </c>
      <c r="AW205" s="132">
        <v>0</v>
      </c>
      <c r="AX205" s="132">
        <v>0</v>
      </c>
      <c r="AY205" s="132">
        <v>0</v>
      </c>
      <c r="AZ205" s="175">
        <f>IF(Prod[[#This Row],[S1Cycle]]&lt;&gt;0,1,0)</f>
        <v>1</v>
      </c>
      <c r="BA205" s="175">
        <f>IF(Prod[[#This Row],[S2Cycle]]&lt;&gt;0,1,0)</f>
        <v>1</v>
      </c>
      <c r="BB205" s="175">
        <f>IF(Prod[[#This Row],[S3Cycle]]&lt;&gt;0,1,0)</f>
        <v>1</v>
      </c>
      <c r="BC205" s="175">
        <f>MAX(Prod[[#This Row],[S1Cavity]],Prod[[#This Row],[S2Cavity]],Prod[[#This Row],[S3Cavity]])</f>
        <v>15</v>
      </c>
      <c r="BD205" s="175" t="b">
        <f>RegExpMatch(Prod[[#This Row],[MoldNo]], "^DEO-(B|C)")</f>
        <v>0</v>
      </c>
      <c r="BE205" s="175" t="b">
        <f>RegExpMatch(Prod[[#This Row],[MoldNo]], "^JAC")</f>
        <v>0</v>
      </c>
    </row>
    <row r="206" spans="1:57" x14ac:dyDescent="0.2">
      <c r="A206" s="117">
        <v>45456</v>
      </c>
      <c r="B206" s="120" t="s">
        <v>146</v>
      </c>
      <c r="C206" s="119" t="s">
        <v>84</v>
      </c>
      <c r="D206" s="119">
        <v>27501</v>
      </c>
      <c r="E206" s="131" t="s">
        <v>199</v>
      </c>
      <c r="F206" s="119">
        <v>6331</v>
      </c>
      <c r="G206" s="119" t="str">
        <f>IF(OR(Prod[[#This Row],[S1Hrs]]&gt;0,Prod[[#This Row],[S2Hrs]]&gt;0,Prod[[#This Row],[S3Hrs]]&gt;0),"Running","Down")</f>
        <v>Running</v>
      </c>
      <c r="H206" s="194">
        <v>14.27</v>
      </c>
      <c r="I206" s="185">
        <v>8</v>
      </c>
      <c r="J206" s="130">
        <v>2006</v>
      </c>
      <c r="K206" s="130">
        <v>8</v>
      </c>
      <c r="L206" s="120">
        <f>Prod[[#This Row],[S1Shot]]*Prod[[#This Row],[S1Cavity]]-Prod[[#This Row],[S1Dft]]</f>
        <v>16048</v>
      </c>
      <c r="M206" s="134"/>
      <c r="N206" s="194">
        <v>11.99</v>
      </c>
      <c r="O206" s="185">
        <v>8</v>
      </c>
      <c r="P206" s="130">
        <v>2459</v>
      </c>
      <c r="Q206" s="130">
        <v>8</v>
      </c>
      <c r="R206" s="120">
        <f>Prod[[#This Row],[S2Shot]]*Prod[[#This Row],[S2Cavity]]-Prod[[#This Row],[S2Dft]]</f>
        <v>19672</v>
      </c>
      <c r="S206" s="134"/>
      <c r="T206" s="194">
        <v>11.99</v>
      </c>
      <c r="U206" s="185">
        <v>8</v>
      </c>
      <c r="V206" s="130">
        <v>2195</v>
      </c>
      <c r="W206" s="130">
        <v>8</v>
      </c>
      <c r="X206" s="120">
        <f>Prod[[#This Row],[S3Shot]]*Prod[[#This Row],[S3Cavity]]-Prod[[#This Row],[S3Dft]]</f>
        <v>17560</v>
      </c>
      <c r="Y206" s="134"/>
      <c r="Z206" s="120">
        <f>SUM(Prod[[#This Row],[S1Qty]],Prod[[#This Row],[S2Qty]],Prod[[#This Row],[S3Qty]])</f>
        <v>53280</v>
      </c>
      <c r="AA206" s="134"/>
      <c r="AB206" s="135"/>
      <c r="AC206" s="118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2">
        <f>IF(Prod[[#This Row],[S1Hrs]]=0,0,Prod[[#This Row],[S1Shot]]*Prod[[#This Row],[S1Cycle]]/(Prod[[#This Row],[S1Hrs]]*60*60))</f>
        <v>0.9939451388888888</v>
      </c>
      <c r="AT206" s="132">
        <f>IF(Prod[[#This Row],[S2Hrs]]=0,0,Prod[[#This Row],[S2Shot]]*Prod[[#This Row],[S2Cycle]]/(Prod[[#This Row],[S2Hrs]]*60*60))</f>
        <v>1.0237295138888889</v>
      </c>
      <c r="AU206" s="132">
        <f>IF(Prod[[#This Row],[S3Hrs]]=0,0,Prod[[#This Row],[S3Shot]]*Prod[[#This Row],[S3Cycle]]/(Prod[[#This Row],[S3Hrs]]*60*60))</f>
        <v>0.9138211805555555</v>
      </c>
      <c r="AV206" s="132">
        <f>IFERROR(AVERAGEIF(Prod[[#This Row],[S1%]:[S3%]], "&lt;&gt;0"),0)</f>
        <v>0.97716527777777762</v>
      </c>
      <c r="AW206" s="132">
        <v>0</v>
      </c>
      <c r="AX206" s="132">
        <v>0</v>
      </c>
      <c r="AY206" s="132">
        <v>0</v>
      </c>
      <c r="AZ206" s="175">
        <f>IF(Prod[[#This Row],[S1Cycle]]&lt;&gt;0,1,0)</f>
        <v>1</v>
      </c>
      <c r="BA206" s="175">
        <f>IF(Prod[[#This Row],[S2Cycle]]&lt;&gt;0,1,0)</f>
        <v>1</v>
      </c>
      <c r="BB206" s="175">
        <f>IF(Prod[[#This Row],[S3Cycle]]&lt;&gt;0,1,0)</f>
        <v>1</v>
      </c>
      <c r="BC206" s="175">
        <f>MAX(Prod[[#This Row],[S1Cavity]],Prod[[#This Row],[S2Cavity]],Prod[[#This Row],[S3Cavity]])</f>
        <v>8</v>
      </c>
      <c r="BD206" s="175" t="b">
        <f>RegExpMatch(Prod[[#This Row],[MoldNo]], "^DEO-(B|C)")</f>
        <v>0</v>
      </c>
      <c r="BE206" s="175" t="b">
        <f>RegExpMatch(Prod[[#This Row],[MoldNo]], "^JAC")</f>
        <v>0</v>
      </c>
    </row>
    <row r="207" spans="1:57" x14ac:dyDescent="0.2">
      <c r="A207" s="117">
        <v>45456</v>
      </c>
      <c r="B207" s="130" t="s">
        <v>253</v>
      </c>
      <c r="C207" s="131" t="s">
        <v>9</v>
      </c>
      <c r="D207" s="119">
        <v>27692</v>
      </c>
      <c r="E207" s="131" t="s">
        <v>239</v>
      </c>
      <c r="F207" s="119">
        <v>6331</v>
      </c>
      <c r="G207" s="119" t="str">
        <f>IF(OR(Prod[[#This Row],[S1Hrs]]&gt;0,Prod[[#This Row],[S2Hrs]]&gt;0,Prod[[#This Row],[S3Hrs]]&gt;0),"Running","Down")</f>
        <v>Running</v>
      </c>
      <c r="H207" s="194">
        <v>15.7</v>
      </c>
      <c r="I207" s="185">
        <v>8</v>
      </c>
      <c r="J207" s="130">
        <v>1733</v>
      </c>
      <c r="K207" s="130">
        <v>8</v>
      </c>
      <c r="L207" s="120">
        <f>Prod[[#This Row],[S1Shot]]*Prod[[#This Row],[S1Cavity]]-Prod[[#This Row],[S1Dft]]</f>
        <v>13864</v>
      </c>
      <c r="M207" s="134"/>
      <c r="N207" s="194">
        <v>15.13</v>
      </c>
      <c r="O207" s="185">
        <v>8</v>
      </c>
      <c r="P207" s="130">
        <v>1933</v>
      </c>
      <c r="Q207" s="130">
        <v>8</v>
      </c>
      <c r="R207" s="120">
        <f>Prod[[#This Row],[S2Shot]]*Prod[[#This Row],[S2Cavity]]-Prod[[#This Row],[S2Dft]]</f>
        <v>15464</v>
      </c>
      <c r="S207" s="134"/>
      <c r="T207" s="194">
        <v>15.15</v>
      </c>
      <c r="U207" s="185">
        <v>8</v>
      </c>
      <c r="V207" s="130">
        <v>1698</v>
      </c>
      <c r="W207" s="130">
        <v>8</v>
      </c>
      <c r="X207" s="120">
        <f>Prod[[#This Row],[S3Shot]]*Prod[[#This Row],[S3Cavity]]-Prod[[#This Row],[S3Dft]]</f>
        <v>13584</v>
      </c>
      <c r="Y207" s="134"/>
      <c r="Z207" s="120">
        <f>SUM(Prod[[#This Row],[S1Qty]],Prod[[#This Row],[S2Qty]],Prod[[#This Row],[S3Qty]])</f>
        <v>42912</v>
      </c>
      <c r="AA207" s="134"/>
      <c r="AB207" s="135"/>
      <c r="AC207" s="118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2">
        <f>IF(Prod[[#This Row],[S1Hrs]]=0,0,Prod[[#This Row],[S1Shot]]*Prod[[#This Row],[S1Cycle]]/(Prod[[#This Row],[S1Hrs]]*60*60))</f>
        <v>0.94472569444444443</v>
      </c>
      <c r="AT207" s="132">
        <f>IF(Prod[[#This Row],[S2Hrs]]=0,0,Prod[[#This Row],[S2Shot]]*Prod[[#This Row],[S2Cycle]]/(Prod[[#This Row],[S2Hrs]]*60*60))</f>
        <v>1.0154961805555556</v>
      </c>
      <c r="AU207" s="132">
        <f>IF(Prod[[#This Row],[S3Hrs]]=0,0,Prod[[#This Row],[S3Shot]]*Prod[[#This Row],[S3Cycle]]/(Prod[[#This Row],[S3Hrs]]*60*60))</f>
        <v>0.89321875000000006</v>
      </c>
      <c r="AV207" s="132">
        <f>IFERROR(AVERAGEIF(Prod[[#This Row],[S1%]:[S3%]], "&lt;&gt;0"),0)</f>
        <v>0.95114687500000006</v>
      </c>
      <c r="AW207" s="132">
        <v>0</v>
      </c>
      <c r="AX207" s="132">
        <v>0</v>
      </c>
      <c r="AY207" s="132">
        <v>0</v>
      </c>
      <c r="AZ207" s="175">
        <f>IF(Prod[[#This Row],[S1Cycle]]&lt;&gt;0,1,0)</f>
        <v>1</v>
      </c>
      <c r="BA207" s="175">
        <f>IF(Prod[[#This Row],[S2Cycle]]&lt;&gt;0,1,0)</f>
        <v>1</v>
      </c>
      <c r="BB207" s="175">
        <f>IF(Prod[[#This Row],[S3Cycle]]&lt;&gt;0,1,0)</f>
        <v>1</v>
      </c>
      <c r="BC207" s="175">
        <f>MAX(Prod[[#This Row],[S1Cavity]],Prod[[#This Row],[S2Cavity]],Prod[[#This Row],[S3Cavity]])</f>
        <v>8</v>
      </c>
      <c r="BD207" s="175" t="b">
        <f>RegExpMatch(Prod[[#This Row],[MoldNo]], "^DEO-(B|C)")</f>
        <v>0</v>
      </c>
      <c r="BE207" s="175" t="b">
        <f>RegExpMatch(Prod[[#This Row],[MoldNo]], "^JAC")</f>
        <v>0</v>
      </c>
    </row>
    <row r="208" spans="1:57" x14ac:dyDescent="0.2">
      <c r="A208" s="117">
        <v>45456</v>
      </c>
      <c r="B208" s="130" t="s">
        <v>164</v>
      </c>
      <c r="C208" s="131" t="s">
        <v>144</v>
      </c>
      <c r="D208" s="119"/>
      <c r="E208" s="131"/>
      <c r="F208" s="119"/>
      <c r="G208" s="119" t="str">
        <f>IF(OR(Prod[[#This Row],[S1Hrs]]&gt;0,Prod[[#This Row],[S2Hrs]]&gt;0,Prod[[#This Row],[S3Hrs]]&gt;0),"Running","Down")</f>
        <v>Down</v>
      </c>
      <c r="H208" s="194">
        <v>0</v>
      </c>
      <c r="I208" s="185">
        <v>0</v>
      </c>
      <c r="J208" s="130">
        <v>0</v>
      </c>
      <c r="K208" s="130">
        <v>0</v>
      </c>
      <c r="L208" s="120">
        <f>Prod[[#This Row],[S1Shot]]*Prod[[#This Row],[S1Cavity]]-Prod[[#This Row],[S1Dft]]</f>
        <v>0</v>
      </c>
      <c r="M208" s="136">
        <f>SUM(Prod[[#This Row],[S1Mold]],Prod[[#This Row],[S1Print]],Prod[[#This Row],[S1Ovlp]],Prod[[#This Row],[S1Seam]],Prod[[#This Row],[S1Dmg]])</f>
        <v>0</v>
      </c>
      <c r="N208" s="194">
        <v>0</v>
      </c>
      <c r="O208" s="185">
        <v>0</v>
      </c>
      <c r="P208" s="130">
        <v>0</v>
      </c>
      <c r="Q208" s="130">
        <v>0</v>
      </c>
      <c r="R208" s="120">
        <f>Prod[[#This Row],[S2Shot]]*Prod[[#This Row],[S2Cavity]]-Prod[[#This Row],[S2Dft]]</f>
        <v>0</v>
      </c>
      <c r="S208" s="136">
        <f>SUM(Prod[[#This Row],[S2Mold]],Prod[[#This Row],[S2Print]],Prod[[#This Row],[S2Ovlp]],Prod[[#This Row],[S2Seam]],Prod[[#This Row],[S2Dmg]])</f>
        <v>0</v>
      </c>
      <c r="T208" s="194">
        <v>0</v>
      </c>
      <c r="U208" s="185">
        <v>0</v>
      </c>
      <c r="V208" s="130">
        <v>0</v>
      </c>
      <c r="W208" s="130">
        <v>0</v>
      </c>
      <c r="X208" s="120">
        <f>Prod[[#This Row],[S3Shot]]*Prod[[#This Row],[S3Cavity]]-Prod[[#This Row],[S3Dft]]</f>
        <v>0</v>
      </c>
      <c r="Y208" s="120">
        <f>SUM(Prod[[#This Row],[S3Mold]],Prod[[#This Row],[S3Print]],Prod[[#This Row],[S3Ovlp]],Prod[[#This Row],[S3Seam]],Prod[[#This Row],[S3Dmg]])</f>
        <v>0</v>
      </c>
      <c r="Z208" s="120">
        <f>SUM(Prod[[#This Row],[S1Qty]],Prod[[#This Row],[S2Qty]],Prod[[#This Row],[S3Qty]])</f>
        <v>0</v>
      </c>
      <c r="AA208" s="120">
        <f>SUM(Prod[[#This Row],[S1Dft]],Prod[[#This Row],[S2Dft]],Prod[[#This Row],[S3Dft]])</f>
        <v>0</v>
      </c>
      <c r="AB208" s="121">
        <f>IF(Prod[[#This Row],[Total]]=0,0,Prod[[#This Row],[TotalDft]]/Prod[[#This Row],[Total]])</f>
        <v>0</v>
      </c>
      <c r="AC208" s="118"/>
      <c r="AD208" s="120">
        <v>0</v>
      </c>
      <c r="AE208" s="120">
        <v>0</v>
      </c>
      <c r="AF208" s="120">
        <v>0</v>
      </c>
      <c r="AG208" s="120">
        <v>0</v>
      </c>
      <c r="AH208" s="120">
        <v>0</v>
      </c>
      <c r="AI208" s="120">
        <v>0</v>
      </c>
      <c r="AJ208" s="120">
        <v>0</v>
      </c>
      <c r="AK208" s="120">
        <v>0</v>
      </c>
      <c r="AL208" s="120">
        <v>0</v>
      </c>
      <c r="AM208" s="120">
        <v>0</v>
      </c>
      <c r="AN208" s="120">
        <v>0</v>
      </c>
      <c r="AO208" s="120">
        <v>0</v>
      </c>
      <c r="AP208" s="120">
        <v>0</v>
      </c>
      <c r="AQ208" s="120">
        <v>0</v>
      </c>
      <c r="AR208" s="120">
        <v>0</v>
      </c>
      <c r="AS208" s="132">
        <f>IF(Prod[[#This Row],[S1Hrs]]=0,0,Prod[[#This Row],[S1Shot]]*Prod[[#This Row],[S1Cycle]]/(Prod[[#This Row],[S1Hrs]]*60*60))</f>
        <v>0</v>
      </c>
      <c r="AT208" s="132">
        <f>IF(Prod[[#This Row],[S2Hrs]]=0,0,Prod[[#This Row],[S2Shot]]*Prod[[#This Row],[S2Cycle]]/(Prod[[#This Row],[S2Hrs]]*60*60))</f>
        <v>0</v>
      </c>
      <c r="AU208" s="132">
        <f>IF(Prod[[#This Row],[S3Hrs]]=0,0,Prod[[#This Row],[S3Shot]]*Prod[[#This Row],[S3Cycle]]/(Prod[[#This Row],[S3Hrs]]*60*60))</f>
        <v>0</v>
      </c>
      <c r="AV208" s="132">
        <f>IFERROR(AVERAGEIF(Prod[[#This Row],[S1%]:[S3%]], "&lt;&gt;0"),0)</f>
        <v>0</v>
      </c>
      <c r="AW208" s="132">
        <v>0</v>
      </c>
      <c r="AX208" s="132">
        <v>0</v>
      </c>
      <c r="AY208" s="132">
        <v>0</v>
      </c>
      <c r="AZ208" s="175">
        <f>IF(Prod[[#This Row],[S1Cycle]]&lt;&gt;0,1,0)</f>
        <v>0</v>
      </c>
      <c r="BA208" s="175">
        <f>IF(Prod[[#This Row],[S2Cycle]]&lt;&gt;0,1,0)</f>
        <v>0</v>
      </c>
      <c r="BB208" s="175">
        <f>IF(Prod[[#This Row],[S3Cycle]]&lt;&gt;0,1,0)</f>
        <v>0</v>
      </c>
      <c r="BC208" s="175">
        <f>MAX(Prod[[#This Row],[S1Cavity]],Prod[[#This Row],[S2Cavity]],Prod[[#This Row],[S3Cavity]])</f>
        <v>0</v>
      </c>
      <c r="BD208" s="175" t="b">
        <f>RegExpMatch(Prod[[#This Row],[MoldNo]], "^DEO-(B|C)")</f>
        <v>1</v>
      </c>
      <c r="BE208" s="175" t="b">
        <f>RegExpMatch(Prod[[#This Row],[MoldNo]], "^JAC")</f>
        <v>0</v>
      </c>
    </row>
    <row r="209" spans="1:57" x14ac:dyDescent="0.2">
      <c r="A209" s="117">
        <v>45456</v>
      </c>
      <c r="B209" s="130" t="s">
        <v>162</v>
      </c>
      <c r="C209" s="131" t="s">
        <v>163</v>
      </c>
      <c r="D209" s="119"/>
      <c r="E209" s="131"/>
      <c r="F209" s="119"/>
      <c r="G209" s="119" t="str">
        <f>IF(OR(Prod[[#This Row],[S1Hrs]]&gt;0,Prod[[#This Row],[S2Hrs]]&gt;0,Prod[[#This Row],[S3Hrs]]&gt;0),"Running","Down")</f>
        <v>Down</v>
      </c>
      <c r="H209" s="194">
        <v>0</v>
      </c>
      <c r="I209" s="185">
        <v>0</v>
      </c>
      <c r="J209" s="130">
        <v>0</v>
      </c>
      <c r="K209" s="130">
        <v>0</v>
      </c>
      <c r="L209" s="120">
        <f>Prod[[#This Row],[S1Shot]]*Prod[[#This Row],[S1Cavity]]-Prod[[#This Row],[S1Dft]]</f>
        <v>0</v>
      </c>
      <c r="M209" s="136">
        <f>SUM(Prod[[#This Row],[S1Mold]],Prod[[#This Row],[S1Print]],Prod[[#This Row],[S1Ovlp]],Prod[[#This Row],[S1Seam]],Prod[[#This Row],[S1Dmg]])</f>
        <v>0</v>
      </c>
      <c r="N209" s="194">
        <v>0</v>
      </c>
      <c r="O209" s="185">
        <v>0</v>
      </c>
      <c r="P209" s="130">
        <v>0</v>
      </c>
      <c r="Q209" s="130">
        <v>0</v>
      </c>
      <c r="R209" s="120">
        <f>Prod[[#This Row],[S2Shot]]*Prod[[#This Row],[S2Cavity]]-Prod[[#This Row],[S2Dft]]</f>
        <v>0</v>
      </c>
      <c r="S209" s="136">
        <f>SUM(Prod[[#This Row],[S2Mold]],Prod[[#This Row],[S2Print]],Prod[[#This Row],[S2Ovlp]],Prod[[#This Row],[S2Seam]],Prod[[#This Row],[S2Dmg]])</f>
        <v>0</v>
      </c>
      <c r="T209" s="194">
        <v>0</v>
      </c>
      <c r="U209" s="185">
        <v>0</v>
      </c>
      <c r="V209" s="130">
        <v>0</v>
      </c>
      <c r="W209" s="130">
        <v>0</v>
      </c>
      <c r="X209" s="120">
        <f>Prod[[#This Row],[S3Shot]]*Prod[[#This Row],[S3Cavity]]-Prod[[#This Row],[S3Dft]]</f>
        <v>0</v>
      </c>
      <c r="Y209" s="120">
        <f>SUM(Prod[[#This Row],[S3Mold]],Prod[[#This Row],[S3Print]],Prod[[#This Row],[S3Ovlp]],Prod[[#This Row],[S3Seam]],Prod[[#This Row],[S3Dmg]])</f>
        <v>0</v>
      </c>
      <c r="Z209" s="120">
        <f>SUM(Prod[[#This Row],[S1Qty]],Prod[[#This Row],[S2Qty]],Prod[[#This Row],[S3Qty]])</f>
        <v>0</v>
      </c>
      <c r="AA209" s="120">
        <f>SUM(Prod[[#This Row],[S1Dft]],Prod[[#This Row],[S2Dft]],Prod[[#This Row],[S3Dft]])</f>
        <v>0</v>
      </c>
      <c r="AB209" s="121">
        <f>IF(Prod[[#This Row],[Total]]=0,0,Prod[[#This Row],[TotalDft]]/Prod[[#This Row],[Total]])</f>
        <v>0</v>
      </c>
      <c r="AC209" s="118"/>
      <c r="AD209" s="120">
        <v>0</v>
      </c>
      <c r="AE209" s="120">
        <v>0</v>
      </c>
      <c r="AF209" s="120">
        <v>0</v>
      </c>
      <c r="AG209" s="120">
        <v>0</v>
      </c>
      <c r="AH209" s="120">
        <v>0</v>
      </c>
      <c r="AI209" s="120">
        <v>0</v>
      </c>
      <c r="AJ209" s="120">
        <v>0</v>
      </c>
      <c r="AK209" s="120">
        <v>0</v>
      </c>
      <c r="AL209" s="120">
        <v>0</v>
      </c>
      <c r="AM209" s="120">
        <v>0</v>
      </c>
      <c r="AN209" s="120">
        <v>0</v>
      </c>
      <c r="AO209" s="120">
        <v>0</v>
      </c>
      <c r="AP209" s="120">
        <v>0</v>
      </c>
      <c r="AQ209" s="120">
        <v>0</v>
      </c>
      <c r="AR209" s="120">
        <v>0</v>
      </c>
      <c r="AS209" s="132">
        <f>IF(Prod[[#This Row],[S1Hrs]]=0,0,Prod[[#This Row],[S1Shot]]*Prod[[#This Row],[S1Cycle]]/(Prod[[#This Row],[S1Hrs]]*60*60))</f>
        <v>0</v>
      </c>
      <c r="AT209" s="132">
        <f>IF(Prod[[#This Row],[S2Hrs]]=0,0,Prod[[#This Row],[S2Shot]]*Prod[[#This Row],[S2Cycle]]/(Prod[[#This Row],[S2Hrs]]*60*60))</f>
        <v>0</v>
      </c>
      <c r="AU209" s="132">
        <f>IF(Prod[[#This Row],[S3Hrs]]=0,0,Prod[[#This Row],[S3Shot]]*Prod[[#This Row],[S3Cycle]]/(Prod[[#This Row],[S3Hrs]]*60*60))</f>
        <v>0</v>
      </c>
      <c r="AV209" s="132">
        <f>IFERROR(AVERAGEIF(Prod[[#This Row],[S1%]:[S3%]], "&lt;&gt;0"),0)</f>
        <v>0</v>
      </c>
      <c r="AW209" s="132">
        <v>0</v>
      </c>
      <c r="AX209" s="132">
        <v>0</v>
      </c>
      <c r="AY209" s="132">
        <v>0</v>
      </c>
      <c r="AZ209" s="175">
        <f>IF(Prod[[#This Row],[S1Cycle]]&lt;&gt;0,1,0)</f>
        <v>0</v>
      </c>
      <c r="BA209" s="175">
        <f>IF(Prod[[#This Row],[S2Cycle]]&lt;&gt;0,1,0)</f>
        <v>0</v>
      </c>
      <c r="BB209" s="175">
        <f>IF(Prod[[#This Row],[S3Cycle]]&lt;&gt;0,1,0)</f>
        <v>0</v>
      </c>
      <c r="BC209" s="175">
        <f>MAX(Prod[[#This Row],[S1Cavity]],Prod[[#This Row],[S2Cavity]],Prod[[#This Row],[S3Cavity]])</f>
        <v>0</v>
      </c>
      <c r="BD209" s="175" t="b">
        <f>RegExpMatch(Prod[[#This Row],[MoldNo]], "^DEO-(B|C)")</f>
        <v>1</v>
      </c>
      <c r="BE209" s="175" t="b">
        <f>RegExpMatch(Prod[[#This Row],[MoldNo]], "^JAC")</f>
        <v>0</v>
      </c>
    </row>
    <row r="210" spans="1:57" x14ac:dyDescent="0.2">
      <c r="A210" s="117">
        <v>45456</v>
      </c>
      <c r="B210" s="130" t="s">
        <v>254</v>
      </c>
      <c r="C210" s="131" t="s">
        <v>255</v>
      </c>
      <c r="D210" s="119">
        <v>27651</v>
      </c>
      <c r="E210" s="131" t="s">
        <v>239</v>
      </c>
      <c r="F210" s="119">
        <v>6331</v>
      </c>
      <c r="G210" s="119" t="str">
        <f>IF(OR(Prod[[#This Row],[S1Hrs]]&gt;0,Prod[[#This Row],[S2Hrs]]&gt;0,Prod[[#This Row],[S3Hrs]]&gt;0),"Running","Down")</f>
        <v>Running</v>
      </c>
      <c r="H210" s="194">
        <v>0</v>
      </c>
      <c r="I210" s="185">
        <v>0</v>
      </c>
      <c r="J210" s="130">
        <v>0</v>
      </c>
      <c r="K210" s="130">
        <v>0</v>
      </c>
      <c r="L210" s="120">
        <f>Prod[[#This Row],[S1Shot]]*Prod[[#This Row],[S1Cavity]]-Prod[[#This Row],[S1Dft]]</f>
        <v>0</v>
      </c>
      <c r="M210" s="136">
        <f>SUM(Prod[[#This Row],[S1Mold]],Prod[[#This Row],[S1Print]],Prod[[#This Row],[S1Ovlp]],Prod[[#This Row],[S1Seam]],Prod[[#This Row],[S1Dmg]])</f>
        <v>0</v>
      </c>
      <c r="N210" s="194">
        <v>18.98</v>
      </c>
      <c r="O210" s="185">
        <v>8</v>
      </c>
      <c r="P210" s="130">
        <v>1697</v>
      </c>
      <c r="Q210" s="130">
        <v>8</v>
      </c>
      <c r="R210" s="120">
        <f>Prod[[#This Row],[S2Shot]]*Prod[[#This Row],[S2Cavity]]-Prod[[#This Row],[S2Dft]]</f>
        <v>13436</v>
      </c>
      <c r="S210" s="136">
        <f>SUM(Prod[[#This Row],[S2Mold]],Prod[[#This Row],[S2Print]],Prod[[#This Row],[S2Ovlp]],Prod[[#This Row],[S2Seam]],Prod[[#This Row],[S2Dmg]])</f>
        <v>140</v>
      </c>
      <c r="T210" s="194">
        <v>18.89</v>
      </c>
      <c r="U210" s="185">
        <v>8</v>
      </c>
      <c r="V210" s="130">
        <v>1698</v>
      </c>
      <c r="W210" s="130">
        <v>8</v>
      </c>
      <c r="X210" s="120">
        <f>Prod[[#This Row],[S3Shot]]*Prod[[#This Row],[S3Cavity]]-Prod[[#This Row],[S3Dft]]</f>
        <v>13444</v>
      </c>
      <c r="Y210" s="120">
        <f>SUM(Prod[[#This Row],[S3Mold]],Prod[[#This Row],[S3Print]],Prod[[#This Row],[S3Ovlp]],Prod[[#This Row],[S3Seam]],Prod[[#This Row],[S3Dmg]])</f>
        <v>140</v>
      </c>
      <c r="Z210" s="120">
        <f>SUM(Prod[[#This Row],[S1Qty]],Prod[[#This Row],[S2Qty]],Prod[[#This Row],[S3Qty]])</f>
        <v>26880</v>
      </c>
      <c r="AA210" s="120">
        <f>SUM(Prod[[#This Row],[S1Dft]],Prod[[#This Row],[S2Dft]],Prod[[#This Row],[S3Dft]])</f>
        <v>280</v>
      </c>
      <c r="AB210" s="121">
        <f>IF(Prod[[#This Row],[Total]]=0,0,Prod[[#This Row],[TotalDft]]/Prod[[#This Row],[Total]])</f>
        <v>1.0416666666666666E-2</v>
      </c>
      <c r="AC210" s="118"/>
      <c r="AD210" s="120">
        <v>0</v>
      </c>
      <c r="AE210" s="120">
        <v>20</v>
      </c>
      <c r="AF210" s="120">
        <v>25</v>
      </c>
      <c r="AG210" s="120">
        <v>0</v>
      </c>
      <c r="AH210" s="120">
        <v>120</v>
      </c>
      <c r="AI210" s="120">
        <v>115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32">
        <f>IF(Prod[[#This Row],[S1Hrs]]=0,0,Prod[[#This Row],[S1Shot]]*Prod[[#This Row],[S1Cycle]]/(Prod[[#This Row],[S1Hrs]]*60*60))</f>
        <v>0</v>
      </c>
      <c r="AT210" s="132">
        <f>IF(Prod[[#This Row],[S2Hrs]]=0,0,Prod[[#This Row],[S2Shot]]*Prod[[#This Row],[S2Cycle]]/(Prod[[#This Row],[S2Hrs]]*60*60))</f>
        <v>1.1183701388888889</v>
      </c>
      <c r="AU210" s="132">
        <f>IF(Prod[[#This Row],[S3Hrs]]=0,0,Prod[[#This Row],[S3Shot]]*Prod[[#This Row],[S3Cycle]]/(Prod[[#This Row],[S3Hrs]]*60*60))</f>
        <v>1.1137229166666667</v>
      </c>
      <c r="AV210" s="132">
        <f>IFERROR(AVERAGEIF(Prod[[#This Row],[S1%]:[S3%]], "&lt;&gt;0"),0)</f>
        <v>1.1160465277777778</v>
      </c>
      <c r="AW210" s="132">
        <v>0</v>
      </c>
      <c r="AX210" s="132">
        <v>0</v>
      </c>
      <c r="AY210" s="132">
        <v>0</v>
      </c>
      <c r="AZ210" s="175">
        <f>IF(Prod[[#This Row],[S1Cycle]]&lt;&gt;0,1,0)</f>
        <v>0</v>
      </c>
      <c r="BA210" s="175">
        <f>IF(Prod[[#This Row],[S2Cycle]]&lt;&gt;0,1,0)</f>
        <v>1</v>
      </c>
      <c r="BB210" s="175">
        <f>IF(Prod[[#This Row],[S3Cycle]]&lt;&gt;0,1,0)</f>
        <v>1</v>
      </c>
      <c r="BC210" s="175">
        <f>MAX(Prod[[#This Row],[S1Cavity]],Prod[[#This Row],[S2Cavity]],Prod[[#This Row],[S3Cavity]])</f>
        <v>8</v>
      </c>
      <c r="BD210" s="175" t="b">
        <f>RegExpMatch(Prod[[#This Row],[MoldNo]], "^DEO-(B|C)")</f>
        <v>1</v>
      </c>
      <c r="BE210" s="175" t="b">
        <f>RegExpMatch(Prod[[#This Row],[MoldNo]], "^JAC")</f>
        <v>0</v>
      </c>
    </row>
    <row r="211" spans="1:57" x14ac:dyDescent="0.2">
      <c r="A211" s="117">
        <v>45456</v>
      </c>
      <c r="B211" s="130" t="s">
        <v>174</v>
      </c>
      <c r="C211" s="131" t="s">
        <v>175</v>
      </c>
      <c r="D211" s="119">
        <v>27576</v>
      </c>
      <c r="E211" s="131" t="s">
        <v>199</v>
      </c>
      <c r="F211" s="119">
        <v>814</v>
      </c>
      <c r="G211" s="119" t="str">
        <f>IF(OR(Prod[[#This Row],[S1Hrs]]&gt;0,Prod[[#This Row],[S2Hrs]]&gt;0,Prod[[#This Row],[S3Hrs]]&gt;0),"Running","Down")</f>
        <v>Running</v>
      </c>
      <c r="H211" s="194">
        <v>21.58</v>
      </c>
      <c r="I211" s="185">
        <v>3.25</v>
      </c>
      <c r="J211" s="130">
        <v>551</v>
      </c>
      <c r="K211" s="130">
        <v>8</v>
      </c>
      <c r="L211" s="120">
        <f>Prod[[#This Row],[S1Shot]]*Prod[[#This Row],[S1Cavity]]-Prod[[#This Row],[S1Dft]]</f>
        <v>4358</v>
      </c>
      <c r="M211" s="136">
        <f>SUM(Prod[[#This Row],[S1Mold]],Prod[[#This Row],[S1Print]],Prod[[#This Row],[S1Ovlp]],Prod[[#This Row],[S1Seam]],Prod[[#This Row],[S1Dmg]])</f>
        <v>50</v>
      </c>
      <c r="N211" s="194">
        <v>21.89</v>
      </c>
      <c r="O211" s="185">
        <v>8</v>
      </c>
      <c r="P211" s="130">
        <v>1360</v>
      </c>
      <c r="Q211" s="130">
        <v>8</v>
      </c>
      <c r="R211" s="120">
        <f>Prod[[#This Row],[S2Shot]]*Prod[[#This Row],[S2Cavity]]-Prod[[#This Row],[S2Dft]]</f>
        <v>10765</v>
      </c>
      <c r="S211" s="136">
        <f>SUM(Prod[[#This Row],[S2Mold]],Prod[[#This Row],[S2Print]],Prod[[#This Row],[S2Ovlp]],Prod[[#This Row],[S2Seam]],Prod[[#This Row],[S2Dmg]])</f>
        <v>115</v>
      </c>
      <c r="T211" s="194">
        <v>21.98</v>
      </c>
      <c r="U211" s="185">
        <v>8</v>
      </c>
      <c r="V211" s="130">
        <v>1210</v>
      </c>
      <c r="W211" s="130">
        <v>8</v>
      </c>
      <c r="X211" s="120">
        <f>Prod[[#This Row],[S3Shot]]*Prod[[#This Row],[S3Cavity]]-Prod[[#This Row],[S3Dft]]</f>
        <v>9560</v>
      </c>
      <c r="Y211" s="120">
        <f>SUM(Prod[[#This Row],[S3Mold]],Prod[[#This Row],[S3Print]],Prod[[#This Row],[S3Ovlp]],Prod[[#This Row],[S3Seam]],Prod[[#This Row],[S3Dmg]])</f>
        <v>120</v>
      </c>
      <c r="Z211" s="120">
        <f>SUM(Prod[[#This Row],[S1Qty]],Prod[[#This Row],[S2Qty]],Prod[[#This Row],[S3Qty]])</f>
        <v>24683</v>
      </c>
      <c r="AA211" s="120">
        <f>SUM(Prod[[#This Row],[S1Dft]],Prod[[#This Row],[S2Dft]],Prod[[#This Row],[S3Dft]])</f>
        <v>285</v>
      </c>
      <c r="AB211" s="121">
        <f>IF(Prod[[#This Row],[Total]]=0,0,Prod[[#This Row],[TotalDft]]/Prod[[#This Row],[Total]])</f>
        <v>1.154640845926346E-2</v>
      </c>
      <c r="AC211" s="131"/>
      <c r="AD211" s="120">
        <v>5</v>
      </c>
      <c r="AE211" s="120">
        <v>20</v>
      </c>
      <c r="AF211" s="120">
        <v>20</v>
      </c>
      <c r="AG211" s="120">
        <v>45</v>
      </c>
      <c r="AH211" s="120">
        <v>95</v>
      </c>
      <c r="AI211" s="120">
        <v>100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32">
        <f>IF(Prod[[#This Row],[S1Hrs]]=0,0,Prod[[#This Row],[S1Shot]]*Prod[[#This Row],[S1Cycle]]/(Prod[[#This Row],[S1Hrs]]*60*60))</f>
        <v>1.0162888888888888</v>
      </c>
      <c r="AT211" s="132">
        <f>IF(Prod[[#This Row],[S2Hrs]]=0,0,Prod[[#This Row],[S2Shot]]*Prod[[#This Row],[S2Cycle]]/(Prod[[#This Row],[S2Hrs]]*60*60))</f>
        <v>1.0336944444444445</v>
      </c>
      <c r="AU211" s="132">
        <f>IF(Prod[[#This Row],[S3Hrs]]=0,0,Prod[[#This Row],[S3Shot]]*Prod[[#This Row],[S3Cycle]]/(Prod[[#This Row],[S3Hrs]]*60*60))</f>
        <v>0.92346527777777776</v>
      </c>
      <c r="AV211" s="132">
        <f>IFERROR(AVERAGEIF(Prod[[#This Row],[S1%]:[S3%]], "&lt;&gt;0"),0)</f>
        <v>0.99114953703703712</v>
      </c>
      <c r="AW211" s="132">
        <v>0</v>
      </c>
      <c r="AX211" s="132">
        <v>0</v>
      </c>
      <c r="AY211" s="132">
        <v>0</v>
      </c>
      <c r="AZ211" s="175">
        <f>IF(Prod[[#This Row],[S1Cycle]]&lt;&gt;0,1,0)</f>
        <v>1</v>
      </c>
      <c r="BA211" s="175">
        <f>IF(Prod[[#This Row],[S2Cycle]]&lt;&gt;0,1,0)</f>
        <v>1</v>
      </c>
      <c r="BB211" s="175">
        <f>IF(Prod[[#This Row],[S3Cycle]]&lt;&gt;0,1,0)</f>
        <v>1</v>
      </c>
      <c r="BC211" s="175">
        <f>MAX(Prod[[#This Row],[S1Cavity]],Prod[[#This Row],[S2Cavity]],Prod[[#This Row],[S3Cavity]])</f>
        <v>8</v>
      </c>
      <c r="BD211" s="175" t="b">
        <f>RegExpMatch(Prod[[#This Row],[MoldNo]], "^DEO-(B|C)")</f>
        <v>1</v>
      </c>
      <c r="BE211" s="175" t="b">
        <f>RegExpMatch(Prod[[#This Row],[MoldNo]], "^JAC")</f>
        <v>0</v>
      </c>
    </row>
    <row r="212" spans="1:57" x14ac:dyDescent="0.2">
      <c r="A212" s="117">
        <v>45456</v>
      </c>
      <c r="B212" s="130" t="s">
        <v>174</v>
      </c>
      <c r="C212" s="131" t="s">
        <v>175</v>
      </c>
      <c r="D212" s="119">
        <v>27715</v>
      </c>
      <c r="E212" s="131" t="s">
        <v>199</v>
      </c>
      <c r="F212" s="119">
        <v>814</v>
      </c>
      <c r="G212" s="119" t="str">
        <f>IF(OR(Prod[[#This Row],[S1Hrs]]&gt;0,Prod[[#This Row],[S2Hrs]]&gt;0,Prod[[#This Row],[S3Hrs]]&gt;0),"Running","Down")</f>
        <v>Running</v>
      </c>
      <c r="H212" s="194">
        <v>21.58</v>
      </c>
      <c r="I212" s="185">
        <v>4.75</v>
      </c>
      <c r="J212" s="130">
        <v>713</v>
      </c>
      <c r="K212" s="130">
        <v>8</v>
      </c>
      <c r="L212" s="120">
        <f>Prod[[#This Row],[S1Shot]]*Prod[[#This Row],[S1Cavity]]-Prod[[#This Row],[S1Dft]]</f>
        <v>5644</v>
      </c>
      <c r="M212" s="136">
        <f>SUM(Prod[[#This Row],[S1Mold]],Prod[[#This Row],[S1Print]],Prod[[#This Row],[S1Ovlp]],Prod[[#This Row],[S1Seam]],Prod[[#This Row],[S1Dmg]])</f>
        <v>60</v>
      </c>
      <c r="N212" s="194">
        <v>0</v>
      </c>
      <c r="O212" s="185">
        <v>0</v>
      </c>
      <c r="P212" s="130">
        <v>0</v>
      </c>
      <c r="Q212" s="130">
        <v>0</v>
      </c>
      <c r="R212" s="120">
        <f>Prod[[#This Row],[S2Shot]]*Prod[[#This Row],[S2Cavity]]-Prod[[#This Row],[S2Dft]]</f>
        <v>0</v>
      </c>
      <c r="S212" s="136">
        <f>SUM(Prod[[#This Row],[S2Mold]],Prod[[#This Row],[S2Print]],Prod[[#This Row],[S2Ovlp]],Prod[[#This Row],[S2Seam]],Prod[[#This Row],[S2Dmg]])</f>
        <v>0</v>
      </c>
      <c r="T212" s="194">
        <v>0</v>
      </c>
      <c r="U212" s="185">
        <v>0</v>
      </c>
      <c r="V212" s="130">
        <v>0</v>
      </c>
      <c r="W212" s="130">
        <v>0</v>
      </c>
      <c r="X212" s="120">
        <f>Prod[[#This Row],[S3Shot]]*Prod[[#This Row],[S3Cavity]]-Prod[[#This Row],[S3Dft]]</f>
        <v>0</v>
      </c>
      <c r="Y212" s="120">
        <f>SUM(Prod[[#This Row],[S3Mold]],Prod[[#This Row],[S3Print]],Prod[[#This Row],[S3Ovlp]],Prod[[#This Row],[S3Seam]],Prod[[#This Row],[S3Dmg]])</f>
        <v>0</v>
      </c>
      <c r="Z212" s="120">
        <f>SUM(Prod[[#This Row],[S1Qty]],Prod[[#This Row],[S2Qty]],Prod[[#This Row],[S3Qty]])</f>
        <v>5644</v>
      </c>
      <c r="AA212" s="120">
        <f>SUM(Prod[[#This Row],[S1Dft]],Prod[[#This Row],[S2Dft]],Prod[[#This Row],[S3Dft]])</f>
        <v>60</v>
      </c>
      <c r="AB212" s="121">
        <f>IF(Prod[[#This Row],[Total]]=0,0,Prod[[#This Row],[TotalDft]]/Prod[[#This Row],[Total]])</f>
        <v>1.0630758327427357E-2</v>
      </c>
      <c r="AC212" s="131" t="s">
        <v>252</v>
      </c>
      <c r="AD212" s="120">
        <v>10</v>
      </c>
      <c r="AE212" s="120">
        <v>0</v>
      </c>
      <c r="AF212" s="120">
        <v>0</v>
      </c>
      <c r="AG212" s="120">
        <v>50</v>
      </c>
      <c r="AH212" s="120">
        <v>0</v>
      </c>
      <c r="AI212" s="120">
        <v>0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32">
        <f>IF(Prod[[#This Row],[S1Hrs]]=0,0,Prod[[#This Row],[S1Shot]]*Prod[[#This Row],[S1Cycle]]/(Prod[[#This Row],[S1Hrs]]*60*60))</f>
        <v>0.89979766081871337</v>
      </c>
      <c r="AT212" s="132">
        <f>IF(Prod[[#This Row],[S2Hrs]]=0,0,Prod[[#This Row],[S2Shot]]*Prod[[#This Row],[S2Cycle]]/(Prod[[#This Row],[S2Hrs]]*60*60))</f>
        <v>0</v>
      </c>
      <c r="AU212" s="132">
        <f>IF(Prod[[#This Row],[S3Hrs]]=0,0,Prod[[#This Row],[S3Shot]]*Prod[[#This Row],[S3Cycle]]/(Prod[[#This Row],[S3Hrs]]*60*60))</f>
        <v>0</v>
      </c>
      <c r="AV212" s="132">
        <f>IFERROR(AVERAGEIF(Prod[[#This Row],[S1%]:[S3%]], "&lt;&gt;0"),0)</f>
        <v>0.89979766081871337</v>
      </c>
      <c r="AW212" s="132">
        <v>0</v>
      </c>
      <c r="AX212" s="132">
        <v>0</v>
      </c>
      <c r="AY212" s="132">
        <v>0</v>
      </c>
      <c r="AZ212" s="175">
        <f>IF(Prod[[#This Row],[S1Cycle]]&lt;&gt;0,1,0)</f>
        <v>1</v>
      </c>
      <c r="BA212" s="175">
        <f>IF(Prod[[#This Row],[S2Cycle]]&lt;&gt;0,1,0)</f>
        <v>0</v>
      </c>
      <c r="BB212" s="175">
        <f>IF(Prod[[#This Row],[S3Cycle]]&lt;&gt;0,1,0)</f>
        <v>0</v>
      </c>
      <c r="BC212" s="175">
        <f>MAX(Prod[[#This Row],[S1Cavity]],Prod[[#This Row],[S2Cavity]],Prod[[#This Row],[S3Cavity]])</f>
        <v>8</v>
      </c>
      <c r="BD212" s="175" t="b">
        <f>RegExpMatch(Prod[[#This Row],[MoldNo]], "^DEO-(B|C)")</f>
        <v>1</v>
      </c>
      <c r="BE212" s="175" t="b">
        <f>RegExpMatch(Prod[[#This Row],[MoldNo]], "^JAC")</f>
        <v>0</v>
      </c>
    </row>
    <row r="213" spans="1:57" x14ac:dyDescent="0.2">
      <c r="A213" s="117">
        <v>45456</v>
      </c>
      <c r="B213" s="130" t="s">
        <v>176</v>
      </c>
      <c r="C213" s="131" t="s">
        <v>81</v>
      </c>
      <c r="D213" s="119">
        <v>27576</v>
      </c>
      <c r="E213" s="119" t="s">
        <v>199</v>
      </c>
      <c r="F213" s="119">
        <v>814</v>
      </c>
      <c r="G213" s="119" t="str">
        <f>IF(OR(Prod[[#This Row],[S1Hrs]]&gt;0,Prod[[#This Row],[S2Hrs]]&gt;0,Prod[[#This Row],[S3Hrs]]&gt;0),"Running","Down")</f>
        <v>Running</v>
      </c>
      <c r="H213" s="194">
        <v>21.89</v>
      </c>
      <c r="I213" s="185">
        <v>3</v>
      </c>
      <c r="J213" s="130">
        <v>510</v>
      </c>
      <c r="K213" s="130">
        <v>8</v>
      </c>
      <c r="L213" s="120">
        <f>Prod[[#This Row],[S1Shot]]*Prod[[#This Row],[S1Cavity]]-Prod[[#This Row],[S1Dft]]</f>
        <v>4030</v>
      </c>
      <c r="M213" s="136">
        <f>SUM(Prod[[#This Row],[S1Mold]],Prod[[#This Row],[S1Print]],Prod[[#This Row],[S1Ovlp]],Prod[[#This Row],[S1Seam]],Prod[[#This Row],[S1Dmg]])</f>
        <v>50</v>
      </c>
      <c r="N213" s="194">
        <v>0</v>
      </c>
      <c r="O213" s="185">
        <v>0</v>
      </c>
      <c r="P213" s="130">
        <v>0</v>
      </c>
      <c r="Q213" s="130">
        <v>0</v>
      </c>
      <c r="R213" s="120">
        <f>Prod[[#This Row],[S2Shot]]*Prod[[#This Row],[S2Cavity]]-Prod[[#This Row],[S2Dft]]</f>
        <v>0</v>
      </c>
      <c r="S213" s="136">
        <f>SUM(Prod[[#This Row],[S2Mold]],Prod[[#This Row],[S2Print]],Prod[[#This Row],[S2Ovlp]],Prod[[#This Row],[S2Seam]],Prod[[#This Row],[S2Dmg]])</f>
        <v>0</v>
      </c>
      <c r="T213" s="194">
        <v>21.83</v>
      </c>
      <c r="U213" s="185">
        <v>8</v>
      </c>
      <c r="V213" s="130">
        <v>1323</v>
      </c>
      <c r="W213" s="130">
        <v>8</v>
      </c>
      <c r="X213" s="120">
        <f>Prod[[#This Row],[S3Shot]]*Prod[[#This Row],[S3Cavity]]-Prod[[#This Row],[S3Dft]]</f>
        <v>10464</v>
      </c>
      <c r="Y213" s="120">
        <f>SUM(Prod[[#This Row],[S3Mold]],Prod[[#This Row],[S3Print]],Prod[[#This Row],[S3Ovlp]],Prod[[#This Row],[S3Seam]],Prod[[#This Row],[S3Dmg]])</f>
        <v>120</v>
      </c>
      <c r="Z213" s="120">
        <f>SUM(Prod[[#This Row],[S1Qty]],Prod[[#This Row],[S2Qty]],Prod[[#This Row],[S3Qty]])</f>
        <v>14494</v>
      </c>
      <c r="AA213" s="120">
        <f>SUM(Prod[[#This Row],[S1Dft]],Prod[[#This Row],[S2Dft]],Prod[[#This Row],[S3Dft]])</f>
        <v>170</v>
      </c>
      <c r="AB213" s="121">
        <f>IF(Prod[[#This Row],[Total]]=0,0,Prod[[#This Row],[TotalDft]]/Prod[[#This Row],[Total]])</f>
        <v>1.172899130674762E-2</v>
      </c>
      <c r="AC213" s="131"/>
      <c r="AD213" s="120">
        <v>5</v>
      </c>
      <c r="AE213" s="120">
        <v>0</v>
      </c>
      <c r="AF213" s="120">
        <v>20</v>
      </c>
      <c r="AG213" s="120">
        <v>45</v>
      </c>
      <c r="AH213" s="120">
        <v>0</v>
      </c>
      <c r="AI213" s="120">
        <v>100</v>
      </c>
      <c r="AJ213" s="120">
        <v>0</v>
      </c>
      <c r="AK213" s="120">
        <v>0</v>
      </c>
      <c r="AL213" s="120">
        <v>0</v>
      </c>
      <c r="AM213" s="120">
        <v>0</v>
      </c>
      <c r="AN213" s="120">
        <v>0</v>
      </c>
      <c r="AO213" s="120">
        <v>0</v>
      </c>
      <c r="AP213" s="120">
        <v>0</v>
      </c>
      <c r="AQ213" s="120">
        <v>0</v>
      </c>
      <c r="AR213" s="120">
        <v>0</v>
      </c>
      <c r="AS213" s="132">
        <f>IF(Prod[[#This Row],[S1Hrs]]=0,0,Prod[[#This Row],[S1Shot]]*Prod[[#This Row],[S1Cycle]]/(Prod[[#This Row],[S1Hrs]]*60*60))</f>
        <v>1.0336944444444445</v>
      </c>
      <c r="AT213" s="132">
        <f>IF(Prod[[#This Row],[S2Hrs]]=0,0,Prod[[#This Row],[S2Shot]]*Prod[[#This Row],[S2Cycle]]/(Prod[[#This Row],[S2Hrs]]*60*60))</f>
        <v>0</v>
      </c>
      <c r="AU213" s="132">
        <f>IF(Prod[[#This Row],[S3Hrs]]=0,0,Prod[[#This Row],[S3Shot]]*Prod[[#This Row],[S3Cycle]]/(Prod[[#This Row],[S3Hrs]]*60*60))</f>
        <v>1.002815625</v>
      </c>
      <c r="AV213" s="132">
        <f>IFERROR(AVERAGEIF(Prod[[#This Row],[S1%]:[S3%]], "&lt;&gt;0"),0)</f>
        <v>1.0182550347222223</v>
      </c>
      <c r="AW213" s="132">
        <v>0</v>
      </c>
      <c r="AX213" s="132">
        <v>0</v>
      </c>
      <c r="AY213" s="132">
        <v>0</v>
      </c>
      <c r="AZ213" s="175">
        <f>IF(Prod[[#This Row],[S1Cycle]]&lt;&gt;0,1,0)</f>
        <v>1</v>
      </c>
      <c r="BA213" s="175">
        <f>IF(Prod[[#This Row],[S2Cycle]]&lt;&gt;0,1,0)</f>
        <v>0</v>
      </c>
      <c r="BB213" s="175">
        <f>IF(Prod[[#This Row],[S3Cycle]]&lt;&gt;0,1,0)</f>
        <v>1</v>
      </c>
      <c r="BC213" s="175">
        <f>MAX(Prod[[#This Row],[S1Cavity]],Prod[[#This Row],[S2Cavity]],Prod[[#This Row],[S3Cavity]])</f>
        <v>8</v>
      </c>
      <c r="BD213" s="175" t="b">
        <f>RegExpMatch(Prod[[#This Row],[MoldNo]], "^DEO-(B|C)")</f>
        <v>1</v>
      </c>
      <c r="BE213" s="175" t="b">
        <f>RegExpMatch(Prod[[#This Row],[MoldNo]], "^JAC")</f>
        <v>0</v>
      </c>
    </row>
    <row r="214" spans="1:57" hidden="1" x14ac:dyDescent="0.2">
      <c r="A214" s="117">
        <v>45456</v>
      </c>
      <c r="B214" s="130" t="s">
        <v>176</v>
      </c>
      <c r="C214" s="131" t="s">
        <v>81</v>
      </c>
      <c r="D214" s="119">
        <v>27715</v>
      </c>
      <c r="E214" s="119" t="s">
        <v>199</v>
      </c>
      <c r="F214" s="119">
        <v>814</v>
      </c>
      <c r="G214" s="119" t="str">
        <f>IF(OR(Prod[[#This Row],[S1Hrs]]&gt;0,Prod[[#This Row],[S2Hrs]]&gt;0,Prod[[#This Row],[S3Hrs]]&gt;0),"Running","Down")</f>
        <v>Running</v>
      </c>
      <c r="H214" s="194">
        <v>21.89</v>
      </c>
      <c r="I214" s="185">
        <v>3.75</v>
      </c>
      <c r="J214" s="130">
        <v>647</v>
      </c>
      <c r="K214" s="130">
        <v>8</v>
      </c>
      <c r="L214" s="120">
        <f>Prod[[#This Row],[S1Shot]]*Prod[[#This Row],[S1Cavity]]-Prod[[#This Row],[S1Dft]]</f>
        <v>5116</v>
      </c>
      <c r="M214" s="136">
        <f>SUM(Prod[[#This Row],[S1Mold]],Prod[[#This Row],[S1Print]],Prod[[#This Row],[S1Ovlp]],Prod[[#This Row],[S1Seam]],Prod[[#This Row],[S1Dmg]])</f>
        <v>60</v>
      </c>
      <c r="N214" s="194">
        <v>21.89</v>
      </c>
      <c r="O214" s="185">
        <v>8</v>
      </c>
      <c r="P214" s="130">
        <v>1446</v>
      </c>
      <c r="Q214" s="130">
        <v>8</v>
      </c>
      <c r="R214" s="120">
        <f>Prod[[#This Row],[S2Shot]]*Prod[[#This Row],[S2Cavity]]-Prod[[#This Row],[S2Dft]]</f>
        <v>11443</v>
      </c>
      <c r="S214" s="136">
        <f>SUM(Prod[[#This Row],[S2Mold]],Prod[[#This Row],[S2Print]],Prod[[#This Row],[S2Ovlp]],Prod[[#This Row],[S2Seam]],Prod[[#This Row],[S2Dmg]])</f>
        <v>125</v>
      </c>
      <c r="T214" s="194">
        <v>0</v>
      </c>
      <c r="U214" s="185">
        <v>0</v>
      </c>
      <c r="V214" s="130">
        <v>0</v>
      </c>
      <c r="W214" s="130">
        <v>0</v>
      </c>
      <c r="X214" s="120">
        <f>Prod[[#This Row],[S3Shot]]*Prod[[#This Row],[S3Cavity]]-Prod[[#This Row],[S3Dft]]</f>
        <v>0</v>
      </c>
      <c r="Y214" s="120">
        <f>SUM(Prod[[#This Row],[S3Mold]],Prod[[#This Row],[S3Print]],Prod[[#This Row],[S3Ovlp]],Prod[[#This Row],[S3Seam]],Prod[[#This Row],[S3Dmg]])</f>
        <v>0</v>
      </c>
      <c r="Z214" s="120">
        <f>SUM(Prod[[#This Row],[S1Qty]],Prod[[#This Row],[S2Qty]],Prod[[#This Row],[S3Qty]])</f>
        <v>16559</v>
      </c>
      <c r="AA214" s="120">
        <f>SUM(Prod[[#This Row],[S1Dft]],Prod[[#This Row],[S2Dft]],Prod[[#This Row],[S3Dft]])</f>
        <v>185</v>
      </c>
      <c r="AB214" s="121">
        <f>IF(Prod[[#This Row],[Total]]=0,0,Prod[[#This Row],[TotalDft]]/Prod[[#This Row],[Total]])</f>
        <v>1.1172172232622743E-2</v>
      </c>
      <c r="AC214" s="131" t="s">
        <v>252</v>
      </c>
      <c r="AD214" s="120">
        <v>10</v>
      </c>
      <c r="AE214" s="120">
        <v>20</v>
      </c>
      <c r="AF214" s="120">
        <v>0</v>
      </c>
      <c r="AG214" s="120">
        <v>50</v>
      </c>
      <c r="AH214" s="120">
        <v>105</v>
      </c>
      <c r="AI214" s="120">
        <v>0</v>
      </c>
      <c r="AJ214" s="120">
        <v>0</v>
      </c>
      <c r="AK214" s="120">
        <v>0</v>
      </c>
      <c r="AL214" s="120">
        <v>0</v>
      </c>
      <c r="AM214" s="120">
        <v>0</v>
      </c>
      <c r="AN214" s="120">
        <v>0</v>
      </c>
      <c r="AO214" s="120">
        <v>0</v>
      </c>
      <c r="AP214" s="120">
        <v>0</v>
      </c>
      <c r="AQ214" s="120">
        <v>0</v>
      </c>
      <c r="AR214" s="120">
        <v>0</v>
      </c>
      <c r="AS214" s="132">
        <f>IF(Prod[[#This Row],[S1Hrs]]=0,0,Prod[[#This Row],[S1Shot]]*Prod[[#This Row],[S1Cycle]]/(Prod[[#This Row],[S1Hrs]]*60*60))</f>
        <v>1.0490985185185184</v>
      </c>
      <c r="AT214" s="132">
        <f>IF(Prod[[#This Row],[S2Hrs]]=0,0,Prod[[#This Row],[S2Shot]]*Prod[[#This Row],[S2Cycle]]/(Prod[[#This Row],[S2Hrs]]*60*60))</f>
        <v>1.0990604166666667</v>
      </c>
      <c r="AU214" s="132">
        <f>IF(Prod[[#This Row],[S3Hrs]]=0,0,Prod[[#This Row],[S3Shot]]*Prod[[#This Row],[S3Cycle]]/(Prod[[#This Row],[S3Hrs]]*60*60))</f>
        <v>0</v>
      </c>
      <c r="AV214" s="132">
        <f>IFERROR(AVERAGEIF(Prod[[#This Row],[S1%]:[S3%]], "&lt;&gt;0"),0)</f>
        <v>1.0740794675925924</v>
      </c>
      <c r="AW214" s="132">
        <v>0</v>
      </c>
      <c r="AX214" s="132">
        <v>0</v>
      </c>
      <c r="AY214" s="132">
        <v>0</v>
      </c>
      <c r="AZ214" s="175">
        <f>IF(Prod[[#This Row],[S1Cycle]]&lt;&gt;0,1,0)</f>
        <v>1</v>
      </c>
      <c r="BA214" s="175">
        <f>IF(Prod[[#This Row],[S2Cycle]]&lt;&gt;0,1,0)</f>
        <v>1</v>
      </c>
      <c r="BB214" s="175">
        <f>IF(Prod[[#This Row],[S3Cycle]]&lt;&gt;0,1,0)</f>
        <v>0</v>
      </c>
      <c r="BC214" s="175">
        <f>MAX(Prod[[#This Row],[S1Cavity]],Prod[[#This Row],[S2Cavity]],Prod[[#This Row],[S3Cavity]])</f>
        <v>8</v>
      </c>
      <c r="BD214" s="175" t="b">
        <f>RegExpMatch(Prod[[#This Row],[MoldNo]], "^DEO-(B|C)")</f>
        <v>1</v>
      </c>
      <c r="BE214" s="175" t="b">
        <f>RegExpMatch(Prod[[#This Row],[MoldNo]], "^JAC")</f>
        <v>0</v>
      </c>
    </row>
    <row r="215" spans="1:57" hidden="1" x14ac:dyDescent="0.2">
      <c r="A215" s="117">
        <v>45456</v>
      </c>
      <c r="B215" s="130" t="s">
        <v>195</v>
      </c>
      <c r="C215" s="119" t="s">
        <v>145</v>
      </c>
      <c r="D215" s="119"/>
      <c r="E215" s="131"/>
      <c r="F215" s="119"/>
      <c r="G215" s="119" t="str">
        <f>IF(OR(Prod[[#This Row],[S1Hrs]]&gt;0,Prod[[#This Row],[S2Hrs]]&gt;0,Prod[[#This Row],[S3Hrs]]&gt;0),"Running","Down")</f>
        <v>Down</v>
      </c>
      <c r="H215" s="194">
        <v>0</v>
      </c>
      <c r="I215" s="185">
        <v>0</v>
      </c>
      <c r="J215" s="130">
        <v>0</v>
      </c>
      <c r="K215" s="130">
        <v>0</v>
      </c>
      <c r="L215" s="120">
        <f>Prod[[#This Row],[S1Shot]]*Prod[[#This Row],[S1Cavity]]-Prod[[#This Row],[S1Dft]]</f>
        <v>0</v>
      </c>
      <c r="M215" s="134"/>
      <c r="N215" s="194">
        <v>0</v>
      </c>
      <c r="O215" s="185">
        <v>0</v>
      </c>
      <c r="P215" s="130">
        <v>0</v>
      </c>
      <c r="Q215" s="130">
        <v>0</v>
      </c>
      <c r="R215" s="120">
        <f>Prod[[#This Row],[S2Shot]]*Prod[[#This Row],[S2Cavity]]-Prod[[#This Row],[S2Dft]]</f>
        <v>0</v>
      </c>
      <c r="S215" s="134"/>
      <c r="T215" s="194">
        <v>0</v>
      </c>
      <c r="U215" s="185">
        <v>0</v>
      </c>
      <c r="V215" s="130">
        <v>0</v>
      </c>
      <c r="W215" s="130">
        <v>0</v>
      </c>
      <c r="X215" s="120">
        <f>Prod[[#This Row],[S3Shot]]*Prod[[#This Row],[S3Cavity]]-Prod[[#This Row],[S3Dft]]</f>
        <v>0</v>
      </c>
      <c r="Y215" s="134"/>
      <c r="Z215" s="120">
        <f>SUM(Prod[[#This Row],[S1Qty]],Prod[[#This Row],[S2Qty]],Prod[[#This Row],[S3Qty]])</f>
        <v>0</v>
      </c>
      <c r="AA215" s="134"/>
      <c r="AB215" s="135"/>
      <c r="AC215" s="118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2">
        <f>IF(Prod[[#This Row],[S1Hrs]]=0,0,Prod[[#This Row],[S1Shot]]*Prod[[#This Row],[S1Cycle]]/(Prod[[#This Row],[S1Hrs]]*60*60))</f>
        <v>0</v>
      </c>
      <c r="AT215" s="132">
        <f>IF(Prod[[#This Row],[S2Hrs]]=0,0,Prod[[#This Row],[S2Shot]]*Prod[[#This Row],[S2Cycle]]/(Prod[[#This Row],[S2Hrs]]*60*60))</f>
        <v>0</v>
      </c>
      <c r="AU215" s="132">
        <f>IF(Prod[[#This Row],[S3Hrs]]=0,0,Prod[[#This Row],[S3Shot]]*Prod[[#This Row],[S3Cycle]]/(Prod[[#This Row],[S3Hrs]]*60*60))</f>
        <v>0</v>
      </c>
      <c r="AV215" s="132">
        <f>IFERROR(AVERAGEIF(Prod[[#This Row],[S1%]:[S3%]], "&lt;&gt;0"),0)</f>
        <v>0</v>
      </c>
      <c r="AW215" s="132">
        <v>0</v>
      </c>
      <c r="AX215" s="132">
        <v>0</v>
      </c>
      <c r="AY215" s="132">
        <v>0</v>
      </c>
      <c r="AZ215" s="175">
        <f>IF(Prod[[#This Row],[S1Cycle]]&lt;&gt;0,1,0)</f>
        <v>0</v>
      </c>
      <c r="BA215" s="175">
        <f>IF(Prod[[#This Row],[S2Cycle]]&lt;&gt;0,1,0)</f>
        <v>0</v>
      </c>
      <c r="BB215" s="175">
        <f>IF(Prod[[#This Row],[S3Cycle]]&lt;&gt;0,1,0)</f>
        <v>0</v>
      </c>
      <c r="BC215" s="175">
        <f>MAX(Prod[[#This Row],[S1Cavity]],Prod[[#This Row],[S2Cavity]],Prod[[#This Row],[S3Cavity]])</f>
        <v>0</v>
      </c>
      <c r="BD215" s="175" t="b">
        <f>RegExpMatch(Prod[[#This Row],[MoldNo]], "^DEO-(B|C)")</f>
        <v>0</v>
      </c>
      <c r="BE215" s="175" t="b">
        <f>RegExpMatch(Prod[[#This Row],[MoldNo]], "^JAC")</f>
        <v>0</v>
      </c>
    </row>
    <row r="216" spans="1:57" x14ac:dyDescent="0.2">
      <c r="A216" s="117">
        <v>45457</v>
      </c>
      <c r="B216" s="120" t="s">
        <v>190</v>
      </c>
      <c r="C216" s="119" t="s">
        <v>153</v>
      </c>
      <c r="D216" s="119">
        <v>27422</v>
      </c>
      <c r="E216" s="131" t="s">
        <v>199</v>
      </c>
      <c r="F216" s="119">
        <v>6331</v>
      </c>
      <c r="G216" s="119" t="str">
        <f>IF(OR(Prod[[#This Row],[S1Hrs]]&gt;0,Prod[[#This Row],[S2Hrs]]&gt;0,Prod[[#This Row],[S3Hrs]]&gt;0),"Running","Down")</f>
        <v>Running</v>
      </c>
      <c r="H216" s="187">
        <v>22.58</v>
      </c>
      <c r="I216" s="141">
        <v>8</v>
      </c>
      <c r="J216" s="120">
        <v>1224</v>
      </c>
      <c r="K216" s="130">
        <v>4</v>
      </c>
      <c r="L216" s="120">
        <f>Prod[[#This Row],[S1Shot]]*Prod[[#This Row],[S1Cavity]]-Prod[[#This Row],[S1Dft]]</f>
        <v>4889</v>
      </c>
      <c r="M216" s="136">
        <f>SUM(Prod[[#This Row],[S1Mold]],Prod[[#This Row],[S1Print]],Prod[[#This Row],[S1Ovlp]],Prod[[#This Row],[S1Seam]],Prod[[#This Row],[S1Dmg]])</f>
        <v>7</v>
      </c>
      <c r="N216" s="187">
        <v>22.58</v>
      </c>
      <c r="O216" s="141">
        <v>8</v>
      </c>
      <c r="P216" s="120">
        <v>1395</v>
      </c>
      <c r="Q216" s="130">
        <v>4</v>
      </c>
      <c r="R216" s="120">
        <f>Prod[[#This Row],[S2Shot]]*Prod[[#This Row],[S2Cavity]]-Prod[[#This Row],[S2Dft]]</f>
        <v>5573</v>
      </c>
      <c r="S216" s="136">
        <f>SUM(Prod[[#This Row],[S2Mold]],Prod[[#This Row],[S2Print]],Prod[[#This Row],[S2Ovlp]],Prod[[#This Row],[S2Seam]],Prod[[#This Row],[S2Dmg]])</f>
        <v>7</v>
      </c>
      <c r="T216" s="187">
        <v>22.67</v>
      </c>
      <c r="U216" s="141">
        <v>8</v>
      </c>
      <c r="V216" s="120">
        <v>1168</v>
      </c>
      <c r="W216" s="130">
        <v>4</v>
      </c>
      <c r="X216" s="120">
        <f>Prod[[#This Row],[S3Shot]]*Prod[[#This Row],[S3Cavity]]-Prod[[#This Row],[S3Dft]]</f>
        <v>4666</v>
      </c>
      <c r="Y216" s="120">
        <f>SUM(Prod[[#This Row],[S3Mold]],Prod[[#This Row],[S3Print]],Prod[[#This Row],[S3Ovlp]],Prod[[#This Row],[S3Seam]],Prod[[#This Row],[S3Dmg]])</f>
        <v>6</v>
      </c>
      <c r="Z216" s="120">
        <f>SUM(Prod[[#This Row],[S1Qty]],Prod[[#This Row],[S2Qty]],Prod[[#This Row],[S3Qty]])</f>
        <v>15128</v>
      </c>
      <c r="AA216" s="120">
        <f>SUM(Prod[[#This Row],[S1Dft]],Prod[[#This Row],[S2Dft]],Prod[[#This Row],[S3Dft]])</f>
        <v>20</v>
      </c>
      <c r="AB216" s="121">
        <f>IF(Prod[[#This Row],[Total]]=0,0,Prod[[#This Row],[TotalDft]]/Prod[[#This Row],[Total]])</f>
        <v>1.3220518244315177E-3</v>
      </c>
      <c r="AC216" s="118"/>
      <c r="AD216" s="120">
        <v>7</v>
      </c>
      <c r="AE216" s="120">
        <v>7</v>
      </c>
      <c r="AF216" s="120">
        <v>6</v>
      </c>
      <c r="AG216" s="120">
        <v>0</v>
      </c>
      <c r="AH216" s="120">
        <v>0</v>
      </c>
      <c r="AI216" s="120">
        <v>0</v>
      </c>
      <c r="AJ216" s="120">
        <v>0</v>
      </c>
      <c r="AK216" s="120">
        <v>0</v>
      </c>
      <c r="AL216" s="120">
        <v>0</v>
      </c>
      <c r="AM216" s="120">
        <v>0</v>
      </c>
      <c r="AN216" s="120">
        <v>0</v>
      </c>
      <c r="AO216" s="120">
        <v>0</v>
      </c>
      <c r="AP216" s="120">
        <v>0</v>
      </c>
      <c r="AQ216" s="120">
        <v>0</v>
      </c>
      <c r="AR216" s="120">
        <v>0</v>
      </c>
      <c r="AS216" s="132">
        <f>IF(Prod[[#This Row],[S1Hrs]]=0,0,Prod[[#This Row],[S1Shot]]*Prod[[#This Row],[S1Cycle]]/(Prod[[#This Row],[S1Hrs]]*60*60))</f>
        <v>0.95964999999999989</v>
      </c>
      <c r="AT216" s="132">
        <f>IF(Prod[[#This Row],[S2Hrs]]=0,0,Prod[[#This Row],[S2Shot]]*Prod[[#This Row],[S2Cycle]]/(Prod[[#This Row],[S2Hrs]]*60*60))</f>
        <v>1.0937187499999999</v>
      </c>
      <c r="AU216" s="132">
        <f>IF(Prod[[#This Row],[S3Hrs]]=0,0,Prod[[#This Row],[S3Shot]]*Prod[[#This Row],[S3Cycle]]/(Prod[[#This Row],[S3Hrs]]*60*60))</f>
        <v>0.91939444444444451</v>
      </c>
      <c r="AV216" s="132">
        <f>IFERROR(AVERAGEIF(Prod[[#This Row],[S1%]:[S3%]], "&lt;&gt;0"),0)</f>
        <v>0.99092106481481468</v>
      </c>
      <c r="AW216" s="132">
        <v>0</v>
      </c>
      <c r="AX216" s="132">
        <v>0</v>
      </c>
      <c r="AY216" s="132">
        <v>0</v>
      </c>
      <c r="AZ216" s="175">
        <f>IF(Prod[[#This Row],[S1Cycle]]&lt;&gt;0,1,0)</f>
        <v>1</v>
      </c>
      <c r="BA216" s="175">
        <f>IF(Prod[[#This Row],[S2Cycle]]&lt;&gt;0,1,0)</f>
        <v>1</v>
      </c>
      <c r="BB216" s="175">
        <f>IF(Prod[[#This Row],[S3Cycle]]&lt;&gt;0,1,0)</f>
        <v>1</v>
      </c>
      <c r="BC216" s="175">
        <f>MAX(Prod[[#This Row],[S1Cavity]],Prod[[#This Row],[S2Cavity]],Prod[[#This Row],[S3Cavity]])</f>
        <v>4</v>
      </c>
      <c r="BD216" s="175" t="b">
        <f>RegExpMatch(Prod[[#This Row],[MoldNo]], "^DEO-(B|C)")</f>
        <v>0</v>
      </c>
      <c r="BE216" s="175" t="b">
        <f>RegExpMatch(Prod[[#This Row],[MoldNo]], "^JAC")</f>
        <v>1</v>
      </c>
    </row>
    <row r="217" spans="1:57" x14ac:dyDescent="0.2">
      <c r="A217" s="117">
        <v>45457</v>
      </c>
      <c r="B217" s="130" t="s">
        <v>6</v>
      </c>
      <c r="C217" s="131" t="s">
        <v>8</v>
      </c>
      <c r="D217" s="119"/>
      <c r="E217" s="131"/>
      <c r="F217" s="119"/>
      <c r="G217" s="119" t="str">
        <f>IF(OR(Prod[[#This Row],[S1Hrs]]&gt;0,Prod[[#This Row],[S2Hrs]]&gt;0,Prod[[#This Row],[S3Hrs]]&gt;0),"Running","Down")</f>
        <v>Down</v>
      </c>
      <c r="H217" s="187">
        <v>0</v>
      </c>
      <c r="I217" s="141">
        <v>0</v>
      </c>
      <c r="J217" s="120">
        <v>0</v>
      </c>
      <c r="K217" s="130">
        <v>0</v>
      </c>
      <c r="L217" s="120">
        <f>Prod[[#This Row],[S1Shot]]*Prod[[#This Row],[S1Cavity]]-Prod[[#This Row],[S1Dft]]</f>
        <v>0</v>
      </c>
      <c r="M217" s="136">
        <f>SUM(Prod[[#This Row],[S1Mold]],Prod[[#This Row],[S1Print]],Prod[[#This Row],[S1Ovlp]],Prod[[#This Row],[S1Seam]],Prod[[#This Row],[S1Dmg]])</f>
        <v>0</v>
      </c>
      <c r="N217" s="187">
        <v>0</v>
      </c>
      <c r="O217" s="141">
        <v>0</v>
      </c>
      <c r="P217" s="120">
        <v>0</v>
      </c>
      <c r="Q217" s="130">
        <v>0</v>
      </c>
      <c r="R217" s="120">
        <f>Prod[[#This Row],[S2Shot]]*Prod[[#This Row],[S2Cavity]]-Prod[[#This Row],[S2Dft]]</f>
        <v>0</v>
      </c>
      <c r="S217" s="136">
        <f>SUM(Prod[[#This Row],[S2Mold]],Prod[[#This Row],[S2Print]],Prod[[#This Row],[S2Ovlp]],Prod[[#This Row],[S2Seam]],Prod[[#This Row],[S2Dmg]])</f>
        <v>0</v>
      </c>
      <c r="T217" s="187">
        <v>0</v>
      </c>
      <c r="U217" s="141">
        <v>0</v>
      </c>
      <c r="V217" s="120">
        <v>0</v>
      </c>
      <c r="W217" s="130">
        <v>0</v>
      </c>
      <c r="X217" s="120">
        <f>Prod[[#This Row],[S3Shot]]*Prod[[#This Row],[S3Cavity]]-Prod[[#This Row],[S3Dft]]</f>
        <v>0</v>
      </c>
      <c r="Y217" s="120">
        <f>SUM(Prod[[#This Row],[S3Mold]],Prod[[#This Row],[S3Print]],Prod[[#This Row],[S3Ovlp]],Prod[[#This Row],[S3Seam]],Prod[[#This Row],[S3Dmg]])</f>
        <v>0</v>
      </c>
      <c r="Z217" s="120">
        <f>SUM(Prod[[#This Row],[S1Qty]],Prod[[#This Row],[S2Qty]],Prod[[#This Row],[S3Qty]])</f>
        <v>0</v>
      </c>
      <c r="AA217" s="120">
        <f>SUM(Prod[[#This Row],[S1Dft]],Prod[[#This Row],[S2Dft]],Prod[[#This Row],[S3Dft]])</f>
        <v>0</v>
      </c>
      <c r="AB217" s="121">
        <f>IF(Prod[[#This Row],[Total]]=0,0,Prod[[#This Row],[TotalDft]]/Prod[[#This Row],[Total]])</f>
        <v>0</v>
      </c>
      <c r="AC217" s="131"/>
      <c r="AD217" s="120">
        <v>0</v>
      </c>
      <c r="AE217" s="120">
        <v>0</v>
      </c>
      <c r="AF217" s="120">
        <v>0</v>
      </c>
      <c r="AG217" s="120">
        <v>0</v>
      </c>
      <c r="AH217" s="120">
        <v>0</v>
      </c>
      <c r="AI217" s="120">
        <v>0</v>
      </c>
      <c r="AJ217" s="120">
        <v>0</v>
      </c>
      <c r="AK217" s="120">
        <v>0</v>
      </c>
      <c r="AL217" s="120">
        <v>0</v>
      </c>
      <c r="AM217" s="120">
        <v>0</v>
      </c>
      <c r="AN217" s="120">
        <v>0</v>
      </c>
      <c r="AO217" s="120">
        <v>0</v>
      </c>
      <c r="AP217" s="120">
        <v>0</v>
      </c>
      <c r="AQ217" s="120">
        <v>0</v>
      </c>
      <c r="AR217" s="120">
        <v>0</v>
      </c>
      <c r="AS217" s="132">
        <f>IF(Prod[[#This Row],[S1Hrs]]=0,0,Prod[[#This Row],[S1Shot]]*Prod[[#This Row],[S1Cycle]]/(Prod[[#This Row],[S1Hrs]]*60*60))</f>
        <v>0</v>
      </c>
      <c r="AT217" s="132">
        <f>IF(Prod[[#This Row],[S2Hrs]]=0,0,Prod[[#This Row],[S2Shot]]*Prod[[#This Row],[S2Cycle]]/(Prod[[#This Row],[S2Hrs]]*60*60))</f>
        <v>0</v>
      </c>
      <c r="AU217" s="132">
        <f>IF(Prod[[#This Row],[S3Hrs]]=0,0,Prod[[#This Row],[S3Shot]]*Prod[[#This Row],[S3Cycle]]/(Prod[[#This Row],[S3Hrs]]*60*60))</f>
        <v>0</v>
      </c>
      <c r="AV217" s="132">
        <f>IFERROR(AVERAGEIF(Prod[[#This Row],[S1%]:[S3%]], "&lt;&gt;0"),0)</f>
        <v>0</v>
      </c>
      <c r="AW217" s="132">
        <v>0</v>
      </c>
      <c r="AX217" s="132">
        <v>0</v>
      </c>
      <c r="AY217" s="132">
        <v>0</v>
      </c>
      <c r="AZ217" s="175">
        <f>IF(Prod[[#This Row],[S1Cycle]]&lt;&gt;0,1,0)</f>
        <v>0</v>
      </c>
      <c r="BA217" s="175">
        <f>IF(Prod[[#This Row],[S2Cycle]]&lt;&gt;0,1,0)</f>
        <v>0</v>
      </c>
      <c r="BB217" s="175">
        <f>IF(Prod[[#This Row],[S3Cycle]]&lt;&gt;0,1,0)</f>
        <v>0</v>
      </c>
      <c r="BC217" s="175">
        <f>MAX(Prod[[#This Row],[S1Cavity]],Prod[[#This Row],[S2Cavity]],Prod[[#This Row],[S3Cavity]])</f>
        <v>0</v>
      </c>
      <c r="BD217" s="175" t="b">
        <f>RegExpMatch(Prod[[#This Row],[MoldNo]], "^DEO-(B|C)")</f>
        <v>1</v>
      </c>
      <c r="BE217" s="175" t="b">
        <f>RegExpMatch(Prod[[#This Row],[MoldNo]], "^JAC")</f>
        <v>0</v>
      </c>
    </row>
    <row r="218" spans="1:57" x14ac:dyDescent="0.2">
      <c r="A218" s="117">
        <v>45457</v>
      </c>
      <c r="B218" s="120" t="s">
        <v>7</v>
      </c>
      <c r="C218" s="119" t="s">
        <v>172</v>
      </c>
      <c r="D218" s="119">
        <v>27651</v>
      </c>
      <c r="E218" s="131" t="s">
        <v>239</v>
      </c>
      <c r="F218" s="119">
        <v>6331</v>
      </c>
      <c r="G218" s="119" t="str">
        <f>IF(OR(Prod[[#This Row],[S1Hrs]]&gt;0,Prod[[#This Row],[S2Hrs]]&gt;0,Prod[[#This Row],[S3Hrs]]&gt;0),"Running","Down")</f>
        <v>Running</v>
      </c>
      <c r="H218" s="187">
        <v>20.8</v>
      </c>
      <c r="I218" s="141">
        <v>3</v>
      </c>
      <c r="J218" s="120">
        <v>518</v>
      </c>
      <c r="K218" s="130">
        <v>8</v>
      </c>
      <c r="L218" s="120">
        <f>Prod[[#This Row],[S1Shot]]*Prod[[#This Row],[S1Cavity]]-Prod[[#This Row],[S1Dft]]</f>
        <v>4144</v>
      </c>
      <c r="M218" s="136">
        <f>SUM(Prod[[#This Row],[S1Mold]],Prod[[#This Row],[S1Print]],Prod[[#This Row],[S1Ovlp]],Prod[[#This Row],[S1Seam]],Prod[[#This Row],[S1Dmg]])</f>
        <v>0</v>
      </c>
      <c r="N218" s="187">
        <v>0</v>
      </c>
      <c r="O218" s="141">
        <v>0</v>
      </c>
      <c r="P218" s="120">
        <v>0</v>
      </c>
      <c r="Q218" s="130">
        <v>0</v>
      </c>
      <c r="R218" s="120">
        <f>Prod[[#This Row],[S2Shot]]*Prod[[#This Row],[S2Cavity]]-Prod[[#This Row],[S2Dft]]</f>
        <v>0</v>
      </c>
      <c r="S218" s="136">
        <f>SUM(Prod[[#This Row],[S2Mold]],Prod[[#This Row],[S2Print]],Prod[[#This Row],[S2Ovlp]],Prod[[#This Row],[S2Seam]],Prod[[#This Row],[S2Dmg]])</f>
        <v>0</v>
      </c>
      <c r="T218" s="187">
        <v>0</v>
      </c>
      <c r="U218" s="141">
        <v>0</v>
      </c>
      <c r="V218" s="120">
        <v>0</v>
      </c>
      <c r="W218" s="130">
        <v>0</v>
      </c>
      <c r="X218" s="120">
        <f>Prod[[#This Row],[S3Shot]]*Prod[[#This Row],[S3Cavity]]-Prod[[#This Row],[S3Dft]]</f>
        <v>0</v>
      </c>
      <c r="Y218" s="120">
        <f>SUM(Prod[[#This Row],[S3Mold]],Prod[[#This Row],[S3Print]],Prod[[#This Row],[S3Ovlp]],Prod[[#This Row],[S3Seam]],Prod[[#This Row],[S3Dmg]])</f>
        <v>0</v>
      </c>
      <c r="Z218" s="120">
        <f>SUM(Prod[[#This Row],[S1Qty]],Prod[[#This Row],[S2Qty]],Prod[[#This Row],[S3Qty]])</f>
        <v>4144</v>
      </c>
      <c r="AA218" s="120">
        <f>SUM(Prod[[#This Row],[S1Dft]],Prod[[#This Row],[S2Dft]],Prod[[#This Row],[S3Dft]])</f>
        <v>0</v>
      </c>
      <c r="AB218" s="121">
        <f>IF(Prod[[#This Row],[Total]]=0,0,Prod[[#This Row],[TotalDft]]/Prod[[#This Row],[Total]])</f>
        <v>0</v>
      </c>
      <c r="AC218" s="131"/>
      <c r="AD218" s="120">
        <v>0</v>
      </c>
      <c r="AE218" s="120">
        <v>0</v>
      </c>
      <c r="AF218" s="120">
        <v>0</v>
      </c>
      <c r="AG218" s="120">
        <v>0</v>
      </c>
      <c r="AH218" s="120">
        <v>0</v>
      </c>
      <c r="AI218" s="120">
        <v>0</v>
      </c>
      <c r="AJ218" s="120">
        <v>0</v>
      </c>
      <c r="AK218" s="120">
        <v>0</v>
      </c>
      <c r="AL218" s="120">
        <v>0</v>
      </c>
      <c r="AM218" s="120">
        <v>0</v>
      </c>
      <c r="AN218" s="120">
        <v>0</v>
      </c>
      <c r="AO218" s="120">
        <v>0</v>
      </c>
      <c r="AP218" s="120">
        <v>0</v>
      </c>
      <c r="AQ218" s="120">
        <v>0</v>
      </c>
      <c r="AR218" s="120">
        <v>0</v>
      </c>
      <c r="AS218" s="132">
        <f>IF(Prod[[#This Row],[S1Hrs]]=0,0,Prod[[#This Row],[S1Shot]]*Prod[[#This Row],[S1Cycle]]/(Prod[[#This Row],[S1Hrs]]*60*60))</f>
        <v>0.99762962962962964</v>
      </c>
      <c r="AT218" s="132">
        <f>IF(Prod[[#This Row],[S2Hrs]]=0,0,Prod[[#This Row],[S2Shot]]*Prod[[#This Row],[S2Cycle]]/(Prod[[#This Row],[S2Hrs]]*60*60))</f>
        <v>0</v>
      </c>
      <c r="AU218" s="132">
        <f>IF(Prod[[#This Row],[S3Hrs]]=0,0,Prod[[#This Row],[S3Shot]]*Prod[[#This Row],[S3Cycle]]/(Prod[[#This Row],[S3Hrs]]*60*60))</f>
        <v>0</v>
      </c>
      <c r="AV218" s="132">
        <f>IFERROR(AVERAGEIF(Prod[[#This Row],[S1%]:[S3%]], "&lt;&gt;0"),0)</f>
        <v>0.99762962962962964</v>
      </c>
      <c r="AW218" s="132">
        <v>0</v>
      </c>
      <c r="AX218" s="132">
        <v>0</v>
      </c>
      <c r="AY218" s="132">
        <v>0</v>
      </c>
      <c r="AZ218" s="175">
        <f>IF(Prod[[#This Row],[S1Cycle]]&lt;&gt;0,1,0)</f>
        <v>1</v>
      </c>
      <c r="BA218" s="175">
        <f>IF(Prod[[#This Row],[S2Cycle]]&lt;&gt;0,1,0)</f>
        <v>0</v>
      </c>
      <c r="BB218" s="175">
        <f>IF(Prod[[#This Row],[S3Cycle]]&lt;&gt;0,1,0)</f>
        <v>0</v>
      </c>
      <c r="BC218" s="175">
        <f>MAX(Prod[[#This Row],[S1Cavity]],Prod[[#This Row],[S2Cavity]],Prod[[#This Row],[S3Cavity]])</f>
        <v>8</v>
      </c>
      <c r="BD218" s="175" t="b">
        <f>RegExpMatch(Prod[[#This Row],[MoldNo]], "^DEO-(B|C)")</f>
        <v>1</v>
      </c>
      <c r="BE218" s="175" t="b">
        <f>RegExpMatch(Prod[[#This Row],[MoldNo]], "^JAC")</f>
        <v>0</v>
      </c>
    </row>
    <row r="219" spans="1:57" x14ac:dyDescent="0.2">
      <c r="A219" s="117">
        <v>45457</v>
      </c>
      <c r="B219" s="120" t="s">
        <v>7</v>
      </c>
      <c r="C219" s="119" t="s">
        <v>172</v>
      </c>
      <c r="D219" s="119">
        <v>27826</v>
      </c>
      <c r="E219" s="131" t="s">
        <v>239</v>
      </c>
      <c r="F219" s="119">
        <v>6331</v>
      </c>
      <c r="G219" s="119" t="str">
        <f>IF(OR(Prod[[#This Row],[S1Hrs]]&gt;0,Prod[[#This Row],[S2Hrs]]&gt;0,Prod[[#This Row],[S3Hrs]]&gt;0),"Running","Down")</f>
        <v>Running</v>
      </c>
      <c r="H219" s="187">
        <v>20.8</v>
      </c>
      <c r="I219" s="141">
        <v>5</v>
      </c>
      <c r="J219" s="120">
        <v>846</v>
      </c>
      <c r="K219" s="130">
        <v>8</v>
      </c>
      <c r="L219" s="120">
        <f>Prod[[#This Row],[S1Shot]]*Prod[[#This Row],[S1Cavity]]-Prod[[#This Row],[S1Dft]]</f>
        <v>6768</v>
      </c>
      <c r="M219" s="136">
        <f>SUM(Prod[[#This Row],[S1Mold]],Prod[[#This Row],[S1Print]],Prod[[#This Row],[S1Ovlp]],Prod[[#This Row],[S1Seam]],Prod[[#This Row],[S1Dmg]])</f>
        <v>0</v>
      </c>
      <c r="N219" s="187">
        <v>20.74</v>
      </c>
      <c r="O219" s="141">
        <v>8</v>
      </c>
      <c r="P219" s="120">
        <v>1469</v>
      </c>
      <c r="Q219" s="130">
        <v>8</v>
      </c>
      <c r="R219" s="120">
        <f>Prod[[#This Row],[S2Shot]]*Prod[[#This Row],[S2Cavity]]-Prod[[#This Row],[S2Dft]]</f>
        <v>11752</v>
      </c>
      <c r="S219" s="136">
        <f>SUM(Prod[[#This Row],[S2Mold]],Prod[[#This Row],[S2Print]],Prod[[#This Row],[S2Ovlp]],Prod[[#This Row],[S2Seam]],Prod[[#This Row],[S2Dmg]])</f>
        <v>0</v>
      </c>
      <c r="T219" s="187">
        <v>20.89</v>
      </c>
      <c r="U219" s="141">
        <v>8</v>
      </c>
      <c r="V219" s="120">
        <v>1314</v>
      </c>
      <c r="W219" s="130">
        <v>8</v>
      </c>
      <c r="X219" s="120">
        <f>Prod[[#This Row],[S3Shot]]*Prod[[#This Row],[S3Cavity]]-Prod[[#This Row],[S3Dft]]</f>
        <v>10512</v>
      </c>
      <c r="Y219" s="120">
        <f>SUM(Prod[[#This Row],[S3Mold]],Prod[[#This Row],[S3Print]],Prod[[#This Row],[S3Ovlp]],Prod[[#This Row],[S3Seam]],Prod[[#This Row],[S3Dmg]])</f>
        <v>0</v>
      </c>
      <c r="Z219" s="120">
        <f>SUM(Prod[[#This Row],[S1Qty]],Prod[[#This Row],[S2Qty]],Prod[[#This Row],[S3Qty]])</f>
        <v>29032</v>
      </c>
      <c r="AA219" s="120">
        <f>SUM(Prod[[#This Row],[S1Dft]],Prod[[#This Row],[S2Dft]],Prod[[#This Row],[S3Dft]])</f>
        <v>0</v>
      </c>
      <c r="AB219" s="121">
        <f>IF(Prod[[#This Row],[Total]]=0,0,Prod[[#This Row],[TotalDft]]/Prod[[#This Row],[Total]])</f>
        <v>0</v>
      </c>
      <c r="AC219" s="131"/>
      <c r="AD219" s="120">
        <v>0</v>
      </c>
      <c r="AE219" s="120">
        <v>0</v>
      </c>
      <c r="AF219" s="120">
        <v>0</v>
      </c>
      <c r="AG219" s="120">
        <v>0</v>
      </c>
      <c r="AH219" s="120">
        <v>0</v>
      </c>
      <c r="AI219" s="120">
        <v>0</v>
      </c>
      <c r="AJ219" s="120">
        <v>0</v>
      </c>
      <c r="AK219" s="120">
        <v>0</v>
      </c>
      <c r="AL219" s="120">
        <v>0</v>
      </c>
      <c r="AM219" s="120">
        <v>0</v>
      </c>
      <c r="AN219" s="120">
        <v>0</v>
      </c>
      <c r="AO219" s="120">
        <v>0</v>
      </c>
      <c r="AP219" s="120">
        <v>0</v>
      </c>
      <c r="AQ219" s="120">
        <v>0</v>
      </c>
      <c r="AR219" s="120">
        <v>0</v>
      </c>
      <c r="AS219" s="132">
        <f>IF(Prod[[#This Row],[S1Hrs]]=0,0,Prod[[#This Row],[S1Shot]]*Prod[[#This Row],[S1Cycle]]/(Prod[[#This Row],[S1Hrs]]*60*60))</f>
        <v>0.97759999999999991</v>
      </c>
      <c r="AT219" s="132">
        <f>IF(Prod[[#This Row],[S2Hrs]]=0,0,Prod[[#This Row],[S2Shot]]*Prod[[#This Row],[S2Cycle]]/(Prod[[#This Row],[S2Hrs]]*60*60))</f>
        <v>1.0578840277777777</v>
      </c>
      <c r="AU219" s="132">
        <f>IF(Prod[[#This Row],[S3Hrs]]=0,0,Prod[[#This Row],[S3Shot]]*Prod[[#This Row],[S3Cycle]]/(Prod[[#This Row],[S3Hrs]]*60*60))</f>
        <v>0.95310624999999993</v>
      </c>
      <c r="AV219" s="132">
        <f>IFERROR(AVERAGEIF(Prod[[#This Row],[S1%]:[S3%]], "&lt;&gt;0"),0)</f>
        <v>0.99619675925925921</v>
      </c>
      <c r="AW219" s="132">
        <v>0</v>
      </c>
      <c r="AX219" s="132">
        <v>0</v>
      </c>
      <c r="AY219" s="132">
        <v>0</v>
      </c>
      <c r="AZ219" s="175">
        <f>IF(Prod[[#This Row],[S1Cycle]]&lt;&gt;0,1,0)</f>
        <v>1</v>
      </c>
      <c r="BA219" s="175">
        <f>IF(Prod[[#This Row],[S2Cycle]]&lt;&gt;0,1,0)</f>
        <v>1</v>
      </c>
      <c r="BB219" s="175">
        <f>IF(Prod[[#This Row],[S3Cycle]]&lt;&gt;0,1,0)</f>
        <v>1</v>
      </c>
      <c r="BC219" s="175">
        <f>MAX(Prod[[#This Row],[S1Cavity]],Prod[[#This Row],[S2Cavity]],Prod[[#This Row],[S3Cavity]])</f>
        <v>8</v>
      </c>
      <c r="BD219" s="175" t="b">
        <f>RegExpMatch(Prod[[#This Row],[MoldNo]], "^DEO-(B|C)")</f>
        <v>1</v>
      </c>
      <c r="BE219" s="175" t="b">
        <f>RegExpMatch(Prod[[#This Row],[MoldNo]], "^JAC")</f>
        <v>0</v>
      </c>
    </row>
    <row r="220" spans="1:57" x14ac:dyDescent="0.2">
      <c r="A220" s="117">
        <v>45457</v>
      </c>
      <c r="B220" s="120" t="s">
        <v>85</v>
      </c>
      <c r="C220" s="119" t="s">
        <v>165</v>
      </c>
      <c r="D220" s="119">
        <v>26666</v>
      </c>
      <c r="E220" s="131" t="s">
        <v>199</v>
      </c>
      <c r="F220" s="119">
        <v>6331</v>
      </c>
      <c r="G220" s="119" t="str">
        <f>IF(OR(Prod[[#This Row],[S1Hrs]]&gt;0,Prod[[#This Row],[S2Hrs]]&gt;0,Prod[[#This Row],[S3Hrs]]&gt;0),"Running","Down")</f>
        <v>Running</v>
      </c>
      <c r="H220" s="187">
        <v>20.436</v>
      </c>
      <c r="I220" s="141">
        <v>7</v>
      </c>
      <c r="J220" s="120">
        <v>1218</v>
      </c>
      <c r="K220" s="130">
        <v>16</v>
      </c>
      <c r="L220" s="120">
        <f>Prod[[#This Row],[S1Shot]]*Prod[[#This Row],[S1Cavity]]-Prod[[#This Row],[S1Dft]]</f>
        <v>19488</v>
      </c>
      <c r="M220" s="134"/>
      <c r="N220" s="187">
        <v>0</v>
      </c>
      <c r="O220" s="141">
        <v>0</v>
      </c>
      <c r="P220" s="120">
        <v>0</v>
      </c>
      <c r="Q220" s="130">
        <v>0</v>
      </c>
      <c r="R220" s="120">
        <f>Prod[[#This Row],[S2Shot]]*Prod[[#This Row],[S2Cavity]]-Prod[[#This Row],[S2Dft]]</f>
        <v>0</v>
      </c>
      <c r="S220" s="134"/>
      <c r="T220" s="187">
        <v>0</v>
      </c>
      <c r="U220" s="141">
        <v>0</v>
      </c>
      <c r="V220" s="120">
        <v>0</v>
      </c>
      <c r="W220" s="130">
        <v>0</v>
      </c>
      <c r="X220" s="120">
        <f>Prod[[#This Row],[S3Shot]]*Prod[[#This Row],[S3Cavity]]-Prod[[#This Row],[S3Dft]]</f>
        <v>0</v>
      </c>
      <c r="Y220" s="134"/>
      <c r="Z220" s="120">
        <f>SUM(Prod[[#This Row],[S1Qty]],Prod[[#This Row],[S2Qty]],Prod[[#This Row],[S3Qty]])</f>
        <v>19488</v>
      </c>
      <c r="AA220" s="134"/>
      <c r="AB220" s="135"/>
      <c r="AC220" s="118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2">
        <f>IF(Prod[[#This Row],[S1Hrs]]=0,0,Prod[[#This Row],[S1Shot]]*Prod[[#This Row],[S1Cycle]]/(Prod[[#This Row],[S1Hrs]]*60*60))</f>
        <v>0.98773999999999995</v>
      </c>
      <c r="AT220" s="132">
        <f>IF(Prod[[#This Row],[S2Hrs]]=0,0,Prod[[#This Row],[S2Shot]]*Prod[[#This Row],[S2Cycle]]/(Prod[[#This Row],[S2Hrs]]*60*60))</f>
        <v>0</v>
      </c>
      <c r="AU220" s="132">
        <f>IF(Prod[[#This Row],[S3Hrs]]=0,0,Prod[[#This Row],[S3Shot]]*Prod[[#This Row],[S3Cycle]]/(Prod[[#This Row],[S3Hrs]]*60*60))</f>
        <v>0</v>
      </c>
      <c r="AV220" s="132">
        <f>IFERROR(AVERAGEIF(Prod[[#This Row],[S1%]:[S3%]], "&lt;&gt;0"),0)</f>
        <v>0.98773999999999995</v>
      </c>
      <c r="AW220" s="132">
        <v>0</v>
      </c>
      <c r="AX220" s="132">
        <v>0</v>
      </c>
      <c r="AY220" s="132">
        <v>0</v>
      </c>
      <c r="AZ220" s="175">
        <f>IF(Prod[[#This Row],[S1Cycle]]&lt;&gt;0,1,0)</f>
        <v>1</v>
      </c>
      <c r="BA220" s="175">
        <f>IF(Prod[[#This Row],[S2Cycle]]&lt;&gt;0,1,0)</f>
        <v>0</v>
      </c>
      <c r="BB220" s="175">
        <f>IF(Prod[[#This Row],[S3Cycle]]&lt;&gt;0,1,0)</f>
        <v>0</v>
      </c>
      <c r="BC220" s="175">
        <f>MAX(Prod[[#This Row],[S1Cavity]],Prod[[#This Row],[S2Cavity]],Prod[[#This Row],[S3Cavity]])</f>
        <v>16</v>
      </c>
      <c r="BD220" s="175" t="b">
        <f>RegExpMatch(Prod[[#This Row],[MoldNo]], "^DEO-(B|C)")</f>
        <v>0</v>
      </c>
      <c r="BE220" s="175" t="b">
        <f>RegExpMatch(Prod[[#This Row],[MoldNo]], "^JAC")</f>
        <v>0</v>
      </c>
    </row>
    <row r="221" spans="1:57" x14ac:dyDescent="0.2">
      <c r="A221" s="117">
        <v>45457</v>
      </c>
      <c r="B221" s="120" t="s">
        <v>196</v>
      </c>
      <c r="C221" s="119" t="s">
        <v>82</v>
      </c>
      <c r="D221" s="119">
        <v>27438</v>
      </c>
      <c r="E221" s="131" t="s">
        <v>199</v>
      </c>
      <c r="F221" s="119">
        <v>814</v>
      </c>
      <c r="G221" s="119" t="str">
        <f>IF(OR(Prod[[#This Row],[S1Hrs]]&gt;0,Prod[[#This Row],[S2Hrs]]&gt;0,Prod[[#This Row],[S3Hrs]]&gt;0),"Running","Down")</f>
        <v>Running</v>
      </c>
      <c r="H221" s="187">
        <v>20.68</v>
      </c>
      <c r="I221" s="141">
        <v>8</v>
      </c>
      <c r="J221" s="120">
        <v>1279</v>
      </c>
      <c r="K221" s="130">
        <v>16</v>
      </c>
      <c r="L221" s="120">
        <f>Prod[[#This Row],[S1Shot]]*Prod[[#This Row],[S1Cavity]]-Prod[[#This Row],[S1Dft]]</f>
        <v>20464</v>
      </c>
      <c r="M221" s="134"/>
      <c r="N221" s="187">
        <v>20.67</v>
      </c>
      <c r="O221" s="141">
        <v>8</v>
      </c>
      <c r="P221" s="120">
        <v>1439</v>
      </c>
      <c r="Q221" s="130">
        <v>16</v>
      </c>
      <c r="R221" s="120">
        <f>Prod[[#This Row],[S2Shot]]*Prod[[#This Row],[S2Cavity]]-Prod[[#This Row],[S2Dft]]</f>
        <v>23024</v>
      </c>
      <c r="S221" s="134"/>
      <c r="T221" s="187">
        <v>20.66</v>
      </c>
      <c r="U221" s="141">
        <v>8</v>
      </c>
      <c r="V221" s="120">
        <v>1337</v>
      </c>
      <c r="W221" s="130">
        <v>16</v>
      </c>
      <c r="X221" s="120">
        <f>Prod[[#This Row],[S3Shot]]*Prod[[#This Row],[S3Cavity]]-Prod[[#This Row],[S3Dft]]</f>
        <v>21392</v>
      </c>
      <c r="Y221" s="134"/>
      <c r="Z221" s="120">
        <f>SUM(Prod[[#This Row],[S1Qty]],Prod[[#This Row],[S2Qty]],Prod[[#This Row],[S3Qty]])</f>
        <v>64880</v>
      </c>
      <c r="AA221" s="134"/>
      <c r="AB221" s="135"/>
      <c r="AC221" s="118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2">
        <f>IF(Prod[[#This Row],[S1Hrs]]=0,0,Prod[[#This Row],[S1Shot]]*Prod[[#This Row],[S1Cycle]]/(Prod[[#This Row],[S1Hrs]]*60*60))</f>
        <v>0.91839305555555562</v>
      </c>
      <c r="AT221" s="132">
        <f>IF(Prod[[#This Row],[S2Hrs]]=0,0,Prod[[#This Row],[S2Shot]]*Prod[[#This Row],[S2Cycle]]/(Prod[[#This Row],[S2Hrs]]*60*60))</f>
        <v>1.0327822916666667</v>
      </c>
      <c r="AU221" s="132">
        <f>IF(Prod[[#This Row],[S3Hrs]]=0,0,Prod[[#This Row],[S3Shot]]*Prod[[#This Row],[S3Cycle]]/(Prod[[#This Row],[S3Hrs]]*60*60))</f>
        <v>0.95911180555555564</v>
      </c>
      <c r="AV221" s="132">
        <f>IFERROR(AVERAGEIF(Prod[[#This Row],[S1%]:[S3%]], "&lt;&gt;0"),0)</f>
        <v>0.97009571759259261</v>
      </c>
      <c r="AW221" s="132">
        <v>0</v>
      </c>
      <c r="AX221" s="132">
        <v>0</v>
      </c>
      <c r="AY221" s="132">
        <v>0</v>
      </c>
      <c r="AZ221" s="175">
        <f>IF(Prod[[#This Row],[S1Cycle]]&lt;&gt;0,1,0)</f>
        <v>1</v>
      </c>
      <c r="BA221" s="175">
        <f>IF(Prod[[#This Row],[S2Cycle]]&lt;&gt;0,1,0)</f>
        <v>1</v>
      </c>
      <c r="BB221" s="175">
        <f>IF(Prod[[#This Row],[S3Cycle]]&lt;&gt;0,1,0)</f>
        <v>1</v>
      </c>
      <c r="BC221" s="175">
        <f>MAX(Prod[[#This Row],[S1Cavity]],Prod[[#This Row],[S2Cavity]],Prod[[#This Row],[S3Cavity]])</f>
        <v>16</v>
      </c>
      <c r="BD221" s="175" t="b">
        <f>RegExpMatch(Prod[[#This Row],[MoldNo]], "^DEO-(B|C)")</f>
        <v>0</v>
      </c>
      <c r="BE221" s="175" t="b">
        <f>RegExpMatch(Prod[[#This Row],[MoldNo]], "^JAC")</f>
        <v>0</v>
      </c>
    </row>
    <row r="222" spans="1:57" x14ac:dyDescent="0.2">
      <c r="A222" s="117">
        <v>45457</v>
      </c>
      <c r="B222" s="120" t="s">
        <v>192</v>
      </c>
      <c r="C222" s="131" t="s">
        <v>193</v>
      </c>
      <c r="D222" s="119"/>
      <c r="E222" s="131"/>
      <c r="F222" s="119"/>
      <c r="G222" s="119" t="str">
        <f>IF(OR(Prod[[#This Row],[S1Hrs]]&gt;0,Prod[[#This Row],[S2Hrs]]&gt;0,Prod[[#This Row],[S3Hrs]]&gt;0),"Running","Down")</f>
        <v>Down</v>
      </c>
      <c r="H222" s="187">
        <v>0</v>
      </c>
      <c r="I222" s="141">
        <v>0</v>
      </c>
      <c r="J222" s="120">
        <v>0</v>
      </c>
      <c r="K222" s="130">
        <v>0</v>
      </c>
      <c r="L222" s="120">
        <f>Prod[[#This Row],[S1Shot]]*Prod[[#This Row],[S1Cavity]]-Prod[[#This Row],[S1Dft]]</f>
        <v>0</v>
      </c>
      <c r="M222" s="134"/>
      <c r="N222" s="187">
        <v>0</v>
      </c>
      <c r="O222" s="141">
        <v>0</v>
      </c>
      <c r="P222" s="120">
        <v>0</v>
      </c>
      <c r="Q222" s="130">
        <v>0</v>
      </c>
      <c r="R222" s="120">
        <f>Prod[[#This Row],[S2Shot]]*Prod[[#This Row],[S2Cavity]]-Prod[[#This Row],[S2Dft]]</f>
        <v>0</v>
      </c>
      <c r="S222" s="134"/>
      <c r="T222" s="187">
        <v>0</v>
      </c>
      <c r="U222" s="141">
        <v>0</v>
      </c>
      <c r="V222" s="120">
        <v>0</v>
      </c>
      <c r="W222" s="130">
        <v>0</v>
      </c>
      <c r="X222" s="120">
        <f>Prod[[#This Row],[S3Shot]]*Prod[[#This Row],[S3Cavity]]-Prod[[#This Row],[S3Dft]]</f>
        <v>0</v>
      </c>
      <c r="Y222" s="134"/>
      <c r="Z222" s="120">
        <f>SUM(Prod[[#This Row],[S1Qty]],Prod[[#This Row],[S2Qty]],Prod[[#This Row],[S3Qty]])</f>
        <v>0</v>
      </c>
      <c r="AA222" s="134"/>
      <c r="AB222" s="135"/>
      <c r="AC222" s="118"/>
      <c r="AD222" s="134"/>
      <c r="AE222" s="134"/>
      <c r="AF222" s="134"/>
      <c r="AG222" s="134"/>
      <c r="AH222" s="134"/>
      <c r="AI222" s="134"/>
      <c r="AJ222" s="134"/>
      <c r="AK222" s="134"/>
      <c r="AL222" s="134"/>
      <c r="AM222" s="134"/>
      <c r="AN222" s="134"/>
      <c r="AO222" s="134"/>
      <c r="AP222" s="134"/>
      <c r="AQ222" s="134"/>
      <c r="AR222" s="134"/>
      <c r="AS222" s="132">
        <f>IF(Prod[[#This Row],[S1Hrs]]=0,0,Prod[[#This Row],[S1Shot]]*Prod[[#This Row],[S1Cycle]]/(Prod[[#This Row],[S1Hrs]]*60*60))</f>
        <v>0</v>
      </c>
      <c r="AT222" s="132">
        <f>IF(Prod[[#This Row],[S2Hrs]]=0,0,Prod[[#This Row],[S2Shot]]*Prod[[#This Row],[S2Cycle]]/(Prod[[#This Row],[S2Hrs]]*60*60))</f>
        <v>0</v>
      </c>
      <c r="AU222" s="132">
        <f>IF(Prod[[#This Row],[S3Hrs]]=0,0,Prod[[#This Row],[S3Shot]]*Prod[[#This Row],[S3Cycle]]/(Prod[[#This Row],[S3Hrs]]*60*60))</f>
        <v>0</v>
      </c>
      <c r="AV222" s="132">
        <f>IFERROR(AVERAGEIF(Prod[[#This Row],[S1%]:[S3%]], "&lt;&gt;0"),0)</f>
        <v>0</v>
      </c>
      <c r="AW222" s="132">
        <v>0</v>
      </c>
      <c r="AX222" s="132">
        <v>0</v>
      </c>
      <c r="AY222" s="132">
        <v>0</v>
      </c>
      <c r="AZ222" s="175">
        <f>IF(Prod[[#This Row],[S1Cycle]]&lt;&gt;0,1,0)</f>
        <v>0</v>
      </c>
      <c r="BA222" s="175">
        <f>IF(Prod[[#This Row],[S2Cycle]]&lt;&gt;0,1,0)</f>
        <v>0</v>
      </c>
      <c r="BB222" s="175">
        <f>IF(Prod[[#This Row],[S3Cycle]]&lt;&gt;0,1,0)</f>
        <v>0</v>
      </c>
      <c r="BC222" s="175">
        <f>MAX(Prod[[#This Row],[S1Cavity]],Prod[[#This Row],[S2Cavity]],Prod[[#This Row],[S3Cavity]])</f>
        <v>0</v>
      </c>
      <c r="BD222" s="175" t="b">
        <f>RegExpMatch(Prod[[#This Row],[MoldNo]], "^DEO-(B|C)")</f>
        <v>0</v>
      </c>
      <c r="BE222" s="175" t="b">
        <f>RegExpMatch(Prod[[#This Row],[MoldNo]], "^JAC")</f>
        <v>0</v>
      </c>
    </row>
    <row r="223" spans="1:57" x14ac:dyDescent="0.2">
      <c r="A223" s="117">
        <v>45457</v>
      </c>
      <c r="B223" s="120" t="s">
        <v>168</v>
      </c>
      <c r="C223" s="119" t="s">
        <v>169</v>
      </c>
      <c r="D223" s="119">
        <v>26684</v>
      </c>
      <c r="E223" s="131" t="s">
        <v>199</v>
      </c>
      <c r="F223" s="119">
        <v>814</v>
      </c>
      <c r="G223" s="119" t="str">
        <f>IF(OR(Prod[[#This Row],[S1Hrs]]&gt;0,Prod[[#This Row],[S2Hrs]]&gt;0,Prod[[#This Row],[S3Hrs]]&gt;0),"Running","Down")</f>
        <v>Running</v>
      </c>
      <c r="H223" s="187">
        <v>15.4</v>
      </c>
      <c r="I223" s="141">
        <v>8</v>
      </c>
      <c r="J223" s="120">
        <v>1624</v>
      </c>
      <c r="K223" s="130">
        <v>15</v>
      </c>
      <c r="L223" s="120">
        <f>Prod[[#This Row],[S1Shot]]*Prod[[#This Row],[S1Cavity]]-Prod[[#This Row],[S1Dft]]</f>
        <v>24360</v>
      </c>
      <c r="M223" s="134"/>
      <c r="N223" s="187">
        <v>15.5</v>
      </c>
      <c r="O223" s="141">
        <v>8</v>
      </c>
      <c r="P223" s="120">
        <v>1608</v>
      </c>
      <c r="Q223" s="130">
        <v>15</v>
      </c>
      <c r="R223" s="120">
        <f>Prod[[#This Row],[S2Shot]]*Prod[[#This Row],[S2Cavity]]-Prod[[#This Row],[S2Dft]]</f>
        <v>24120</v>
      </c>
      <c r="S223" s="134"/>
      <c r="T223" s="187">
        <v>15.5</v>
      </c>
      <c r="U223" s="141">
        <v>8</v>
      </c>
      <c r="V223" s="120">
        <v>1769</v>
      </c>
      <c r="W223" s="130">
        <v>15</v>
      </c>
      <c r="X223" s="120">
        <f>Prod[[#This Row],[S3Shot]]*Prod[[#This Row],[S3Cavity]]-Prod[[#This Row],[S3Dft]]</f>
        <v>26535</v>
      </c>
      <c r="Y223" s="134"/>
      <c r="Z223" s="120">
        <f>SUM(Prod[[#This Row],[S1Qty]],Prod[[#This Row],[S2Qty]],Prod[[#This Row],[S3Qty]])</f>
        <v>75015</v>
      </c>
      <c r="AA223" s="134"/>
      <c r="AB223" s="135"/>
      <c r="AC223" s="118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2">
        <f>IF(Prod[[#This Row],[S1Hrs]]=0,0,Prod[[#This Row],[S1Shot]]*Prod[[#This Row],[S1Cycle]]/(Prod[[#This Row],[S1Hrs]]*60*60))</f>
        <v>0.86838888888888899</v>
      </c>
      <c r="AT223" s="132">
        <f>IF(Prod[[#This Row],[S2Hrs]]=0,0,Prod[[#This Row],[S2Shot]]*Prod[[#This Row],[S2Cycle]]/(Prod[[#This Row],[S2Hrs]]*60*60))</f>
        <v>0.86541666666666661</v>
      </c>
      <c r="AU223" s="132">
        <f>IF(Prod[[#This Row],[S3Hrs]]=0,0,Prod[[#This Row],[S3Shot]]*Prod[[#This Row],[S3Cycle]]/(Prod[[#This Row],[S3Hrs]]*60*60))</f>
        <v>0.95206597222222222</v>
      </c>
      <c r="AV223" s="132">
        <f>IFERROR(AVERAGEIF(Prod[[#This Row],[S1%]:[S3%]], "&lt;&gt;0"),0)</f>
        <v>0.89529050925925924</v>
      </c>
      <c r="AW223" s="132">
        <v>0</v>
      </c>
      <c r="AX223" s="132">
        <v>0</v>
      </c>
      <c r="AY223" s="132">
        <v>0</v>
      </c>
      <c r="AZ223" s="175">
        <f>IF(Prod[[#This Row],[S1Cycle]]&lt;&gt;0,1,0)</f>
        <v>1</v>
      </c>
      <c r="BA223" s="175">
        <f>IF(Prod[[#This Row],[S2Cycle]]&lt;&gt;0,1,0)</f>
        <v>1</v>
      </c>
      <c r="BB223" s="175">
        <f>IF(Prod[[#This Row],[S3Cycle]]&lt;&gt;0,1,0)</f>
        <v>1</v>
      </c>
      <c r="BC223" s="175">
        <f>MAX(Prod[[#This Row],[S1Cavity]],Prod[[#This Row],[S2Cavity]],Prod[[#This Row],[S3Cavity]])</f>
        <v>15</v>
      </c>
      <c r="BD223" s="175" t="b">
        <f>RegExpMatch(Prod[[#This Row],[MoldNo]], "^DEO-(B|C)")</f>
        <v>0</v>
      </c>
      <c r="BE223" s="175" t="b">
        <f>RegExpMatch(Prod[[#This Row],[MoldNo]], "^JAC")</f>
        <v>0</v>
      </c>
    </row>
    <row r="224" spans="1:57" x14ac:dyDescent="0.2">
      <c r="A224" s="117">
        <v>45457</v>
      </c>
      <c r="B224" s="120" t="s">
        <v>146</v>
      </c>
      <c r="C224" s="119" t="s">
        <v>84</v>
      </c>
      <c r="D224" s="119">
        <v>27501</v>
      </c>
      <c r="E224" s="131" t="s">
        <v>199</v>
      </c>
      <c r="F224" s="119">
        <v>6331</v>
      </c>
      <c r="G224" s="119" t="str">
        <f>IF(OR(Prod[[#This Row],[S1Hrs]]&gt;0,Prod[[#This Row],[S2Hrs]]&gt;0,Prod[[#This Row],[S3Hrs]]&gt;0),"Running","Down")</f>
        <v>Running</v>
      </c>
      <c r="H224" s="187">
        <v>12</v>
      </c>
      <c r="I224" s="141">
        <v>8</v>
      </c>
      <c r="J224" s="120">
        <v>2048</v>
      </c>
      <c r="K224" s="130">
        <v>8</v>
      </c>
      <c r="L224" s="120">
        <f>Prod[[#This Row],[S1Shot]]*Prod[[#This Row],[S1Cavity]]-Prod[[#This Row],[S1Dft]]</f>
        <v>16384</v>
      </c>
      <c r="M224" s="134"/>
      <c r="N224" s="187">
        <v>12</v>
      </c>
      <c r="O224" s="141">
        <v>8</v>
      </c>
      <c r="P224" s="120">
        <v>2498</v>
      </c>
      <c r="Q224" s="130">
        <v>8</v>
      </c>
      <c r="R224" s="120">
        <f>Prod[[#This Row],[S2Shot]]*Prod[[#This Row],[S2Cavity]]-Prod[[#This Row],[S2Dft]]</f>
        <v>19984</v>
      </c>
      <c r="S224" s="134"/>
      <c r="T224" s="187">
        <v>11.99</v>
      </c>
      <c r="U224" s="141">
        <v>8</v>
      </c>
      <c r="V224" s="120">
        <v>2102</v>
      </c>
      <c r="W224" s="130">
        <v>8</v>
      </c>
      <c r="X224" s="120">
        <f>Prod[[#This Row],[S3Shot]]*Prod[[#This Row],[S3Cavity]]-Prod[[#This Row],[S3Dft]]</f>
        <v>16816</v>
      </c>
      <c r="Y224" s="134"/>
      <c r="Z224" s="120">
        <f>SUM(Prod[[#This Row],[S1Qty]],Prod[[#This Row],[S2Qty]],Prod[[#This Row],[S3Qty]])</f>
        <v>53184</v>
      </c>
      <c r="AA224" s="134"/>
      <c r="AB224" s="135"/>
      <c r="AC224" s="118"/>
      <c r="AD224" s="134"/>
      <c r="AE224" s="134"/>
      <c r="AF224" s="134"/>
      <c r="AG224" s="134"/>
      <c r="AH224" s="134"/>
      <c r="AI224" s="134"/>
      <c r="AJ224" s="134"/>
      <c r="AK224" s="134"/>
      <c r="AL224" s="134"/>
      <c r="AM224" s="134"/>
      <c r="AN224" s="134"/>
      <c r="AO224" s="134"/>
      <c r="AP224" s="134"/>
      <c r="AQ224" s="134"/>
      <c r="AR224" s="134"/>
      <c r="AS224" s="132">
        <f>IF(Prod[[#This Row],[S1Hrs]]=0,0,Prod[[#This Row],[S1Shot]]*Prod[[#This Row],[S1Cycle]]/(Prod[[#This Row],[S1Hrs]]*60*60))</f>
        <v>0.85333333333333339</v>
      </c>
      <c r="AT224" s="132">
        <f>IF(Prod[[#This Row],[S2Hrs]]=0,0,Prod[[#This Row],[S2Shot]]*Prod[[#This Row],[S2Cycle]]/(Prod[[#This Row],[S2Hrs]]*60*60))</f>
        <v>1.0408333333333333</v>
      </c>
      <c r="AU224" s="132">
        <f>IF(Prod[[#This Row],[S3Hrs]]=0,0,Prod[[#This Row],[S3Shot]]*Prod[[#This Row],[S3Cycle]]/(Prod[[#This Row],[S3Hrs]]*60*60))</f>
        <v>0.87510347222222218</v>
      </c>
      <c r="AV224" s="132">
        <f>IFERROR(AVERAGEIF(Prod[[#This Row],[S1%]:[S3%]], "&lt;&gt;0"),0)</f>
        <v>0.92309004629629621</v>
      </c>
      <c r="AW224" s="132">
        <v>0</v>
      </c>
      <c r="AX224" s="132">
        <v>0</v>
      </c>
      <c r="AY224" s="132">
        <v>0</v>
      </c>
      <c r="AZ224" s="175">
        <f>IF(Prod[[#This Row],[S1Cycle]]&lt;&gt;0,1,0)</f>
        <v>1</v>
      </c>
      <c r="BA224" s="175">
        <f>IF(Prod[[#This Row],[S2Cycle]]&lt;&gt;0,1,0)</f>
        <v>1</v>
      </c>
      <c r="BB224" s="175">
        <f>IF(Prod[[#This Row],[S3Cycle]]&lt;&gt;0,1,0)</f>
        <v>1</v>
      </c>
      <c r="BC224" s="175">
        <f>MAX(Prod[[#This Row],[S1Cavity]],Prod[[#This Row],[S2Cavity]],Prod[[#This Row],[S3Cavity]])</f>
        <v>8</v>
      </c>
      <c r="BD224" s="175" t="b">
        <f>RegExpMatch(Prod[[#This Row],[MoldNo]], "^DEO-(B|C)")</f>
        <v>0</v>
      </c>
      <c r="BE224" s="175" t="b">
        <f>RegExpMatch(Prod[[#This Row],[MoldNo]], "^JAC")</f>
        <v>0</v>
      </c>
    </row>
    <row r="225" spans="1:57" x14ac:dyDescent="0.2">
      <c r="A225" s="117">
        <v>45457</v>
      </c>
      <c r="B225" s="130" t="s">
        <v>164</v>
      </c>
      <c r="C225" s="131" t="s">
        <v>144</v>
      </c>
      <c r="D225" s="119"/>
      <c r="E225" s="131"/>
      <c r="F225" s="119"/>
      <c r="G225" s="119" t="str">
        <f>IF(OR(Prod[[#This Row],[S1Hrs]]&gt;0,Prod[[#This Row],[S2Hrs]]&gt;0,Prod[[#This Row],[S3Hrs]]&gt;0),"Running","Down")</f>
        <v>Down</v>
      </c>
      <c r="H225" s="187">
        <v>0</v>
      </c>
      <c r="I225" s="141">
        <v>0</v>
      </c>
      <c r="J225" s="120">
        <v>0</v>
      </c>
      <c r="K225" s="130">
        <v>0</v>
      </c>
      <c r="L225" s="120">
        <f>Prod[[#This Row],[S1Shot]]*Prod[[#This Row],[S1Cavity]]-Prod[[#This Row],[S1Dft]]</f>
        <v>0</v>
      </c>
      <c r="M225" s="136">
        <f>SUM(Prod[[#This Row],[S1Mold]],Prod[[#This Row],[S1Print]],Prod[[#This Row],[S1Ovlp]],Prod[[#This Row],[S1Seam]],Prod[[#This Row],[S1Dmg]])</f>
        <v>0</v>
      </c>
      <c r="N225" s="187">
        <v>0</v>
      </c>
      <c r="O225" s="141">
        <v>0</v>
      </c>
      <c r="P225" s="120">
        <v>0</v>
      </c>
      <c r="Q225" s="130">
        <v>0</v>
      </c>
      <c r="R225" s="120">
        <f>Prod[[#This Row],[S2Shot]]*Prod[[#This Row],[S2Cavity]]-Prod[[#This Row],[S2Dft]]</f>
        <v>0</v>
      </c>
      <c r="S225" s="136">
        <f>SUM(Prod[[#This Row],[S2Mold]],Prod[[#This Row],[S2Print]],Prod[[#This Row],[S2Ovlp]],Prod[[#This Row],[S2Seam]],Prod[[#This Row],[S2Dmg]])</f>
        <v>0</v>
      </c>
      <c r="T225" s="187">
        <v>0</v>
      </c>
      <c r="U225" s="141">
        <v>0</v>
      </c>
      <c r="V225" s="120">
        <v>0</v>
      </c>
      <c r="W225" s="130">
        <v>0</v>
      </c>
      <c r="X225" s="120">
        <f>Prod[[#This Row],[S3Shot]]*Prod[[#This Row],[S3Cavity]]-Prod[[#This Row],[S3Dft]]</f>
        <v>0</v>
      </c>
      <c r="Y225" s="120">
        <f>SUM(Prod[[#This Row],[S3Mold]],Prod[[#This Row],[S3Print]],Prod[[#This Row],[S3Ovlp]],Prod[[#This Row],[S3Seam]],Prod[[#This Row],[S3Dmg]])</f>
        <v>0</v>
      </c>
      <c r="Z225" s="120">
        <f>SUM(Prod[[#This Row],[S1Qty]],Prod[[#This Row],[S2Qty]],Prod[[#This Row],[S3Qty]])</f>
        <v>0</v>
      </c>
      <c r="AA225" s="120">
        <f>SUM(Prod[[#This Row],[S1Dft]],Prod[[#This Row],[S2Dft]],Prod[[#This Row],[S3Dft]])</f>
        <v>0</v>
      </c>
      <c r="AB225" s="121">
        <f>IF(Prod[[#This Row],[Total]]=0,0,Prod[[#This Row],[TotalDft]]/Prod[[#This Row],[Total]])</f>
        <v>0</v>
      </c>
      <c r="AC225" s="118"/>
      <c r="AD225" s="120">
        <v>0</v>
      </c>
      <c r="AE225" s="120">
        <v>0</v>
      </c>
      <c r="AF225" s="120">
        <v>0</v>
      </c>
      <c r="AG225" s="120">
        <v>0</v>
      </c>
      <c r="AH225" s="120">
        <v>0</v>
      </c>
      <c r="AI225" s="120">
        <v>0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32">
        <f>IF(Prod[[#This Row],[S1Hrs]]=0,0,Prod[[#This Row],[S1Shot]]*Prod[[#This Row],[S1Cycle]]/(Prod[[#This Row],[S1Hrs]]*60*60))</f>
        <v>0</v>
      </c>
      <c r="AT225" s="132">
        <f>IF(Prod[[#This Row],[S2Hrs]]=0,0,Prod[[#This Row],[S2Shot]]*Prod[[#This Row],[S2Cycle]]/(Prod[[#This Row],[S2Hrs]]*60*60))</f>
        <v>0</v>
      </c>
      <c r="AU225" s="132">
        <f>IF(Prod[[#This Row],[S3Hrs]]=0,0,Prod[[#This Row],[S3Shot]]*Prod[[#This Row],[S3Cycle]]/(Prod[[#This Row],[S3Hrs]]*60*60))</f>
        <v>0</v>
      </c>
      <c r="AV225" s="132">
        <f>IFERROR(AVERAGEIF(Prod[[#This Row],[S1%]:[S3%]], "&lt;&gt;0"),0)</f>
        <v>0</v>
      </c>
      <c r="AW225" s="132">
        <v>0</v>
      </c>
      <c r="AX225" s="132">
        <v>0</v>
      </c>
      <c r="AY225" s="132">
        <v>0</v>
      </c>
      <c r="AZ225" s="175">
        <f>IF(Prod[[#This Row],[S1Cycle]]&lt;&gt;0,1,0)</f>
        <v>0</v>
      </c>
      <c r="BA225" s="175">
        <f>IF(Prod[[#This Row],[S2Cycle]]&lt;&gt;0,1,0)</f>
        <v>0</v>
      </c>
      <c r="BB225" s="175">
        <f>IF(Prod[[#This Row],[S3Cycle]]&lt;&gt;0,1,0)</f>
        <v>0</v>
      </c>
      <c r="BC225" s="175">
        <f>MAX(Prod[[#This Row],[S1Cavity]],Prod[[#This Row],[S2Cavity]],Prod[[#This Row],[S3Cavity]])</f>
        <v>0</v>
      </c>
      <c r="BD225" s="175" t="b">
        <f>RegExpMatch(Prod[[#This Row],[MoldNo]], "^DEO-(B|C)")</f>
        <v>1</v>
      </c>
      <c r="BE225" s="175" t="b">
        <f>RegExpMatch(Prod[[#This Row],[MoldNo]], "^JAC")</f>
        <v>0</v>
      </c>
    </row>
    <row r="226" spans="1:57" x14ac:dyDescent="0.2">
      <c r="A226" s="117">
        <v>45457</v>
      </c>
      <c r="B226" s="130" t="s">
        <v>162</v>
      </c>
      <c r="C226" s="131" t="s">
        <v>163</v>
      </c>
      <c r="D226" s="119"/>
      <c r="E226" s="131"/>
      <c r="F226" s="119"/>
      <c r="G226" s="119" t="str">
        <f>IF(OR(Prod[[#This Row],[S1Hrs]]&gt;0,Prod[[#This Row],[S2Hrs]]&gt;0,Prod[[#This Row],[S3Hrs]]&gt;0),"Running","Down")</f>
        <v>Down</v>
      </c>
      <c r="H226" s="187">
        <v>0</v>
      </c>
      <c r="I226" s="141">
        <v>0</v>
      </c>
      <c r="J226" s="120">
        <v>0</v>
      </c>
      <c r="K226" s="130">
        <v>0</v>
      </c>
      <c r="L226" s="120">
        <f>Prod[[#This Row],[S1Shot]]*Prod[[#This Row],[S1Cavity]]-Prod[[#This Row],[S1Dft]]</f>
        <v>0</v>
      </c>
      <c r="M226" s="136">
        <f>SUM(Prod[[#This Row],[S1Mold]],Prod[[#This Row],[S1Print]],Prod[[#This Row],[S1Ovlp]],Prod[[#This Row],[S1Seam]],Prod[[#This Row],[S1Dmg]])</f>
        <v>0</v>
      </c>
      <c r="N226" s="187">
        <v>0</v>
      </c>
      <c r="O226" s="141">
        <v>0</v>
      </c>
      <c r="P226" s="120">
        <v>0</v>
      </c>
      <c r="Q226" s="130">
        <v>0</v>
      </c>
      <c r="R226" s="120">
        <f>Prod[[#This Row],[S2Shot]]*Prod[[#This Row],[S2Cavity]]-Prod[[#This Row],[S2Dft]]</f>
        <v>0</v>
      </c>
      <c r="S226" s="136">
        <f>SUM(Prod[[#This Row],[S2Mold]],Prod[[#This Row],[S2Print]],Prod[[#This Row],[S2Ovlp]],Prod[[#This Row],[S2Seam]],Prod[[#This Row],[S2Dmg]])</f>
        <v>0</v>
      </c>
      <c r="T226" s="187">
        <v>0</v>
      </c>
      <c r="U226" s="141">
        <v>0</v>
      </c>
      <c r="V226" s="120">
        <v>0</v>
      </c>
      <c r="W226" s="130">
        <v>0</v>
      </c>
      <c r="X226" s="120">
        <f>Prod[[#This Row],[S3Shot]]*Prod[[#This Row],[S3Cavity]]-Prod[[#This Row],[S3Dft]]</f>
        <v>0</v>
      </c>
      <c r="Y226" s="120">
        <f>SUM(Prod[[#This Row],[S3Mold]],Prod[[#This Row],[S3Print]],Prod[[#This Row],[S3Ovlp]],Prod[[#This Row],[S3Seam]],Prod[[#This Row],[S3Dmg]])</f>
        <v>0</v>
      </c>
      <c r="Z226" s="120">
        <f>SUM(Prod[[#This Row],[S1Qty]],Prod[[#This Row],[S2Qty]],Prod[[#This Row],[S3Qty]])</f>
        <v>0</v>
      </c>
      <c r="AA226" s="120">
        <f>SUM(Prod[[#This Row],[S1Dft]],Prod[[#This Row],[S2Dft]],Prod[[#This Row],[S3Dft]])</f>
        <v>0</v>
      </c>
      <c r="AB226" s="121">
        <f>IF(Prod[[#This Row],[Total]]=0,0,Prod[[#This Row],[TotalDft]]/Prod[[#This Row],[Total]])</f>
        <v>0</v>
      </c>
      <c r="AC226" s="118"/>
      <c r="AD226" s="120">
        <v>0</v>
      </c>
      <c r="AE226" s="120">
        <v>0</v>
      </c>
      <c r="AF226" s="120">
        <v>0</v>
      </c>
      <c r="AG226" s="120">
        <v>0</v>
      </c>
      <c r="AH226" s="120">
        <v>0</v>
      </c>
      <c r="AI226" s="120">
        <v>0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32">
        <f>IF(Prod[[#This Row],[S1Hrs]]=0,0,Prod[[#This Row],[S1Shot]]*Prod[[#This Row],[S1Cycle]]/(Prod[[#This Row],[S1Hrs]]*60*60))</f>
        <v>0</v>
      </c>
      <c r="AT226" s="132">
        <f>IF(Prod[[#This Row],[S2Hrs]]=0,0,Prod[[#This Row],[S2Shot]]*Prod[[#This Row],[S2Cycle]]/(Prod[[#This Row],[S2Hrs]]*60*60))</f>
        <v>0</v>
      </c>
      <c r="AU226" s="132">
        <f>IF(Prod[[#This Row],[S3Hrs]]=0,0,Prod[[#This Row],[S3Shot]]*Prod[[#This Row],[S3Cycle]]/(Prod[[#This Row],[S3Hrs]]*60*60))</f>
        <v>0</v>
      </c>
      <c r="AV226" s="132">
        <f>IFERROR(AVERAGEIF(Prod[[#This Row],[S1%]:[S3%]], "&lt;&gt;0"),0)</f>
        <v>0</v>
      </c>
      <c r="AW226" s="132">
        <v>0</v>
      </c>
      <c r="AX226" s="132">
        <v>0</v>
      </c>
      <c r="AY226" s="132">
        <v>0</v>
      </c>
      <c r="AZ226" s="175">
        <f>IF(Prod[[#This Row],[S1Cycle]]&lt;&gt;0,1,0)</f>
        <v>0</v>
      </c>
      <c r="BA226" s="175">
        <f>IF(Prod[[#This Row],[S2Cycle]]&lt;&gt;0,1,0)</f>
        <v>0</v>
      </c>
      <c r="BB226" s="175">
        <f>IF(Prod[[#This Row],[S3Cycle]]&lt;&gt;0,1,0)</f>
        <v>0</v>
      </c>
      <c r="BC226" s="175">
        <f>MAX(Prod[[#This Row],[S1Cavity]],Prod[[#This Row],[S2Cavity]],Prod[[#This Row],[S3Cavity]])</f>
        <v>0</v>
      </c>
      <c r="BD226" s="175" t="b">
        <f>RegExpMatch(Prod[[#This Row],[MoldNo]], "^DEO-(B|C)")</f>
        <v>1</v>
      </c>
      <c r="BE226" s="175" t="b">
        <f>RegExpMatch(Prod[[#This Row],[MoldNo]], "^JAC")</f>
        <v>0</v>
      </c>
    </row>
    <row r="227" spans="1:57" x14ac:dyDescent="0.2">
      <c r="A227" s="117">
        <v>45457</v>
      </c>
      <c r="B227" s="130" t="s">
        <v>254</v>
      </c>
      <c r="C227" s="131" t="s">
        <v>255</v>
      </c>
      <c r="D227" s="119">
        <v>27692</v>
      </c>
      <c r="E227" s="131" t="s">
        <v>239</v>
      </c>
      <c r="F227" s="119">
        <v>6331</v>
      </c>
      <c r="G227" s="119" t="str">
        <f>IF(OR(Prod[[#This Row],[S1Hrs]]&gt;0,Prod[[#This Row],[S2Hrs]]&gt;0,Prod[[#This Row],[S3Hrs]]&gt;0),"Running","Down")</f>
        <v>Running</v>
      </c>
      <c r="H227" s="194">
        <v>18.89</v>
      </c>
      <c r="I227" s="185">
        <v>8</v>
      </c>
      <c r="J227" s="130">
        <v>1524</v>
      </c>
      <c r="K227" s="130">
        <v>8</v>
      </c>
      <c r="L227" s="120">
        <f>Prod[[#This Row],[S1Shot]]*Prod[[#This Row],[S1Cavity]]-Prod[[#This Row],[S1Dft]]</f>
        <v>12057</v>
      </c>
      <c r="M227" s="136">
        <f>SUM(Prod[[#This Row],[S1Mold]],Prod[[#This Row],[S1Print]],Prod[[#This Row],[S1Ovlp]],Prod[[#This Row],[S1Seam]],Prod[[#This Row],[S1Dmg]])</f>
        <v>135</v>
      </c>
      <c r="N227" s="194">
        <v>18.989999999999998</v>
      </c>
      <c r="O227" s="185">
        <v>8</v>
      </c>
      <c r="P227" s="130">
        <v>1589</v>
      </c>
      <c r="Q227" s="130">
        <v>8</v>
      </c>
      <c r="R227" s="120">
        <f>Prod[[#This Row],[S2Shot]]*Prod[[#This Row],[S2Cavity]]-Prod[[#This Row],[S2Dft]]</f>
        <v>12582</v>
      </c>
      <c r="S227" s="136">
        <f>SUM(Prod[[#This Row],[S2Mold]],Prod[[#This Row],[S2Print]],Prod[[#This Row],[S2Ovlp]],Prod[[#This Row],[S2Seam]],Prod[[#This Row],[S2Dmg]])</f>
        <v>130</v>
      </c>
      <c r="T227" s="194">
        <v>18.89</v>
      </c>
      <c r="U227" s="185">
        <v>8</v>
      </c>
      <c r="V227" s="130">
        <v>1471</v>
      </c>
      <c r="W227" s="130">
        <v>8</v>
      </c>
      <c r="X227" s="120">
        <f>Prod[[#This Row],[S3Shot]]*Prod[[#This Row],[S3Cavity]]-Prod[[#This Row],[S3Dft]]</f>
        <v>11628</v>
      </c>
      <c r="Y227" s="120">
        <f>SUM(Prod[[#This Row],[S3Mold]],Prod[[#This Row],[S3Print]],Prod[[#This Row],[S3Ovlp]],Prod[[#This Row],[S3Seam]],Prod[[#This Row],[S3Dmg]])</f>
        <v>140</v>
      </c>
      <c r="Z227" s="120">
        <f>SUM(Prod[[#This Row],[S1Qty]],Prod[[#This Row],[S2Qty]],Prod[[#This Row],[S3Qty]])</f>
        <v>36267</v>
      </c>
      <c r="AA227" s="120">
        <f>SUM(Prod[[#This Row],[S1Dft]],Prod[[#This Row],[S2Dft]],Prod[[#This Row],[S3Dft]])</f>
        <v>405</v>
      </c>
      <c r="AB227" s="121">
        <f>IF(Prod[[#This Row],[Total]]=0,0,Prod[[#This Row],[TotalDft]]/Prod[[#This Row],[Total]])</f>
        <v>1.1167176772272313E-2</v>
      </c>
      <c r="AC227" s="118"/>
      <c r="AD227" s="120">
        <v>20</v>
      </c>
      <c r="AE227" s="120">
        <v>20</v>
      </c>
      <c r="AF227" s="120">
        <v>25</v>
      </c>
      <c r="AG227" s="120">
        <v>115</v>
      </c>
      <c r="AH227" s="120">
        <v>110</v>
      </c>
      <c r="AI227" s="120">
        <v>115</v>
      </c>
      <c r="AJ227" s="120">
        <v>0</v>
      </c>
      <c r="AK227" s="120">
        <v>0</v>
      </c>
      <c r="AL227" s="120">
        <v>0</v>
      </c>
      <c r="AM227" s="120">
        <v>0</v>
      </c>
      <c r="AN227" s="120">
        <v>0</v>
      </c>
      <c r="AO227" s="120">
        <v>0</v>
      </c>
      <c r="AP227" s="120">
        <v>0</v>
      </c>
      <c r="AQ227" s="120">
        <v>0</v>
      </c>
      <c r="AR227" s="120">
        <v>0</v>
      </c>
      <c r="AS227" s="132">
        <f>IF(Prod[[#This Row],[S1Hrs]]=0,0,Prod[[#This Row],[S1Shot]]*Prod[[#This Row],[S1Cycle]]/(Prod[[#This Row],[S1Hrs]]*60*60))</f>
        <v>0.99959583333333335</v>
      </c>
      <c r="AT227" s="132">
        <f>IF(Prod[[#This Row],[S2Hrs]]=0,0,Prod[[#This Row],[S2Shot]]*Prod[[#This Row],[S2Cycle]]/(Prod[[#This Row],[S2Hrs]]*60*60))</f>
        <v>1.0477468749999999</v>
      </c>
      <c r="AU227" s="132">
        <f>IF(Prod[[#This Row],[S3Hrs]]=0,0,Prod[[#This Row],[S3Shot]]*Prod[[#This Row],[S3Cycle]]/(Prod[[#This Row],[S3Hrs]]*60*60))</f>
        <v>0.96483298611111123</v>
      </c>
      <c r="AV227" s="132">
        <f>IFERROR(AVERAGEIF(Prod[[#This Row],[S1%]:[S3%]], "&lt;&gt;0"),0)</f>
        <v>1.0040585648148148</v>
      </c>
      <c r="AW227" s="132">
        <v>0</v>
      </c>
      <c r="AX227" s="132">
        <v>0</v>
      </c>
      <c r="AY227" s="132">
        <v>0</v>
      </c>
      <c r="AZ227" s="175">
        <f>IF(Prod[[#This Row],[S1Cycle]]&lt;&gt;0,1,0)</f>
        <v>1</v>
      </c>
      <c r="BA227" s="175">
        <f>IF(Prod[[#This Row],[S2Cycle]]&lt;&gt;0,1,0)</f>
        <v>1</v>
      </c>
      <c r="BB227" s="175">
        <f>IF(Prod[[#This Row],[S3Cycle]]&lt;&gt;0,1,0)</f>
        <v>1</v>
      </c>
      <c r="BC227" s="175">
        <f>MAX(Prod[[#This Row],[S1Cavity]],Prod[[#This Row],[S2Cavity]],Prod[[#This Row],[S3Cavity]])</f>
        <v>8</v>
      </c>
      <c r="BD227" s="175" t="b">
        <f>RegExpMatch(Prod[[#This Row],[MoldNo]], "^DEO-(B|C)")</f>
        <v>1</v>
      </c>
      <c r="BE227" s="175" t="b">
        <f>RegExpMatch(Prod[[#This Row],[MoldNo]], "^JAC")</f>
        <v>0</v>
      </c>
    </row>
    <row r="228" spans="1:57" x14ac:dyDescent="0.2">
      <c r="A228" s="117">
        <v>45457</v>
      </c>
      <c r="B228" s="130" t="s">
        <v>174</v>
      </c>
      <c r="C228" s="131" t="s">
        <v>175</v>
      </c>
      <c r="D228" s="119">
        <v>27576</v>
      </c>
      <c r="E228" s="131" t="s">
        <v>199</v>
      </c>
      <c r="F228" s="119">
        <v>814</v>
      </c>
      <c r="G228" s="119" t="str">
        <f>IF(OR(Prod[[#This Row],[S1Hrs]]&gt;0,Prod[[#This Row],[S2Hrs]]&gt;0,Prod[[#This Row],[S3Hrs]]&gt;0),"Running","Down")</f>
        <v>Running</v>
      </c>
      <c r="H228" s="187">
        <v>21.89</v>
      </c>
      <c r="I228" s="141">
        <v>8</v>
      </c>
      <c r="J228" s="120">
        <v>1329</v>
      </c>
      <c r="K228" s="130">
        <v>8</v>
      </c>
      <c r="L228" s="120">
        <f>Prod[[#This Row],[S1Shot]]*Prod[[#This Row],[S1Cavity]]-Prod[[#This Row],[S1Dft]]</f>
        <v>10507</v>
      </c>
      <c r="M228" s="136">
        <f>SUM(Prod[[#This Row],[S1Mold]],Prod[[#This Row],[S1Print]],Prod[[#This Row],[S1Ovlp]],Prod[[#This Row],[S1Seam]],Prod[[#This Row],[S1Dmg]])</f>
        <v>125</v>
      </c>
      <c r="N228" s="187">
        <v>21.88</v>
      </c>
      <c r="O228" s="141">
        <v>8</v>
      </c>
      <c r="P228" s="120">
        <v>1291</v>
      </c>
      <c r="Q228" s="130">
        <v>8</v>
      </c>
      <c r="R228" s="120">
        <f>Prod[[#This Row],[S2Shot]]*Prod[[#This Row],[S2Cavity]]-Prod[[#This Row],[S2Dft]]</f>
        <v>10213</v>
      </c>
      <c r="S228" s="136">
        <f>SUM(Prod[[#This Row],[S2Mold]],Prod[[#This Row],[S2Print]],Prod[[#This Row],[S2Ovlp]],Prod[[#This Row],[S2Seam]],Prod[[#This Row],[S2Dmg]])</f>
        <v>115</v>
      </c>
      <c r="T228" s="187">
        <v>21.89</v>
      </c>
      <c r="U228" s="141">
        <v>8</v>
      </c>
      <c r="V228" s="120">
        <v>1305</v>
      </c>
      <c r="W228" s="130">
        <v>8</v>
      </c>
      <c r="X228" s="120">
        <f>Prod[[#This Row],[S3Shot]]*Prod[[#This Row],[S3Cavity]]-Prod[[#This Row],[S3Dft]]</f>
        <v>10320</v>
      </c>
      <c r="Y228" s="120">
        <f>SUM(Prod[[#This Row],[S3Mold]],Prod[[#This Row],[S3Print]],Prod[[#This Row],[S3Ovlp]],Prod[[#This Row],[S3Seam]],Prod[[#This Row],[S3Dmg]])</f>
        <v>120</v>
      </c>
      <c r="Z228" s="120">
        <f>SUM(Prod[[#This Row],[S1Qty]],Prod[[#This Row],[S2Qty]],Prod[[#This Row],[S3Qty]])</f>
        <v>31040</v>
      </c>
      <c r="AA228" s="120">
        <f>SUM(Prod[[#This Row],[S1Dft]],Prod[[#This Row],[S2Dft]],Prod[[#This Row],[S3Dft]])</f>
        <v>360</v>
      </c>
      <c r="AB228" s="121">
        <f>IF(Prod[[#This Row],[Total]]=0,0,Prod[[#This Row],[TotalDft]]/Prod[[#This Row],[Total]])</f>
        <v>1.1597938144329897E-2</v>
      </c>
      <c r="AC228" s="131"/>
      <c r="AD228" s="120">
        <v>25</v>
      </c>
      <c r="AE228" s="120">
        <v>20</v>
      </c>
      <c r="AF228" s="120">
        <v>25</v>
      </c>
      <c r="AG228" s="120">
        <v>100</v>
      </c>
      <c r="AH228" s="120">
        <v>95</v>
      </c>
      <c r="AI228" s="120">
        <v>95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32">
        <f>IF(Prod[[#This Row],[S1Hrs]]=0,0,Prod[[#This Row],[S1Shot]]*Prod[[#This Row],[S1Cycle]]/(Prod[[#This Row],[S1Hrs]]*60*60))</f>
        <v>1.0101322916666666</v>
      </c>
      <c r="AT228" s="132">
        <f>IF(Prod[[#This Row],[S2Hrs]]=0,0,Prod[[#This Row],[S2Shot]]*Prod[[#This Row],[S2Cycle]]/(Prod[[#This Row],[S2Hrs]]*60*60))</f>
        <v>0.98080138888888879</v>
      </c>
      <c r="AU228" s="132">
        <f>IF(Prod[[#This Row],[S3Hrs]]=0,0,Prod[[#This Row],[S3Shot]]*Prod[[#This Row],[S3Cycle]]/(Prod[[#This Row],[S3Hrs]]*60*60))</f>
        <v>0.99189062500000003</v>
      </c>
      <c r="AV228" s="132">
        <f>IFERROR(AVERAGEIF(Prod[[#This Row],[S1%]:[S3%]], "&lt;&gt;0"),0)</f>
        <v>0.99427476851851848</v>
      </c>
      <c r="AW228" s="132">
        <v>0</v>
      </c>
      <c r="AX228" s="132">
        <v>0</v>
      </c>
      <c r="AY228" s="132">
        <v>0</v>
      </c>
      <c r="AZ228" s="175">
        <f>IF(Prod[[#This Row],[S1Cycle]]&lt;&gt;0,1,0)</f>
        <v>1</v>
      </c>
      <c r="BA228" s="175">
        <f>IF(Prod[[#This Row],[S2Cycle]]&lt;&gt;0,1,0)</f>
        <v>1</v>
      </c>
      <c r="BB228" s="175">
        <f>IF(Prod[[#This Row],[S3Cycle]]&lt;&gt;0,1,0)</f>
        <v>1</v>
      </c>
      <c r="BC228" s="175">
        <f>MAX(Prod[[#This Row],[S1Cavity]],Prod[[#This Row],[S2Cavity]],Prod[[#This Row],[S3Cavity]])</f>
        <v>8</v>
      </c>
      <c r="BD228" s="175" t="b">
        <f>RegExpMatch(Prod[[#This Row],[MoldNo]], "^DEO-(B|C)")</f>
        <v>1</v>
      </c>
      <c r="BE228" s="175" t="b">
        <f>RegExpMatch(Prod[[#This Row],[MoldNo]], "^JAC")</f>
        <v>0</v>
      </c>
    </row>
    <row r="229" spans="1:57" x14ac:dyDescent="0.2">
      <c r="A229" s="117">
        <v>45457</v>
      </c>
      <c r="B229" s="130" t="s">
        <v>176</v>
      </c>
      <c r="C229" s="131" t="s">
        <v>81</v>
      </c>
      <c r="D229" s="119">
        <v>27576</v>
      </c>
      <c r="E229" s="119" t="s">
        <v>199</v>
      </c>
      <c r="F229" s="119">
        <v>814</v>
      </c>
      <c r="G229" s="119" t="str">
        <f>IF(OR(Prod[[#This Row],[S1Hrs]]&gt;0,Prod[[#This Row],[S2Hrs]]&gt;0,Prod[[#This Row],[S3Hrs]]&gt;0),"Running","Down")</f>
        <v>Running</v>
      </c>
      <c r="H229" s="187">
        <v>21.79</v>
      </c>
      <c r="I229" s="141">
        <v>8</v>
      </c>
      <c r="J229" s="120">
        <v>1286</v>
      </c>
      <c r="K229" s="130">
        <v>8</v>
      </c>
      <c r="L229" s="120">
        <f>Prod[[#This Row],[S1Shot]]*Prod[[#This Row],[S1Cavity]]-Prod[[#This Row],[S1Dft]]</f>
        <v>10168</v>
      </c>
      <c r="M229" s="136">
        <f>SUM(Prod[[#This Row],[S1Mold]],Prod[[#This Row],[S1Print]],Prod[[#This Row],[S1Ovlp]],Prod[[#This Row],[S1Seam]],Prod[[#This Row],[S1Dmg]])</f>
        <v>120</v>
      </c>
      <c r="N229" s="187">
        <v>21.79</v>
      </c>
      <c r="O229" s="141">
        <v>8</v>
      </c>
      <c r="P229" s="120">
        <v>1339</v>
      </c>
      <c r="Q229" s="130">
        <v>8</v>
      </c>
      <c r="R229" s="120">
        <f>Prod[[#This Row],[S2Shot]]*Prod[[#This Row],[S2Cavity]]-Prod[[#This Row],[S2Dft]]</f>
        <v>10587</v>
      </c>
      <c r="S229" s="136">
        <f>SUM(Prod[[#This Row],[S2Mold]],Prod[[#This Row],[S2Print]],Prod[[#This Row],[S2Ovlp]],Prod[[#This Row],[S2Seam]],Prod[[#This Row],[S2Dmg]])</f>
        <v>125</v>
      </c>
      <c r="T229" s="187">
        <v>21.79</v>
      </c>
      <c r="U229" s="141">
        <v>8</v>
      </c>
      <c r="V229" s="120">
        <v>1283</v>
      </c>
      <c r="W229" s="130">
        <v>8</v>
      </c>
      <c r="X229" s="120">
        <f>Prod[[#This Row],[S3Shot]]*Prod[[#This Row],[S3Cavity]]-Prod[[#This Row],[S3Dft]]</f>
        <v>10144</v>
      </c>
      <c r="Y229" s="120">
        <f>SUM(Prod[[#This Row],[S3Mold]],Prod[[#This Row],[S3Print]],Prod[[#This Row],[S3Ovlp]],Prod[[#This Row],[S3Seam]],Prod[[#This Row],[S3Dmg]])</f>
        <v>120</v>
      </c>
      <c r="Z229" s="120">
        <f>SUM(Prod[[#This Row],[S1Qty]],Prod[[#This Row],[S2Qty]],Prod[[#This Row],[S3Qty]])</f>
        <v>30899</v>
      </c>
      <c r="AA229" s="120">
        <f>SUM(Prod[[#This Row],[S1Dft]],Prod[[#This Row],[S2Dft]],Prod[[#This Row],[S3Dft]])</f>
        <v>365</v>
      </c>
      <c r="AB229" s="121">
        <f>IF(Prod[[#This Row],[Total]]=0,0,Prod[[#This Row],[TotalDft]]/Prod[[#This Row],[Total]])</f>
        <v>1.1812680022007185E-2</v>
      </c>
      <c r="AC229" s="131"/>
      <c r="AD229" s="120">
        <v>20</v>
      </c>
      <c r="AE229" s="120">
        <v>20</v>
      </c>
      <c r="AF229" s="120">
        <v>25</v>
      </c>
      <c r="AG229" s="120">
        <v>100</v>
      </c>
      <c r="AH229" s="120">
        <v>105</v>
      </c>
      <c r="AI229" s="120">
        <v>95</v>
      </c>
      <c r="AJ229" s="120">
        <v>0</v>
      </c>
      <c r="AK229" s="120">
        <v>0</v>
      </c>
      <c r="AL229" s="120">
        <v>0</v>
      </c>
      <c r="AM229" s="120">
        <v>0</v>
      </c>
      <c r="AN229" s="120">
        <v>0</v>
      </c>
      <c r="AO229" s="120">
        <v>0</v>
      </c>
      <c r="AP229" s="120">
        <v>0</v>
      </c>
      <c r="AQ229" s="120">
        <v>0</v>
      </c>
      <c r="AR229" s="120">
        <v>0</v>
      </c>
      <c r="AS229" s="132">
        <f>IF(Prod[[#This Row],[S1Hrs]]=0,0,Prod[[#This Row],[S1Shot]]*Prod[[#This Row],[S1Cycle]]/(Prod[[#This Row],[S1Hrs]]*60*60))</f>
        <v>0.9729840277777777</v>
      </c>
      <c r="AT229" s="132">
        <f>IF(Prod[[#This Row],[S2Hrs]]=0,0,Prod[[#This Row],[S2Shot]]*Prod[[#This Row],[S2Cycle]]/(Prod[[#This Row],[S2Hrs]]*60*60))</f>
        <v>1.0130836805555554</v>
      </c>
      <c r="AU229" s="132">
        <f>IF(Prod[[#This Row],[S3Hrs]]=0,0,Prod[[#This Row],[S3Shot]]*Prod[[#This Row],[S3Cycle]]/(Prod[[#This Row],[S3Hrs]]*60*60))</f>
        <v>0.97071423611111107</v>
      </c>
      <c r="AV229" s="132">
        <f>IFERROR(AVERAGEIF(Prod[[#This Row],[S1%]:[S3%]], "&lt;&gt;0"),0)</f>
        <v>0.98559398148148147</v>
      </c>
      <c r="AW229" s="132">
        <v>0</v>
      </c>
      <c r="AX229" s="132">
        <v>0</v>
      </c>
      <c r="AY229" s="132">
        <v>0</v>
      </c>
      <c r="AZ229" s="175">
        <f>IF(Prod[[#This Row],[S1Cycle]]&lt;&gt;0,1,0)</f>
        <v>1</v>
      </c>
      <c r="BA229" s="175">
        <f>IF(Prod[[#This Row],[S2Cycle]]&lt;&gt;0,1,0)</f>
        <v>1</v>
      </c>
      <c r="BB229" s="175">
        <f>IF(Prod[[#This Row],[S3Cycle]]&lt;&gt;0,1,0)</f>
        <v>1</v>
      </c>
      <c r="BC229" s="175">
        <f>MAX(Prod[[#This Row],[S1Cavity]],Prod[[#This Row],[S2Cavity]],Prod[[#This Row],[S3Cavity]])</f>
        <v>8</v>
      </c>
      <c r="BD229" s="175" t="b">
        <f>RegExpMatch(Prod[[#This Row],[MoldNo]], "^DEO-(B|C)")</f>
        <v>1</v>
      </c>
      <c r="BE229" s="175" t="b">
        <f>RegExpMatch(Prod[[#This Row],[MoldNo]], "^JAC")</f>
        <v>0</v>
      </c>
    </row>
    <row r="230" spans="1:57" x14ac:dyDescent="0.2">
      <c r="A230" s="117">
        <v>45457</v>
      </c>
      <c r="B230" s="130" t="s">
        <v>253</v>
      </c>
      <c r="C230" s="131" t="s">
        <v>9</v>
      </c>
      <c r="D230" s="119">
        <v>27692</v>
      </c>
      <c r="E230" s="131" t="s">
        <v>239</v>
      </c>
      <c r="F230" s="119">
        <v>6331</v>
      </c>
      <c r="G230" s="119" t="str">
        <f>IF(OR(Prod[[#This Row],[S1Hrs]]&gt;0,Prod[[#This Row],[S2Hrs]]&gt;0,Prod[[#This Row],[S3Hrs]]&gt;0),"Running","Down")</f>
        <v>Running</v>
      </c>
      <c r="H230" s="187">
        <v>15.17</v>
      </c>
      <c r="I230" s="141">
        <v>8</v>
      </c>
      <c r="J230" s="120">
        <v>1814</v>
      </c>
      <c r="K230" s="130">
        <v>8</v>
      </c>
      <c r="L230" s="120">
        <f>Prod[[#This Row],[S1Shot]]*Prod[[#This Row],[S1Cavity]]-Prod[[#This Row],[S1Dft]]</f>
        <v>14512</v>
      </c>
      <c r="M230" s="134"/>
      <c r="N230" s="187">
        <v>15.17</v>
      </c>
      <c r="O230" s="141">
        <v>8</v>
      </c>
      <c r="P230" s="120">
        <v>1818</v>
      </c>
      <c r="Q230" s="130">
        <v>8</v>
      </c>
      <c r="R230" s="120">
        <f>Prod[[#This Row],[S2Shot]]*Prod[[#This Row],[S2Cavity]]-Prod[[#This Row],[S2Dft]]</f>
        <v>14544</v>
      </c>
      <c r="S230" s="134"/>
      <c r="T230" s="187">
        <v>15.77</v>
      </c>
      <c r="U230" s="141">
        <v>8</v>
      </c>
      <c r="V230" s="120">
        <v>1714</v>
      </c>
      <c r="W230" s="130">
        <v>8</v>
      </c>
      <c r="X230" s="120">
        <f>Prod[[#This Row],[S3Shot]]*Prod[[#This Row],[S3Cavity]]-Prod[[#This Row],[S3Dft]]</f>
        <v>13712</v>
      </c>
      <c r="Y230" s="134"/>
      <c r="Z230" s="120">
        <f>SUM(Prod[[#This Row],[S1Qty]],Prod[[#This Row],[S2Qty]],Prod[[#This Row],[S3Qty]])</f>
        <v>42768</v>
      </c>
      <c r="AA230" s="134"/>
      <c r="AB230" s="135"/>
      <c r="AC230" s="118"/>
      <c r="AD230" s="134"/>
      <c r="AE230" s="134"/>
      <c r="AF230" s="134"/>
      <c r="AG230" s="134"/>
      <c r="AH230" s="134"/>
      <c r="AI230" s="134"/>
      <c r="AJ230" s="134"/>
      <c r="AK230" s="134"/>
      <c r="AL230" s="134"/>
      <c r="AM230" s="134"/>
      <c r="AN230" s="134"/>
      <c r="AO230" s="134"/>
      <c r="AP230" s="134"/>
      <c r="AQ230" s="134"/>
      <c r="AR230" s="134"/>
      <c r="AS230" s="132">
        <f>IF(Prod[[#This Row],[S1Hrs]]=0,0,Prod[[#This Row],[S1Shot]]*Prod[[#This Row],[S1Cycle]]/(Prod[[#This Row],[S1Hrs]]*60*60))</f>
        <v>0.95549930555555562</v>
      </c>
      <c r="AT230" s="132">
        <f>IF(Prod[[#This Row],[S2Hrs]]=0,0,Prod[[#This Row],[S2Shot]]*Prod[[#This Row],[S2Cycle]]/(Prod[[#This Row],[S2Hrs]]*60*60))</f>
        <v>0.95760624999999999</v>
      </c>
      <c r="AU230" s="132">
        <f>IF(Prod[[#This Row],[S3Hrs]]=0,0,Prod[[#This Row],[S3Shot]]*Prod[[#This Row],[S3Cycle]]/(Prod[[#This Row],[S3Hrs]]*60*60))</f>
        <v>0.93853402777777772</v>
      </c>
      <c r="AV230" s="132">
        <f>IFERROR(AVERAGEIF(Prod[[#This Row],[S1%]:[S3%]], "&lt;&gt;0"),0)</f>
        <v>0.95054652777777771</v>
      </c>
      <c r="AW230" s="132">
        <v>0</v>
      </c>
      <c r="AX230" s="132">
        <v>0</v>
      </c>
      <c r="AY230" s="132">
        <v>0</v>
      </c>
      <c r="AZ230" s="175">
        <f>IF(Prod[[#This Row],[S1Cycle]]&lt;&gt;0,1,0)</f>
        <v>1</v>
      </c>
      <c r="BA230" s="175">
        <f>IF(Prod[[#This Row],[S2Cycle]]&lt;&gt;0,1,0)</f>
        <v>1</v>
      </c>
      <c r="BB230" s="175">
        <f>IF(Prod[[#This Row],[S3Cycle]]&lt;&gt;0,1,0)</f>
        <v>1</v>
      </c>
      <c r="BC230" s="175">
        <f>MAX(Prod[[#This Row],[S1Cavity]],Prod[[#This Row],[S2Cavity]],Prod[[#This Row],[S3Cavity]])</f>
        <v>8</v>
      </c>
      <c r="BD230" s="175" t="b">
        <f>RegExpMatch(Prod[[#This Row],[MoldNo]], "^DEO-(B|C)")</f>
        <v>0</v>
      </c>
      <c r="BE230" s="175" t="b">
        <f>RegExpMatch(Prod[[#This Row],[MoldNo]], "^JAC")</f>
        <v>0</v>
      </c>
    </row>
    <row r="231" spans="1:57" x14ac:dyDescent="0.2">
      <c r="A231" s="117">
        <v>45457</v>
      </c>
      <c r="B231" s="130" t="s">
        <v>259</v>
      </c>
      <c r="C231" s="119" t="s">
        <v>145</v>
      </c>
      <c r="D231" s="119">
        <v>27761</v>
      </c>
      <c r="E231" s="131" t="s">
        <v>199</v>
      </c>
      <c r="F231" s="119">
        <v>814</v>
      </c>
      <c r="G231" s="119" t="str">
        <f>IF(OR(Prod[[#This Row],[S1Hrs]]&gt;0,Prod[[#This Row],[S2Hrs]]&gt;0,Prod[[#This Row],[S3Hrs]]&gt;0),"Running","Down")</f>
        <v>Running</v>
      </c>
      <c r="H231" s="187">
        <v>0</v>
      </c>
      <c r="I231" s="141">
        <v>0</v>
      </c>
      <c r="J231" s="120">
        <v>0</v>
      </c>
      <c r="K231" s="130">
        <v>0</v>
      </c>
      <c r="L231" s="120">
        <f>Prod[[#This Row],[S1Shot]]*Prod[[#This Row],[S1Cavity]]-Prod[[#This Row],[S1Dft]]</f>
        <v>0</v>
      </c>
      <c r="M231" s="134"/>
      <c r="N231" s="187">
        <v>0</v>
      </c>
      <c r="O231" s="141">
        <v>0</v>
      </c>
      <c r="P231" s="120">
        <v>0</v>
      </c>
      <c r="Q231" s="130">
        <v>0</v>
      </c>
      <c r="R231" s="120">
        <f>Prod[[#This Row],[S2Shot]]*Prod[[#This Row],[S2Cavity]]-Prod[[#This Row],[S2Dft]]</f>
        <v>0</v>
      </c>
      <c r="S231" s="134"/>
      <c r="T231" s="187">
        <v>15.36</v>
      </c>
      <c r="U231" s="141">
        <v>8</v>
      </c>
      <c r="V231" s="120">
        <v>1875</v>
      </c>
      <c r="W231" s="130">
        <v>16</v>
      </c>
      <c r="X231" s="120">
        <f>Prod[[#This Row],[S3Shot]]*Prod[[#This Row],[S3Cavity]]-Prod[[#This Row],[S3Dft]]</f>
        <v>30000</v>
      </c>
      <c r="Y231" s="134"/>
      <c r="Z231" s="120">
        <f>SUM(Prod[[#This Row],[S1Qty]],Prod[[#This Row],[S2Qty]],Prod[[#This Row],[S3Qty]])</f>
        <v>30000</v>
      </c>
      <c r="AA231" s="134"/>
      <c r="AB231" s="135"/>
      <c r="AC231" s="118"/>
      <c r="AD231" s="134"/>
      <c r="AE231" s="134"/>
      <c r="AF231" s="134"/>
      <c r="AG231" s="134"/>
      <c r="AH231" s="134"/>
      <c r="AI231" s="134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2">
        <f>IF(Prod[[#This Row],[S1Hrs]]=0,0,Prod[[#This Row],[S1Shot]]*Prod[[#This Row],[S1Cycle]]/(Prod[[#This Row],[S1Hrs]]*60*60))</f>
        <v>0</v>
      </c>
      <c r="AT231" s="132">
        <f>IF(Prod[[#This Row],[S2Hrs]]=0,0,Prod[[#This Row],[S2Shot]]*Prod[[#This Row],[S2Cycle]]/(Prod[[#This Row],[S2Hrs]]*60*60))</f>
        <v>0</v>
      </c>
      <c r="AU231" s="132">
        <f>IF(Prod[[#This Row],[S3Hrs]]=0,0,Prod[[#This Row],[S3Shot]]*Prod[[#This Row],[S3Cycle]]/(Prod[[#This Row],[S3Hrs]]*60*60))</f>
        <v>1</v>
      </c>
      <c r="AV231" s="132">
        <f>IFERROR(AVERAGEIF(Prod[[#This Row],[S1%]:[S3%]], "&lt;&gt;0"),0)</f>
        <v>1</v>
      </c>
      <c r="AW231" s="132">
        <v>0</v>
      </c>
      <c r="AX231" s="132">
        <v>0</v>
      </c>
      <c r="AY231" s="132">
        <v>0</v>
      </c>
      <c r="AZ231" s="175">
        <f>IF(Prod[[#This Row],[S1Cycle]]&lt;&gt;0,1,0)</f>
        <v>0</v>
      </c>
      <c r="BA231" s="175">
        <f>IF(Prod[[#This Row],[S2Cycle]]&lt;&gt;0,1,0)</f>
        <v>0</v>
      </c>
      <c r="BB231" s="175">
        <f>IF(Prod[[#This Row],[S3Cycle]]&lt;&gt;0,1,0)</f>
        <v>1</v>
      </c>
      <c r="BC231" s="175">
        <f>MAX(Prod[[#This Row],[S1Cavity]],Prod[[#This Row],[S2Cavity]],Prod[[#This Row],[S3Cavity]])</f>
        <v>16</v>
      </c>
      <c r="BD231" s="175" t="b">
        <f>RegExpMatch(Prod[[#This Row],[MoldNo]], "^DEO-(B|C)")</f>
        <v>0</v>
      </c>
      <c r="BE231" s="175" t="b">
        <f>RegExpMatch(Prod[[#This Row],[MoldNo]], "^JAC")</f>
        <v>0</v>
      </c>
    </row>
    <row r="232" spans="1:57" x14ac:dyDescent="0.2">
      <c r="A232" s="117">
        <v>45458</v>
      </c>
      <c r="B232" s="120" t="s">
        <v>190</v>
      </c>
      <c r="C232" s="119" t="s">
        <v>153</v>
      </c>
      <c r="D232" s="119">
        <v>27422</v>
      </c>
      <c r="E232" s="131" t="s">
        <v>199</v>
      </c>
      <c r="F232" s="119">
        <v>6331</v>
      </c>
      <c r="G232" s="119" t="str">
        <f>IF(OR(Prod[[#This Row],[S1Hrs]]&gt;0,Prod[[#This Row],[S2Hrs]]&gt;0,Prod[[#This Row],[S3Hrs]]&gt;0),"Running","Down")</f>
        <v>Running</v>
      </c>
      <c r="H232" s="187">
        <v>22.7</v>
      </c>
      <c r="I232" s="141">
        <v>8</v>
      </c>
      <c r="J232" s="120">
        <v>1247</v>
      </c>
      <c r="K232" s="130">
        <v>4</v>
      </c>
      <c r="L232" s="120">
        <f>Prod[[#This Row],[S1Shot]]*Prod[[#This Row],[S1Cavity]]-Prod[[#This Row],[S1Dft]]</f>
        <v>4980</v>
      </c>
      <c r="M232" s="136">
        <f>SUM(Prod[[#This Row],[S1Mold]],Prod[[#This Row],[S1Print]],Prod[[#This Row],[S1Ovlp]],Prod[[#This Row],[S1Seam]],Prod[[#This Row],[S1Dmg]])</f>
        <v>8</v>
      </c>
      <c r="N232" s="187">
        <v>22.69</v>
      </c>
      <c r="O232" s="141">
        <v>8</v>
      </c>
      <c r="P232" s="120">
        <v>1337</v>
      </c>
      <c r="Q232" s="130">
        <v>4</v>
      </c>
      <c r="R232" s="120">
        <f>Prod[[#This Row],[S2Shot]]*Prod[[#This Row],[S2Cavity]]-Prod[[#This Row],[S2Dft]]</f>
        <v>5341</v>
      </c>
      <c r="S232" s="136">
        <f>SUM(Prod[[#This Row],[S2Mold]],Prod[[#This Row],[S2Print]],Prod[[#This Row],[S2Ovlp]],Prod[[#This Row],[S2Seam]],Prod[[#This Row],[S2Dmg]])</f>
        <v>7</v>
      </c>
      <c r="T232" s="187">
        <v>22.67</v>
      </c>
      <c r="U232" s="141">
        <v>8</v>
      </c>
      <c r="V232" s="120">
        <v>1232</v>
      </c>
      <c r="W232" s="130">
        <v>4</v>
      </c>
      <c r="X232" s="120">
        <f>Prod[[#This Row],[S3Shot]]*Prod[[#This Row],[S3Cavity]]-Prod[[#This Row],[S3Dft]]</f>
        <v>4921</v>
      </c>
      <c r="Y232" s="120">
        <f>SUM(Prod[[#This Row],[S3Mold]],Prod[[#This Row],[S3Print]],Prod[[#This Row],[S3Ovlp]],Prod[[#This Row],[S3Seam]],Prod[[#This Row],[S3Dmg]])</f>
        <v>7</v>
      </c>
      <c r="Z232" s="120">
        <f>SUM(Prod[[#This Row],[S1Qty]],Prod[[#This Row],[S2Qty]],Prod[[#This Row],[S3Qty]])</f>
        <v>15242</v>
      </c>
      <c r="AA232" s="120">
        <f>SUM(Prod[[#This Row],[S1Dft]],Prod[[#This Row],[S2Dft]],Prod[[#This Row],[S3Dft]])</f>
        <v>22</v>
      </c>
      <c r="AB232" s="121">
        <f>IF(Prod[[#This Row],[Total]]=0,0,Prod[[#This Row],[TotalDft]]/Prod[[#This Row],[Total]])</f>
        <v>1.4433801338407032E-3</v>
      </c>
      <c r="AC232" s="118"/>
      <c r="AD232" s="120">
        <v>8</v>
      </c>
      <c r="AE232" s="120">
        <v>7</v>
      </c>
      <c r="AF232" s="120">
        <v>7</v>
      </c>
      <c r="AG232" s="120">
        <v>0</v>
      </c>
      <c r="AH232" s="120">
        <v>0</v>
      </c>
      <c r="AI232" s="120">
        <v>0</v>
      </c>
      <c r="AJ232" s="120">
        <v>0</v>
      </c>
      <c r="AK232" s="120">
        <v>0</v>
      </c>
      <c r="AL232" s="120">
        <v>0</v>
      </c>
      <c r="AM232" s="120">
        <v>0</v>
      </c>
      <c r="AN232" s="120">
        <v>0</v>
      </c>
      <c r="AO232" s="120">
        <v>0</v>
      </c>
      <c r="AP232" s="120">
        <v>0</v>
      </c>
      <c r="AQ232" s="120">
        <v>0</v>
      </c>
      <c r="AR232" s="120">
        <v>0</v>
      </c>
      <c r="AS232" s="132">
        <f>IF(Prod[[#This Row],[S1Hrs]]=0,0,Prod[[#This Row],[S1Shot]]*Prod[[#This Row],[S1Cycle]]/(Prod[[#This Row],[S1Hrs]]*60*60))</f>
        <v>0.98287847222222213</v>
      </c>
      <c r="AT232" s="132">
        <f>IF(Prod[[#This Row],[S2Hrs]]=0,0,Prod[[#This Row],[S2Shot]]*Prod[[#This Row],[S2Cycle]]/(Prod[[#This Row],[S2Hrs]]*60*60))</f>
        <v>1.0533517361111111</v>
      </c>
      <c r="AU232" s="132">
        <f>IF(Prod[[#This Row],[S3Hrs]]=0,0,Prod[[#This Row],[S3Shot]]*Prod[[#This Row],[S3Cycle]]/(Prod[[#This Row],[S3Hrs]]*60*60))</f>
        <v>0.96977222222222226</v>
      </c>
      <c r="AV232" s="132">
        <f>IFERROR(AVERAGEIF(Prod[[#This Row],[S1%]:[S3%]], "&lt;&gt;0"),0)</f>
        <v>1.0020008101851852</v>
      </c>
      <c r="AW232" s="132">
        <v>0</v>
      </c>
      <c r="AX232" s="132">
        <v>0</v>
      </c>
      <c r="AY232" s="132">
        <v>0</v>
      </c>
      <c r="AZ232" s="175">
        <f>IF(Prod[[#This Row],[S1Cycle]]&lt;&gt;0,1,0)</f>
        <v>1</v>
      </c>
      <c r="BA232" s="175">
        <f>IF(Prod[[#This Row],[S2Cycle]]&lt;&gt;0,1,0)</f>
        <v>1</v>
      </c>
      <c r="BB232" s="175">
        <f>IF(Prod[[#This Row],[S3Cycle]]&lt;&gt;0,1,0)</f>
        <v>1</v>
      </c>
      <c r="BC232" s="175">
        <f>MAX(Prod[[#This Row],[S1Cavity]],Prod[[#This Row],[S2Cavity]],Prod[[#This Row],[S3Cavity]])</f>
        <v>4</v>
      </c>
      <c r="BD232" s="175" t="b">
        <f>RegExpMatch(Prod[[#This Row],[MoldNo]], "^DEO-(B|C)")</f>
        <v>0</v>
      </c>
      <c r="BE232" s="175" t="b">
        <f>RegExpMatch(Prod[[#This Row],[MoldNo]], "^JAC")</f>
        <v>1</v>
      </c>
    </row>
    <row r="233" spans="1:57" x14ac:dyDescent="0.2">
      <c r="A233" s="117">
        <v>45458</v>
      </c>
      <c r="B233" s="130" t="s">
        <v>6</v>
      </c>
      <c r="C233" s="131" t="s">
        <v>8</v>
      </c>
      <c r="D233" s="119">
        <v>27581</v>
      </c>
      <c r="E233" s="131" t="s">
        <v>199</v>
      </c>
      <c r="F233" s="119">
        <v>814</v>
      </c>
      <c r="G233" s="119" t="str">
        <f>IF(OR(Prod[[#This Row],[S1Hrs]]&gt;0,Prod[[#This Row],[S2Hrs]]&gt;0,Prod[[#This Row],[S3Hrs]]&gt;0),"Running","Down")</f>
        <v>Running</v>
      </c>
      <c r="H233" s="187">
        <v>0</v>
      </c>
      <c r="I233" s="141">
        <v>0</v>
      </c>
      <c r="J233" s="120">
        <v>0</v>
      </c>
      <c r="K233" s="130">
        <v>0</v>
      </c>
      <c r="L233" s="120">
        <f>Prod[[#This Row],[S1Shot]]*Prod[[#This Row],[S1Cavity]]-Prod[[#This Row],[S1Dft]]</f>
        <v>0</v>
      </c>
      <c r="M233" s="136">
        <f>SUM(Prod[[#This Row],[S1Mold]],Prod[[#This Row],[S1Print]],Prod[[#This Row],[S1Ovlp]],Prod[[#This Row],[S1Seam]],Prod[[#This Row],[S1Dmg]])</f>
        <v>0</v>
      </c>
      <c r="N233" s="187">
        <v>21.87</v>
      </c>
      <c r="O233" s="141">
        <v>8</v>
      </c>
      <c r="P233" s="120">
        <v>1431</v>
      </c>
      <c r="Q233" s="130">
        <v>8</v>
      </c>
      <c r="R233" s="120">
        <f>Prod[[#This Row],[S2Shot]]*Prod[[#This Row],[S2Cavity]]-Prod[[#This Row],[S2Dft]]</f>
        <v>11328</v>
      </c>
      <c r="S233" s="136">
        <f>SUM(Prod[[#This Row],[S2Mold]],Prod[[#This Row],[S2Print]],Prod[[#This Row],[S2Ovlp]],Prod[[#This Row],[S2Seam]],Prod[[#This Row],[S2Dmg]])</f>
        <v>120</v>
      </c>
      <c r="T233" s="187">
        <v>21.89</v>
      </c>
      <c r="U233" s="141">
        <v>8</v>
      </c>
      <c r="V233" s="120">
        <v>1245</v>
      </c>
      <c r="W233" s="130">
        <v>8</v>
      </c>
      <c r="X233" s="120">
        <f>Prod[[#This Row],[S3Shot]]*Prod[[#This Row],[S3Cavity]]-Prod[[#This Row],[S3Dft]]</f>
        <v>9835</v>
      </c>
      <c r="Y233" s="120">
        <f>SUM(Prod[[#This Row],[S3Mold]],Prod[[#This Row],[S3Print]],Prod[[#This Row],[S3Ovlp]],Prod[[#This Row],[S3Seam]],Prod[[#This Row],[S3Dmg]])</f>
        <v>125</v>
      </c>
      <c r="Z233" s="120">
        <f>SUM(Prod[[#This Row],[S1Qty]],Prod[[#This Row],[S2Qty]],Prod[[#This Row],[S3Qty]])</f>
        <v>21163</v>
      </c>
      <c r="AA233" s="120">
        <f>SUM(Prod[[#This Row],[S1Dft]],Prod[[#This Row],[S2Dft]],Prod[[#This Row],[S3Dft]])</f>
        <v>245</v>
      </c>
      <c r="AB233" s="121">
        <f>IF(Prod[[#This Row],[Total]]=0,0,Prod[[#This Row],[TotalDft]]/Prod[[#This Row],[Total]])</f>
        <v>1.1576808581014035E-2</v>
      </c>
      <c r="AC233" s="131"/>
      <c r="AD233" s="120">
        <v>0</v>
      </c>
      <c r="AE233" s="120">
        <v>20</v>
      </c>
      <c r="AF233" s="120">
        <v>20</v>
      </c>
      <c r="AG233" s="120">
        <v>0</v>
      </c>
      <c r="AH233" s="120">
        <v>100</v>
      </c>
      <c r="AI233" s="120">
        <v>105</v>
      </c>
      <c r="AJ233" s="120">
        <v>0</v>
      </c>
      <c r="AK233" s="120">
        <v>0</v>
      </c>
      <c r="AL233" s="120">
        <v>0</v>
      </c>
      <c r="AM233" s="120">
        <v>0</v>
      </c>
      <c r="AN233" s="120">
        <v>0</v>
      </c>
      <c r="AO233" s="120">
        <v>0</v>
      </c>
      <c r="AP233" s="120">
        <v>0</v>
      </c>
      <c r="AQ233" s="120">
        <v>0</v>
      </c>
      <c r="AR233" s="120">
        <v>0</v>
      </c>
      <c r="AS233" s="132">
        <f>IF(Prod[[#This Row],[S1Hrs]]=0,0,Prod[[#This Row],[S1Shot]]*Prod[[#This Row],[S1Cycle]]/(Prod[[#This Row],[S1Hrs]]*60*60))</f>
        <v>0</v>
      </c>
      <c r="AT233" s="132">
        <f>IF(Prod[[#This Row],[S2Hrs]]=0,0,Prod[[#This Row],[S2Shot]]*Prod[[#This Row],[S2Cycle]]/(Prod[[#This Row],[S2Hrs]]*60*60))</f>
        <v>1.086665625</v>
      </c>
      <c r="AU233" s="132">
        <f>IF(Prod[[#This Row],[S3Hrs]]=0,0,Prod[[#This Row],[S3Shot]]*Prod[[#This Row],[S3Cycle]]/(Prod[[#This Row],[S3Hrs]]*60*60))</f>
        <v>0.94628645833333336</v>
      </c>
      <c r="AV233" s="132">
        <f>IFERROR(AVERAGEIF(Prod[[#This Row],[S1%]:[S3%]], "&lt;&gt;0"),0)</f>
        <v>1.0164760416666667</v>
      </c>
      <c r="AW233" s="132">
        <v>0</v>
      </c>
      <c r="AX233" s="132">
        <v>0</v>
      </c>
      <c r="AY233" s="132">
        <v>0</v>
      </c>
      <c r="AZ233" s="175">
        <f>IF(Prod[[#This Row],[S1Cycle]]&lt;&gt;0,1,0)</f>
        <v>0</v>
      </c>
      <c r="BA233" s="175">
        <f>IF(Prod[[#This Row],[S2Cycle]]&lt;&gt;0,1,0)</f>
        <v>1</v>
      </c>
      <c r="BB233" s="175">
        <f>IF(Prod[[#This Row],[S3Cycle]]&lt;&gt;0,1,0)</f>
        <v>1</v>
      </c>
      <c r="BC233" s="175">
        <f>MAX(Prod[[#This Row],[S1Cavity]],Prod[[#This Row],[S2Cavity]],Prod[[#This Row],[S3Cavity]])</f>
        <v>8</v>
      </c>
      <c r="BD233" s="175" t="b">
        <f>RegExpMatch(Prod[[#This Row],[MoldNo]], "^DEO-(B|C)")</f>
        <v>1</v>
      </c>
      <c r="BE233" s="175" t="b">
        <f>RegExpMatch(Prod[[#This Row],[MoldNo]], "^JAC")</f>
        <v>0</v>
      </c>
    </row>
    <row r="234" spans="1:57" x14ac:dyDescent="0.2">
      <c r="A234" s="117">
        <v>45458</v>
      </c>
      <c r="B234" s="120" t="s">
        <v>7</v>
      </c>
      <c r="C234" s="119" t="s">
        <v>172</v>
      </c>
      <c r="D234" s="119">
        <v>27826</v>
      </c>
      <c r="E234" s="131" t="s">
        <v>239</v>
      </c>
      <c r="F234" s="119">
        <v>6331</v>
      </c>
      <c r="G234" s="119" t="str">
        <f>IF(OR(Prod[[#This Row],[S1Hrs]]&gt;0,Prod[[#This Row],[S2Hrs]]&gt;0,Prod[[#This Row],[S3Hrs]]&gt;0),"Running","Down")</f>
        <v>Running</v>
      </c>
      <c r="H234" s="187">
        <v>20.79</v>
      </c>
      <c r="I234" s="141">
        <v>7</v>
      </c>
      <c r="J234" s="120">
        <v>1245</v>
      </c>
      <c r="K234" s="130">
        <v>8</v>
      </c>
      <c r="L234" s="120">
        <f>Prod[[#This Row],[S1Shot]]*Prod[[#This Row],[S1Cavity]]-Prod[[#This Row],[S1Dft]]</f>
        <v>9845</v>
      </c>
      <c r="M234" s="136">
        <f>SUM(Prod[[#This Row],[S1Mold]],Prod[[#This Row],[S1Print]],Prod[[#This Row],[S1Ovlp]],Prod[[#This Row],[S1Seam]],Prod[[#This Row],[S1Dmg]])</f>
        <v>115</v>
      </c>
      <c r="N234" s="187">
        <v>0</v>
      </c>
      <c r="O234" s="141">
        <v>0</v>
      </c>
      <c r="P234" s="120">
        <v>0</v>
      </c>
      <c r="Q234" s="130">
        <v>0</v>
      </c>
      <c r="R234" s="120">
        <f>Prod[[#This Row],[S2Shot]]*Prod[[#This Row],[S2Cavity]]-Prod[[#This Row],[S2Dft]]</f>
        <v>0</v>
      </c>
      <c r="S234" s="136">
        <f>SUM(Prod[[#This Row],[S2Mold]],Prod[[#This Row],[S2Print]],Prod[[#This Row],[S2Ovlp]],Prod[[#This Row],[S2Seam]],Prod[[#This Row],[S2Dmg]])</f>
        <v>0</v>
      </c>
      <c r="T234" s="187">
        <v>0</v>
      </c>
      <c r="U234" s="141">
        <v>0</v>
      </c>
      <c r="V234" s="120">
        <v>0</v>
      </c>
      <c r="W234" s="130">
        <v>0</v>
      </c>
      <c r="X234" s="120">
        <f>Prod[[#This Row],[S3Shot]]*Prod[[#This Row],[S3Cavity]]-Prod[[#This Row],[S3Dft]]</f>
        <v>0</v>
      </c>
      <c r="Y234" s="120">
        <f>SUM(Prod[[#This Row],[S3Mold]],Prod[[#This Row],[S3Print]],Prod[[#This Row],[S3Ovlp]],Prod[[#This Row],[S3Seam]],Prod[[#This Row],[S3Dmg]])</f>
        <v>0</v>
      </c>
      <c r="Z234" s="120">
        <f>SUM(Prod[[#This Row],[S1Qty]],Prod[[#This Row],[S2Qty]],Prod[[#This Row],[S3Qty]])</f>
        <v>9845</v>
      </c>
      <c r="AA234" s="120">
        <f>SUM(Prod[[#This Row],[S1Dft]],Prod[[#This Row],[S2Dft]],Prod[[#This Row],[S3Dft]])</f>
        <v>115</v>
      </c>
      <c r="AB234" s="121">
        <f>IF(Prod[[#This Row],[Total]]=0,0,Prod[[#This Row],[TotalDft]]/Prod[[#This Row],[Total]])</f>
        <v>1.1681056373793804E-2</v>
      </c>
      <c r="AC234" s="131" t="s">
        <v>261</v>
      </c>
      <c r="AD234" s="120">
        <v>20</v>
      </c>
      <c r="AE234" s="120">
        <v>0</v>
      </c>
      <c r="AF234" s="120">
        <v>0</v>
      </c>
      <c r="AG234" s="120">
        <v>95</v>
      </c>
      <c r="AH234" s="120">
        <v>0</v>
      </c>
      <c r="AI234" s="120">
        <v>0</v>
      </c>
      <c r="AJ234" s="120">
        <v>0</v>
      </c>
      <c r="AK234" s="120">
        <v>0</v>
      </c>
      <c r="AL234" s="120">
        <v>0</v>
      </c>
      <c r="AM234" s="120">
        <v>0</v>
      </c>
      <c r="AN234" s="120">
        <v>0</v>
      </c>
      <c r="AO234" s="120">
        <v>0</v>
      </c>
      <c r="AP234" s="120">
        <v>0</v>
      </c>
      <c r="AQ234" s="120">
        <v>0</v>
      </c>
      <c r="AR234" s="120">
        <v>0</v>
      </c>
      <c r="AS234" s="132">
        <f>IF(Prod[[#This Row],[S1Hrs]]=0,0,Prod[[#This Row],[S1Shot]]*Prod[[#This Row],[S1Cycle]]/(Prod[[#This Row],[S1Hrs]]*60*60))</f>
        <v>1.0271250000000001</v>
      </c>
      <c r="AT234" s="132">
        <f>IF(Prod[[#This Row],[S2Hrs]]=0,0,Prod[[#This Row],[S2Shot]]*Prod[[#This Row],[S2Cycle]]/(Prod[[#This Row],[S2Hrs]]*60*60))</f>
        <v>0</v>
      </c>
      <c r="AU234" s="132">
        <f>IF(Prod[[#This Row],[S3Hrs]]=0,0,Prod[[#This Row],[S3Shot]]*Prod[[#This Row],[S3Cycle]]/(Prod[[#This Row],[S3Hrs]]*60*60))</f>
        <v>0</v>
      </c>
      <c r="AV234" s="132">
        <f>IFERROR(AVERAGEIF(Prod[[#This Row],[S1%]:[S3%]], "&lt;&gt;0"),0)</f>
        <v>1.0271250000000001</v>
      </c>
      <c r="AW234" s="132">
        <v>0</v>
      </c>
      <c r="AX234" s="132">
        <v>0</v>
      </c>
      <c r="AY234" s="132">
        <v>0</v>
      </c>
      <c r="AZ234" s="175">
        <f>IF(Prod[[#This Row],[S1Cycle]]&lt;&gt;0,1,0)</f>
        <v>1</v>
      </c>
      <c r="BA234" s="175">
        <f>IF(Prod[[#This Row],[S2Cycle]]&lt;&gt;0,1,0)</f>
        <v>0</v>
      </c>
      <c r="BB234" s="175">
        <f>IF(Prod[[#This Row],[S3Cycle]]&lt;&gt;0,1,0)</f>
        <v>0</v>
      </c>
      <c r="BC234" s="175">
        <f>MAX(Prod[[#This Row],[S1Cavity]],Prod[[#This Row],[S2Cavity]],Prod[[#This Row],[S3Cavity]])</f>
        <v>8</v>
      </c>
      <c r="BD234" s="175" t="b">
        <f>RegExpMatch(Prod[[#This Row],[MoldNo]], "^DEO-(B|C)")</f>
        <v>1</v>
      </c>
      <c r="BE234" s="175" t="b">
        <f>RegExpMatch(Prod[[#This Row],[MoldNo]], "^JAC")</f>
        <v>0</v>
      </c>
    </row>
    <row r="235" spans="1:57" x14ac:dyDescent="0.2">
      <c r="A235" s="117">
        <v>45458</v>
      </c>
      <c r="B235" s="120" t="s">
        <v>7</v>
      </c>
      <c r="C235" s="119" t="s">
        <v>172</v>
      </c>
      <c r="D235" s="119">
        <v>27581</v>
      </c>
      <c r="E235" s="131" t="s">
        <v>199</v>
      </c>
      <c r="F235" s="119">
        <v>814</v>
      </c>
      <c r="G235" s="119" t="str">
        <f>IF(OR(Prod[[#This Row],[S1Hrs]]&gt;0,Prod[[#This Row],[S2Hrs]]&gt;0,Prod[[#This Row],[S3Hrs]]&gt;0),"Running","Down")</f>
        <v>Running</v>
      </c>
      <c r="H235" s="187">
        <v>0</v>
      </c>
      <c r="I235" s="141">
        <v>0</v>
      </c>
      <c r="J235" s="120">
        <v>0</v>
      </c>
      <c r="K235" s="130">
        <v>0</v>
      </c>
      <c r="L235" s="120">
        <f>Prod[[#This Row],[S1Shot]]*Prod[[#This Row],[S1Cavity]]-Prod[[#This Row],[S1Dft]]</f>
        <v>0</v>
      </c>
      <c r="M235" s="136">
        <f>SUM(Prod[[#This Row],[S1Mold]],Prod[[#This Row],[S1Print]],Prod[[#This Row],[S1Ovlp]],Prod[[#This Row],[S1Seam]],Prod[[#This Row],[S1Dmg]])</f>
        <v>0</v>
      </c>
      <c r="N235" s="187">
        <v>20.8</v>
      </c>
      <c r="O235" s="141">
        <v>8</v>
      </c>
      <c r="P235" s="120">
        <v>1374</v>
      </c>
      <c r="Q235" s="130">
        <v>8</v>
      </c>
      <c r="R235" s="120">
        <f>Prod[[#This Row],[S2Shot]]*Prod[[#This Row],[S2Cavity]]-Prod[[#This Row],[S2Dft]]</f>
        <v>10872</v>
      </c>
      <c r="S235" s="136">
        <f>SUM(Prod[[#This Row],[S2Mold]],Prod[[#This Row],[S2Print]],Prod[[#This Row],[S2Ovlp]],Prod[[#This Row],[S2Seam]],Prod[[#This Row],[S2Dmg]])</f>
        <v>120</v>
      </c>
      <c r="T235" s="187">
        <v>20.8</v>
      </c>
      <c r="U235" s="141">
        <v>8</v>
      </c>
      <c r="V235" s="120">
        <v>1319</v>
      </c>
      <c r="W235" s="130">
        <v>8</v>
      </c>
      <c r="X235" s="120">
        <f>Prod[[#This Row],[S3Shot]]*Prod[[#This Row],[S3Cavity]]-Prod[[#This Row],[S3Dft]]</f>
        <v>10432</v>
      </c>
      <c r="Y235" s="120">
        <f>SUM(Prod[[#This Row],[S3Mold]],Prod[[#This Row],[S3Print]],Prod[[#This Row],[S3Ovlp]],Prod[[#This Row],[S3Seam]],Prod[[#This Row],[S3Dmg]])</f>
        <v>120</v>
      </c>
      <c r="Z235" s="120">
        <f>SUM(Prod[[#This Row],[S1Qty]],Prod[[#This Row],[S2Qty]],Prod[[#This Row],[S3Qty]])</f>
        <v>21304</v>
      </c>
      <c r="AA235" s="120">
        <f>SUM(Prod[[#This Row],[S1Dft]],Prod[[#This Row],[S2Dft]],Prod[[#This Row],[S3Dft]])</f>
        <v>240</v>
      </c>
      <c r="AB235" s="121">
        <f>IF(Prod[[#This Row],[Total]]=0,0,Prod[[#This Row],[TotalDft]]/Prod[[#This Row],[Total]])</f>
        <v>1.1265490048817123E-2</v>
      </c>
      <c r="AC235" s="131"/>
      <c r="AD235" s="120">
        <v>0</v>
      </c>
      <c r="AE235" s="120">
        <v>25</v>
      </c>
      <c r="AF235" s="120">
        <v>20</v>
      </c>
      <c r="AG235" s="120">
        <v>0</v>
      </c>
      <c r="AH235" s="120">
        <v>95</v>
      </c>
      <c r="AI235" s="120">
        <v>100</v>
      </c>
      <c r="AJ235" s="120">
        <v>0</v>
      </c>
      <c r="AK235" s="120">
        <v>0</v>
      </c>
      <c r="AL235" s="120">
        <v>0</v>
      </c>
      <c r="AM235" s="120">
        <v>0</v>
      </c>
      <c r="AN235" s="120">
        <v>0</v>
      </c>
      <c r="AO235" s="120">
        <v>0</v>
      </c>
      <c r="AP235" s="120">
        <v>0</v>
      </c>
      <c r="AQ235" s="120">
        <v>0</v>
      </c>
      <c r="AR235" s="120">
        <v>0</v>
      </c>
      <c r="AS235" s="132">
        <f>IF(Prod[[#This Row],[S1Hrs]]=0,0,Prod[[#This Row],[S1Shot]]*Prod[[#This Row],[S1Cycle]]/(Prod[[#This Row],[S1Hrs]]*60*60))</f>
        <v>0</v>
      </c>
      <c r="AT235" s="132">
        <f>IF(Prod[[#This Row],[S2Hrs]]=0,0,Prod[[#This Row],[S2Shot]]*Prod[[#This Row],[S2Cycle]]/(Prod[[#This Row],[S2Hrs]]*60*60))</f>
        <v>0.9923333333333334</v>
      </c>
      <c r="AU235" s="132">
        <f>IF(Prod[[#This Row],[S3Hrs]]=0,0,Prod[[#This Row],[S3Shot]]*Prod[[#This Row],[S3Cycle]]/(Prod[[#This Row],[S3Hrs]]*60*60))</f>
        <v>0.95261111111111119</v>
      </c>
      <c r="AV235" s="132">
        <f>IFERROR(AVERAGEIF(Prod[[#This Row],[S1%]:[S3%]], "&lt;&gt;0"),0)</f>
        <v>0.97247222222222229</v>
      </c>
      <c r="AW235" s="132">
        <v>0</v>
      </c>
      <c r="AX235" s="132">
        <v>0</v>
      </c>
      <c r="AY235" s="132">
        <v>0</v>
      </c>
      <c r="AZ235" s="175">
        <f>IF(Prod[[#This Row],[S1Cycle]]&lt;&gt;0,1,0)</f>
        <v>0</v>
      </c>
      <c r="BA235" s="175">
        <f>IF(Prod[[#This Row],[S2Cycle]]&lt;&gt;0,1,0)</f>
        <v>1</v>
      </c>
      <c r="BB235" s="175">
        <f>IF(Prod[[#This Row],[S3Cycle]]&lt;&gt;0,1,0)</f>
        <v>1</v>
      </c>
      <c r="BC235" s="175">
        <f>MAX(Prod[[#This Row],[S1Cavity]],Prod[[#This Row],[S2Cavity]],Prod[[#This Row],[S3Cavity]])</f>
        <v>8</v>
      </c>
      <c r="BD235" s="175" t="b">
        <f>RegExpMatch(Prod[[#This Row],[MoldNo]], "^DEO-(B|C)")</f>
        <v>1</v>
      </c>
      <c r="BE235" s="175" t="b">
        <f>RegExpMatch(Prod[[#This Row],[MoldNo]], "^JAC")</f>
        <v>0</v>
      </c>
    </row>
    <row r="236" spans="1:57" x14ac:dyDescent="0.2">
      <c r="A236" s="117">
        <v>45458</v>
      </c>
      <c r="B236" s="120" t="s">
        <v>85</v>
      </c>
      <c r="C236" s="119" t="s">
        <v>165</v>
      </c>
      <c r="D236" s="119"/>
      <c r="E236" s="131"/>
      <c r="F236" s="119"/>
      <c r="G236" s="119" t="str">
        <f>IF(OR(Prod[[#This Row],[S1Hrs]]&gt;0,Prod[[#This Row],[S2Hrs]]&gt;0,Prod[[#This Row],[S3Hrs]]&gt;0),"Running","Down")</f>
        <v>Down</v>
      </c>
      <c r="H236" s="187">
        <v>0</v>
      </c>
      <c r="I236" s="141">
        <v>0</v>
      </c>
      <c r="J236" s="120">
        <v>0</v>
      </c>
      <c r="K236" s="130">
        <v>0</v>
      </c>
      <c r="L236" s="120">
        <f>Prod[[#This Row],[S1Shot]]*Prod[[#This Row],[S1Cavity]]-Prod[[#This Row],[S1Dft]]</f>
        <v>0</v>
      </c>
      <c r="M236" s="134"/>
      <c r="N236" s="187">
        <v>0</v>
      </c>
      <c r="O236" s="141">
        <v>0</v>
      </c>
      <c r="P236" s="120">
        <v>0</v>
      </c>
      <c r="Q236" s="130">
        <v>0</v>
      </c>
      <c r="R236" s="120">
        <f>Prod[[#This Row],[S2Shot]]*Prod[[#This Row],[S2Cavity]]-Prod[[#This Row],[S2Dft]]</f>
        <v>0</v>
      </c>
      <c r="S236" s="134"/>
      <c r="T236" s="187">
        <v>0</v>
      </c>
      <c r="U236" s="141">
        <v>0</v>
      </c>
      <c r="V236" s="120">
        <v>0</v>
      </c>
      <c r="W236" s="130">
        <v>0</v>
      </c>
      <c r="X236" s="120">
        <f>Prod[[#This Row],[S3Shot]]*Prod[[#This Row],[S3Cavity]]-Prod[[#This Row],[S3Dft]]</f>
        <v>0</v>
      </c>
      <c r="Y236" s="134"/>
      <c r="Z236" s="120">
        <f>SUM(Prod[[#This Row],[S1Qty]],Prod[[#This Row],[S2Qty]],Prod[[#This Row],[S3Qty]])</f>
        <v>0</v>
      </c>
      <c r="AA236" s="134"/>
      <c r="AB236" s="135"/>
      <c r="AC236" s="118"/>
      <c r="AD236" s="134"/>
      <c r="AE236" s="134"/>
      <c r="AF236" s="134"/>
      <c r="AG236" s="134"/>
      <c r="AH236" s="134"/>
      <c r="AI236" s="134"/>
      <c r="AJ236" s="134"/>
      <c r="AK236" s="134"/>
      <c r="AL236" s="134"/>
      <c r="AM236" s="134"/>
      <c r="AN236" s="134"/>
      <c r="AO236" s="134"/>
      <c r="AP236" s="134"/>
      <c r="AQ236" s="134"/>
      <c r="AR236" s="134"/>
      <c r="AS236" s="132">
        <f>IF(Prod[[#This Row],[S1Hrs]]=0,0,Prod[[#This Row],[S1Shot]]*Prod[[#This Row],[S1Cycle]]/(Prod[[#This Row],[S1Hrs]]*60*60))</f>
        <v>0</v>
      </c>
      <c r="AT236" s="132">
        <f>IF(Prod[[#This Row],[S2Hrs]]=0,0,Prod[[#This Row],[S2Shot]]*Prod[[#This Row],[S2Cycle]]/(Prod[[#This Row],[S2Hrs]]*60*60))</f>
        <v>0</v>
      </c>
      <c r="AU236" s="132">
        <f>IF(Prod[[#This Row],[S3Hrs]]=0,0,Prod[[#This Row],[S3Shot]]*Prod[[#This Row],[S3Cycle]]/(Prod[[#This Row],[S3Hrs]]*60*60))</f>
        <v>0</v>
      </c>
      <c r="AV236" s="132">
        <f>IFERROR(AVERAGEIF(Prod[[#This Row],[S1%]:[S3%]], "&lt;&gt;0"),0)</f>
        <v>0</v>
      </c>
      <c r="AW236" s="132">
        <v>0</v>
      </c>
      <c r="AX236" s="132">
        <v>0</v>
      </c>
      <c r="AY236" s="132">
        <v>0</v>
      </c>
      <c r="AZ236" s="175">
        <f>IF(Prod[[#This Row],[S1Cycle]]&lt;&gt;0,1,0)</f>
        <v>0</v>
      </c>
      <c r="BA236" s="175">
        <f>IF(Prod[[#This Row],[S2Cycle]]&lt;&gt;0,1,0)</f>
        <v>0</v>
      </c>
      <c r="BB236" s="175">
        <f>IF(Prod[[#This Row],[S3Cycle]]&lt;&gt;0,1,0)</f>
        <v>0</v>
      </c>
      <c r="BC236" s="175">
        <f>MAX(Prod[[#This Row],[S1Cavity]],Prod[[#This Row],[S2Cavity]],Prod[[#This Row],[S3Cavity]])</f>
        <v>0</v>
      </c>
      <c r="BD236" s="175" t="b">
        <f>RegExpMatch(Prod[[#This Row],[MoldNo]], "^DEO-(B|C)")</f>
        <v>0</v>
      </c>
      <c r="BE236" s="175" t="b">
        <f>RegExpMatch(Prod[[#This Row],[MoldNo]], "^JAC")</f>
        <v>0</v>
      </c>
    </row>
    <row r="237" spans="1:57" x14ac:dyDescent="0.2">
      <c r="A237" s="117">
        <v>45458</v>
      </c>
      <c r="B237" s="120" t="s">
        <v>196</v>
      </c>
      <c r="C237" s="119" t="s">
        <v>82</v>
      </c>
      <c r="D237" s="119">
        <v>27438</v>
      </c>
      <c r="E237" s="131" t="s">
        <v>199</v>
      </c>
      <c r="F237" s="119">
        <v>814</v>
      </c>
      <c r="G237" s="119" t="str">
        <f>IF(OR(Prod[[#This Row],[S1Hrs]]&gt;0,Prod[[#This Row],[S2Hrs]]&gt;0,Prod[[#This Row],[S3Hrs]]&gt;0),"Running","Down")</f>
        <v>Running</v>
      </c>
      <c r="H237" s="187">
        <v>20.67</v>
      </c>
      <c r="I237" s="141">
        <v>8</v>
      </c>
      <c r="J237" s="120">
        <v>1347</v>
      </c>
      <c r="K237" s="130">
        <v>16</v>
      </c>
      <c r="L237" s="120">
        <f>Prod[[#This Row],[S1Shot]]*Prod[[#This Row],[S1Cavity]]-Prod[[#This Row],[S1Dft]]</f>
        <v>21552</v>
      </c>
      <c r="M237" s="134"/>
      <c r="N237" s="187">
        <v>20.69</v>
      </c>
      <c r="O237" s="141">
        <v>8</v>
      </c>
      <c r="P237" s="120">
        <v>1449</v>
      </c>
      <c r="Q237" s="130">
        <v>16</v>
      </c>
      <c r="R237" s="120">
        <f>Prod[[#This Row],[S2Shot]]*Prod[[#This Row],[S2Cavity]]-Prod[[#This Row],[S2Dft]]</f>
        <v>23184</v>
      </c>
      <c r="S237" s="134"/>
      <c r="T237" s="187">
        <v>20.69</v>
      </c>
      <c r="U237" s="141">
        <v>8</v>
      </c>
      <c r="V237" s="120">
        <v>1401</v>
      </c>
      <c r="W237" s="130">
        <v>16</v>
      </c>
      <c r="X237" s="120">
        <f>Prod[[#This Row],[S3Shot]]*Prod[[#This Row],[S3Cavity]]-Prod[[#This Row],[S3Dft]]</f>
        <v>22416</v>
      </c>
      <c r="Y237" s="134"/>
      <c r="Z237" s="120">
        <f>SUM(Prod[[#This Row],[S1Qty]],Prod[[#This Row],[S2Qty]],Prod[[#This Row],[S3Qty]])</f>
        <v>67152</v>
      </c>
      <c r="AA237" s="134"/>
      <c r="AB237" s="135"/>
      <c r="AC237" s="118"/>
      <c r="AD237" s="134"/>
      <c r="AE237" s="134"/>
      <c r="AF237" s="134"/>
      <c r="AG237" s="134"/>
      <c r="AH237" s="134"/>
      <c r="AI237" s="134"/>
      <c r="AJ237" s="134"/>
      <c r="AK237" s="134"/>
      <c r="AL237" s="134"/>
      <c r="AM237" s="134"/>
      <c r="AN237" s="134"/>
      <c r="AO237" s="134"/>
      <c r="AP237" s="134"/>
      <c r="AQ237" s="134"/>
      <c r="AR237" s="134"/>
      <c r="AS237" s="132">
        <f>IF(Prod[[#This Row],[S1Hrs]]=0,0,Prod[[#This Row],[S1Shot]]*Prod[[#This Row],[S1Cycle]]/(Prod[[#This Row],[S1Hrs]]*60*60))</f>
        <v>0.9667531250000001</v>
      </c>
      <c r="AT237" s="132">
        <f>IF(Prod[[#This Row],[S2Hrs]]=0,0,Prod[[#This Row],[S2Shot]]*Prod[[#This Row],[S2Cycle]]/(Prod[[#This Row],[S2Hrs]]*60*60))</f>
        <v>1.0409656250000001</v>
      </c>
      <c r="AU237" s="132">
        <f>IF(Prod[[#This Row],[S3Hrs]]=0,0,Prod[[#This Row],[S3Shot]]*Prod[[#This Row],[S3Cycle]]/(Prod[[#This Row],[S3Hrs]]*60*60))</f>
        <v>1.0064822916666667</v>
      </c>
      <c r="AV237" s="132">
        <f>IFERROR(AVERAGEIF(Prod[[#This Row],[S1%]:[S3%]], "&lt;&gt;0"),0)</f>
        <v>1.0047336805555558</v>
      </c>
      <c r="AW237" s="132">
        <v>0</v>
      </c>
      <c r="AX237" s="132">
        <v>0</v>
      </c>
      <c r="AY237" s="132">
        <v>0</v>
      </c>
      <c r="AZ237" s="175">
        <f>IF(Prod[[#This Row],[S1Cycle]]&lt;&gt;0,1,0)</f>
        <v>1</v>
      </c>
      <c r="BA237" s="175">
        <f>IF(Prod[[#This Row],[S2Cycle]]&lt;&gt;0,1,0)</f>
        <v>1</v>
      </c>
      <c r="BB237" s="175">
        <f>IF(Prod[[#This Row],[S3Cycle]]&lt;&gt;0,1,0)</f>
        <v>1</v>
      </c>
      <c r="BC237" s="175">
        <f>MAX(Prod[[#This Row],[S1Cavity]],Prod[[#This Row],[S2Cavity]],Prod[[#This Row],[S3Cavity]])</f>
        <v>16</v>
      </c>
      <c r="BD237" s="175" t="b">
        <f>RegExpMatch(Prod[[#This Row],[MoldNo]], "^DEO-(B|C)")</f>
        <v>0</v>
      </c>
      <c r="BE237" s="175" t="b">
        <f>RegExpMatch(Prod[[#This Row],[MoldNo]], "^JAC")</f>
        <v>0</v>
      </c>
    </row>
    <row r="238" spans="1:57" x14ac:dyDescent="0.2">
      <c r="A238" s="117">
        <v>45458</v>
      </c>
      <c r="B238" s="120" t="s">
        <v>192</v>
      </c>
      <c r="C238" s="131" t="s">
        <v>193</v>
      </c>
      <c r="D238" s="119"/>
      <c r="E238" s="131"/>
      <c r="F238" s="119"/>
      <c r="G238" s="119" t="str">
        <f>IF(OR(Prod[[#This Row],[S1Hrs]]&gt;0,Prod[[#This Row],[S2Hrs]]&gt;0,Prod[[#This Row],[S3Hrs]]&gt;0),"Running","Down")</f>
        <v>Down</v>
      </c>
      <c r="H238" s="187">
        <v>0</v>
      </c>
      <c r="I238" s="141">
        <v>0</v>
      </c>
      <c r="J238" s="120">
        <v>0</v>
      </c>
      <c r="K238" s="130">
        <v>0</v>
      </c>
      <c r="L238" s="120">
        <f>Prod[[#This Row],[S1Shot]]*Prod[[#This Row],[S1Cavity]]-Prod[[#This Row],[S1Dft]]</f>
        <v>0</v>
      </c>
      <c r="M238" s="134"/>
      <c r="N238" s="187">
        <v>0</v>
      </c>
      <c r="O238" s="141">
        <v>0</v>
      </c>
      <c r="P238" s="120">
        <v>0</v>
      </c>
      <c r="Q238" s="130">
        <v>0</v>
      </c>
      <c r="R238" s="120">
        <f>Prod[[#This Row],[S2Shot]]*Prod[[#This Row],[S2Cavity]]-Prod[[#This Row],[S2Dft]]</f>
        <v>0</v>
      </c>
      <c r="S238" s="134"/>
      <c r="T238" s="187">
        <v>0</v>
      </c>
      <c r="U238" s="141">
        <v>0</v>
      </c>
      <c r="V238" s="120">
        <v>0</v>
      </c>
      <c r="W238" s="130">
        <v>0</v>
      </c>
      <c r="X238" s="120">
        <f>Prod[[#This Row],[S3Shot]]*Prod[[#This Row],[S3Cavity]]-Prod[[#This Row],[S3Dft]]</f>
        <v>0</v>
      </c>
      <c r="Y238" s="134"/>
      <c r="Z238" s="120">
        <f>SUM(Prod[[#This Row],[S1Qty]],Prod[[#This Row],[S2Qty]],Prod[[#This Row],[S3Qty]])</f>
        <v>0</v>
      </c>
      <c r="AA238" s="134"/>
      <c r="AB238" s="135"/>
      <c r="AC238" s="118"/>
      <c r="AD238" s="134"/>
      <c r="AE238" s="134"/>
      <c r="AF238" s="134"/>
      <c r="AG238" s="134"/>
      <c r="AH238" s="134"/>
      <c r="AI238" s="134"/>
      <c r="AJ238" s="134"/>
      <c r="AK238" s="134"/>
      <c r="AL238" s="134"/>
      <c r="AM238" s="134"/>
      <c r="AN238" s="134"/>
      <c r="AO238" s="134"/>
      <c r="AP238" s="134"/>
      <c r="AQ238" s="134"/>
      <c r="AR238" s="134"/>
      <c r="AS238" s="132">
        <f>IF(Prod[[#This Row],[S1Hrs]]=0,0,Prod[[#This Row],[S1Shot]]*Prod[[#This Row],[S1Cycle]]/(Prod[[#This Row],[S1Hrs]]*60*60))</f>
        <v>0</v>
      </c>
      <c r="AT238" s="132">
        <f>IF(Prod[[#This Row],[S2Hrs]]=0,0,Prod[[#This Row],[S2Shot]]*Prod[[#This Row],[S2Cycle]]/(Prod[[#This Row],[S2Hrs]]*60*60))</f>
        <v>0</v>
      </c>
      <c r="AU238" s="132">
        <f>IF(Prod[[#This Row],[S3Hrs]]=0,0,Prod[[#This Row],[S3Shot]]*Prod[[#This Row],[S3Cycle]]/(Prod[[#This Row],[S3Hrs]]*60*60))</f>
        <v>0</v>
      </c>
      <c r="AV238" s="132">
        <f>IFERROR(AVERAGEIF(Prod[[#This Row],[S1%]:[S3%]], "&lt;&gt;0"),0)</f>
        <v>0</v>
      </c>
      <c r="AW238" s="132">
        <v>0</v>
      </c>
      <c r="AX238" s="132">
        <v>0</v>
      </c>
      <c r="AY238" s="132">
        <v>0</v>
      </c>
      <c r="AZ238" s="175">
        <f>IF(Prod[[#This Row],[S1Cycle]]&lt;&gt;0,1,0)</f>
        <v>0</v>
      </c>
      <c r="BA238" s="175">
        <f>IF(Prod[[#This Row],[S2Cycle]]&lt;&gt;0,1,0)</f>
        <v>0</v>
      </c>
      <c r="BB238" s="175">
        <f>IF(Prod[[#This Row],[S3Cycle]]&lt;&gt;0,1,0)</f>
        <v>0</v>
      </c>
      <c r="BC238" s="175">
        <f>MAX(Prod[[#This Row],[S1Cavity]],Prod[[#This Row],[S2Cavity]],Prod[[#This Row],[S3Cavity]])</f>
        <v>0</v>
      </c>
      <c r="BD238" s="175" t="b">
        <f>RegExpMatch(Prod[[#This Row],[MoldNo]], "^DEO-(B|C)")</f>
        <v>0</v>
      </c>
      <c r="BE238" s="175" t="b">
        <f>RegExpMatch(Prod[[#This Row],[MoldNo]], "^JAC")</f>
        <v>0</v>
      </c>
    </row>
    <row r="239" spans="1:57" x14ac:dyDescent="0.2">
      <c r="A239" s="117">
        <v>45458</v>
      </c>
      <c r="B239" s="120" t="s">
        <v>168</v>
      </c>
      <c r="C239" s="119" t="s">
        <v>169</v>
      </c>
      <c r="D239" s="119">
        <v>26687</v>
      </c>
      <c r="E239" s="131" t="s">
        <v>199</v>
      </c>
      <c r="F239" s="119">
        <v>814</v>
      </c>
      <c r="G239" s="119" t="str">
        <f>IF(OR(Prod[[#This Row],[S1Hrs]]&gt;0,Prod[[#This Row],[S2Hrs]]&gt;0,Prod[[#This Row],[S3Hrs]]&gt;0),"Running","Down")</f>
        <v>Running</v>
      </c>
      <c r="H239" s="187">
        <v>15.51</v>
      </c>
      <c r="I239" s="141">
        <v>8</v>
      </c>
      <c r="J239" s="120">
        <v>1846</v>
      </c>
      <c r="K239" s="130">
        <v>15</v>
      </c>
      <c r="L239" s="120">
        <f>Prod[[#This Row],[S1Shot]]*Prod[[#This Row],[S1Cavity]]-Prod[[#This Row],[S1Dft]]</f>
        <v>27690</v>
      </c>
      <c r="M239" s="134"/>
      <c r="N239" s="187">
        <v>15.51</v>
      </c>
      <c r="O239" s="141">
        <v>8</v>
      </c>
      <c r="P239" s="120">
        <v>1819</v>
      </c>
      <c r="Q239" s="130">
        <v>15</v>
      </c>
      <c r="R239" s="120">
        <f>Prod[[#This Row],[S2Shot]]*Prod[[#This Row],[S2Cavity]]-Prod[[#This Row],[S2Dft]]</f>
        <v>27285</v>
      </c>
      <c r="S239" s="134"/>
      <c r="T239" s="187">
        <v>15.45</v>
      </c>
      <c r="U239" s="141">
        <v>8</v>
      </c>
      <c r="V239" s="120">
        <v>1732</v>
      </c>
      <c r="W239" s="130">
        <v>15</v>
      </c>
      <c r="X239" s="120">
        <f>Prod[[#This Row],[S3Shot]]*Prod[[#This Row],[S3Cavity]]-Prod[[#This Row],[S3Dft]]</f>
        <v>25980</v>
      </c>
      <c r="Y239" s="134"/>
      <c r="Z239" s="120">
        <f>SUM(Prod[[#This Row],[S1Qty]],Prod[[#This Row],[S2Qty]],Prod[[#This Row],[S3Qty]])</f>
        <v>80955</v>
      </c>
      <c r="AA239" s="134"/>
      <c r="AB239" s="135"/>
      <c r="AC239" s="118"/>
      <c r="AD239" s="134"/>
      <c r="AE239" s="134"/>
      <c r="AF239" s="134"/>
      <c r="AG239" s="134"/>
      <c r="AH239" s="134"/>
      <c r="AI239" s="134"/>
      <c r="AJ239" s="134"/>
      <c r="AK239" s="134"/>
      <c r="AL239" s="134"/>
      <c r="AM239" s="134"/>
      <c r="AN239" s="134"/>
      <c r="AO239" s="134"/>
      <c r="AP239" s="134"/>
      <c r="AQ239" s="134"/>
      <c r="AR239" s="134"/>
      <c r="AS239" s="132">
        <f>IF(Prod[[#This Row],[S1Hrs]]=0,0,Prod[[#This Row],[S1Shot]]*Prod[[#This Row],[S1Cycle]]/(Prod[[#This Row],[S1Hrs]]*60*60))</f>
        <v>0.99414791666666669</v>
      </c>
      <c r="AT239" s="132">
        <f>IF(Prod[[#This Row],[S2Hrs]]=0,0,Prod[[#This Row],[S2Shot]]*Prod[[#This Row],[S2Cycle]]/(Prod[[#This Row],[S2Hrs]]*60*60))</f>
        <v>0.9796072916666666</v>
      </c>
      <c r="AU239" s="132">
        <f>IF(Prod[[#This Row],[S3Hrs]]=0,0,Prod[[#This Row],[S3Shot]]*Prod[[#This Row],[S3Cycle]]/(Prod[[#This Row],[S3Hrs]]*60*60))</f>
        <v>0.92914583333333323</v>
      </c>
      <c r="AV239" s="132">
        <f>IFERROR(AVERAGEIF(Prod[[#This Row],[S1%]:[S3%]], "&lt;&gt;0"),0)</f>
        <v>0.96763368055555554</v>
      </c>
      <c r="AW239" s="132">
        <v>0</v>
      </c>
      <c r="AX239" s="132">
        <v>0</v>
      </c>
      <c r="AY239" s="132">
        <v>0</v>
      </c>
      <c r="AZ239" s="175">
        <f>IF(Prod[[#This Row],[S1Cycle]]&lt;&gt;0,1,0)</f>
        <v>1</v>
      </c>
      <c r="BA239" s="175">
        <f>IF(Prod[[#This Row],[S2Cycle]]&lt;&gt;0,1,0)</f>
        <v>1</v>
      </c>
      <c r="BB239" s="175">
        <f>IF(Prod[[#This Row],[S3Cycle]]&lt;&gt;0,1,0)</f>
        <v>1</v>
      </c>
      <c r="BC239" s="175">
        <f>MAX(Prod[[#This Row],[S1Cavity]],Prod[[#This Row],[S2Cavity]],Prod[[#This Row],[S3Cavity]])</f>
        <v>15</v>
      </c>
      <c r="BD239" s="175" t="b">
        <f>RegExpMatch(Prod[[#This Row],[MoldNo]], "^DEO-(B|C)")</f>
        <v>0</v>
      </c>
      <c r="BE239" s="175" t="b">
        <f>RegExpMatch(Prod[[#This Row],[MoldNo]], "^JAC")</f>
        <v>0</v>
      </c>
    </row>
    <row r="240" spans="1:57" x14ac:dyDescent="0.2">
      <c r="A240" s="117">
        <v>45458</v>
      </c>
      <c r="B240" s="120" t="s">
        <v>146</v>
      </c>
      <c r="C240" s="119" t="s">
        <v>84</v>
      </c>
      <c r="D240" s="119">
        <v>27501</v>
      </c>
      <c r="E240" s="131" t="s">
        <v>199</v>
      </c>
      <c r="F240" s="119">
        <v>6331</v>
      </c>
      <c r="G240" s="119" t="str">
        <f>IF(OR(Prod[[#This Row],[S1Hrs]]&gt;0,Prod[[#This Row],[S2Hrs]]&gt;0,Prod[[#This Row],[S3Hrs]]&gt;0),"Running","Down")</f>
        <v>Running</v>
      </c>
      <c r="H240" s="187">
        <v>11.99</v>
      </c>
      <c r="I240" s="141">
        <v>8</v>
      </c>
      <c r="J240" s="120">
        <v>2440</v>
      </c>
      <c r="K240" s="130">
        <v>8</v>
      </c>
      <c r="L240" s="120">
        <f>Prod[[#This Row],[S1Shot]]*Prod[[#This Row],[S1Cavity]]-Prod[[#This Row],[S1Dft]]</f>
        <v>19520</v>
      </c>
      <c r="M240" s="134"/>
      <c r="N240" s="187">
        <v>11.99</v>
      </c>
      <c r="O240" s="141">
        <v>8</v>
      </c>
      <c r="P240" s="120">
        <v>2610</v>
      </c>
      <c r="Q240" s="130">
        <v>8</v>
      </c>
      <c r="R240" s="120">
        <f>Prod[[#This Row],[S2Shot]]*Prod[[#This Row],[S2Cavity]]-Prod[[#This Row],[S2Dft]]</f>
        <v>20880</v>
      </c>
      <c r="S240" s="134"/>
      <c r="T240" s="187">
        <v>11.98</v>
      </c>
      <c r="U240" s="141">
        <v>8</v>
      </c>
      <c r="V240" s="120">
        <v>2629</v>
      </c>
      <c r="W240" s="130">
        <v>8</v>
      </c>
      <c r="X240" s="120">
        <f>Prod[[#This Row],[S3Shot]]*Prod[[#This Row],[S3Cavity]]-Prod[[#This Row],[S3Dft]]</f>
        <v>21032</v>
      </c>
      <c r="Y240" s="134"/>
      <c r="Z240" s="120">
        <f>SUM(Prod[[#This Row],[S1Qty]],Prod[[#This Row],[S2Qty]],Prod[[#This Row],[S3Qty]])</f>
        <v>61432</v>
      </c>
      <c r="AA240" s="134"/>
      <c r="AB240" s="135"/>
      <c r="AC240" s="118"/>
      <c r="AD240" s="134"/>
      <c r="AE240" s="134"/>
      <c r="AF240" s="134"/>
      <c r="AG240" s="134"/>
      <c r="AH240" s="134"/>
      <c r="AI240" s="134"/>
      <c r="AJ240" s="134"/>
      <c r="AK240" s="134"/>
      <c r="AL240" s="134"/>
      <c r="AM240" s="134"/>
      <c r="AN240" s="134"/>
      <c r="AO240" s="134"/>
      <c r="AP240" s="134"/>
      <c r="AQ240" s="134"/>
      <c r="AR240" s="134"/>
      <c r="AS240" s="132">
        <f>IF(Prod[[#This Row],[S1Hrs]]=0,0,Prod[[#This Row],[S1Shot]]*Prod[[#This Row],[S1Cycle]]/(Prod[[#This Row],[S1Hrs]]*60*60))</f>
        <v>1.0158194444444446</v>
      </c>
      <c r="AT240" s="132">
        <f>IF(Prod[[#This Row],[S2Hrs]]=0,0,Prod[[#This Row],[S2Shot]]*Prod[[#This Row],[S2Cycle]]/(Prod[[#This Row],[S2Hrs]]*60*60))</f>
        <v>1.08659375</v>
      </c>
      <c r="AU240" s="132">
        <f>IF(Prod[[#This Row],[S3Hrs]]=0,0,Prod[[#This Row],[S3Shot]]*Prod[[#This Row],[S3Cycle]]/(Prod[[#This Row],[S3Hrs]]*60*60))</f>
        <v>1.0935909722222223</v>
      </c>
      <c r="AV240" s="132">
        <f>IFERROR(AVERAGEIF(Prod[[#This Row],[S1%]:[S3%]], "&lt;&gt;0"),0)</f>
        <v>1.0653347222222225</v>
      </c>
      <c r="AW240" s="132">
        <v>0</v>
      </c>
      <c r="AX240" s="132">
        <v>0</v>
      </c>
      <c r="AY240" s="132">
        <v>0</v>
      </c>
      <c r="AZ240" s="175">
        <f>IF(Prod[[#This Row],[S1Cycle]]&lt;&gt;0,1,0)</f>
        <v>1</v>
      </c>
      <c r="BA240" s="175">
        <f>IF(Prod[[#This Row],[S2Cycle]]&lt;&gt;0,1,0)</f>
        <v>1</v>
      </c>
      <c r="BB240" s="175">
        <f>IF(Prod[[#This Row],[S3Cycle]]&lt;&gt;0,1,0)</f>
        <v>1</v>
      </c>
      <c r="BC240" s="175">
        <f>MAX(Prod[[#This Row],[S1Cavity]],Prod[[#This Row],[S2Cavity]],Prod[[#This Row],[S3Cavity]])</f>
        <v>8</v>
      </c>
      <c r="BD240" s="175" t="b">
        <f>RegExpMatch(Prod[[#This Row],[MoldNo]], "^DEO-(B|C)")</f>
        <v>0</v>
      </c>
      <c r="BE240" s="175" t="b">
        <f>RegExpMatch(Prod[[#This Row],[MoldNo]], "^JAC")</f>
        <v>0</v>
      </c>
    </row>
    <row r="241" spans="1:57" x14ac:dyDescent="0.2">
      <c r="A241" s="117">
        <v>45458</v>
      </c>
      <c r="B241" s="130" t="s">
        <v>164</v>
      </c>
      <c r="C241" s="131" t="s">
        <v>144</v>
      </c>
      <c r="D241" s="119"/>
      <c r="E241" s="131"/>
      <c r="F241" s="119"/>
      <c r="G241" s="119" t="str">
        <f>IF(OR(Prod[[#This Row],[S1Hrs]]&gt;0,Prod[[#This Row],[S2Hrs]]&gt;0,Prod[[#This Row],[S3Hrs]]&gt;0),"Running","Down")</f>
        <v>Down</v>
      </c>
      <c r="H241" s="187">
        <v>0</v>
      </c>
      <c r="I241" s="141">
        <v>0</v>
      </c>
      <c r="J241" s="120">
        <v>0</v>
      </c>
      <c r="K241" s="130">
        <v>0</v>
      </c>
      <c r="L241" s="120">
        <f>Prod[[#This Row],[S1Shot]]*Prod[[#This Row],[S1Cavity]]-Prod[[#This Row],[S1Dft]]</f>
        <v>0</v>
      </c>
      <c r="M241" s="136">
        <f>SUM(Prod[[#This Row],[S1Mold]],Prod[[#This Row],[S1Print]],Prod[[#This Row],[S1Ovlp]],Prod[[#This Row],[S1Seam]],Prod[[#This Row],[S1Dmg]])</f>
        <v>0</v>
      </c>
      <c r="N241" s="187">
        <v>0</v>
      </c>
      <c r="O241" s="141">
        <v>0</v>
      </c>
      <c r="P241" s="120">
        <v>0</v>
      </c>
      <c r="Q241" s="130">
        <v>0</v>
      </c>
      <c r="R241" s="120">
        <f>Prod[[#This Row],[S2Shot]]*Prod[[#This Row],[S2Cavity]]-Prod[[#This Row],[S2Dft]]</f>
        <v>0</v>
      </c>
      <c r="S241" s="136">
        <f>SUM(Prod[[#This Row],[S2Mold]],Prod[[#This Row],[S2Print]],Prod[[#This Row],[S2Ovlp]],Prod[[#This Row],[S2Seam]],Prod[[#This Row],[S2Dmg]])</f>
        <v>0</v>
      </c>
      <c r="T241" s="187">
        <v>0</v>
      </c>
      <c r="U241" s="141">
        <v>0</v>
      </c>
      <c r="V241" s="120">
        <v>0</v>
      </c>
      <c r="W241" s="130">
        <v>0</v>
      </c>
      <c r="X241" s="120">
        <f>Prod[[#This Row],[S3Shot]]*Prod[[#This Row],[S3Cavity]]-Prod[[#This Row],[S3Dft]]</f>
        <v>0</v>
      </c>
      <c r="Y241" s="120">
        <f>SUM(Prod[[#This Row],[S3Mold]],Prod[[#This Row],[S3Print]],Prod[[#This Row],[S3Ovlp]],Prod[[#This Row],[S3Seam]],Prod[[#This Row],[S3Dmg]])</f>
        <v>0</v>
      </c>
      <c r="Z241" s="120">
        <f>SUM(Prod[[#This Row],[S1Qty]],Prod[[#This Row],[S2Qty]],Prod[[#This Row],[S3Qty]])</f>
        <v>0</v>
      </c>
      <c r="AA241" s="120">
        <f>SUM(Prod[[#This Row],[S1Dft]],Prod[[#This Row],[S2Dft]],Prod[[#This Row],[S3Dft]])</f>
        <v>0</v>
      </c>
      <c r="AB241" s="121">
        <f>IF(Prod[[#This Row],[Total]]=0,0,Prod[[#This Row],[TotalDft]]/Prod[[#This Row],[Total]])</f>
        <v>0</v>
      </c>
      <c r="AC241" s="118"/>
      <c r="AD241" s="120">
        <v>0</v>
      </c>
      <c r="AE241" s="120">
        <v>0</v>
      </c>
      <c r="AF241" s="120">
        <v>0</v>
      </c>
      <c r="AG241" s="120">
        <v>0</v>
      </c>
      <c r="AH241" s="120">
        <v>0</v>
      </c>
      <c r="AI241" s="120">
        <v>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32">
        <f>IF(Prod[[#This Row],[S1Hrs]]=0,0,Prod[[#This Row],[S1Shot]]*Prod[[#This Row],[S1Cycle]]/(Prod[[#This Row],[S1Hrs]]*60*60))</f>
        <v>0</v>
      </c>
      <c r="AT241" s="132">
        <f>IF(Prod[[#This Row],[S2Hrs]]=0,0,Prod[[#This Row],[S2Shot]]*Prod[[#This Row],[S2Cycle]]/(Prod[[#This Row],[S2Hrs]]*60*60))</f>
        <v>0</v>
      </c>
      <c r="AU241" s="132">
        <f>IF(Prod[[#This Row],[S3Hrs]]=0,0,Prod[[#This Row],[S3Shot]]*Prod[[#This Row],[S3Cycle]]/(Prod[[#This Row],[S3Hrs]]*60*60))</f>
        <v>0</v>
      </c>
      <c r="AV241" s="132">
        <f>IFERROR(AVERAGEIF(Prod[[#This Row],[S1%]:[S3%]], "&lt;&gt;0"),0)</f>
        <v>0</v>
      </c>
      <c r="AW241" s="132">
        <v>0</v>
      </c>
      <c r="AX241" s="132">
        <v>0</v>
      </c>
      <c r="AY241" s="132">
        <v>0</v>
      </c>
      <c r="AZ241" s="175">
        <f>IF(Prod[[#This Row],[S1Cycle]]&lt;&gt;0,1,0)</f>
        <v>0</v>
      </c>
      <c r="BA241" s="175">
        <f>IF(Prod[[#This Row],[S2Cycle]]&lt;&gt;0,1,0)</f>
        <v>0</v>
      </c>
      <c r="BB241" s="175">
        <f>IF(Prod[[#This Row],[S3Cycle]]&lt;&gt;0,1,0)</f>
        <v>0</v>
      </c>
      <c r="BC241" s="175">
        <f>MAX(Prod[[#This Row],[S1Cavity]],Prod[[#This Row],[S2Cavity]],Prod[[#This Row],[S3Cavity]])</f>
        <v>0</v>
      </c>
      <c r="BD241" s="175" t="b">
        <f>RegExpMatch(Prod[[#This Row],[MoldNo]], "^DEO-(B|C)")</f>
        <v>1</v>
      </c>
      <c r="BE241" s="175" t="b">
        <f>RegExpMatch(Prod[[#This Row],[MoldNo]], "^JAC")</f>
        <v>0</v>
      </c>
    </row>
    <row r="242" spans="1:57" x14ac:dyDescent="0.2">
      <c r="A242" s="117">
        <v>45458</v>
      </c>
      <c r="B242" s="130" t="s">
        <v>162</v>
      </c>
      <c r="C242" s="131" t="s">
        <v>163</v>
      </c>
      <c r="D242" s="119"/>
      <c r="E242" s="131"/>
      <c r="F242" s="119"/>
      <c r="G242" s="119" t="str">
        <f>IF(OR(Prod[[#This Row],[S1Hrs]]&gt;0,Prod[[#This Row],[S2Hrs]]&gt;0,Prod[[#This Row],[S3Hrs]]&gt;0),"Running","Down")</f>
        <v>Down</v>
      </c>
      <c r="H242" s="187">
        <v>0</v>
      </c>
      <c r="I242" s="141">
        <v>0</v>
      </c>
      <c r="J242" s="120">
        <v>0</v>
      </c>
      <c r="K242" s="130">
        <v>0</v>
      </c>
      <c r="L242" s="120">
        <f>Prod[[#This Row],[S1Shot]]*Prod[[#This Row],[S1Cavity]]-Prod[[#This Row],[S1Dft]]</f>
        <v>0</v>
      </c>
      <c r="M242" s="136">
        <f>SUM(Prod[[#This Row],[S1Mold]],Prod[[#This Row],[S1Print]],Prod[[#This Row],[S1Ovlp]],Prod[[#This Row],[S1Seam]],Prod[[#This Row],[S1Dmg]])</f>
        <v>0</v>
      </c>
      <c r="N242" s="187">
        <v>0</v>
      </c>
      <c r="O242" s="141">
        <v>0</v>
      </c>
      <c r="P242" s="120">
        <v>0</v>
      </c>
      <c r="Q242" s="130">
        <v>0</v>
      </c>
      <c r="R242" s="120">
        <f>Prod[[#This Row],[S2Shot]]*Prod[[#This Row],[S2Cavity]]-Prod[[#This Row],[S2Dft]]</f>
        <v>0</v>
      </c>
      <c r="S242" s="136">
        <f>SUM(Prod[[#This Row],[S2Mold]],Prod[[#This Row],[S2Print]],Prod[[#This Row],[S2Ovlp]],Prod[[#This Row],[S2Seam]],Prod[[#This Row],[S2Dmg]])</f>
        <v>0</v>
      </c>
      <c r="T242" s="187">
        <v>0</v>
      </c>
      <c r="U242" s="141">
        <v>0</v>
      </c>
      <c r="V242" s="120">
        <v>0</v>
      </c>
      <c r="W242" s="130">
        <v>0</v>
      </c>
      <c r="X242" s="120">
        <f>Prod[[#This Row],[S3Shot]]*Prod[[#This Row],[S3Cavity]]-Prod[[#This Row],[S3Dft]]</f>
        <v>0</v>
      </c>
      <c r="Y242" s="120">
        <f>SUM(Prod[[#This Row],[S3Mold]],Prod[[#This Row],[S3Print]],Prod[[#This Row],[S3Ovlp]],Prod[[#This Row],[S3Seam]],Prod[[#This Row],[S3Dmg]])</f>
        <v>0</v>
      </c>
      <c r="Z242" s="120">
        <f>SUM(Prod[[#This Row],[S1Qty]],Prod[[#This Row],[S2Qty]],Prod[[#This Row],[S3Qty]])</f>
        <v>0</v>
      </c>
      <c r="AA242" s="120">
        <f>SUM(Prod[[#This Row],[S1Dft]],Prod[[#This Row],[S2Dft]],Prod[[#This Row],[S3Dft]])</f>
        <v>0</v>
      </c>
      <c r="AB242" s="121">
        <f>IF(Prod[[#This Row],[Total]]=0,0,Prod[[#This Row],[TotalDft]]/Prod[[#This Row],[Total]])</f>
        <v>0</v>
      </c>
      <c r="AC242" s="118"/>
      <c r="AD242" s="120">
        <v>0</v>
      </c>
      <c r="AE242" s="120">
        <v>0</v>
      </c>
      <c r="AF242" s="120">
        <v>0</v>
      </c>
      <c r="AG242" s="120">
        <v>0</v>
      </c>
      <c r="AH242" s="120">
        <v>0</v>
      </c>
      <c r="AI242" s="120">
        <v>0</v>
      </c>
      <c r="AJ242" s="120">
        <v>0</v>
      </c>
      <c r="AK242" s="120">
        <v>0</v>
      </c>
      <c r="AL242" s="120">
        <v>0</v>
      </c>
      <c r="AM242" s="120">
        <v>0</v>
      </c>
      <c r="AN242" s="120">
        <v>0</v>
      </c>
      <c r="AO242" s="120">
        <v>0</v>
      </c>
      <c r="AP242" s="120">
        <v>0</v>
      </c>
      <c r="AQ242" s="120">
        <v>0</v>
      </c>
      <c r="AR242" s="120">
        <v>0</v>
      </c>
      <c r="AS242" s="132">
        <f>IF(Prod[[#This Row],[S1Hrs]]=0,0,Prod[[#This Row],[S1Shot]]*Prod[[#This Row],[S1Cycle]]/(Prod[[#This Row],[S1Hrs]]*60*60))</f>
        <v>0</v>
      </c>
      <c r="AT242" s="132">
        <f>IF(Prod[[#This Row],[S2Hrs]]=0,0,Prod[[#This Row],[S2Shot]]*Prod[[#This Row],[S2Cycle]]/(Prod[[#This Row],[S2Hrs]]*60*60))</f>
        <v>0</v>
      </c>
      <c r="AU242" s="132">
        <f>IF(Prod[[#This Row],[S3Hrs]]=0,0,Prod[[#This Row],[S3Shot]]*Prod[[#This Row],[S3Cycle]]/(Prod[[#This Row],[S3Hrs]]*60*60))</f>
        <v>0</v>
      </c>
      <c r="AV242" s="132">
        <f>IFERROR(AVERAGEIF(Prod[[#This Row],[S1%]:[S3%]], "&lt;&gt;0"),0)</f>
        <v>0</v>
      </c>
      <c r="AW242" s="132">
        <v>0</v>
      </c>
      <c r="AX242" s="132">
        <v>0</v>
      </c>
      <c r="AY242" s="132">
        <v>0</v>
      </c>
      <c r="AZ242" s="175">
        <f>IF(Prod[[#This Row],[S1Cycle]]&lt;&gt;0,1,0)</f>
        <v>0</v>
      </c>
      <c r="BA242" s="175">
        <f>IF(Prod[[#This Row],[S2Cycle]]&lt;&gt;0,1,0)</f>
        <v>0</v>
      </c>
      <c r="BB242" s="175">
        <f>IF(Prod[[#This Row],[S3Cycle]]&lt;&gt;0,1,0)</f>
        <v>0</v>
      </c>
      <c r="BC242" s="175">
        <f>MAX(Prod[[#This Row],[S1Cavity]],Prod[[#This Row],[S2Cavity]],Prod[[#This Row],[S3Cavity]])</f>
        <v>0</v>
      </c>
      <c r="BD242" s="175" t="b">
        <f>RegExpMatch(Prod[[#This Row],[MoldNo]], "^DEO-(B|C)")</f>
        <v>1</v>
      </c>
      <c r="BE242" s="175" t="b">
        <f>RegExpMatch(Prod[[#This Row],[MoldNo]], "^JAC")</f>
        <v>0</v>
      </c>
    </row>
    <row r="243" spans="1:57" x14ac:dyDescent="0.2">
      <c r="A243" s="117">
        <v>45458</v>
      </c>
      <c r="B243" s="130" t="s">
        <v>254</v>
      </c>
      <c r="C243" s="131" t="s">
        <v>255</v>
      </c>
      <c r="D243" s="119">
        <v>27651</v>
      </c>
      <c r="E243" s="131" t="s">
        <v>239</v>
      </c>
      <c r="F243" s="119">
        <v>6331</v>
      </c>
      <c r="G243" s="119" t="str">
        <f>IF(OR(Prod[[#This Row],[S1Hrs]]&gt;0,Prod[[#This Row],[S2Hrs]]&gt;0,Prod[[#This Row],[S3Hrs]]&gt;0),"Running","Down")</f>
        <v>Running</v>
      </c>
      <c r="H243" s="194">
        <v>18.89</v>
      </c>
      <c r="I243" s="185">
        <v>8</v>
      </c>
      <c r="J243" s="130">
        <v>1517</v>
      </c>
      <c r="K243" s="130">
        <v>8</v>
      </c>
      <c r="L243" s="120">
        <f>Prod[[#This Row],[S1Shot]]*Prod[[#This Row],[S1Cavity]]-Prod[[#This Row],[S1Dft]]</f>
        <v>12006</v>
      </c>
      <c r="M243" s="136">
        <f>SUM(Prod[[#This Row],[S1Mold]],Prod[[#This Row],[S1Print]],Prod[[#This Row],[S1Ovlp]],Prod[[#This Row],[S1Seam]],Prod[[#This Row],[S1Dmg]])</f>
        <v>130</v>
      </c>
      <c r="N243" s="194">
        <v>18.89</v>
      </c>
      <c r="O243" s="185">
        <v>8</v>
      </c>
      <c r="P243" s="130">
        <v>1585</v>
      </c>
      <c r="Q243" s="130">
        <v>8</v>
      </c>
      <c r="R243" s="120">
        <f>Prod[[#This Row],[S2Shot]]*Prod[[#This Row],[S2Cavity]]-Prod[[#This Row],[S2Dft]]</f>
        <v>12540</v>
      </c>
      <c r="S243" s="136">
        <f>SUM(Prod[[#This Row],[S2Mold]],Prod[[#This Row],[S2Print]],Prod[[#This Row],[S2Ovlp]],Prod[[#This Row],[S2Seam]],Prod[[#This Row],[S2Dmg]])</f>
        <v>140</v>
      </c>
      <c r="T243" s="194">
        <v>18.89</v>
      </c>
      <c r="U243" s="185">
        <v>8</v>
      </c>
      <c r="V243" s="130">
        <v>1494</v>
      </c>
      <c r="W243" s="130">
        <v>8</v>
      </c>
      <c r="X243" s="120">
        <f>Prod[[#This Row],[S3Shot]]*Prod[[#This Row],[S3Cavity]]-Prod[[#This Row],[S3Dft]]</f>
        <v>11817</v>
      </c>
      <c r="Y243" s="120">
        <f>SUM(Prod[[#This Row],[S3Mold]],Prod[[#This Row],[S3Print]],Prod[[#This Row],[S3Ovlp]],Prod[[#This Row],[S3Seam]],Prod[[#This Row],[S3Dmg]])</f>
        <v>135</v>
      </c>
      <c r="Z243" s="120">
        <f>SUM(Prod[[#This Row],[S1Qty]],Prod[[#This Row],[S2Qty]],Prod[[#This Row],[S3Qty]])</f>
        <v>36363</v>
      </c>
      <c r="AA243" s="120">
        <f>SUM(Prod[[#This Row],[S1Dft]],Prod[[#This Row],[S2Dft]],Prod[[#This Row],[S3Dft]])</f>
        <v>405</v>
      </c>
      <c r="AB243" s="121">
        <f>IF(Prod[[#This Row],[Total]]=0,0,Prod[[#This Row],[TotalDft]]/Prod[[#This Row],[Total]])</f>
        <v>1.113769490966092E-2</v>
      </c>
      <c r="AC243" s="118"/>
      <c r="AD243" s="120">
        <v>20</v>
      </c>
      <c r="AE243" s="120">
        <v>25</v>
      </c>
      <c r="AF243" s="120">
        <v>25</v>
      </c>
      <c r="AG243" s="120">
        <v>110</v>
      </c>
      <c r="AH243" s="120">
        <v>115</v>
      </c>
      <c r="AI243" s="120">
        <v>110</v>
      </c>
      <c r="AJ243" s="120">
        <v>0</v>
      </c>
      <c r="AK243" s="120">
        <v>0</v>
      </c>
      <c r="AL243" s="120">
        <v>0</v>
      </c>
      <c r="AM243" s="120">
        <v>0</v>
      </c>
      <c r="AN243" s="120">
        <v>0</v>
      </c>
      <c r="AO243" s="120">
        <v>0</v>
      </c>
      <c r="AP243" s="120">
        <v>0</v>
      </c>
      <c r="AQ243" s="120">
        <v>0</v>
      </c>
      <c r="AR243" s="120">
        <v>0</v>
      </c>
      <c r="AS243" s="132">
        <f>IF(Prod[[#This Row],[S1Hrs]]=0,0,Prod[[#This Row],[S1Shot]]*Prod[[#This Row],[S1Cycle]]/(Prod[[#This Row],[S1Hrs]]*60*60))</f>
        <v>0.99500451388888889</v>
      </c>
      <c r="AT243" s="132">
        <f>IF(Prod[[#This Row],[S2Hrs]]=0,0,Prod[[#This Row],[S2Shot]]*Prod[[#This Row],[S2Cycle]]/(Prod[[#This Row],[S2Hrs]]*60*60))</f>
        <v>1.0396059027777778</v>
      </c>
      <c r="AU243" s="132">
        <f>IF(Prod[[#This Row],[S3Hrs]]=0,0,Prod[[#This Row],[S3Shot]]*Prod[[#This Row],[S3Cycle]]/(Prod[[#This Row],[S3Hrs]]*60*60))</f>
        <v>0.97991874999999995</v>
      </c>
      <c r="AV243" s="132">
        <f>IFERROR(AVERAGEIF(Prod[[#This Row],[S1%]:[S3%]], "&lt;&gt;0"),0)</f>
        <v>1.0048430555555556</v>
      </c>
      <c r="AW243" s="132">
        <v>0</v>
      </c>
      <c r="AX243" s="132">
        <v>0</v>
      </c>
      <c r="AY243" s="132">
        <v>0</v>
      </c>
      <c r="AZ243" s="175">
        <f>IF(Prod[[#This Row],[S1Cycle]]&lt;&gt;0,1,0)</f>
        <v>1</v>
      </c>
      <c r="BA243" s="175">
        <f>IF(Prod[[#This Row],[S2Cycle]]&lt;&gt;0,1,0)</f>
        <v>1</v>
      </c>
      <c r="BB243" s="175">
        <f>IF(Prod[[#This Row],[S3Cycle]]&lt;&gt;0,1,0)</f>
        <v>1</v>
      </c>
      <c r="BC243" s="175">
        <f>MAX(Prod[[#This Row],[S1Cavity]],Prod[[#This Row],[S2Cavity]],Prod[[#This Row],[S3Cavity]])</f>
        <v>8</v>
      </c>
      <c r="BD243" s="175" t="b">
        <f>RegExpMatch(Prod[[#This Row],[MoldNo]], "^DEO-(B|C)")</f>
        <v>1</v>
      </c>
      <c r="BE243" s="175" t="b">
        <f>RegExpMatch(Prod[[#This Row],[MoldNo]], "^JAC")</f>
        <v>0</v>
      </c>
    </row>
    <row r="244" spans="1:57" x14ac:dyDescent="0.2">
      <c r="A244" s="117">
        <v>45458</v>
      </c>
      <c r="B244" s="130" t="s">
        <v>174</v>
      </c>
      <c r="C244" s="131" t="s">
        <v>175</v>
      </c>
      <c r="D244" s="119">
        <v>27576</v>
      </c>
      <c r="E244" s="131" t="s">
        <v>199</v>
      </c>
      <c r="F244" s="119">
        <v>814</v>
      </c>
      <c r="G244" s="119" t="str">
        <f>IF(OR(Prod[[#This Row],[S1Hrs]]&gt;0,Prod[[#This Row],[S2Hrs]]&gt;0,Prod[[#This Row],[S3Hrs]]&gt;0),"Running","Down")</f>
        <v>Running</v>
      </c>
      <c r="H244" s="187">
        <v>21.88</v>
      </c>
      <c r="I244" s="141">
        <v>8</v>
      </c>
      <c r="J244" s="120">
        <v>971</v>
      </c>
      <c r="K244" s="130">
        <v>8</v>
      </c>
      <c r="L244" s="120">
        <f>Prod[[#This Row],[S1Shot]]*Prod[[#This Row],[S1Cavity]]-Prod[[#This Row],[S1Dft]]</f>
        <v>7673</v>
      </c>
      <c r="M244" s="136">
        <f>SUM(Prod[[#This Row],[S1Mold]],Prod[[#This Row],[S1Print]],Prod[[#This Row],[S1Ovlp]],Prod[[#This Row],[S1Seam]],Prod[[#This Row],[S1Dmg]])</f>
        <v>95</v>
      </c>
      <c r="N244" s="187">
        <v>21.99</v>
      </c>
      <c r="O244" s="141">
        <v>8</v>
      </c>
      <c r="P244" s="120">
        <v>1315</v>
      </c>
      <c r="Q244" s="130">
        <v>8</v>
      </c>
      <c r="R244" s="120">
        <f>Prod[[#This Row],[S2Shot]]*Prod[[#This Row],[S2Cavity]]-Prod[[#This Row],[S2Dft]]</f>
        <v>10420</v>
      </c>
      <c r="S244" s="136">
        <f>SUM(Prod[[#This Row],[S2Mold]],Prod[[#This Row],[S2Print]],Prod[[#This Row],[S2Ovlp]],Prod[[#This Row],[S2Seam]],Prod[[#This Row],[S2Dmg]])</f>
        <v>100</v>
      </c>
      <c r="T244" s="187">
        <v>21.99</v>
      </c>
      <c r="U244" s="141">
        <v>7</v>
      </c>
      <c r="V244" s="120">
        <v>948</v>
      </c>
      <c r="W244" s="130">
        <v>8</v>
      </c>
      <c r="X244" s="120">
        <f>Prod[[#This Row],[S3Shot]]*Prod[[#This Row],[S3Cavity]]-Prod[[#This Row],[S3Dft]]</f>
        <v>7489</v>
      </c>
      <c r="Y244" s="120">
        <f>SUM(Prod[[#This Row],[S3Mold]],Prod[[#This Row],[S3Print]],Prod[[#This Row],[S3Ovlp]],Prod[[#This Row],[S3Seam]],Prod[[#This Row],[S3Dmg]])</f>
        <v>95</v>
      </c>
      <c r="Z244" s="120">
        <f>SUM(Prod[[#This Row],[S1Qty]],Prod[[#This Row],[S2Qty]],Prod[[#This Row],[S3Qty]])</f>
        <v>25582</v>
      </c>
      <c r="AA244" s="120">
        <f>SUM(Prod[[#This Row],[S1Dft]],Prod[[#This Row],[S2Dft]],Prod[[#This Row],[S3Dft]])</f>
        <v>290</v>
      </c>
      <c r="AB244" s="121">
        <f>IF(Prod[[#This Row],[Total]]=0,0,Prod[[#This Row],[TotalDft]]/Prod[[#This Row],[Total]])</f>
        <v>1.1336095692283638E-2</v>
      </c>
      <c r="AC244" s="131"/>
      <c r="AD244" s="120">
        <v>20</v>
      </c>
      <c r="AE244" s="120">
        <v>25</v>
      </c>
      <c r="AF244" s="120">
        <v>20</v>
      </c>
      <c r="AG244" s="120">
        <v>75</v>
      </c>
      <c r="AH244" s="120">
        <v>75</v>
      </c>
      <c r="AI244" s="120">
        <v>75</v>
      </c>
      <c r="AJ244" s="120">
        <v>0</v>
      </c>
      <c r="AK244" s="120">
        <v>0</v>
      </c>
      <c r="AL244" s="120">
        <v>0</v>
      </c>
      <c r="AM244" s="120">
        <v>0</v>
      </c>
      <c r="AN244" s="120">
        <v>0</v>
      </c>
      <c r="AO244" s="120">
        <v>0</v>
      </c>
      <c r="AP244" s="120">
        <v>0</v>
      </c>
      <c r="AQ244" s="120">
        <v>0</v>
      </c>
      <c r="AR244" s="120">
        <v>0</v>
      </c>
      <c r="AS244" s="132">
        <f>IF(Prod[[#This Row],[S1Hrs]]=0,0,Prod[[#This Row],[S1Shot]]*Prod[[#This Row],[S1Cycle]]/(Prod[[#This Row],[S1Hrs]]*60*60))</f>
        <v>0.73769027777777774</v>
      </c>
      <c r="AT244" s="132">
        <f>IF(Prod[[#This Row],[S2Hrs]]=0,0,Prod[[#This Row],[S2Shot]]*Prod[[#This Row],[S2Cycle]]/(Prod[[#This Row],[S2Hrs]]*60*60))</f>
        <v>1.0040572916666666</v>
      </c>
      <c r="AU244" s="132">
        <f>IF(Prod[[#This Row],[S3Hrs]]=0,0,Prod[[#This Row],[S3Shot]]*Prod[[#This Row],[S3Cycle]]/(Prod[[#This Row],[S3Hrs]]*60*60))</f>
        <v>0.82724285714285706</v>
      </c>
      <c r="AV244" s="132">
        <f>IFERROR(AVERAGEIF(Prod[[#This Row],[S1%]:[S3%]], "&lt;&gt;0"),0)</f>
        <v>0.85633014219576709</v>
      </c>
      <c r="AW244" s="132">
        <v>0</v>
      </c>
      <c r="AX244" s="132">
        <v>0</v>
      </c>
      <c r="AY244" s="132">
        <v>0</v>
      </c>
      <c r="AZ244" s="175">
        <f>IF(Prod[[#This Row],[S1Cycle]]&lt;&gt;0,1,0)</f>
        <v>1</v>
      </c>
      <c r="BA244" s="175">
        <f>IF(Prod[[#This Row],[S2Cycle]]&lt;&gt;0,1,0)</f>
        <v>1</v>
      </c>
      <c r="BB244" s="175">
        <f>IF(Prod[[#This Row],[S3Cycle]]&lt;&gt;0,1,0)</f>
        <v>1</v>
      </c>
      <c r="BC244" s="175">
        <f>MAX(Prod[[#This Row],[S1Cavity]],Prod[[#This Row],[S2Cavity]],Prod[[#This Row],[S3Cavity]])</f>
        <v>8</v>
      </c>
      <c r="BD244" s="175" t="b">
        <f>RegExpMatch(Prod[[#This Row],[MoldNo]], "^DEO-(B|C)")</f>
        <v>1</v>
      </c>
      <c r="BE244" s="175" t="b">
        <f>RegExpMatch(Prod[[#This Row],[MoldNo]], "^JAC")</f>
        <v>0</v>
      </c>
    </row>
    <row r="245" spans="1:57" x14ac:dyDescent="0.2">
      <c r="A245" s="117">
        <v>45458</v>
      </c>
      <c r="B245" s="130" t="s">
        <v>174</v>
      </c>
      <c r="C245" s="131" t="s">
        <v>175</v>
      </c>
      <c r="D245" s="119">
        <v>27579</v>
      </c>
      <c r="E245" s="131" t="s">
        <v>199</v>
      </c>
      <c r="F245" s="119">
        <v>814</v>
      </c>
      <c r="G245" s="119" t="str">
        <f>IF(OR(Prod[[#This Row],[S1Hrs]]&gt;0,Prod[[#This Row],[S2Hrs]]&gt;0,Prod[[#This Row],[S3Hrs]]&gt;0),"Running","Down")</f>
        <v>Running</v>
      </c>
      <c r="H245" s="187">
        <v>0</v>
      </c>
      <c r="I245" s="141">
        <v>0</v>
      </c>
      <c r="J245" s="120">
        <v>0</v>
      </c>
      <c r="K245" s="130">
        <v>0</v>
      </c>
      <c r="L245" s="120">
        <f>Prod[[#This Row],[S1Shot]]*Prod[[#This Row],[S1Cavity]]-Prod[[#This Row],[S1Dft]]</f>
        <v>0</v>
      </c>
      <c r="M245" s="136">
        <f>SUM(Prod[[#This Row],[S1Mold]],Prod[[#This Row],[S1Print]],Prod[[#This Row],[S1Ovlp]],Prod[[#This Row],[S1Seam]],Prod[[#This Row],[S1Dmg]])</f>
        <v>0</v>
      </c>
      <c r="N245" s="187">
        <v>0</v>
      </c>
      <c r="O245" s="141">
        <v>0</v>
      </c>
      <c r="P245" s="120">
        <v>0</v>
      </c>
      <c r="Q245" s="130">
        <v>0</v>
      </c>
      <c r="R245" s="120">
        <f>Prod[[#This Row],[S2Shot]]*Prod[[#This Row],[S2Cavity]]-Prod[[#This Row],[S2Dft]]</f>
        <v>0</v>
      </c>
      <c r="S245" s="136">
        <f>SUM(Prod[[#This Row],[S2Mold]],Prod[[#This Row],[S2Print]],Prod[[#This Row],[S2Ovlp]],Prod[[#This Row],[S2Seam]],Prod[[#This Row],[S2Dmg]])</f>
        <v>0</v>
      </c>
      <c r="T245" s="187">
        <v>21.99</v>
      </c>
      <c r="U245" s="141">
        <v>1</v>
      </c>
      <c r="V245" s="120">
        <v>98</v>
      </c>
      <c r="W245" s="130">
        <v>8</v>
      </c>
      <c r="X245" s="120">
        <f>Prod[[#This Row],[S3Shot]]*Prod[[#This Row],[S3Cavity]]-Prod[[#This Row],[S3Dft]]</f>
        <v>774</v>
      </c>
      <c r="Y245" s="120">
        <f>SUM(Prod[[#This Row],[S3Mold]],Prod[[#This Row],[S3Print]],Prod[[#This Row],[S3Ovlp]],Prod[[#This Row],[S3Seam]],Prod[[#This Row],[S3Dmg]])</f>
        <v>10</v>
      </c>
      <c r="Z245" s="120">
        <f>SUM(Prod[[#This Row],[S1Qty]],Prod[[#This Row],[S2Qty]],Prod[[#This Row],[S3Qty]])</f>
        <v>774</v>
      </c>
      <c r="AA245" s="120">
        <f>SUM(Prod[[#This Row],[S1Dft]],Prod[[#This Row],[S2Dft]],Prod[[#This Row],[S3Dft]])</f>
        <v>10</v>
      </c>
      <c r="AB245" s="121">
        <f>IF(Prod[[#This Row],[Total]]=0,0,Prod[[#This Row],[TotalDft]]/Prod[[#This Row],[Total]])</f>
        <v>1.2919896640826873E-2</v>
      </c>
      <c r="AC245" s="131"/>
      <c r="AD245" s="120">
        <v>0</v>
      </c>
      <c r="AE245" s="120">
        <v>0</v>
      </c>
      <c r="AF245" s="120">
        <v>5</v>
      </c>
      <c r="AG245" s="120">
        <v>0</v>
      </c>
      <c r="AH245" s="120">
        <v>0</v>
      </c>
      <c r="AI245" s="120">
        <v>5</v>
      </c>
      <c r="AJ245" s="120">
        <v>0</v>
      </c>
      <c r="AK245" s="120">
        <v>0</v>
      </c>
      <c r="AL245" s="120">
        <v>0</v>
      </c>
      <c r="AM245" s="120">
        <v>0</v>
      </c>
      <c r="AN245" s="120">
        <v>0</v>
      </c>
      <c r="AO245" s="120">
        <v>0</v>
      </c>
      <c r="AP245" s="120">
        <v>0</v>
      </c>
      <c r="AQ245" s="120">
        <v>0</v>
      </c>
      <c r="AR245" s="120">
        <v>0</v>
      </c>
      <c r="AS245" s="132">
        <f>IF(Prod[[#This Row],[S1Hrs]]=0,0,Prod[[#This Row],[S1Shot]]*Prod[[#This Row],[S1Cycle]]/(Prod[[#This Row],[S1Hrs]]*60*60))</f>
        <v>0</v>
      </c>
      <c r="AT245" s="132">
        <f>IF(Prod[[#This Row],[S2Hrs]]=0,0,Prod[[#This Row],[S2Shot]]*Prod[[#This Row],[S2Cycle]]/(Prod[[#This Row],[S2Hrs]]*60*60))</f>
        <v>0</v>
      </c>
      <c r="AU245" s="132">
        <f>IF(Prod[[#This Row],[S3Hrs]]=0,0,Prod[[#This Row],[S3Shot]]*Prod[[#This Row],[S3Cycle]]/(Prod[[#This Row],[S3Hrs]]*60*60))</f>
        <v>0.59861666666666669</v>
      </c>
      <c r="AV245" s="132">
        <f>IFERROR(AVERAGEIF(Prod[[#This Row],[S1%]:[S3%]], "&lt;&gt;0"),0)</f>
        <v>0.59861666666666669</v>
      </c>
      <c r="AW245" s="132">
        <v>0</v>
      </c>
      <c r="AX245" s="132">
        <v>0</v>
      </c>
      <c r="AY245" s="132">
        <v>0</v>
      </c>
      <c r="AZ245" s="175">
        <f>IF(Prod[[#This Row],[S1Cycle]]&lt;&gt;0,1,0)</f>
        <v>0</v>
      </c>
      <c r="BA245" s="175">
        <f>IF(Prod[[#This Row],[S2Cycle]]&lt;&gt;0,1,0)</f>
        <v>0</v>
      </c>
      <c r="BB245" s="175">
        <f>IF(Prod[[#This Row],[S3Cycle]]&lt;&gt;0,1,0)</f>
        <v>1</v>
      </c>
      <c r="BC245" s="175">
        <f>MAX(Prod[[#This Row],[S1Cavity]],Prod[[#This Row],[S2Cavity]],Prod[[#This Row],[S3Cavity]])</f>
        <v>8</v>
      </c>
      <c r="BD245" s="175" t="b">
        <f>RegExpMatch(Prod[[#This Row],[MoldNo]], "^DEO-(B|C)")</f>
        <v>1</v>
      </c>
      <c r="BE245" s="175" t="b">
        <f>RegExpMatch(Prod[[#This Row],[MoldNo]], "^JAC")</f>
        <v>0</v>
      </c>
    </row>
    <row r="246" spans="1:57" x14ac:dyDescent="0.2">
      <c r="A246" s="117">
        <v>45458</v>
      </c>
      <c r="B246" s="130" t="s">
        <v>176</v>
      </c>
      <c r="C246" s="131" t="s">
        <v>81</v>
      </c>
      <c r="D246" s="119">
        <v>27576</v>
      </c>
      <c r="E246" s="119" t="s">
        <v>199</v>
      </c>
      <c r="F246" s="119">
        <v>814</v>
      </c>
      <c r="G246" s="119" t="str">
        <f>IF(OR(Prod[[#This Row],[S1Hrs]]&gt;0,Prod[[#This Row],[S2Hrs]]&gt;0,Prod[[#This Row],[S3Hrs]]&gt;0),"Running","Down")</f>
        <v>Running</v>
      </c>
      <c r="H246" s="187">
        <v>21.89</v>
      </c>
      <c r="I246" s="141">
        <v>8</v>
      </c>
      <c r="J246" s="120">
        <v>1325</v>
      </c>
      <c r="K246" s="130">
        <v>8</v>
      </c>
      <c r="L246" s="120">
        <f>Prod[[#This Row],[S1Shot]]*Prod[[#This Row],[S1Cavity]]-Prod[[#This Row],[S1Dft]]</f>
        <v>10480</v>
      </c>
      <c r="M246" s="136">
        <f>SUM(Prod[[#This Row],[S1Mold]],Prod[[#This Row],[S1Print]],Prod[[#This Row],[S1Ovlp]],Prod[[#This Row],[S1Seam]],Prod[[#This Row],[S1Dmg]])</f>
        <v>120</v>
      </c>
      <c r="N246" s="187">
        <v>21.89</v>
      </c>
      <c r="O246" s="141">
        <v>4.5</v>
      </c>
      <c r="P246" s="120">
        <v>802</v>
      </c>
      <c r="Q246" s="130">
        <v>8</v>
      </c>
      <c r="R246" s="120">
        <f>Prod[[#This Row],[S2Shot]]*Prod[[#This Row],[S2Cavity]]-Prod[[#This Row],[S2Dft]]</f>
        <v>6346</v>
      </c>
      <c r="S246" s="136">
        <f>SUM(Prod[[#This Row],[S2Mold]],Prod[[#This Row],[S2Print]],Prod[[#This Row],[S2Ovlp]],Prod[[#This Row],[S2Seam]],Prod[[#This Row],[S2Dmg]])</f>
        <v>70</v>
      </c>
      <c r="T246" s="187">
        <v>0</v>
      </c>
      <c r="U246" s="141">
        <v>0</v>
      </c>
      <c r="V246" s="120">
        <v>0</v>
      </c>
      <c r="W246" s="130">
        <v>0</v>
      </c>
      <c r="X246" s="120">
        <f>Prod[[#This Row],[S3Shot]]*Prod[[#This Row],[S3Cavity]]-Prod[[#This Row],[S3Dft]]</f>
        <v>0</v>
      </c>
      <c r="Y246" s="120">
        <f>SUM(Prod[[#This Row],[S3Mold]],Prod[[#This Row],[S3Print]],Prod[[#This Row],[S3Ovlp]],Prod[[#This Row],[S3Seam]],Prod[[#This Row],[S3Dmg]])</f>
        <v>0</v>
      </c>
      <c r="Z246" s="120">
        <f>SUM(Prod[[#This Row],[S1Qty]],Prod[[#This Row],[S2Qty]],Prod[[#This Row],[S3Qty]])</f>
        <v>16826</v>
      </c>
      <c r="AA246" s="120">
        <f>SUM(Prod[[#This Row],[S1Dft]],Prod[[#This Row],[S2Dft]],Prod[[#This Row],[S3Dft]])</f>
        <v>190</v>
      </c>
      <c r="AB246" s="121">
        <f>IF(Prod[[#This Row],[Total]]=0,0,Prod[[#This Row],[TotalDft]]/Prod[[#This Row],[Total]])</f>
        <v>1.1292048020920004E-2</v>
      </c>
      <c r="AC246" s="131"/>
      <c r="AD246" s="120">
        <v>20</v>
      </c>
      <c r="AE246" s="120">
        <v>15</v>
      </c>
      <c r="AF246" s="120">
        <v>0</v>
      </c>
      <c r="AG246" s="120">
        <v>100</v>
      </c>
      <c r="AH246" s="120">
        <v>55</v>
      </c>
      <c r="AI246" s="120">
        <v>0</v>
      </c>
      <c r="AJ246" s="120">
        <v>0</v>
      </c>
      <c r="AK246" s="120">
        <v>0</v>
      </c>
      <c r="AL246" s="120">
        <v>0</v>
      </c>
      <c r="AM246" s="120">
        <v>0</v>
      </c>
      <c r="AN246" s="120">
        <v>0</v>
      </c>
      <c r="AO246" s="120">
        <v>0</v>
      </c>
      <c r="AP246" s="120">
        <v>0</v>
      </c>
      <c r="AQ246" s="120">
        <v>0</v>
      </c>
      <c r="AR246" s="120">
        <v>0</v>
      </c>
      <c r="AS246" s="132">
        <f>IF(Prod[[#This Row],[S1Hrs]]=0,0,Prod[[#This Row],[S1Shot]]*Prod[[#This Row],[S1Cycle]]/(Prod[[#This Row],[S1Hrs]]*60*60))</f>
        <v>1.0070920138888888</v>
      </c>
      <c r="AT246" s="132">
        <f>IF(Prod[[#This Row],[S2Hrs]]=0,0,Prod[[#This Row],[S2Shot]]*Prod[[#This Row],[S2Cycle]]/(Prod[[#This Row],[S2Hrs]]*60*60))</f>
        <v>1.0836901234567899</v>
      </c>
      <c r="AU246" s="132">
        <f>IF(Prod[[#This Row],[S3Hrs]]=0,0,Prod[[#This Row],[S3Shot]]*Prod[[#This Row],[S3Cycle]]/(Prod[[#This Row],[S3Hrs]]*60*60))</f>
        <v>0</v>
      </c>
      <c r="AV246" s="132">
        <f>IFERROR(AVERAGEIF(Prod[[#This Row],[S1%]:[S3%]], "&lt;&gt;0"),0)</f>
        <v>1.0453910686728394</v>
      </c>
      <c r="AW246" s="132">
        <v>0</v>
      </c>
      <c r="AX246" s="132">
        <v>0</v>
      </c>
      <c r="AY246" s="132">
        <v>0</v>
      </c>
      <c r="AZ246" s="175">
        <f>IF(Prod[[#This Row],[S1Cycle]]&lt;&gt;0,1,0)</f>
        <v>1</v>
      </c>
      <c r="BA246" s="175">
        <f>IF(Prod[[#This Row],[S2Cycle]]&lt;&gt;0,1,0)</f>
        <v>1</v>
      </c>
      <c r="BB246" s="175">
        <f>IF(Prod[[#This Row],[S3Cycle]]&lt;&gt;0,1,0)</f>
        <v>0</v>
      </c>
      <c r="BC246" s="175">
        <f>MAX(Prod[[#This Row],[S1Cavity]],Prod[[#This Row],[S2Cavity]],Prod[[#This Row],[S3Cavity]])</f>
        <v>8</v>
      </c>
      <c r="BD246" s="175" t="b">
        <f>RegExpMatch(Prod[[#This Row],[MoldNo]], "^DEO-(B|C)")</f>
        <v>1</v>
      </c>
      <c r="BE246" s="175" t="b">
        <f>RegExpMatch(Prod[[#This Row],[MoldNo]], "^JAC")</f>
        <v>0</v>
      </c>
    </row>
    <row r="247" spans="1:57" x14ac:dyDescent="0.2">
      <c r="A247" s="117">
        <v>45458</v>
      </c>
      <c r="B247" s="130" t="s">
        <v>176</v>
      </c>
      <c r="C247" s="131" t="s">
        <v>81</v>
      </c>
      <c r="D247" s="119">
        <v>27579</v>
      </c>
      <c r="E247" s="119" t="s">
        <v>199</v>
      </c>
      <c r="F247" s="119">
        <v>814</v>
      </c>
      <c r="G247" s="119" t="str">
        <f>IF(OR(Prod[[#This Row],[S1Hrs]]&gt;0,Prod[[#This Row],[S2Hrs]]&gt;0,Prod[[#This Row],[S3Hrs]]&gt;0),"Running","Down")</f>
        <v>Running</v>
      </c>
      <c r="H247" s="187">
        <v>0</v>
      </c>
      <c r="I247" s="141">
        <v>0</v>
      </c>
      <c r="J247" s="120">
        <v>0</v>
      </c>
      <c r="K247" s="130">
        <v>0</v>
      </c>
      <c r="L247" s="120">
        <f>Prod[[#This Row],[S1Shot]]*Prod[[#This Row],[S1Cavity]]-Prod[[#This Row],[S1Dft]]</f>
        <v>0</v>
      </c>
      <c r="M247" s="136">
        <f>SUM(Prod[[#This Row],[S1Mold]],Prod[[#This Row],[S1Print]],Prod[[#This Row],[S1Ovlp]],Prod[[#This Row],[S1Seam]],Prod[[#This Row],[S1Dmg]])</f>
        <v>0</v>
      </c>
      <c r="N247" s="187">
        <v>21.89</v>
      </c>
      <c r="O247" s="141">
        <v>3.5</v>
      </c>
      <c r="P247" s="120">
        <v>504</v>
      </c>
      <c r="Q247" s="130">
        <v>8</v>
      </c>
      <c r="R247" s="120">
        <f>Prod[[#This Row],[S2Shot]]*Prod[[#This Row],[S2Cavity]]-Prod[[#This Row],[S2Dft]]</f>
        <v>3982</v>
      </c>
      <c r="S247" s="136">
        <f>SUM(Prod[[#This Row],[S2Mold]],Prod[[#This Row],[S2Print]],Prod[[#This Row],[S2Ovlp]],Prod[[#This Row],[S2Seam]],Prod[[#This Row],[S2Dmg]])</f>
        <v>50</v>
      </c>
      <c r="T247" s="187">
        <v>21.79</v>
      </c>
      <c r="U247" s="141">
        <v>8</v>
      </c>
      <c r="V247" s="120">
        <v>1306</v>
      </c>
      <c r="W247" s="130">
        <v>8</v>
      </c>
      <c r="X247" s="120">
        <f>Prod[[#This Row],[S3Shot]]*Prod[[#This Row],[S3Cavity]]-Prod[[#This Row],[S3Dft]]</f>
        <v>10333</v>
      </c>
      <c r="Y247" s="120">
        <f>SUM(Prod[[#This Row],[S3Mold]],Prod[[#This Row],[S3Print]],Prod[[#This Row],[S3Ovlp]],Prod[[#This Row],[S3Seam]],Prod[[#This Row],[S3Dmg]])</f>
        <v>115</v>
      </c>
      <c r="Z247" s="120">
        <f>SUM(Prod[[#This Row],[S1Qty]],Prod[[#This Row],[S2Qty]],Prod[[#This Row],[S3Qty]])</f>
        <v>14315</v>
      </c>
      <c r="AA247" s="120">
        <f>SUM(Prod[[#This Row],[S1Dft]],Prod[[#This Row],[S2Dft]],Prod[[#This Row],[S3Dft]])</f>
        <v>165</v>
      </c>
      <c r="AB247" s="121">
        <f>IF(Prod[[#This Row],[Total]]=0,0,Prod[[#This Row],[TotalDft]]/Prod[[#This Row],[Total]])</f>
        <v>1.1526370939573873E-2</v>
      </c>
      <c r="AC247" s="131"/>
      <c r="AD247" s="120">
        <v>0</v>
      </c>
      <c r="AE247" s="120">
        <v>10</v>
      </c>
      <c r="AF247" s="120">
        <v>20</v>
      </c>
      <c r="AG247" s="120">
        <v>0</v>
      </c>
      <c r="AH247" s="120">
        <v>40</v>
      </c>
      <c r="AI247" s="120">
        <v>95</v>
      </c>
      <c r="AJ247" s="120">
        <v>0</v>
      </c>
      <c r="AK247" s="120">
        <v>0</v>
      </c>
      <c r="AL247" s="120">
        <v>0</v>
      </c>
      <c r="AM247" s="120">
        <v>0</v>
      </c>
      <c r="AN247" s="120">
        <v>0</v>
      </c>
      <c r="AO247" s="120">
        <v>0</v>
      </c>
      <c r="AP247" s="120">
        <v>0</v>
      </c>
      <c r="AQ247" s="120">
        <v>0</v>
      </c>
      <c r="AR247" s="120">
        <v>0</v>
      </c>
      <c r="AS247" s="132">
        <f>IF(Prod[[#This Row],[S1Hrs]]=0,0,Prod[[#This Row],[S1Shot]]*Prod[[#This Row],[S1Cycle]]/(Prod[[#This Row],[S1Hrs]]*60*60))</f>
        <v>0</v>
      </c>
      <c r="AT247" s="132">
        <f>IF(Prod[[#This Row],[S2Hrs]]=0,0,Prod[[#This Row],[S2Shot]]*Prod[[#This Row],[S2Cycle]]/(Prod[[#This Row],[S2Hrs]]*60*60))</f>
        <v>0.87559999999999993</v>
      </c>
      <c r="AU247" s="132">
        <f>IF(Prod[[#This Row],[S3Hrs]]=0,0,Prod[[#This Row],[S3Shot]]*Prod[[#This Row],[S3Cycle]]/(Prod[[#This Row],[S3Hrs]]*60*60))</f>
        <v>0.98811597222222214</v>
      </c>
      <c r="AV247" s="132">
        <f>IFERROR(AVERAGEIF(Prod[[#This Row],[S1%]:[S3%]], "&lt;&gt;0"),0)</f>
        <v>0.93185798611111104</v>
      </c>
      <c r="AW247" s="132">
        <v>0</v>
      </c>
      <c r="AX247" s="132">
        <v>0</v>
      </c>
      <c r="AY247" s="132">
        <v>0</v>
      </c>
      <c r="AZ247" s="175">
        <f>IF(Prod[[#This Row],[S1Cycle]]&lt;&gt;0,1,0)</f>
        <v>0</v>
      </c>
      <c r="BA247" s="175">
        <f>IF(Prod[[#This Row],[S2Cycle]]&lt;&gt;0,1,0)</f>
        <v>1</v>
      </c>
      <c r="BB247" s="175">
        <f>IF(Prod[[#This Row],[S3Cycle]]&lt;&gt;0,1,0)</f>
        <v>1</v>
      </c>
      <c r="BC247" s="175">
        <f>MAX(Prod[[#This Row],[S1Cavity]],Prod[[#This Row],[S2Cavity]],Prod[[#This Row],[S3Cavity]])</f>
        <v>8</v>
      </c>
      <c r="BD247" s="175" t="b">
        <f>RegExpMatch(Prod[[#This Row],[MoldNo]], "^DEO-(B|C)")</f>
        <v>1</v>
      </c>
      <c r="BE247" s="175" t="b">
        <f>RegExpMatch(Prod[[#This Row],[MoldNo]], "^JAC")</f>
        <v>0</v>
      </c>
    </row>
    <row r="248" spans="1:57" x14ac:dyDescent="0.2">
      <c r="A248" s="117">
        <v>45458</v>
      </c>
      <c r="B248" s="130" t="s">
        <v>253</v>
      </c>
      <c r="C248" s="131" t="s">
        <v>9</v>
      </c>
      <c r="D248" s="119">
        <v>27692</v>
      </c>
      <c r="E248" s="131" t="s">
        <v>262</v>
      </c>
      <c r="F248" s="119">
        <v>6331</v>
      </c>
      <c r="G248" s="119" t="str">
        <f>IF(OR(Prod[[#This Row],[S1Hrs]]&gt;0,Prod[[#This Row],[S2Hrs]]&gt;0,Prod[[#This Row],[S3Hrs]]&gt;0),"Running","Down")</f>
        <v>Running</v>
      </c>
      <c r="H248" s="187">
        <v>19.62</v>
      </c>
      <c r="I248" s="141">
        <v>3</v>
      </c>
      <c r="J248" s="120">
        <v>549</v>
      </c>
      <c r="K248" s="130">
        <v>8</v>
      </c>
      <c r="L248" s="120">
        <f>Prod[[#This Row],[S1Shot]]*Prod[[#This Row],[S1Cavity]]-Prod[[#This Row],[S1Dft]]</f>
        <v>4392</v>
      </c>
      <c r="M248" s="134"/>
      <c r="N248" s="187">
        <v>0</v>
      </c>
      <c r="O248" s="141">
        <v>0</v>
      </c>
      <c r="P248" s="120">
        <v>0</v>
      </c>
      <c r="Q248" s="130">
        <v>0</v>
      </c>
      <c r="R248" s="120">
        <f>Prod[[#This Row],[S2Shot]]*Prod[[#This Row],[S2Cavity]]-Prod[[#This Row],[S2Dft]]</f>
        <v>0</v>
      </c>
      <c r="S248" s="134"/>
      <c r="T248" s="187">
        <v>0</v>
      </c>
      <c r="U248" s="141">
        <v>0</v>
      </c>
      <c r="V248" s="120">
        <v>0</v>
      </c>
      <c r="W248" s="130">
        <v>0</v>
      </c>
      <c r="X248" s="120">
        <f>Prod[[#This Row],[S3Shot]]*Prod[[#This Row],[S3Cavity]]-Prod[[#This Row],[S3Dft]]</f>
        <v>0</v>
      </c>
      <c r="Y248" s="134"/>
      <c r="Z248" s="120">
        <f>SUM(Prod[[#This Row],[S1Qty]],Prod[[#This Row],[S2Qty]],Prod[[#This Row],[S3Qty]])</f>
        <v>4392</v>
      </c>
      <c r="AA248" s="134"/>
      <c r="AB248" s="135"/>
      <c r="AC248" s="118"/>
      <c r="AD248" s="134"/>
      <c r="AE248" s="134"/>
      <c r="AF248" s="134"/>
      <c r="AG248" s="134"/>
      <c r="AH248" s="134"/>
      <c r="AI248" s="134"/>
      <c r="AJ248" s="134"/>
      <c r="AK248" s="134"/>
      <c r="AL248" s="134"/>
      <c r="AM248" s="134"/>
      <c r="AN248" s="134"/>
      <c r="AO248" s="134"/>
      <c r="AP248" s="134"/>
      <c r="AQ248" s="134"/>
      <c r="AR248" s="134"/>
      <c r="AS248" s="132">
        <f>IF(Prod[[#This Row],[S1Hrs]]=0,0,Prod[[#This Row],[S1Shot]]*Prod[[#This Row],[S1Cycle]]/(Prod[[#This Row],[S1Hrs]]*60*60))</f>
        <v>0.99735000000000007</v>
      </c>
      <c r="AT248" s="132">
        <f>IF(Prod[[#This Row],[S2Hrs]]=0,0,Prod[[#This Row],[S2Shot]]*Prod[[#This Row],[S2Cycle]]/(Prod[[#This Row],[S2Hrs]]*60*60))</f>
        <v>0</v>
      </c>
      <c r="AU248" s="132">
        <f>IF(Prod[[#This Row],[S3Hrs]]=0,0,Prod[[#This Row],[S3Shot]]*Prod[[#This Row],[S3Cycle]]/(Prod[[#This Row],[S3Hrs]]*60*60))</f>
        <v>0</v>
      </c>
      <c r="AV248" s="132">
        <f>IFERROR(AVERAGEIF(Prod[[#This Row],[S1%]:[S3%]], "&lt;&gt;0"),0)</f>
        <v>0.99735000000000007</v>
      </c>
      <c r="AW248" s="132">
        <v>0</v>
      </c>
      <c r="AX248" s="132">
        <v>0</v>
      </c>
      <c r="AY248" s="132">
        <v>0</v>
      </c>
      <c r="AZ248" s="175">
        <f>IF(Prod[[#This Row],[S1Cycle]]&lt;&gt;0,1,0)</f>
        <v>1</v>
      </c>
      <c r="BA248" s="175">
        <f>IF(Prod[[#This Row],[S2Cycle]]&lt;&gt;0,1,0)</f>
        <v>0</v>
      </c>
      <c r="BB248" s="175">
        <f>IF(Prod[[#This Row],[S3Cycle]]&lt;&gt;0,1,0)</f>
        <v>0</v>
      </c>
      <c r="BC248" s="175">
        <f>MAX(Prod[[#This Row],[S1Cavity]],Prod[[#This Row],[S2Cavity]],Prod[[#This Row],[S3Cavity]])</f>
        <v>8</v>
      </c>
      <c r="BD248" s="175" t="b">
        <f>RegExpMatch(Prod[[#This Row],[MoldNo]], "^DEO-(B|C)")</f>
        <v>0</v>
      </c>
      <c r="BE248" s="175" t="b">
        <f>RegExpMatch(Prod[[#This Row],[MoldNo]], "^JAC")</f>
        <v>0</v>
      </c>
    </row>
    <row r="249" spans="1:57" x14ac:dyDescent="0.2">
      <c r="A249" s="117">
        <v>45458</v>
      </c>
      <c r="B249" s="130" t="s">
        <v>253</v>
      </c>
      <c r="C249" s="131" t="s">
        <v>9</v>
      </c>
      <c r="D249" s="119">
        <v>27581</v>
      </c>
      <c r="E249" s="131" t="s">
        <v>199</v>
      </c>
      <c r="F249" s="119">
        <v>814</v>
      </c>
      <c r="G249" s="119" t="str">
        <f>IF(OR(Prod[[#This Row],[S1Hrs]]&gt;0,Prod[[#This Row],[S2Hrs]]&gt;0,Prod[[#This Row],[S3Hrs]]&gt;0),"Running","Down")</f>
        <v>Running</v>
      </c>
      <c r="H249" s="187">
        <v>15.21</v>
      </c>
      <c r="I249" s="141">
        <v>3.5</v>
      </c>
      <c r="J249" s="120">
        <v>814</v>
      </c>
      <c r="K249" s="130">
        <v>8</v>
      </c>
      <c r="L249" s="120">
        <f>Prod[[#This Row],[S1Shot]]*Prod[[#This Row],[S1Cavity]]-Prod[[#This Row],[S1Dft]]</f>
        <v>6512</v>
      </c>
      <c r="M249" s="134"/>
      <c r="N249" s="187">
        <v>15.71</v>
      </c>
      <c r="O249" s="141">
        <v>8</v>
      </c>
      <c r="P249" s="120">
        <v>2005</v>
      </c>
      <c r="Q249" s="130">
        <v>8</v>
      </c>
      <c r="R249" s="120">
        <f>Prod[[#This Row],[S2Shot]]*Prod[[#This Row],[S2Cavity]]-Prod[[#This Row],[S2Dft]]</f>
        <v>16040</v>
      </c>
      <c r="S249" s="134"/>
      <c r="T249" s="187">
        <v>15.18</v>
      </c>
      <c r="U249" s="141">
        <v>8</v>
      </c>
      <c r="V249" s="120">
        <v>1913</v>
      </c>
      <c r="W249" s="130">
        <v>8</v>
      </c>
      <c r="X249" s="120">
        <f>Prod[[#This Row],[S3Shot]]*Prod[[#This Row],[S3Cavity]]-Prod[[#This Row],[S3Dft]]</f>
        <v>15304</v>
      </c>
      <c r="Y249" s="134"/>
      <c r="Z249" s="120">
        <f>SUM(Prod[[#This Row],[S1Qty]],Prod[[#This Row],[S2Qty]],Prod[[#This Row],[S3Qty]])</f>
        <v>37856</v>
      </c>
      <c r="AA249" s="134"/>
      <c r="AB249" s="135"/>
      <c r="AC249" s="118"/>
      <c r="AD249" s="134"/>
      <c r="AE249" s="134"/>
      <c r="AF249" s="134"/>
      <c r="AG249" s="134"/>
      <c r="AH249" s="134"/>
      <c r="AI249" s="134"/>
      <c r="AJ249" s="134"/>
      <c r="AK249" s="134"/>
      <c r="AL249" s="134"/>
      <c r="AM249" s="134"/>
      <c r="AN249" s="134"/>
      <c r="AO249" s="134"/>
      <c r="AP249" s="134"/>
      <c r="AQ249" s="134"/>
      <c r="AR249" s="134"/>
      <c r="AS249" s="132">
        <f>IF(Prod[[#This Row],[S1Hrs]]=0,0,Prod[[#This Row],[S1Shot]]*Prod[[#This Row],[S1Cycle]]/(Prod[[#This Row],[S1Hrs]]*60*60))</f>
        <v>0.98261428571428577</v>
      </c>
      <c r="AT249" s="132">
        <f>IF(Prod[[#This Row],[S2Hrs]]=0,0,Prod[[#This Row],[S2Shot]]*Prod[[#This Row],[S2Cycle]]/(Prod[[#This Row],[S2Hrs]]*60*60))</f>
        <v>1.0936996527777778</v>
      </c>
      <c r="AU249" s="132">
        <f>IF(Prod[[#This Row],[S3Hrs]]=0,0,Prod[[#This Row],[S3Shot]]*Prod[[#This Row],[S3Cycle]]/(Prod[[#This Row],[S3Hrs]]*60*60))</f>
        <v>1.0083104166666668</v>
      </c>
      <c r="AV249" s="132">
        <f>IFERROR(AVERAGEIF(Prod[[#This Row],[S1%]:[S3%]], "&lt;&gt;0"),0)</f>
        <v>1.0282081183862435</v>
      </c>
      <c r="AW249" s="132">
        <v>0</v>
      </c>
      <c r="AX249" s="132">
        <v>0</v>
      </c>
      <c r="AY249" s="132">
        <v>0</v>
      </c>
      <c r="AZ249" s="175">
        <f>IF(Prod[[#This Row],[S1Cycle]]&lt;&gt;0,1,0)</f>
        <v>1</v>
      </c>
      <c r="BA249" s="175">
        <f>IF(Prod[[#This Row],[S2Cycle]]&lt;&gt;0,1,0)</f>
        <v>1</v>
      </c>
      <c r="BB249" s="175">
        <f>IF(Prod[[#This Row],[S3Cycle]]&lt;&gt;0,1,0)</f>
        <v>1</v>
      </c>
      <c r="BC249" s="175">
        <f>MAX(Prod[[#This Row],[S1Cavity]],Prod[[#This Row],[S2Cavity]],Prod[[#This Row],[S3Cavity]])</f>
        <v>8</v>
      </c>
      <c r="BD249" s="175" t="b">
        <f>RegExpMatch(Prod[[#This Row],[MoldNo]], "^DEO-(B|C)")</f>
        <v>0</v>
      </c>
      <c r="BE249" s="175" t="b">
        <f>RegExpMatch(Prod[[#This Row],[MoldNo]], "^JAC")</f>
        <v>0</v>
      </c>
    </row>
    <row r="250" spans="1:57" x14ac:dyDescent="0.2">
      <c r="A250" s="117">
        <v>45458</v>
      </c>
      <c r="B250" s="130" t="s">
        <v>259</v>
      </c>
      <c r="C250" s="119" t="s">
        <v>145</v>
      </c>
      <c r="D250" s="119">
        <v>28021</v>
      </c>
      <c r="E250" s="131" t="s">
        <v>199</v>
      </c>
      <c r="F250" s="119">
        <v>814</v>
      </c>
      <c r="G250" s="119" t="str">
        <f>IF(OR(Prod[[#This Row],[S1Hrs]]&gt;0,Prod[[#This Row],[S2Hrs]]&gt;0,Prod[[#This Row],[S3Hrs]]&gt;0),"Running","Down")</f>
        <v>Running</v>
      </c>
      <c r="H250" s="187">
        <v>0</v>
      </c>
      <c r="I250" s="141">
        <v>0</v>
      </c>
      <c r="J250" s="120">
        <v>0</v>
      </c>
      <c r="K250" s="130">
        <v>0</v>
      </c>
      <c r="L250" s="120">
        <f>Prod[[#This Row],[S1Shot]]*Prod[[#This Row],[S1Cavity]]-Prod[[#This Row],[S1Dft]]</f>
        <v>0</v>
      </c>
      <c r="M250" s="134"/>
      <c r="N250" s="187">
        <v>15.36</v>
      </c>
      <c r="O250" s="141">
        <v>8</v>
      </c>
      <c r="P250" s="120">
        <v>1752</v>
      </c>
      <c r="Q250" s="130">
        <v>16</v>
      </c>
      <c r="R250" s="120">
        <f>Prod[[#This Row],[S2Shot]]*Prod[[#This Row],[S2Cavity]]-Prod[[#This Row],[S2Dft]]</f>
        <v>28032</v>
      </c>
      <c r="S250" s="134"/>
      <c r="T250" s="187">
        <v>15.36</v>
      </c>
      <c r="U250" s="141">
        <v>8</v>
      </c>
      <c r="V250" s="120">
        <v>1903</v>
      </c>
      <c r="W250" s="130">
        <v>16</v>
      </c>
      <c r="X250" s="120">
        <f>Prod[[#This Row],[S3Shot]]*Prod[[#This Row],[S3Cavity]]-Prod[[#This Row],[S3Dft]]</f>
        <v>30448</v>
      </c>
      <c r="Y250" s="134"/>
      <c r="Z250" s="120">
        <f>SUM(Prod[[#This Row],[S1Qty]],Prod[[#This Row],[S2Qty]],Prod[[#This Row],[S3Qty]])</f>
        <v>58480</v>
      </c>
      <c r="AA250" s="134"/>
      <c r="AB250" s="135"/>
      <c r="AC250" s="118"/>
      <c r="AD250" s="134"/>
      <c r="AE250" s="134"/>
      <c r="AF250" s="134"/>
      <c r="AG250" s="134"/>
      <c r="AH250" s="134"/>
      <c r="AI250" s="134"/>
      <c r="AJ250" s="134"/>
      <c r="AK250" s="134"/>
      <c r="AL250" s="134"/>
      <c r="AM250" s="134"/>
      <c r="AN250" s="134"/>
      <c r="AO250" s="134"/>
      <c r="AP250" s="134"/>
      <c r="AQ250" s="134"/>
      <c r="AR250" s="134"/>
      <c r="AS250" s="132">
        <f>IF(Prod[[#This Row],[S1Hrs]]=0,0,Prod[[#This Row],[S1Shot]]*Prod[[#This Row],[S1Cycle]]/(Prod[[#This Row],[S1Hrs]]*60*60))</f>
        <v>0</v>
      </c>
      <c r="AT250" s="132">
        <f>IF(Prod[[#This Row],[S2Hrs]]=0,0,Prod[[#This Row],[S2Shot]]*Prod[[#This Row],[S2Cycle]]/(Prod[[#This Row],[S2Hrs]]*60*60))</f>
        <v>0.9343999999999999</v>
      </c>
      <c r="AU250" s="132">
        <f>IF(Prod[[#This Row],[S3Hrs]]=0,0,Prod[[#This Row],[S3Shot]]*Prod[[#This Row],[S3Cycle]]/(Prod[[#This Row],[S3Hrs]]*60*60))</f>
        <v>1.0149333333333332</v>
      </c>
      <c r="AV250" s="132">
        <f>IFERROR(AVERAGEIF(Prod[[#This Row],[S1%]:[S3%]], "&lt;&gt;0"),0)</f>
        <v>0.97466666666666657</v>
      </c>
      <c r="AW250" s="132">
        <v>0</v>
      </c>
      <c r="AX250" s="132">
        <v>0</v>
      </c>
      <c r="AY250" s="132">
        <v>0</v>
      </c>
      <c r="AZ250" s="175">
        <f>IF(Prod[[#This Row],[S1Cycle]]&lt;&gt;0,1,0)</f>
        <v>0</v>
      </c>
      <c r="BA250" s="175">
        <f>IF(Prod[[#This Row],[S2Cycle]]&lt;&gt;0,1,0)</f>
        <v>1</v>
      </c>
      <c r="BB250" s="175">
        <f>IF(Prod[[#This Row],[S3Cycle]]&lt;&gt;0,1,0)</f>
        <v>1</v>
      </c>
      <c r="BC250" s="175">
        <f>MAX(Prod[[#This Row],[S1Cavity]],Prod[[#This Row],[S2Cavity]],Prod[[#This Row],[S3Cavity]])</f>
        <v>16</v>
      </c>
      <c r="BD250" s="175" t="b">
        <f>RegExpMatch(Prod[[#This Row],[MoldNo]], "^DEO-(B|C)")</f>
        <v>0</v>
      </c>
      <c r="BE250" s="175" t="b">
        <f>RegExpMatch(Prod[[#This Row],[MoldNo]], "^JAC")</f>
        <v>0</v>
      </c>
    </row>
    <row r="251" spans="1:57" x14ac:dyDescent="0.2">
      <c r="A251" s="195">
        <v>45459</v>
      </c>
      <c r="B251" s="196" t="s">
        <v>190</v>
      </c>
      <c r="C251" s="197" t="s">
        <v>153</v>
      </c>
      <c r="D251" s="197">
        <v>27422</v>
      </c>
      <c r="E251" s="198" t="s">
        <v>199</v>
      </c>
      <c r="F251" s="197">
        <v>6331</v>
      </c>
      <c r="G251" s="197" t="str">
        <f>IF(OR(Prod[[#This Row],[S1Hrs]]&gt;0,Prod[[#This Row],[S2Hrs]]&gt;0,Prod[[#This Row],[S3Hrs]]&gt;0),"Running","Down")</f>
        <v>Running</v>
      </c>
      <c r="H251" s="199">
        <v>22.7</v>
      </c>
      <c r="I251" s="200">
        <v>8</v>
      </c>
      <c r="J251" s="196">
        <v>1238</v>
      </c>
      <c r="K251" s="201">
        <v>4</v>
      </c>
      <c r="L251" s="196">
        <f>Prod[[#This Row],[S1Shot]]*Prod[[#This Row],[S1Cavity]]-Prod[[#This Row],[S1Dft]]</f>
        <v>4945</v>
      </c>
      <c r="M251" s="202">
        <f>SUM(Prod[[#This Row],[S1Mold]],Prod[[#This Row],[S1Print]],Prod[[#This Row],[S1Ovlp]],Prod[[#This Row],[S1Seam]],Prod[[#This Row],[S1Dmg]])</f>
        <v>7</v>
      </c>
      <c r="N251" s="199">
        <v>22.7</v>
      </c>
      <c r="O251" s="200">
        <v>8</v>
      </c>
      <c r="P251" s="196">
        <v>1307</v>
      </c>
      <c r="Q251" s="201">
        <v>4</v>
      </c>
      <c r="R251" s="196">
        <f>Prod[[#This Row],[S2Shot]]*Prod[[#This Row],[S2Cavity]]-Prod[[#This Row],[S2Dft]]</f>
        <v>5221</v>
      </c>
      <c r="S251" s="202">
        <f>SUM(Prod[[#This Row],[S2Mold]],Prod[[#This Row],[S2Print]],Prod[[#This Row],[S2Ovlp]],Prod[[#This Row],[S2Seam]],Prod[[#This Row],[S2Dmg]])</f>
        <v>7</v>
      </c>
      <c r="T251" s="199">
        <v>22.69</v>
      </c>
      <c r="U251" s="200">
        <v>8</v>
      </c>
      <c r="V251" s="196">
        <v>1252</v>
      </c>
      <c r="W251" s="201">
        <v>4</v>
      </c>
      <c r="X251" s="196">
        <f>Prod[[#This Row],[S3Shot]]*Prod[[#This Row],[S3Cavity]]-Prod[[#This Row],[S3Dft]]</f>
        <v>5002</v>
      </c>
      <c r="Y251" s="196">
        <f>SUM(Prod[[#This Row],[S3Mold]],Prod[[#This Row],[S3Print]],Prod[[#This Row],[S3Ovlp]],Prod[[#This Row],[S3Seam]],Prod[[#This Row],[S3Dmg]])</f>
        <v>6</v>
      </c>
      <c r="Z251" s="196">
        <f>SUM(Prod[[#This Row],[S1Qty]],Prod[[#This Row],[S2Qty]],Prod[[#This Row],[S3Qty]])</f>
        <v>15168</v>
      </c>
      <c r="AA251" s="196">
        <f>SUM(Prod[[#This Row],[S1Dft]],Prod[[#This Row],[S2Dft]],Prod[[#This Row],[S3Dft]])</f>
        <v>20</v>
      </c>
      <c r="AB251" s="203">
        <f>IF(Prod[[#This Row],[Total]]=0,0,Prod[[#This Row],[TotalDft]]/Prod[[#This Row],[Total]])</f>
        <v>1.3185654008438818E-3</v>
      </c>
      <c r="AC251" s="204"/>
      <c r="AD251" s="196">
        <v>7</v>
      </c>
      <c r="AE251" s="196">
        <v>7</v>
      </c>
      <c r="AF251" s="196">
        <v>6</v>
      </c>
      <c r="AG251" s="196">
        <v>0</v>
      </c>
      <c r="AH251" s="196">
        <v>0</v>
      </c>
      <c r="AI251" s="196">
        <v>0</v>
      </c>
      <c r="AJ251" s="196">
        <v>0</v>
      </c>
      <c r="AK251" s="196">
        <v>0</v>
      </c>
      <c r="AL251" s="196">
        <v>0</v>
      </c>
      <c r="AM251" s="196">
        <v>0</v>
      </c>
      <c r="AN251" s="196">
        <v>0</v>
      </c>
      <c r="AO251" s="196">
        <v>0</v>
      </c>
      <c r="AP251" s="196">
        <v>0</v>
      </c>
      <c r="AQ251" s="196">
        <v>0</v>
      </c>
      <c r="AR251" s="196">
        <v>0</v>
      </c>
      <c r="AS251" s="205">
        <f>IF(Prod[[#This Row],[S1Hrs]]=0,0,Prod[[#This Row],[S1Shot]]*Prod[[#This Row],[S1Cycle]]/(Prod[[#This Row],[S1Hrs]]*60*60))</f>
        <v>0.97578472222222212</v>
      </c>
      <c r="AT251" s="205">
        <f>IF(Prod[[#This Row],[S2Hrs]]=0,0,Prod[[#This Row],[S2Shot]]*Prod[[#This Row],[S2Cycle]]/(Prod[[#This Row],[S2Hrs]]*60*60))</f>
        <v>1.0301701388888889</v>
      </c>
      <c r="AU251" s="205">
        <f>IF(Prod[[#This Row],[S3Hrs]]=0,0,Prod[[#This Row],[S3Shot]]*Prod[[#This Row],[S3Cycle]]/(Prod[[#This Row],[S3Hrs]]*60*60))</f>
        <v>0.98638472222222229</v>
      </c>
      <c r="AV251" s="205">
        <f>IFERROR(AVERAGEIF(Prod[[#This Row],[S1%]:[S3%]], "&lt;&gt;0"),0)</f>
        <v>0.99744652777777765</v>
      </c>
      <c r="AW251" s="205">
        <v>0</v>
      </c>
      <c r="AX251" s="205">
        <v>0</v>
      </c>
      <c r="AY251" s="205">
        <v>0</v>
      </c>
      <c r="AZ251" s="206">
        <f>IF(Prod[[#This Row],[S1Cycle]]&lt;&gt;0,1,0)</f>
        <v>1</v>
      </c>
      <c r="BA251" s="206">
        <f>IF(Prod[[#This Row],[S2Cycle]]&lt;&gt;0,1,0)</f>
        <v>1</v>
      </c>
      <c r="BB251" s="206">
        <f>IF(Prod[[#This Row],[S3Cycle]]&lt;&gt;0,1,0)</f>
        <v>1</v>
      </c>
      <c r="BC251" s="206">
        <f>MAX(Prod[[#This Row],[S1Cavity]],Prod[[#This Row],[S2Cavity]],Prod[[#This Row],[S3Cavity]])</f>
        <v>4</v>
      </c>
      <c r="BD251" s="206" t="b">
        <f>RegExpMatch(Prod[[#This Row],[MoldNo]], "^DEO-(B|C)")</f>
        <v>0</v>
      </c>
      <c r="BE251" s="206" t="b">
        <f>RegExpMatch(Prod[[#This Row],[MoldNo]], "^JAC")</f>
        <v>1</v>
      </c>
    </row>
    <row r="252" spans="1:57" x14ac:dyDescent="0.2">
      <c r="A252" s="195">
        <v>45459</v>
      </c>
      <c r="B252" s="201" t="s">
        <v>6</v>
      </c>
      <c r="C252" s="198" t="s">
        <v>8</v>
      </c>
      <c r="D252" s="197">
        <v>27581</v>
      </c>
      <c r="E252" s="198" t="s">
        <v>199</v>
      </c>
      <c r="F252" s="197">
        <v>814</v>
      </c>
      <c r="G252" s="197" t="str">
        <f>IF(OR(Prod[[#This Row],[S1Hrs]]&gt;0,Prod[[#This Row],[S2Hrs]]&gt;0,Prod[[#This Row],[S3Hrs]]&gt;0),"Running","Down")</f>
        <v>Running</v>
      </c>
      <c r="H252" s="199">
        <v>21.86</v>
      </c>
      <c r="I252" s="200">
        <v>8</v>
      </c>
      <c r="J252" s="196">
        <v>1357</v>
      </c>
      <c r="K252" s="201">
        <v>8</v>
      </c>
      <c r="L252" s="196">
        <f>Prod[[#This Row],[S1Shot]]*Prod[[#This Row],[S1Cavity]]-Prod[[#This Row],[S1Dft]]</f>
        <v>10721</v>
      </c>
      <c r="M252" s="202">
        <f>SUM(Prod[[#This Row],[S1Mold]],Prod[[#This Row],[S1Print]],Prod[[#This Row],[S1Ovlp]],Prod[[#This Row],[S1Seam]],Prod[[#This Row],[S1Dmg]])</f>
        <v>135</v>
      </c>
      <c r="N252" s="199">
        <v>21.91</v>
      </c>
      <c r="O252" s="200">
        <v>8</v>
      </c>
      <c r="P252" s="196">
        <v>1433</v>
      </c>
      <c r="Q252" s="201">
        <v>8</v>
      </c>
      <c r="R252" s="196">
        <f>Prod[[#This Row],[S2Shot]]*Prod[[#This Row],[S2Cavity]]-Prod[[#This Row],[S2Dft]]</f>
        <v>11324</v>
      </c>
      <c r="S252" s="202">
        <f>SUM(Prod[[#This Row],[S2Mold]],Prod[[#This Row],[S2Print]],Prod[[#This Row],[S2Ovlp]],Prod[[#This Row],[S2Seam]],Prod[[#This Row],[S2Dmg]])</f>
        <v>140</v>
      </c>
      <c r="T252" s="199">
        <v>21.92</v>
      </c>
      <c r="U252" s="200">
        <v>8</v>
      </c>
      <c r="V252" s="196">
        <v>1131</v>
      </c>
      <c r="W252" s="201">
        <v>8</v>
      </c>
      <c r="X252" s="196">
        <f>Prod[[#This Row],[S3Shot]]*Prod[[#This Row],[S3Cavity]]-Prod[[#This Row],[S3Dft]]</f>
        <v>8933</v>
      </c>
      <c r="Y252" s="196">
        <f>SUM(Prod[[#This Row],[S3Mold]],Prod[[#This Row],[S3Print]],Prod[[#This Row],[S3Ovlp]],Prod[[#This Row],[S3Seam]],Prod[[#This Row],[S3Dmg]])</f>
        <v>115</v>
      </c>
      <c r="Z252" s="196">
        <f>SUM(Prod[[#This Row],[S1Qty]],Prod[[#This Row],[S2Qty]],Prod[[#This Row],[S3Qty]])</f>
        <v>30978</v>
      </c>
      <c r="AA252" s="196">
        <f>SUM(Prod[[#This Row],[S1Dft]],Prod[[#This Row],[S2Dft]],Prod[[#This Row],[S3Dft]])</f>
        <v>390</v>
      </c>
      <c r="AB252" s="203">
        <f>IF(Prod[[#This Row],[Total]]=0,0,Prod[[#This Row],[TotalDft]]/Prod[[#This Row],[Total]])</f>
        <v>1.2589579701723804E-2</v>
      </c>
      <c r="AC252" s="198"/>
      <c r="AD252" s="196">
        <v>20</v>
      </c>
      <c r="AE252" s="196">
        <v>20</v>
      </c>
      <c r="AF252" s="196">
        <v>15</v>
      </c>
      <c r="AG252" s="196">
        <v>115</v>
      </c>
      <c r="AH252" s="196">
        <v>120</v>
      </c>
      <c r="AI252" s="196">
        <v>100</v>
      </c>
      <c r="AJ252" s="196">
        <v>0</v>
      </c>
      <c r="AK252" s="196">
        <v>0</v>
      </c>
      <c r="AL252" s="196">
        <v>0</v>
      </c>
      <c r="AM252" s="196">
        <v>0</v>
      </c>
      <c r="AN252" s="196">
        <v>0</v>
      </c>
      <c r="AO252" s="196">
        <v>0</v>
      </c>
      <c r="AP252" s="196">
        <v>0</v>
      </c>
      <c r="AQ252" s="196">
        <v>0</v>
      </c>
      <c r="AR252" s="196">
        <v>0</v>
      </c>
      <c r="AS252" s="205">
        <f>IF(Prod[[#This Row],[S1Hrs]]=0,0,Prod[[#This Row],[S1Shot]]*Prod[[#This Row],[S1Cycle]]/(Prod[[#This Row],[S1Hrs]]*60*60))</f>
        <v>1.0300006944444444</v>
      </c>
      <c r="AT252" s="205">
        <f>IF(Prod[[#This Row],[S2Hrs]]=0,0,Prod[[#This Row],[S2Shot]]*Prod[[#This Row],[S2Cycle]]/(Prod[[#This Row],[S2Hrs]]*60*60))</f>
        <v>1.0901746527777778</v>
      </c>
      <c r="AU252" s="205">
        <f>IF(Prod[[#This Row],[S3Hrs]]=0,0,Prod[[#This Row],[S3Shot]]*Prod[[#This Row],[S3Cycle]]/(Prod[[#This Row],[S3Hrs]]*60*60))</f>
        <v>0.86081666666666667</v>
      </c>
      <c r="AV252" s="205">
        <f>IFERROR(AVERAGEIF(Prod[[#This Row],[S1%]:[S3%]], "&lt;&gt;0"),0)</f>
        <v>0.99366400462962956</v>
      </c>
      <c r="AW252" s="205">
        <v>0</v>
      </c>
      <c r="AX252" s="205">
        <v>0</v>
      </c>
      <c r="AY252" s="205">
        <v>0</v>
      </c>
      <c r="AZ252" s="206">
        <f>IF(Prod[[#This Row],[S1Cycle]]&lt;&gt;0,1,0)</f>
        <v>1</v>
      </c>
      <c r="BA252" s="206">
        <f>IF(Prod[[#This Row],[S2Cycle]]&lt;&gt;0,1,0)</f>
        <v>1</v>
      </c>
      <c r="BB252" s="206">
        <f>IF(Prod[[#This Row],[S3Cycle]]&lt;&gt;0,1,0)</f>
        <v>1</v>
      </c>
      <c r="BC252" s="206">
        <f>MAX(Prod[[#This Row],[S1Cavity]],Prod[[#This Row],[S2Cavity]],Prod[[#This Row],[S3Cavity]])</f>
        <v>8</v>
      </c>
      <c r="BD252" s="206" t="b">
        <f>RegExpMatch(Prod[[#This Row],[MoldNo]], "^DEO-(B|C)")</f>
        <v>1</v>
      </c>
      <c r="BE252" s="206" t="b">
        <f>RegExpMatch(Prod[[#This Row],[MoldNo]], "^JAC")</f>
        <v>0</v>
      </c>
    </row>
    <row r="253" spans="1:57" x14ac:dyDescent="0.2">
      <c r="A253" s="195">
        <v>45459</v>
      </c>
      <c r="B253" s="196" t="s">
        <v>7</v>
      </c>
      <c r="C253" s="197" t="s">
        <v>172</v>
      </c>
      <c r="D253" s="197">
        <v>27581</v>
      </c>
      <c r="E253" s="198" t="s">
        <v>199</v>
      </c>
      <c r="F253" s="197">
        <v>814</v>
      </c>
      <c r="G253" s="197" t="str">
        <f>IF(OR(Prod[[#This Row],[S1Hrs]]&gt;0,Prod[[#This Row],[S2Hrs]]&gt;0,Prod[[#This Row],[S3Hrs]]&gt;0),"Running","Down")</f>
        <v>Running</v>
      </c>
      <c r="H253" s="199">
        <v>20.8</v>
      </c>
      <c r="I253" s="200">
        <v>8</v>
      </c>
      <c r="J253" s="196">
        <v>1363</v>
      </c>
      <c r="K253" s="201">
        <v>8</v>
      </c>
      <c r="L253" s="196">
        <f>Prod[[#This Row],[S1Shot]]*Prod[[#This Row],[S1Cavity]]-Prod[[#This Row],[S1Dft]]</f>
        <v>10789</v>
      </c>
      <c r="M253" s="202">
        <f>SUM(Prod[[#This Row],[S1Mold]],Prod[[#This Row],[S1Print]],Prod[[#This Row],[S1Ovlp]],Prod[[#This Row],[S1Seam]],Prod[[#This Row],[S1Dmg]])</f>
        <v>115</v>
      </c>
      <c r="N253" s="199">
        <v>20.8</v>
      </c>
      <c r="O253" s="200">
        <v>8</v>
      </c>
      <c r="P253" s="196">
        <v>1497</v>
      </c>
      <c r="Q253" s="201">
        <v>8</v>
      </c>
      <c r="R253" s="196">
        <f>Prod[[#This Row],[S2Shot]]*Prod[[#This Row],[S2Cavity]]-Prod[[#This Row],[S2Dft]]</f>
        <v>11841</v>
      </c>
      <c r="S253" s="202">
        <f>SUM(Prod[[#This Row],[S2Mold]],Prod[[#This Row],[S2Print]],Prod[[#This Row],[S2Ovlp]],Prod[[#This Row],[S2Seam]],Prod[[#This Row],[S2Dmg]])</f>
        <v>135</v>
      </c>
      <c r="T253" s="199">
        <v>20.8</v>
      </c>
      <c r="U253" s="200">
        <v>8</v>
      </c>
      <c r="V253" s="196">
        <v>1199</v>
      </c>
      <c r="W253" s="201">
        <v>8</v>
      </c>
      <c r="X253" s="196">
        <f>Prod[[#This Row],[S3Shot]]*Prod[[#This Row],[S3Cavity]]-Prod[[#This Row],[S3Dft]]</f>
        <v>9472</v>
      </c>
      <c r="Y253" s="196">
        <f>SUM(Prod[[#This Row],[S3Mold]],Prod[[#This Row],[S3Print]],Prod[[#This Row],[S3Ovlp]],Prod[[#This Row],[S3Seam]],Prod[[#This Row],[S3Dmg]])</f>
        <v>120</v>
      </c>
      <c r="Z253" s="196">
        <f>SUM(Prod[[#This Row],[S1Qty]],Prod[[#This Row],[S2Qty]],Prod[[#This Row],[S3Qty]])</f>
        <v>32102</v>
      </c>
      <c r="AA253" s="196">
        <f>SUM(Prod[[#This Row],[S1Dft]],Prod[[#This Row],[S2Dft]],Prod[[#This Row],[S3Dft]])</f>
        <v>370</v>
      </c>
      <c r="AB253" s="203">
        <f>IF(Prod[[#This Row],[Total]]=0,0,Prod[[#This Row],[TotalDft]]/Prod[[#This Row],[Total]])</f>
        <v>1.1525761634789109E-2</v>
      </c>
      <c r="AC253" s="198"/>
      <c r="AD253" s="196">
        <v>15</v>
      </c>
      <c r="AE253" s="196">
        <v>20</v>
      </c>
      <c r="AF253" s="196">
        <v>20</v>
      </c>
      <c r="AG253" s="196">
        <v>100</v>
      </c>
      <c r="AH253" s="196">
        <v>115</v>
      </c>
      <c r="AI253" s="196">
        <v>100</v>
      </c>
      <c r="AJ253" s="196">
        <v>0</v>
      </c>
      <c r="AK253" s="196">
        <v>0</v>
      </c>
      <c r="AL253" s="196">
        <v>0</v>
      </c>
      <c r="AM253" s="196">
        <v>0</v>
      </c>
      <c r="AN253" s="196">
        <v>0</v>
      </c>
      <c r="AO253" s="196">
        <v>0</v>
      </c>
      <c r="AP253" s="196">
        <v>0</v>
      </c>
      <c r="AQ253" s="196">
        <v>0</v>
      </c>
      <c r="AR253" s="196">
        <v>0</v>
      </c>
      <c r="AS253" s="205">
        <f>IF(Prod[[#This Row],[S1Hrs]]=0,0,Prod[[#This Row],[S1Shot]]*Prod[[#This Row],[S1Cycle]]/(Prod[[#This Row],[S1Hrs]]*60*60))</f>
        <v>0.98438888888888898</v>
      </c>
      <c r="AT253" s="205">
        <f>IF(Prod[[#This Row],[S2Hrs]]=0,0,Prod[[#This Row],[S2Shot]]*Prod[[#This Row],[S2Cycle]]/(Prod[[#This Row],[S2Hrs]]*60*60))</f>
        <v>1.0811666666666668</v>
      </c>
      <c r="AU253" s="205">
        <f>IF(Prod[[#This Row],[S3Hrs]]=0,0,Prod[[#This Row],[S3Shot]]*Prod[[#This Row],[S3Cycle]]/(Prod[[#This Row],[S3Hrs]]*60*60))</f>
        <v>0.86594444444444452</v>
      </c>
      <c r="AV253" s="205">
        <f>IFERROR(AVERAGEIF(Prod[[#This Row],[S1%]:[S3%]], "&lt;&gt;0"),0)</f>
        <v>0.97716666666666685</v>
      </c>
      <c r="AW253" s="205">
        <v>0</v>
      </c>
      <c r="AX253" s="205">
        <v>0</v>
      </c>
      <c r="AY253" s="205">
        <v>0</v>
      </c>
      <c r="AZ253" s="206">
        <f>IF(Prod[[#This Row],[S1Cycle]]&lt;&gt;0,1,0)</f>
        <v>1</v>
      </c>
      <c r="BA253" s="206">
        <f>IF(Prod[[#This Row],[S2Cycle]]&lt;&gt;0,1,0)</f>
        <v>1</v>
      </c>
      <c r="BB253" s="206">
        <f>IF(Prod[[#This Row],[S3Cycle]]&lt;&gt;0,1,0)</f>
        <v>1</v>
      </c>
      <c r="BC253" s="206">
        <f>MAX(Prod[[#This Row],[S1Cavity]],Prod[[#This Row],[S2Cavity]],Prod[[#This Row],[S3Cavity]])</f>
        <v>8</v>
      </c>
      <c r="BD253" s="206" t="b">
        <f>RegExpMatch(Prod[[#This Row],[MoldNo]], "^DEO-(B|C)")</f>
        <v>1</v>
      </c>
      <c r="BE253" s="206" t="b">
        <f>RegExpMatch(Prod[[#This Row],[MoldNo]], "^JAC")</f>
        <v>0</v>
      </c>
    </row>
    <row r="254" spans="1:57" x14ac:dyDescent="0.2">
      <c r="A254" s="195">
        <v>45459</v>
      </c>
      <c r="B254" s="196" t="s">
        <v>85</v>
      </c>
      <c r="C254" s="197" t="s">
        <v>165</v>
      </c>
      <c r="D254" s="197"/>
      <c r="E254" s="198"/>
      <c r="F254" s="197"/>
      <c r="G254" s="197" t="str">
        <f>IF(OR(Prod[[#This Row],[S1Hrs]]&gt;0,Prod[[#This Row],[S2Hrs]]&gt;0,Prod[[#This Row],[S3Hrs]]&gt;0),"Running","Down")</f>
        <v>Down</v>
      </c>
      <c r="H254" s="199">
        <v>0</v>
      </c>
      <c r="I254" s="200">
        <v>0</v>
      </c>
      <c r="J254" s="196">
        <v>0</v>
      </c>
      <c r="K254" s="201">
        <v>0</v>
      </c>
      <c r="L254" s="196">
        <f>Prod[[#This Row],[S1Shot]]*Prod[[#This Row],[S1Cavity]]-Prod[[#This Row],[S1Dft]]</f>
        <v>0</v>
      </c>
      <c r="M254" s="207"/>
      <c r="N254" s="199">
        <v>0</v>
      </c>
      <c r="O254" s="200">
        <v>0</v>
      </c>
      <c r="P254" s="196">
        <v>0</v>
      </c>
      <c r="Q254" s="201">
        <v>0</v>
      </c>
      <c r="R254" s="196">
        <f>Prod[[#This Row],[S2Shot]]*Prod[[#This Row],[S2Cavity]]-Prod[[#This Row],[S2Dft]]</f>
        <v>0</v>
      </c>
      <c r="S254" s="207"/>
      <c r="T254" s="199">
        <v>0</v>
      </c>
      <c r="U254" s="200">
        <v>0</v>
      </c>
      <c r="V254" s="196">
        <v>0</v>
      </c>
      <c r="W254" s="201">
        <v>0</v>
      </c>
      <c r="X254" s="196">
        <f>Prod[[#This Row],[S3Shot]]*Prod[[#This Row],[S3Cavity]]-Prod[[#This Row],[S3Dft]]</f>
        <v>0</v>
      </c>
      <c r="Y254" s="207"/>
      <c r="Z254" s="196">
        <f>SUM(Prod[[#This Row],[S1Qty]],Prod[[#This Row],[S2Qty]],Prod[[#This Row],[S3Qty]])</f>
        <v>0</v>
      </c>
      <c r="AA254" s="207"/>
      <c r="AB254" s="208"/>
      <c r="AC254" s="204"/>
      <c r="AD254" s="207"/>
      <c r="AE254" s="207"/>
      <c r="AF254" s="207"/>
      <c r="AG254" s="207"/>
      <c r="AH254" s="207"/>
      <c r="AI254" s="207"/>
      <c r="AJ254" s="207"/>
      <c r="AK254" s="207"/>
      <c r="AL254" s="207"/>
      <c r="AM254" s="207"/>
      <c r="AN254" s="207"/>
      <c r="AO254" s="207"/>
      <c r="AP254" s="207"/>
      <c r="AQ254" s="207"/>
      <c r="AR254" s="207"/>
      <c r="AS254" s="205">
        <f>IF(Prod[[#This Row],[S1Hrs]]=0,0,Prod[[#This Row],[S1Shot]]*Prod[[#This Row],[S1Cycle]]/(Prod[[#This Row],[S1Hrs]]*60*60))</f>
        <v>0</v>
      </c>
      <c r="AT254" s="205">
        <f>IF(Prod[[#This Row],[S2Hrs]]=0,0,Prod[[#This Row],[S2Shot]]*Prod[[#This Row],[S2Cycle]]/(Prod[[#This Row],[S2Hrs]]*60*60))</f>
        <v>0</v>
      </c>
      <c r="AU254" s="205">
        <f>IF(Prod[[#This Row],[S3Hrs]]=0,0,Prod[[#This Row],[S3Shot]]*Prod[[#This Row],[S3Cycle]]/(Prod[[#This Row],[S3Hrs]]*60*60))</f>
        <v>0</v>
      </c>
      <c r="AV254" s="205">
        <f>IFERROR(AVERAGEIF(Prod[[#This Row],[S1%]:[S3%]], "&lt;&gt;0"),0)</f>
        <v>0</v>
      </c>
      <c r="AW254" s="205">
        <v>0</v>
      </c>
      <c r="AX254" s="205">
        <v>0</v>
      </c>
      <c r="AY254" s="205">
        <v>0</v>
      </c>
      <c r="AZ254" s="206">
        <f>IF(Prod[[#This Row],[S1Cycle]]&lt;&gt;0,1,0)</f>
        <v>0</v>
      </c>
      <c r="BA254" s="206">
        <f>IF(Prod[[#This Row],[S2Cycle]]&lt;&gt;0,1,0)</f>
        <v>0</v>
      </c>
      <c r="BB254" s="206">
        <f>IF(Prod[[#This Row],[S3Cycle]]&lt;&gt;0,1,0)</f>
        <v>0</v>
      </c>
      <c r="BC254" s="206">
        <f>MAX(Prod[[#This Row],[S1Cavity]],Prod[[#This Row],[S2Cavity]],Prod[[#This Row],[S3Cavity]])</f>
        <v>0</v>
      </c>
      <c r="BD254" s="206" t="b">
        <f>RegExpMatch(Prod[[#This Row],[MoldNo]], "^DEO-(B|C)")</f>
        <v>0</v>
      </c>
      <c r="BE254" s="206" t="b">
        <f>RegExpMatch(Prod[[#This Row],[MoldNo]], "^JAC")</f>
        <v>0</v>
      </c>
    </row>
    <row r="255" spans="1:57" x14ac:dyDescent="0.2">
      <c r="A255" s="195">
        <v>45459</v>
      </c>
      <c r="B255" s="196" t="s">
        <v>196</v>
      </c>
      <c r="C255" s="197" t="s">
        <v>82</v>
      </c>
      <c r="D255" s="197">
        <v>27438</v>
      </c>
      <c r="E255" s="198" t="s">
        <v>199</v>
      </c>
      <c r="F255" s="197">
        <v>814</v>
      </c>
      <c r="G255" s="197" t="str">
        <f>IF(OR(Prod[[#This Row],[S1Hrs]]&gt;0,Prod[[#This Row],[S2Hrs]]&gt;0,Prod[[#This Row],[S3Hrs]]&gt;0),"Running","Down")</f>
        <v>Running</v>
      </c>
      <c r="H255" s="199">
        <v>20.7</v>
      </c>
      <c r="I255" s="200">
        <v>8</v>
      </c>
      <c r="J255" s="196">
        <v>1413</v>
      </c>
      <c r="K255" s="201">
        <v>16</v>
      </c>
      <c r="L255" s="196">
        <f>Prod[[#This Row],[S1Shot]]*Prod[[#This Row],[S1Cavity]]-Prod[[#This Row],[S1Dft]]</f>
        <v>22608</v>
      </c>
      <c r="M255" s="207"/>
      <c r="N255" s="199">
        <v>20.64</v>
      </c>
      <c r="O255" s="200">
        <v>8</v>
      </c>
      <c r="P255" s="196">
        <v>1424</v>
      </c>
      <c r="Q255" s="201">
        <v>16</v>
      </c>
      <c r="R255" s="196">
        <f>Prod[[#This Row],[S2Shot]]*Prod[[#This Row],[S2Cavity]]-Prod[[#This Row],[S2Dft]]</f>
        <v>22784</v>
      </c>
      <c r="S255" s="207"/>
      <c r="T255" s="199">
        <v>20.68</v>
      </c>
      <c r="U255" s="200">
        <v>8</v>
      </c>
      <c r="V255" s="196">
        <v>1400</v>
      </c>
      <c r="W255" s="201">
        <v>16</v>
      </c>
      <c r="X255" s="196">
        <f>Prod[[#This Row],[S3Shot]]*Prod[[#This Row],[S3Cavity]]-Prod[[#This Row],[S3Dft]]</f>
        <v>22400</v>
      </c>
      <c r="Y255" s="207"/>
      <c r="Z255" s="196">
        <f>SUM(Prod[[#This Row],[S1Qty]],Prod[[#This Row],[S2Qty]],Prod[[#This Row],[S3Qty]])</f>
        <v>67792</v>
      </c>
      <c r="AA255" s="207"/>
      <c r="AB255" s="208"/>
      <c r="AC255" s="204"/>
      <c r="AD255" s="207"/>
      <c r="AE255" s="207"/>
      <c r="AF255" s="207"/>
      <c r="AG255" s="207"/>
      <c r="AH255" s="207"/>
      <c r="AI255" s="207"/>
      <c r="AJ255" s="207"/>
      <c r="AK255" s="207"/>
      <c r="AL255" s="207"/>
      <c r="AM255" s="207"/>
      <c r="AN255" s="207"/>
      <c r="AO255" s="207"/>
      <c r="AP255" s="207"/>
      <c r="AQ255" s="207"/>
      <c r="AR255" s="207"/>
      <c r="AS255" s="205">
        <f>IF(Prod[[#This Row],[S1Hrs]]=0,0,Prod[[#This Row],[S1Shot]]*Prod[[#This Row],[S1Cycle]]/(Prod[[#This Row],[S1Hrs]]*60*60))</f>
        <v>1.0155937499999999</v>
      </c>
      <c r="AT255" s="205">
        <f>IF(Prod[[#This Row],[S2Hrs]]=0,0,Prod[[#This Row],[S2Shot]]*Prod[[#This Row],[S2Cycle]]/(Prod[[#This Row],[S2Hrs]]*60*60))</f>
        <v>1.0205333333333333</v>
      </c>
      <c r="AU255" s="205">
        <f>IF(Prod[[#This Row],[S3Hrs]]=0,0,Prod[[#This Row],[S3Shot]]*Prod[[#This Row],[S3Cycle]]/(Prod[[#This Row],[S3Hrs]]*60*60))</f>
        <v>1.0052777777777777</v>
      </c>
      <c r="AV255" s="205">
        <f>IFERROR(AVERAGEIF(Prod[[#This Row],[S1%]:[S3%]], "&lt;&gt;0"),0)</f>
        <v>1.0138016203703704</v>
      </c>
      <c r="AW255" s="205">
        <v>0</v>
      </c>
      <c r="AX255" s="205">
        <v>0</v>
      </c>
      <c r="AY255" s="205">
        <v>0</v>
      </c>
      <c r="AZ255" s="206">
        <f>IF(Prod[[#This Row],[S1Cycle]]&lt;&gt;0,1,0)</f>
        <v>1</v>
      </c>
      <c r="BA255" s="206">
        <f>IF(Prod[[#This Row],[S2Cycle]]&lt;&gt;0,1,0)</f>
        <v>1</v>
      </c>
      <c r="BB255" s="206">
        <f>IF(Prod[[#This Row],[S3Cycle]]&lt;&gt;0,1,0)</f>
        <v>1</v>
      </c>
      <c r="BC255" s="206">
        <f>MAX(Prod[[#This Row],[S1Cavity]],Prod[[#This Row],[S2Cavity]],Prod[[#This Row],[S3Cavity]])</f>
        <v>16</v>
      </c>
      <c r="BD255" s="206" t="b">
        <f>RegExpMatch(Prod[[#This Row],[MoldNo]], "^DEO-(B|C)")</f>
        <v>0</v>
      </c>
      <c r="BE255" s="206" t="b">
        <f>RegExpMatch(Prod[[#This Row],[MoldNo]], "^JAC")</f>
        <v>0</v>
      </c>
    </row>
    <row r="256" spans="1:57" x14ac:dyDescent="0.2">
      <c r="A256" s="195">
        <v>45459</v>
      </c>
      <c r="B256" s="196" t="s">
        <v>192</v>
      </c>
      <c r="C256" s="198" t="s">
        <v>193</v>
      </c>
      <c r="D256" s="197"/>
      <c r="E256" s="198"/>
      <c r="F256" s="197"/>
      <c r="G256" s="197" t="str">
        <f>IF(OR(Prod[[#This Row],[S1Hrs]]&gt;0,Prod[[#This Row],[S2Hrs]]&gt;0,Prod[[#This Row],[S3Hrs]]&gt;0),"Running","Down")</f>
        <v>Down</v>
      </c>
      <c r="H256" s="199">
        <v>0</v>
      </c>
      <c r="I256" s="200">
        <v>0</v>
      </c>
      <c r="J256" s="196">
        <v>0</v>
      </c>
      <c r="K256" s="201">
        <v>0</v>
      </c>
      <c r="L256" s="196">
        <f>Prod[[#This Row],[S1Shot]]*Prod[[#This Row],[S1Cavity]]-Prod[[#This Row],[S1Dft]]</f>
        <v>0</v>
      </c>
      <c r="M256" s="207"/>
      <c r="N256" s="199">
        <v>0</v>
      </c>
      <c r="O256" s="200">
        <v>0</v>
      </c>
      <c r="P256" s="196">
        <v>0</v>
      </c>
      <c r="Q256" s="201">
        <v>0</v>
      </c>
      <c r="R256" s="196">
        <f>Prod[[#This Row],[S2Shot]]*Prod[[#This Row],[S2Cavity]]-Prod[[#This Row],[S2Dft]]</f>
        <v>0</v>
      </c>
      <c r="S256" s="207"/>
      <c r="T256" s="199">
        <v>0</v>
      </c>
      <c r="U256" s="200">
        <v>0</v>
      </c>
      <c r="V256" s="196">
        <v>0</v>
      </c>
      <c r="W256" s="201">
        <v>0</v>
      </c>
      <c r="X256" s="196">
        <f>Prod[[#This Row],[S3Shot]]*Prod[[#This Row],[S3Cavity]]-Prod[[#This Row],[S3Dft]]</f>
        <v>0</v>
      </c>
      <c r="Y256" s="207"/>
      <c r="Z256" s="196">
        <f>SUM(Prod[[#This Row],[S1Qty]],Prod[[#This Row],[S2Qty]],Prod[[#This Row],[S3Qty]])</f>
        <v>0</v>
      </c>
      <c r="AA256" s="207"/>
      <c r="AB256" s="208"/>
      <c r="AC256" s="204"/>
      <c r="AD256" s="207"/>
      <c r="AE256" s="207"/>
      <c r="AF256" s="207"/>
      <c r="AG256" s="207"/>
      <c r="AH256" s="207"/>
      <c r="AI256" s="207"/>
      <c r="AJ256" s="207"/>
      <c r="AK256" s="207"/>
      <c r="AL256" s="207"/>
      <c r="AM256" s="207"/>
      <c r="AN256" s="207"/>
      <c r="AO256" s="207"/>
      <c r="AP256" s="207"/>
      <c r="AQ256" s="207"/>
      <c r="AR256" s="207"/>
      <c r="AS256" s="205">
        <f>IF(Prod[[#This Row],[S1Hrs]]=0,0,Prod[[#This Row],[S1Shot]]*Prod[[#This Row],[S1Cycle]]/(Prod[[#This Row],[S1Hrs]]*60*60))</f>
        <v>0</v>
      </c>
      <c r="AT256" s="205">
        <f>IF(Prod[[#This Row],[S2Hrs]]=0,0,Prod[[#This Row],[S2Shot]]*Prod[[#This Row],[S2Cycle]]/(Prod[[#This Row],[S2Hrs]]*60*60))</f>
        <v>0</v>
      </c>
      <c r="AU256" s="205">
        <f>IF(Prod[[#This Row],[S3Hrs]]=0,0,Prod[[#This Row],[S3Shot]]*Prod[[#This Row],[S3Cycle]]/(Prod[[#This Row],[S3Hrs]]*60*60))</f>
        <v>0</v>
      </c>
      <c r="AV256" s="205">
        <f>IFERROR(AVERAGEIF(Prod[[#This Row],[S1%]:[S3%]], "&lt;&gt;0"),0)</f>
        <v>0</v>
      </c>
      <c r="AW256" s="205">
        <v>0</v>
      </c>
      <c r="AX256" s="205">
        <v>0</v>
      </c>
      <c r="AY256" s="205">
        <v>0</v>
      </c>
      <c r="AZ256" s="206">
        <f>IF(Prod[[#This Row],[S1Cycle]]&lt;&gt;0,1,0)</f>
        <v>0</v>
      </c>
      <c r="BA256" s="206">
        <f>IF(Prod[[#This Row],[S2Cycle]]&lt;&gt;0,1,0)</f>
        <v>0</v>
      </c>
      <c r="BB256" s="206">
        <f>IF(Prod[[#This Row],[S3Cycle]]&lt;&gt;0,1,0)</f>
        <v>0</v>
      </c>
      <c r="BC256" s="206">
        <f>MAX(Prod[[#This Row],[S1Cavity]],Prod[[#This Row],[S2Cavity]],Prod[[#This Row],[S3Cavity]])</f>
        <v>0</v>
      </c>
      <c r="BD256" s="206" t="b">
        <f>RegExpMatch(Prod[[#This Row],[MoldNo]], "^DEO-(B|C)")</f>
        <v>0</v>
      </c>
      <c r="BE256" s="206" t="b">
        <f>RegExpMatch(Prod[[#This Row],[MoldNo]], "^JAC")</f>
        <v>0</v>
      </c>
    </row>
    <row r="257" spans="1:57" x14ac:dyDescent="0.2">
      <c r="A257" s="195">
        <v>45459</v>
      </c>
      <c r="B257" s="196" t="s">
        <v>168</v>
      </c>
      <c r="C257" s="197" t="s">
        <v>169</v>
      </c>
      <c r="D257" s="197">
        <v>26687</v>
      </c>
      <c r="E257" s="198" t="s">
        <v>199</v>
      </c>
      <c r="F257" s="197">
        <v>814</v>
      </c>
      <c r="G257" s="197" t="str">
        <f>IF(OR(Prod[[#This Row],[S1Hrs]]&gt;0,Prod[[#This Row],[S2Hrs]]&gt;0,Prod[[#This Row],[S3Hrs]]&gt;0),"Running","Down")</f>
        <v>Running</v>
      </c>
      <c r="H257" s="199">
        <v>15.4</v>
      </c>
      <c r="I257" s="200">
        <v>8</v>
      </c>
      <c r="J257" s="196">
        <v>1864</v>
      </c>
      <c r="K257" s="201">
        <v>15</v>
      </c>
      <c r="L257" s="196">
        <f>Prod[[#This Row],[S1Shot]]*Prod[[#This Row],[S1Cavity]]-Prod[[#This Row],[S1Dft]]</f>
        <v>27960</v>
      </c>
      <c r="M257" s="207"/>
      <c r="N257" s="199">
        <v>15.5</v>
      </c>
      <c r="O257" s="200">
        <v>8</v>
      </c>
      <c r="P257" s="196">
        <v>1889</v>
      </c>
      <c r="Q257" s="201">
        <v>15</v>
      </c>
      <c r="R257" s="196">
        <f>Prod[[#This Row],[S2Shot]]*Prod[[#This Row],[S2Cavity]]-Prod[[#This Row],[S2Dft]]</f>
        <v>28335</v>
      </c>
      <c r="S257" s="207"/>
      <c r="T257" s="199">
        <v>15.46</v>
      </c>
      <c r="U257" s="200">
        <v>8</v>
      </c>
      <c r="V257" s="196">
        <v>1847</v>
      </c>
      <c r="W257" s="201">
        <v>15</v>
      </c>
      <c r="X257" s="196">
        <f>Prod[[#This Row],[S3Shot]]*Prod[[#This Row],[S3Cavity]]-Prod[[#This Row],[S3Dft]]</f>
        <v>27705</v>
      </c>
      <c r="Y257" s="207"/>
      <c r="Z257" s="196">
        <f>SUM(Prod[[#This Row],[S1Qty]],Prod[[#This Row],[S2Qty]],Prod[[#This Row],[S3Qty]])</f>
        <v>84000</v>
      </c>
      <c r="AA257" s="207"/>
      <c r="AB257" s="208"/>
      <c r="AC257" s="204"/>
      <c r="AD257" s="207"/>
      <c r="AE257" s="207"/>
      <c r="AF257" s="207"/>
      <c r="AG257" s="207"/>
      <c r="AH257" s="207"/>
      <c r="AI257" s="207"/>
      <c r="AJ257" s="207"/>
      <c r="AK257" s="207"/>
      <c r="AL257" s="207"/>
      <c r="AM257" s="207"/>
      <c r="AN257" s="207"/>
      <c r="AO257" s="207"/>
      <c r="AP257" s="207"/>
      <c r="AQ257" s="207"/>
      <c r="AR257" s="207"/>
      <c r="AS257" s="205">
        <f>IF(Prod[[#This Row],[S1Hrs]]=0,0,Prod[[#This Row],[S1Shot]]*Prod[[#This Row],[S1Cycle]]/(Prod[[#This Row],[S1Hrs]]*60*60))</f>
        <v>0.99672222222222229</v>
      </c>
      <c r="AT257" s="205">
        <f>IF(Prod[[#This Row],[S2Hrs]]=0,0,Prod[[#This Row],[S2Shot]]*Prod[[#This Row],[S2Cycle]]/(Prod[[#This Row],[S2Hrs]]*60*60))</f>
        <v>1.0166493055555557</v>
      </c>
      <c r="AU257" s="205">
        <f>IF(Prod[[#This Row],[S3Hrs]]=0,0,Prod[[#This Row],[S3Shot]]*Prod[[#This Row],[S3Cycle]]/(Prod[[#This Row],[S3Hrs]]*60*60))</f>
        <v>0.99147986111111119</v>
      </c>
      <c r="AV257" s="205">
        <f>IFERROR(AVERAGEIF(Prod[[#This Row],[S1%]:[S3%]], "&lt;&gt;0"),0)</f>
        <v>1.0016171296296299</v>
      </c>
      <c r="AW257" s="205">
        <v>0</v>
      </c>
      <c r="AX257" s="205">
        <v>0</v>
      </c>
      <c r="AY257" s="205">
        <v>0</v>
      </c>
      <c r="AZ257" s="206">
        <f>IF(Prod[[#This Row],[S1Cycle]]&lt;&gt;0,1,0)</f>
        <v>1</v>
      </c>
      <c r="BA257" s="206">
        <f>IF(Prod[[#This Row],[S2Cycle]]&lt;&gt;0,1,0)</f>
        <v>1</v>
      </c>
      <c r="BB257" s="206">
        <f>IF(Prod[[#This Row],[S3Cycle]]&lt;&gt;0,1,0)</f>
        <v>1</v>
      </c>
      <c r="BC257" s="206">
        <f>MAX(Prod[[#This Row],[S1Cavity]],Prod[[#This Row],[S2Cavity]],Prod[[#This Row],[S3Cavity]])</f>
        <v>15</v>
      </c>
      <c r="BD257" s="206" t="b">
        <f>RegExpMatch(Prod[[#This Row],[MoldNo]], "^DEO-(B|C)")</f>
        <v>0</v>
      </c>
      <c r="BE257" s="206" t="b">
        <f>RegExpMatch(Prod[[#This Row],[MoldNo]], "^JAC")</f>
        <v>0</v>
      </c>
    </row>
    <row r="258" spans="1:57" x14ac:dyDescent="0.2">
      <c r="A258" s="195">
        <v>45459</v>
      </c>
      <c r="B258" s="196" t="s">
        <v>146</v>
      </c>
      <c r="C258" s="197" t="s">
        <v>84</v>
      </c>
      <c r="D258" s="197">
        <v>27501</v>
      </c>
      <c r="E258" s="198" t="s">
        <v>199</v>
      </c>
      <c r="F258" s="197">
        <v>6331</v>
      </c>
      <c r="G258" s="197" t="str">
        <f>IF(OR(Prod[[#This Row],[S1Hrs]]&gt;0,Prod[[#This Row],[S2Hrs]]&gt;0,Prod[[#This Row],[S3Hrs]]&gt;0),"Running","Down")</f>
        <v>Running</v>
      </c>
      <c r="H258" s="199">
        <v>11.99</v>
      </c>
      <c r="I258" s="200">
        <v>8</v>
      </c>
      <c r="J258" s="196">
        <v>2304</v>
      </c>
      <c r="K258" s="201">
        <v>8</v>
      </c>
      <c r="L258" s="196">
        <f>Prod[[#This Row],[S1Shot]]*Prod[[#This Row],[S1Cavity]]-Prod[[#This Row],[S1Dft]]</f>
        <v>18432</v>
      </c>
      <c r="M258" s="207"/>
      <c r="N258" s="199">
        <v>11.99</v>
      </c>
      <c r="O258" s="200">
        <v>8</v>
      </c>
      <c r="P258" s="196">
        <v>2319</v>
      </c>
      <c r="Q258" s="201">
        <v>8</v>
      </c>
      <c r="R258" s="196">
        <f>Prod[[#This Row],[S2Shot]]*Prod[[#This Row],[S2Cavity]]-Prod[[#This Row],[S2Dft]]</f>
        <v>18552</v>
      </c>
      <c r="S258" s="207"/>
      <c r="T258" s="199">
        <v>11.99</v>
      </c>
      <c r="U258" s="200">
        <v>8</v>
      </c>
      <c r="V258" s="196">
        <v>2391</v>
      </c>
      <c r="W258" s="201">
        <v>8</v>
      </c>
      <c r="X258" s="196">
        <f>Prod[[#This Row],[S3Shot]]*Prod[[#This Row],[S3Cavity]]-Prod[[#This Row],[S3Dft]]</f>
        <v>19128</v>
      </c>
      <c r="Y258" s="207"/>
      <c r="Z258" s="196">
        <f>SUM(Prod[[#This Row],[S1Qty]],Prod[[#This Row],[S2Qty]],Prod[[#This Row],[S3Qty]])</f>
        <v>56112</v>
      </c>
      <c r="AA258" s="207"/>
      <c r="AB258" s="208"/>
      <c r="AC258" s="204"/>
      <c r="AD258" s="207"/>
      <c r="AE258" s="207"/>
      <c r="AF258" s="207"/>
      <c r="AG258" s="207"/>
      <c r="AH258" s="207"/>
      <c r="AI258" s="207"/>
      <c r="AJ258" s="207"/>
      <c r="AK258" s="207"/>
      <c r="AL258" s="207"/>
      <c r="AM258" s="207"/>
      <c r="AN258" s="207"/>
      <c r="AO258" s="207"/>
      <c r="AP258" s="207"/>
      <c r="AQ258" s="207"/>
      <c r="AR258" s="207"/>
      <c r="AS258" s="205">
        <f>IF(Prod[[#This Row],[S1Hrs]]=0,0,Prod[[#This Row],[S1Shot]]*Prod[[#This Row],[S1Cycle]]/(Prod[[#This Row],[S1Hrs]]*60*60))</f>
        <v>0.95919999999999994</v>
      </c>
      <c r="AT258" s="205">
        <f>IF(Prod[[#This Row],[S2Hrs]]=0,0,Prod[[#This Row],[S2Shot]]*Prod[[#This Row],[S2Cycle]]/(Prod[[#This Row],[S2Hrs]]*60*60))</f>
        <v>0.96544479166666675</v>
      </c>
      <c r="AU258" s="205">
        <f>IF(Prod[[#This Row],[S3Hrs]]=0,0,Prod[[#This Row],[S3Shot]]*Prod[[#This Row],[S3Cycle]]/(Prod[[#This Row],[S3Hrs]]*60*60))</f>
        <v>0.99541979166666672</v>
      </c>
      <c r="AV258" s="205">
        <f>IFERROR(AVERAGEIF(Prod[[#This Row],[S1%]:[S3%]], "&lt;&gt;0"),0)</f>
        <v>0.97335486111111125</v>
      </c>
      <c r="AW258" s="205">
        <v>0</v>
      </c>
      <c r="AX258" s="205">
        <v>0</v>
      </c>
      <c r="AY258" s="205">
        <v>0</v>
      </c>
      <c r="AZ258" s="206">
        <f>IF(Prod[[#This Row],[S1Cycle]]&lt;&gt;0,1,0)</f>
        <v>1</v>
      </c>
      <c r="BA258" s="206">
        <f>IF(Prod[[#This Row],[S2Cycle]]&lt;&gt;0,1,0)</f>
        <v>1</v>
      </c>
      <c r="BB258" s="206">
        <f>IF(Prod[[#This Row],[S3Cycle]]&lt;&gt;0,1,0)</f>
        <v>1</v>
      </c>
      <c r="BC258" s="206">
        <f>MAX(Prod[[#This Row],[S1Cavity]],Prod[[#This Row],[S2Cavity]],Prod[[#This Row],[S3Cavity]])</f>
        <v>8</v>
      </c>
      <c r="BD258" s="206" t="b">
        <f>RegExpMatch(Prod[[#This Row],[MoldNo]], "^DEO-(B|C)")</f>
        <v>0</v>
      </c>
      <c r="BE258" s="206" t="b">
        <f>RegExpMatch(Prod[[#This Row],[MoldNo]], "^JAC")</f>
        <v>0</v>
      </c>
    </row>
    <row r="259" spans="1:57" x14ac:dyDescent="0.2">
      <c r="A259" s="195">
        <v>45459</v>
      </c>
      <c r="B259" s="201" t="s">
        <v>164</v>
      </c>
      <c r="C259" s="198" t="s">
        <v>144</v>
      </c>
      <c r="D259" s="197"/>
      <c r="E259" s="198"/>
      <c r="F259" s="197"/>
      <c r="G259" s="197" t="str">
        <f>IF(OR(Prod[[#This Row],[S1Hrs]]&gt;0,Prod[[#This Row],[S2Hrs]]&gt;0,Prod[[#This Row],[S3Hrs]]&gt;0),"Running","Down")</f>
        <v>Down</v>
      </c>
      <c r="H259" s="199">
        <v>0</v>
      </c>
      <c r="I259" s="200">
        <v>0</v>
      </c>
      <c r="J259" s="196">
        <v>0</v>
      </c>
      <c r="K259" s="201">
        <v>0</v>
      </c>
      <c r="L259" s="196">
        <f>Prod[[#This Row],[S1Shot]]*Prod[[#This Row],[S1Cavity]]-Prod[[#This Row],[S1Dft]]</f>
        <v>0</v>
      </c>
      <c r="M259" s="202">
        <f>SUM(Prod[[#This Row],[S1Mold]],Prod[[#This Row],[S1Print]],Prod[[#This Row],[S1Ovlp]],Prod[[#This Row],[S1Seam]],Prod[[#This Row],[S1Dmg]])</f>
        <v>0</v>
      </c>
      <c r="N259" s="199">
        <v>0</v>
      </c>
      <c r="O259" s="200">
        <v>0</v>
      </c>
      <c r="P259" s="196">
        <v>0</v>
      </c>
      <c r="Q259" s="201">
        <v>0</v>
      </c>
      <c r="R259" s="196">
        <f>Prod[[#This Row],[S2Shot]]*Prod[[#This Row],[S2Cavity]]-Prod[[#This Row],[S2Dft]]</f>
        <v>0</v>
      </c>
      <c r="S259" s="202">
        <f>SUM(Prod[[#This Row],[S2Mold]],Prod[[#This Row],[S2Print]],Prod[[#This Row],[S2Ovlp]],Prod[[#This Row],[S2Seam]],Prod[[#This Row],[S2Dmg]])</f>
        <v>0</v>
      </c>
      <c r="T259" s="199">
        <v>0</v>
      </c>
      <c r="U259" s="200">
        <v>0</v>
      </c>
      <c r="V259" s="196">
        <v>0</v>
      </c>
      <c r="W259" s="201">
        <v>0</v>
      </c>
      <c r="X259" s="196">
        <f>Prod[[#This Row],[S3Shot]]*Prod[[#This Row],[S3Cavity]]-Prod[[#This Row],[S3Dft]]</f>
        <v>0</v>
      </c>
      <c r="Y259" s="196">
        <f>SUM(Prod[[#This Row],[S3Mold]],Prod[[#This Row],[S3Print]],Prod[[#This Row],[S3Ovlp]],Prod[[#This Row],[S3Seam]],Prod[[#This Row],[S3Dmg]])</f>
        <v>0</v>
      </c>
      <c r="Z259" s="196">
        <f>SUM(Prod[[#This Row],[S1Qty]],Prod[[#This Row],[S2Qty]],Prod[[#This Row],[S3Qty]])</f>
        <v>0</v>
      </c>
      <c r="AA259" s="196">
        <f>SUM(Prod[[#This Row],[S1Dft]],Prod[[#This Row],[S2Dft]],Prod[[#This Row],[S3Dft]])</f>
        <v>0</v>
      </c>
      <c r="AB259" s="203">
        <f>IF(Prod[[#This Row],[Total]]=0,0,Prod[[#This Row],[TotalDft]]/Prod[[#This Row],[Total]])</f>
        <v>0</v>
      </c>
      <c r="AC259" s="204"/>
      <c r="AD259" s="196">
        <v>0</v>
      </c>
      <c r="AE259" s="196">
        <v>0</v>
      </c>
      <c r="AF259" s="196">
        <v>0</v>
      </c>
      <c r="AG259" s="196">
        <v>0</v>
      </c>
      <c r="AH259" s="196">
        <v>0</v>
      </c>
      <c r="AI259" s="196">
        <v>0</v>
      </c>
      <c r="AJ259" s="196">
        <v>0</v>
      </c>
      <c r="AK259" s="196">
        <v>0</v>
      </c>
      <c r="AL259" s="196">
        <v>0</v>
      </c>
      <c r="AM259" s="196">
        <v>0</v>
      </c>
      <c r="AN259" s="196">
        <v>0</v>
      </c>
      <c r="AO259" s="196">
        <v>0</v>
      </c>
      <c r="AP259" s="196">
        <v>0</v>
      </c>
      <c r="AQ259" s="196">
        <v>0</v>
      </c>
      <c r="AR259" s="196">
        <v>0</v>
      </c>
      <c r="AS259" s="205">
        <f>IF(Prod[[#This Row],[S1Hrs]]=0,0,Prod[[#This Row],[S1Shot]]*Prod[[#This Row],[S1Cycle]]/(Prod[[#This Row],[S1Hrs]]*60*60))</f>
        <v>0</v>
      </c>
      <c r="AT259" s="205">
        <f>IF(Prod[[#This Row],[S2Hrs]]=0,0,Prod[[#This Row],[S2Shot]]*Prod[[#This Row],[S2Cycle]]/(Prod[[#This Row],[S2Hrs]]*60*60))</f>
        <v>0</v>
      </c>
      <c r="AU259" s="205">
        <f>IF(Prod[[#This Row],[S3Hrs]]=0,0,Prod[[#This Row],[S3Shot]]*Prod[[#This Row],[S3Cycle]]/(Prod[[#This Row],[S3Hrs]]*60*60))</f>
        <v>0</v>
      </c>
      <c r="AV259" s="205">
        <f>IFERROR(AVERAGEIF(Prod[[#This Row],[S1%]:[S3%]], "&lt;&gt;0"),0)</f>
        <v>0</v>
      </c>
      <c r="AW259" s="205">
        <v>0</v>
      </c>
      <c r="AX259" s="205">
        <v>0</v>
      </c>
      <c r="AY259" s="205">
        <v>0</v>
      </c>
      <c r="AZ259" s="206">
        <f>IF(Prod[[#This Row],[S1Cycle]]&lt;&gt;0,1,0)</f>
        <v>0</v>
      </c>
      <c r="BA259" s="206">
        <f>IF(Prod[[#This Row],[S2Cycle]]&lt;&gt;0,1,0)</f>
        <v>0</v>
      </c>
      <c r="BB259" s="206">
        <f>IF(Prod[[#This Row],[S3Cycle]]&lt;&gt;0,1,0)</f>
        <v>0</v>
      </c>
      <c r="BC259" s="206">
        <f>MAX(Prod[[#This Row],[S1Cavity]],Prod[[#This Row],[S2Cavity]],Prod[[#This Row],[S3Cavity]])</f>
        <v>0</v>
      </c>
      <c r="BD259" s="206" t="b">
        <f>RegExpMatch(Prod[[#This Row],[MoldNo]], "^DEO-(B|C)")</f>
        <v>1</v>
      </c>
      <c r="BE259" s="206" t="b">
        <f>RegExpMatch(Prod[[#This Row],[MoldNo]], "^JAC")</f>
        <v>0</v>
      </c>
    </row>
    <row r="260" spans="1:57" x14ac:dyDescent="0.2">
      <c r="A260" s="195">
        <v>45459</v>
      </c>
      <c r="B260" s="201" t="s">
        <v>162</v>
      </c>
      <c r="C260" s="198" t="s">
        <v>163</v>
      </c>
      <c r="D260" s="197"/>
      <c r="E260" s="198"/>
      <c r="F260" s="197"/>
      <c r="G260" s="197" t="str">
        <f>IF(OR(Prod[[#This Row],[S1Hrs]]&gt;0,Prod[[#This Row],[S2Hrs]]&gt;0,Prod[[#This Row],[S3Hrs]]&gt;0),"Running","Down")</f>
        <v>Down</v>
      </c>
      <c r="H260" s="199">
        <v>0</v>
      </c>
      <c r="I260" s="200">
        <v>0</v>
      </c>
      <c r="J260" s="196">
        <v>0</v>
      </c>
      <c r="K260" s="201">
        <v>0</v>
      </c>
      <c r="L260" s="196">
        <f>Prod[[#This Row],[S1Shot]]*Prod[[#This Row],[S1Cavity]]-Prod[[#This Row],[S1Dft]]</f>
        <v>0</v>
      </c>
      <c r="M260" s="202">
        <f>SUM(Prod[[#This Row],[S1Mold]],Prod[[#This Row],[S1Print]],Prod[[#This Row],[S1Ovlp]],Prod[[#This Row],[S1Seam]],Prod[[#This Row],[S1Dmg]])</f>
        <v>0</v>
      </c>
      <c r="N260" s="199">
        <v>0</v>
      </c>
      <c r="O260" s="200">
        <v>0</v>
      </c>
      <c r="P260" s="196">
        <v>0</v>
      </c>
      <c r="Q260" s="201">
        <v>0</v>
      </c>
      <c r="R260" s="196">
        <f>Prod[[#This Row],[S2Shot]]*Prod[[#This Row],[S2Cavity]]-Prod[[#This Row],[S2Dft]]</f>
        <v>0</v>
      </c>
      <c r="S260" s="202">
        <f>SUM(Prod[[#This Row],[S2Mold]],Prod[[#This Row],[S2Print]],Prod[[#This Row],[S2Ovlp]],Prod[[#This Row],[S2Seam]],Prod[[#This Row],[S2Dmg]])</f>
        <v>0</v>
      </c>
      <c r="T260" s="199">
        <v>0</v>
      </c>
      <c r="U260" s="200">
        <v>0</v>
      </c>
      <c r="V260" s="196">
        <v>0</v>
      </c>
      <c r="W260" s="201">
        <v>0</v>
      </c>
      <c r="X260" s="196">
        <f>Prod[[#This Row],[S3Shot]]*Prod[[#This Row],[S3Cavity]]-Prod[[#This Row],[S3Dft]]</f>
        <v>0</v>
      </c>
      <c r="Y260" s="196">
        <f>SUM(Prod[[#This Row],[S3Mold]],Prod[[#This Row],[S3Print]],Prod[[#This Row],[S3Ovlp]],Prod[[#This Row],[S3Seam]],Prod[[#This Row],[S3Dmg]])</f>
        <v>0</v>
      </c>
      <c r="Z260" s="196">
        <f>SUM(Prod[[#This Row],[S1Qty]],Prod[[#This Row],[S2Qty]],Prod[[#This Row],[S3Qty]])</f>
        <v>0</v>
      </c>
      <c r="AA260" s="196">
        <f>SUM(Prod[[#This Row],[S1Dft]],Prod[[#This Row],[S2Dft]],Prod[[#This Row],[S3Dft]])</f>
        <v>0</v>
      </c>
      <c r="AB260" s="203">
        <f>IF(Prod[[#This Row],[Total]]=0,0,Prod[[#This Row],[TotalDft]]/Prod[[#This Row],[Total]])</f>
        <v>0</v>
      </c>
      <c r="AC260" s="204"/>
      <c r="AD260" s="196">
        <v>0</v>
      </c>
      <c r="AE260" s="196">
        <v>0</v>
      </c>
      <c r="AF260" s="196">
        <v>0</v>
      </c>
      <c r="AG260" s="196">
        <v>0</v>
      </c>
      <c r="AH260" s="196">
        <v>0</v>
      </c>
      <c r="AI260" s="196">
        <v>0</v>
      </c>
      <c r="AJ260" s="196">
        <v>0</v>
      </c>
      <c r="AK260" s="196">
        <v>0</v>
      </c>
      <c r="AL260" s="196">
        <v>0</v>
      </c>
      <c r="AM260" s="196">
        <v>0</v>
      </c>
      <c r="AN260" s="196">
        <v>0</v>
      </c>
      <c r="AO260" s="196">
        <v>0</v>
      </c>
      <c r="AP260" s="196">
        <v>0</v>
      </c>
      <c r="AQ260" s="196">
        <v>0</v>
      </c>
      <c r="AR260" s="196">
        <v>0</v>
      </c>
      <c r="AS260" s="205">
        <f>IF(Prod[[#This Row],[S1Hrs]]=0,0,Prod[[#This Row],[S1Shot]]*Prod[[#This Row],[S1Cycle]]/(Prod[[#This Row],[S1Hrs]]*60*60))</f>
        <v>0</v>
      </c>
      <c r="AT260" s="205">
        <f>IF(Prod[[#This Row],[S2Hrs]]=0,0,Prod[[#This Row],[S2Shot]]*Prod[[#This Row],[S2Cycle]]/(Prod[[#This Row],[S2Hrs]]*60*60))</f>
        <v>0</v>
      </c>
      <c r="AU260" s="205">
        <f>IF(Prod[[#This Row],[S3Hrs]]=0,0,Prod[[#This Row],[S3Shot]]*Prod[[#This Row],[S3Cycle]]/(Prod[[#This Row],[S3Hrs]]*60*60))</f>
        <v>0</v>
      </c>
      <c r="AV260" s="205">
        <f>IFERROR(AVERAGEIF(Prod[[#This Row],[S1%]:[S3%]], "&lt;&gt;0"),0)</f>
        <v>0</v>
      </c>
      <c r="AW260" s="205">
        <v>0</v>
      </c>
      <c r="AX260" s="205">
        <v>0</v>
      </c>
      <c r="AY260" s="205">
        <v>0</v>
      </c>
      <c r="AZ260" s="206">
        <f>IF(Prod[[#This Row],[S1Cycle]]&lt;&gt;0,1,0)</f>
        <v>0</v>
      </c>
      <c r="BA260" s="206">
        <f>IF(Prod[[#This Row],[S2Cycle]]&lt;&gt;0,1,0)</f>
        <v>0</v>
      </c>
      <c r="BB260" s="206">
        <f>IF(Prod[[#This Row],[S3Cycle]]&lt;&gt;0,1,0)</f>
        <v>0</v>
      </c>
      <c r="BC260" s="206">
        <f>MAX(Prod[[#This Row],[S1Cavity]],Prod[[#This Row],[S2Cavity]],Prod[[#This Row],[S3Cavity]])</f>
        <v>0</v>
      </c>
      <c r="BD260" s="206" t="b">
        <f>RegExpMatch(Prod[[#This Row],[MoldNo]], "^DEO-(B|C)")</f>
        <v>1</v>
      </c>
      <c r="BE260" s="206" t="b">
        <f>RegExpMatch(Prod[[#This Row],[MoldNo]], "^JAC")</f>
        <v>0</v>
      </c>
    </row>
    <row r="261" spans="1:57" x14ac:dyDescent="0.2">
      <c r="A261" s="195">
        <v>45459</v>
      </c>
      <c r="B261" s="201" t="s">
        <v>254</v>
      </c>
      <c r="C261" s="198" t="s">
        <v>255</v>
      </c>
      <c r="D261" s="197">
        <v>27826</v>
      </c>
      <c r="E261" s="198" t="s">
        <v>239</v>
      </c>
      <c r="F261" s="197">
        <v>6331</v>
      </c>
      <c r="G261" s="197" t="str">
        <f>IF(OR(Prod[[#This Row],[S1Hrs]]&gt;0,Prod[[#This Row],[S2Hrs]]&gt;0,Prod[[#This Row],[S3Hrs]]&gt;0),"Running","Down")</f>
        <v>Running</v>
      </c>
      <c r="H261" s="199">
        <v>18.88</v>
      </c>
      <c r="I261" s="200">
        <v>7.5</v>
      </c>
      <c r="J261" s="196">
        <v>1360</v>
      </c>
      <c r="K261" s="201">
        <v>8</v>
      </c>
      <c r="L261" s="196">
        <f>Prod[[#This Row],[S1Shot]]*Prod[[#This Row],[S1Cavity]]-Prod[[#This Row],[S1Dft]]</f>
        <v>10872</v>
      </c>
      <c r="M261" s="202">
        <f>SUM(Prod[[#This Row],[S1Mold]],Prod[[#This Row],[S1Print]],Prod[[#This Row],[S1Ovlp]],Prod[[#This Row],[S1Seam]],Prod[[#This Row],[S1Dmg]])</f>
        <v>8</v>
      </c>
      <c r="N261" s="199">
        <v>0</v>
      </c>
      <c r="O261" s="200">
        <v>0</v>
      </c>
      <c r="P261" s="196">
        <v>0</v>
      </c>
      <c r="Q261" s="201">
        <v>0</v>
      </c>
      <c r="R261" s="196">
        <f>Prod[[#This Row],[S2Shot]]*Prod[[#This Row],[S2Cavity]]-Prod[[#This Row],[S2Dft]]</f>
        <v>0</v>
      </c>
      <c r="S261" s="202">
        <f>SUM(Prod[[#This Row],[S2Mold]],Prod[[#This Row],[S2Print]],Prod[[#This Row],[S2Ovlp]],Prod[[#This Row],[S2Seam]],Prod[[#This Row],[S2Dmg]])</f>
        <v>0</v>
      </c>
      <c r="T261" s="199">
        <v>0</v>
      </c>
      <c r="U261" s="200">
        <v>0</v>
      </c>
      <c r="V261" s="196">
        <v>0</v>
      </c>
      <c r="W261" s="201">
        <v>0</v>
      </c>
      <c r="X261" s="196">
        <f>Prod[[#This Row],[S3Shot]]*Prod[[#This Row],[S3Cavity]]-Prod[[#This Row],[S3Dft]]</f>
        <v>0</v>
      </c>
      <c r="Y261" s="196">
        <f>SUM(Prod[[#This Row],[S3Mold]],Prod[[#This Row],[S3Print]],Prod[[#This Row],[S3Ovlp]],Prod[[#This Row],[S3Seam]],Prod[[#This Row],[S3Dmg]])</f>
        <v>0</v>
      </c>
      <c r="Z261" s="196">
        <f>SUM(Prod[[#This Row],[S1Qty]],Prod[[#This Row],[S2Qty]],Prod[[#This Row],[S3Qty]])</f>
        <v>10872</v>
      </c>
      <c r="AA261" s="196">
        <f>SUM(Prod[[#This Row],[S1Dft]],Prod[[#This Row],[S2Dft]],Prod[[#This Row],[S3Dft]])</f>
        <v>8</v>
      </c>
      <c r="AB261" s="203">
        <f>IF(Prod[[#This Row],[Total]]=0,0,Prod[[#This Row],[TotalDft]]/Prod[[#This Row],[Total]])</f>
        <v>7.3583517292126564E-4</v>
      </c>
      <c r="AC261" s="198" t="s">
        <v>289</v>
      </c>
      <c r="AD261" s="196">
        <v>8</v>
      </c>
      <c r="AE261" s="196">
        <v>0</v>
      </c>
      <c r="AF261" s="196">
        <v>0</v>
      </c>
      <c r="AG261" s="196">
        <v>0</v>
      </c>
      <c r="AH261" s="196">
        <v>0</v>
      </c>
      <c r="AI261" s="196">
        <v>0</v>
      </c>
      <c r="AJ261" s="196">
        <v>0</v>
      </c>
      <c r="AK261" s="196">
        <v>0</v>
      </c>
      <c r="AL261" s="196">
        <v>0</v>
      </c>
      <c r="AM261" s="196">
        <v>0</v>
      </c>
      <c r="AN261" s="196">
        <v>0</v>
      </c>
      <c r="AO261" s="196">
        <v>0</v>
      </c>
      <c r="AP261" s="196">
        <v>0</v>
      </c>
      <c r="AQ261" s="196">
        <v>0</v>
      </c>
      <c r="AR261" s="196">
        <v>0</v>
      </c>
      <c r="AS261" s="205">
        <f>IF(Prod[[#This Row],[S1Hrs]]=0,0,Prod[[#This Row],[S1Shot]]*Prod[[#This Row],[S1Cycle]]/(Prod[[#This Row],[S1Hrs]]*60*60))</f>
        <v>0.95099259259259261</v>
      </c>
      <c r="AT261" s="205">
        <f>IF(Prod[[#This Row],[S2Hrs]]=0,0,Prod[[#This Row],[S2Shot]]*Prod[[#This Row],[S2Cycle]]/(Prod[[#This Row],[S2Hrs]]*60*60))</f>
        <v>0</v>
      </c>
      <c r="AU261" s="205">
        <f>IF(Prod[[#This Row],[S3Hrs]]=0,0,Prod[[#This Row],[S3Shot]]*Prod[[#This Row],[S3Cycle]]/(Prod[[#This Row],[S3Hrs]]*60*60))</f>
        <v>0</v>
      </c>
      <c r="AV261" s="205">
        <f>IFERROR(AVERAGEIF(Prod[[#This Row],[S1%]:[S3%]], "&lt;&gt;0"),0)</f>
        <v>0.95099259259259261</v>
      </c>
      <c r="AW261" s="205">
        <v>0.5</v>
      </c>
      <c r="AX261" s="205">
        <v>0</v>
      </c>
      <c r="AY261" s="205">
        <v>0</v>
      </c>
      <c r="AZ261" s="206">
        <f>IF(Prod[[#This Row],[S1Cycle]]&lt;&gt;0,1,0)</f>
        <v>1</v>
      </c>
      <c r="BA261" s="206">
        <f>IF(Prod[[#This Row],[S2Cycle]]&lt;&gt;0,1,0)</f>
        <v>0</v>
      </c>
      <c r="BB261" s="206">
        <f>IF(Prod[[#This Row],[S3Cycle]]&lt;&gt;0,1,0)</f>
        <v>0</v>
      </c>
      <c r="BC261" s="206">
        <f>MAX(Prod[[#This Row],[S1Cavity]],Prod[[#This Row],[S2Cavity]],Prod[[#This Row],[S3Cavity]])</f>
        <v>8</v>
      </c>
      <c r="BD261" s="206" t="b">
        <f>RegExpMatch(Prod[[#This Row],[MoldNo]], "^DEO-(B|C)")</f>
        <v>1</v>
      </c>
      <c r="BE261" s="206" t="b">
        <f>RegExpMatch(Prod[[#This Row],[MoldNo]], "^JAC")</f>
        <v>0</v>
      </c>
    </row>
    <row r="262" spans="1:57" x14ac:dyDescent="0.2">
      <c r="A262" s="195">
        <v>45459</v>
      </c>
      <c r="B262" s="201" t="s">
        <v>174</v>
      </c>
      <c r="C262" s="198" t="s">
        <v>175</v>
      </c>
      <c r="D262" s="197">
        <v>27579</v>
      </c>
      <c r="E262" s="198" t="s">
        <v>199</v>
      </c>
      <c r="F262" s="197">
        <v>814</v>
      </c>
      <c r="G262" s="197" t="str">
        <f>IF(OR(Prod[[#This Row],[S1Hrs]]&gt;0,Prod[[#This Row],[S2Hrs]]&gt;0,Prod[[#This Row],[S3Hrs]]&gt;0),"Running","Down")</f>
        <v>Running</v>
      </c>
      <c r="H262" s="199">
        <v>17.010000000000002</v>
      </c>
      <c r="I262" s="200">
        <v>0.8</v>
      </c>
      <c r="J262" s="196">
        <v>127</v>
      </c>
      <c r="K262" s="201">
        <v>8</v>
      </c>
      <c r="L262" s="196">
        <f>Prod[[#This Row],[S1Shot]]*Prod[[#This Row],[S1Cavity]]-Prod[[#This Row],[S1Dft]]</f>
        <v>1016</v>
      </c>
      <c r="M262" s="202">
        <f>SUM(Prod[[#This Row],[S1Mold]],Prod[[#This Row],[S1Print]],Prod[[#This Row],[S1Ovlp]],Prod[[#This Row],[S1Seam]],Prod[[#This Row],[S1Dmg]])</f>
        <v>0</v>
      </c>
      <c r="N262" s="199">
        <v>0</v>
      </c>
      <c r="O262" s="200">
        <v>0</v>
      </c>
      <c r="P262" s="196">
        <v>0</v>
      </c>
      <c r="Q262" s="201">
        <v>0</v>
      </c>
      <c r="R262" s="196">
        <f>Prod[[#This Row],[S2Shot]]*Prod[[#This Row],[S2Cavity]]-Prod[[#This Row],[S2Dft]]</f>
        <v>0</v>
      </c>
      <c r="S262" s="202">
        <f>SUM(Prod[[#This Row],[S2Mold]],Prod[[#This Row],[S2Print]],Prod[[#This Row],[S2Ovlp]],Prod[[#This Row],[S2Seam]],Prod[[#This Row],[S2Dmg]])</f>
        <v>0</v>
      </c>
      <c r="T262" s="199">
        <v>0</v>
      </c>
      <c r="U262" s="200">
        <v>0</v>
      </c>
      <c r="V262" s="196">
        <v>0</v>
      </c>
      <c r="W262" s="201">
        <v>0</v>
      </c>
      <c r="X262" s="196">
        <f>Prod[[#This Row],[S3Shot]]*Prod[[#This Row],[S3Cavity]]-Prod[[#This Row],[S3Dft]]</f>
        <v>0</v>
      </c>
      <c r="Y262" s="196">
        <f>SUM(Prod[[#This Row],[S3Mold]],Prod[[#This Row],[S3Print]],Prod[[#This Row],[S3Ovlp]],Prod[[#This Row],[S3Seam]],Prod[[#This Row],[S3Dmg]])</f>
        <v>0</v>
      </c>
      <c r="Z262" s="196">
        <f>SUM(Prod[[#This Row],[S1Qty]],Prod[[#This Row],[S2Qty]],Prod[[#This Row],[S3Qty]])</f>
        <v>1016</v>
      </c>
      <c r="AA262" s="196">
        <f>SUM(Prod[[#This Row],[S1Dft]],Prod[[#This Row],[S2Dft]],Prod[[#This Row],[S3Dft]])</f>
        <v>0</v>
      </c>
      <c r="AB262" s="203">
        <f>IF(Prod[[#This Row],[Total]]=0,0,Prod[[#This Row],[TotalDft]]/Prod[[#This Row],[Total]])</f>
        <v>0</v>
      </c>
      <c r="AC262" s="198" t="s">
        <v>264</v>
      </c>
      <c r="AD262" s="196">
        <v>0</v>
      </c>
      <c r="AE262" s="196">
        <v>0</v>
      </c>
      <c r="AF262" s="196">
        <v>0</v>
      </c>
      <c r="AG262" s="196">
        <v>0</v>
      </c>
      <c r="AH262" s="196">
        <v>0</v>
      </c>
      <c r="AI262" s="196">
        <v>0</v>
      </c>
      <c r="AJ262" s="196">
        <v>0</v>
      </c>
      <c r="AK262" s="196">
        <v>0</v>
      </c>
      <c r="AL262" s="196">
        <v>0</v>
      </c>
      <c r="AM262" s="196">
        <v>0</v>
      </c>
      <c r="AN262" s="196">
        <v>0</v>
      </c>
      <c r="AO262" s="196">
        <v>0</v>
      </c>
      <c r="AP262" s="196">
        <v>0</v>
      </c>
      <c r="AQ262" s="196">
        <v>0</v>
      </c>
      <c r="AR262" s="196">
        <v>0</v>
      </c>
      <c r="AS262" s="205">
        <f>IF(Prod[[#This Row],[S1Hrs]]=0,0,Prod[[#This Row],[S1Shot]]*Prod[[#This Row],[S1Cycle]]/(Prod[[#This Row],[S1Hrs]]*60*60))</f>
        <v>0.75009375</v>
      </c>
      <c r="AT262" s="205">
        <f>IF(Prod[[#This Row],[S2Hrs]]=0,0,Prod[[#This Row],[S2Shot]]*Prod[[#This Row],[S2Cycle]]/(Prod[[#This Row],[S2Hrs]]*60*60))</f>
        <v>0</v>
      </c>
      <c r="AU262" s="205">
        <f>IF(Prod[[#This Row],[S3Hrs]]=0,0,Prod[[#This Row],[S3Shot]]*Prod[[#This Row],[S3Cycle]]/(Prod[[#This Row],[S3Hrs]]*60*60))</f>
        <v>0</v>
      </c>
      <c r="AV262" s="205">
        <f>IFERROR(AVERAGEIF(Prod[[#This Row],[S1%]:[S3%]], "&lt;&gt;0"),0)</f>
        <v>0.75009375</v>
      </c>
      <c r="AW262" s="205">
        <v>0</v>
      </c>
      <c r="AX262" s="205">
        <v>8</v>
      </c>
      <c r="AY262" s="205">
        <v>0</v>
      </c>
      <c r="AZ262" s="206">
        <f>IF(Prod[[#This Row],[S1Cycle]]&lt;&gt;0,1,0)</f>
        <v>1</v>
      </c>
      <c r="BA262" s="206">
        <f>IF(Prod[[#This Row],[S2Cycle]]&lt;&gt;0,1,0)</f>
        <v>0</v>
      </c>
      <c r="BB262" s="206">
        <f>IF(Prod[[#This Row],[S3Cycle]]&lt;&gt;0,1,0)</f>
        <v>0</v>
      </c>
      <c r="BC262" s="206">
        <f>MAX(Prod[[#This Row],[S1Cavity]],Prod[[#This Row],[S2Cavity]],Prod[[#This Row],[S3Cavity]])</f>
        <v>8</v>
      </c>
      <c r="BD262" s="206" t="b">
        <f>RegExpMatch(Prod[[#This Row],[MoldNo]], "^DEO-(B|C)")</f>
        <v>1</v>
      </c>
      <c r="BE262" s="206" t="b">
        <f>RegExpMatch(Prod[[#This Row],[MoldNo]], "^JAC")</f>
        <v>0</v>
      </c>
    </row>
    <row r="263" spans="1:57" x14ac:dyDescent="0.2">
      <c r="A263" s="195">
        <v>45459</v>
      </c>
      <c r="B263" s="201" t="s">
        <v>176</v>
      </c>
      <c r="C263" s="198" t="s">
        <v>81</v>
      </c>
      <c r="D263" s="197">
        <v>27579</v>
      </c>
      <c r="E263" s="198" t="s">
        <v>199</v>
      </c>
      <c r="F263" s="197">
        <v>814</v>
      </c>
      <c r="G263" s="197" t="str">
        <f>IF(OR(Prod[[#This Row],[S1Hrs]]&gt;0,Prod[[#This Row],[S2Hrs]]&gt;0,Prod[[#This Row],[S3Hrs]]&gt;0),"Running","Down")</f>
        <v>Running</v>
      </c>
      <c r="H263" s="199">
        <v>21.89</v>
      </c>
      <c r="I263" s="200">
        <v>8</v>
      </c>
      <c r="J263" s="196">
        <v>1273</v>
      </c>
      <c r="K263" s="201">
        <v>8</v>
      </c>
      <c r="L263" s="196">
        <f>Prod[[#This Row],[S1Shot]]*Prod[[#This Row],[S1Cavity]]-Prod[[#This Row],[S1Dft]]</f>
        <v>10049</v>
      </c>
      <c r="M263" s="202">
        <f>SUM(Prod[[#This Row],[S1Mold]],Prod[[#This Row],[S1Print]],Prod[[#This Row],[S1Ovlp]],Prod[[#This Row],[S1Seam]],Prod[[#This Row],[S1Dmg]])</f>
        <v>135</v>
      </c>
      <c r="N263" s="199">
        <v>21.89</v>
      </c>
      <c r="O263" s="200">
        <v>8</v>
      </c>
      <c r="P263" s="196">
        <v>1350</v>
      </c>
      <c r="Q263" s="201">
        <v>8</v>
      </c>
      <c r="R263" s="196">
        <f>Prod[[#This Row],[S2Shot]]*Prod[[#This Row],[S2Cavity]]-Prod[[#This Row],[S2Dft]]</f>
        <v>10660</v>
      </c>
      <c r="S263" s="202">
        <f>SUM(Prod[[#This Row],[S2Mold]],Prod[[#This Row],[S2Print]],Prod[[#This Row],[S2Ovlp]],Prod[[#This Row],[S2Seam]],Prod[[#This Row],[S2Dmg]])</f>
        <v>140</v>
      </c>
      <c r="T263" s="199">
        <v>21.79</v>
      </c>
      <c r="U263" s="200">
        <v>8</v>
      </c>
      <c r="V263" s="196">
        <v>1305</v>
      </c>
      <c r="W263" s="201">
        <v>8</v>
      </c>
      <c r="X263" s="196">
        <f>Prod[[#This Row],[S3Shot]]*Prod[[#This Row],[S3Cavity]]-Prod[[#This Row],[S3Dft]]</f>
        <v>10295</v>
      </c>
      <c r="Y263" s="196">
        <f>SUM(Prod[[#This Row],[S3Mold]],Prod[[#This Row],[S3Print]],Prod[[#This Row],[S3Ovlp]],Prod[[#This Row],[S3Seam]],Prod[[#This Row],[S3Dmg]])</f>
        <v>145</v>
      </c>
      <c r="Z263" s="196">
        <f>SUM(Prod[[#This Row],[S1Qty]],Prod[[#This Row],[S2Qty]],Prod[[#This Row],[S3Qty]])</f>
        <v>31004</v>
      </c>
      <c r="AA263" s="196">
        <f>SUM(Prod[[#This Row],[S1Dft]],Prod[[#This Row],[S2Dft]],Prod[[#This Row],[S3Dft]])</f>
        <v>420</v>
      </c>
      <c r="AB263" s="203">
        <f>IF(Prod[[#This Row],[Total]]=0,0,Prod[[#This Row],[TotalDft]]/Prod[[#This Row],[Total]])</f>
        <v>1.3546639143336344E-2</v>
      </c>
      <c r="AC263" s="198"/>
      <c r="AD263" s="196">
        <v>20</v>
      </c>
      <c r="AE263" s="196">
        <v>20</v>
      </c>
      <c r="AF263" s="196">
        <v>25</v>
      </c>
      <c r="AG263" s="196">
        <v>115</v>
      </c>
      <c r="AH263" s="196">
        <v>120</v>
      </c>
      <c r="AI263" s="196">
        <v>120</v>
      </c>
      <c r="AJ263" s="196">
        <v>0</v>
      </c>
      <c r="AK263" s="196">
        <v>0</v>
      </c>
      <c r="AL263" s="196">
        <v>0</v>
      </c>
      <c r="AM263" s="196">
        <v>0</v>
      </c>
      <c r="AN263" s="196">
        <v>0</v>
      </c>
      <c r="AO263" s="196">
        <v>0</v>
      </c>
      <c r="AP263" s="196">
        <v>0</v>
      </c>
      <c r="AQ263" s="196">
        <v>0</v>
      </c>
      <c r="AR263" s="196">
        <v>0</v>
      </c>
      <c r="AS263" s="205">
        <f>IF(Prod[[#This Row],[S1Hrs]]=0,0,Prod[[#This Row],[S1Shot]]*Prod[[#This Row],[S1Cycle]]/(Prod[[#This Row],[S1Hrs]]*60*60))</f>
        <v>0.96756840277777778</v>
      </c>
      <c r="AT263" s="205">
        <f>IF(Prod[[#This Row],[S2Hrs]]=0,0,Prod[[#This Row],[S2Shot]]*Prod[[#This Row],[S2Cycle]]/(Prod[[#This Row],[S2Hrs]]*60*60))</f>
        <v>1.02609375</v>
      </c>
      <c r="AU263" s="205">
        <f>IF(Prod[[#This Row],[S3Hrs]]=0,0,Prod[[#This Row],[S3Shot]]*Prod[[#This Row],[S3Cycle]]/(Prod[[#This Row],[S3Hrs]]*60*60))</f>
        <v>0.98735937499999993</v>
      </c>
      <c r="AV263" s="205">
        <f>IFERROR(AVERAGEIF(Prod[[#This Row],[S1%]:[S3%]], "&lt;&gt;0"),0)</f>
        <v>0.9936738425925925</v>
      </c>
      <c r="AW263" s="205">
        <v>0</v>
      </c>
      <c r="AX263" s="205">
        <v>0</v>
      </c>
      <c r="AY263" s="205">
        <v>0</v>
      </c>
      <c r="AZ263" s="206">
        <f>IF(Prod[[#This Row],[S1Cycle]]&lt;&gt;0,1,0)</f>
        <v>1</v>
      </c>
      <c r="BA263" s="206">
        <f>IF(Prod[[#This Row],[S2Cycle]]&lt;&gt;0,1,0)</f>
        <v>1</v>
      </c>
      <c r="BB263" s="206">
        <f>IF(Prod[[#This Row],[S3Cycle]]&lt;&gt;0,1,0)</f>
        <v>1</v>
      </c>
      <c r="BC263" s="206">
        <f>MAX(Prod[[#This Row],[S1Cavity]],Prod[[#This Row],[S2Cavity]],Prod[[#This Row],[S3Cavity]])</f>
        <v>8</v>
      </c>
      <c r="BD263" s="206" t="b">
        <f>RegExpMatch(Prod[[#This Row],[MoldNo]], "^DEO-(B|C)")</f>
        <v>1</v>
      </c>
      <c r="BE263" s="206" t="b">
        <f>RegExpMatch(Prod[[#This Row],[MoldNo]], "^JAC")</f>
        <v>0</v>
      </c>
    </row>
    <row r="264" spans="1:57" x14ac:dyDescent="0.2">
      <c r="A264" s="195">
        <v>45459</v>
      </c>
      <c r="B264" s="201" t="s">
        <v>253</v>
      </c>
      <c r="C264" s="198" t="s">
        <v>9</v>
      </c>
      <c r="D264" s="197">
        <v>27581</v>
      </c>
      <c r="E264" s="198" t="s">
        <v>199</v>
      </c>
      <c r="F264" s="197">
        <v>814</v>
      </c>
      <c r="G264" s="197" t="str">
        <f>IF(OR(Prod[[#This Row],[S1Hrs]]&gt;0,Prod[[#This Row],[S2Hrs]]&gt;0,Prod[[#This Row],[S3Hrs]]&gt;0),"Running","Down")</f>
        <v>Running</v>
      </c>
      <c r="H264" s="199">
        <v>15.18</v>
      </c>
      <c r="I264" s="200">
        <v>8</v>
      </c>
      <c r="J264" s="196">
        <v>1792</v>
      </c>
      <c r="K264" s="201">
        <v>8</v>
      </c>
      <c r="L264" s="196">
        <f>Prod[[#This Row],[S1Shot]]*Prod[[#This Row],[S1Cavity]]-Prod[[#This Row],[S1Dft]]</f>
        <v>14336</v>
      </c>
      <c r="M264" s="207"/>
      <c r="N264" s="199">
        <v>15.2</v>
      </c>
      <c r="O264" s="200">
        <v>8</v>
      </c>
      <c r="P264" s="196">
        <v>1963</v>
      </c>
      <c r="Q264" s="201">
        <v>8</v>
      </c>
      <c r="R264" s="196">
        <f>Prod[[#This Row],[S2Shot]]*Prod[[#This Row],[S2Cavity]]-Prod[[#This Row],[S2Dft]]</f>
        <v>15704</v>
      </c>
      <c r="S264" s="207"/>
      <c r="T264" s="199">
        <v>15.18</v>
      </c>
      <c r="U264" s="200">
        <v>8</v>
      </c>
      <c r="V264" s="196">
        <v>1911</v>
      </c>
      <c r="W264" s="201">
        <v>8</v>
      </c>
      <c r="X264" s="196">
        <f>Prod[[#This Row],[S3Shot]]*Prod[[#This Row],[S3Cavity]]-Prod[[#This Row],[S3Dft]]</f>
        <v>15288</v>
      </c>
      <c r="Y264" s="207"/>
      <c r="Z264" s="196">
        <f>SUM(Prod[[#This Row],[S1Qty]],Prod[[#This Row],[S2Qty]],Prod[[#This Row],[S3Qty]])</f>
        <v>45328</v>
      </c>
      <c r="AA264" s="207"/>
      <c r="AB264" s="208"/>
      <c r="AC264" s="204"/>
      <c r="AD264" s="207"/>
      <c r="AE264" s="207"/>
      <c r="AF264" s="207"/>
      <c r="AG264" s="207"/>
      <c r="AH264" s="207"/>
      <c r="AI264" s="207"/>
      <c r="AJ264" s="207"/>
      <c r="AK264" s="207"/>
      <c r="AL264" s="207"/>
      <c r="AM264" s="207"/>
      <c r="AN264" s="207"/>
      <c r="AO264" s="207"/>
      <c r="AP264" s="207"/>
      <c r="AQ264" s="207"/>
      <c r="AR264" s="207"/>
      <c r="AS264" s="205">
        <f>IF(Prod[[#This Row],[S1Hrs]]=0,0,Prod[[#This Row],[S1Shot]]*Prod[[#This Row],[S1Cycle]]/(Prod[[#This Row],[S1Hrs]]*60*60))</f>
        <v>0.94453333333333322</v>
      </c>
      <c r="AT264" s="205">
        <f>IF(Prod[[#This Row],[S2Hrs]]=0,0,Prod[[#This Row],[S2Shot]]*Prod[[#This Row],[S2Cycle]]/(Prod[[#This Row],[S2Hrs]]*60*60))</f>
        <v>1.0360277777777778</v>
      </c>
      <c r="AU264" s="205">
        <f>IF(Prod[[#This Row],[S3Hrs]]=0,0,Prod[[#This Row],[S3Shot]]*Prod[[#This Row],[S3Cycle]]/(Prod[[#This Row],[S3Hrs]]*60*60))</f>
        <v>1.00725625</v>
      </c>
      <c r="AV264" s="205">
        <f>IFERROR(AVERAGEIF(Prod[[#This Row],[S1%]:[S3%]], "&lt;&gt;0"),0)</f>
        <v>0.99593912037037036</v>
      </c>
      <c r="AW264" s="205">
        <v>0</v>
      </c>
      <c r="AX264" s="205">
        <v>0</v>
      </c>
      <c r="AY264" s="205">
        <v>0</v>
      </c>
      <c r="AZ264" s="206">
        <f>IF(Prod[[#This Row],[S1Cycle]]&lt;&gt;0,1,0)</f>
        <v>1</v>
      </c>
      <c r="BA264" s="206">
        <f>IF(Prod[[#This Row],[S2Cycle]]&lt;&gt;0,1,0)</f>
        <v>1</v>
      </c>
      <c r="BB264" s="206">
        <f>IF(Prod[[#This Row],[S3Cycle]]&lt;&gt;0,1,0)</f>
        <v>1</v>
      </c>
      <c r="BC264" s="206">
        <f>MAX(Prod[[#This Row],[S1Cavity]],Prod[[#This Row],[S2Cavity]],Prod[[#This Row],[S3Cavity]])</f>
        <v>8</v>
      </c>
      <c r="BD264" s="206" t="b">
        <f>RegExpMatch(Prod[[#This Row],[MoldNo]], "^DEO-(B|C)")</f>
        <v>0</v>
      </c>
      <c r="BE264" s="206" t="b">
        <f>RegExpMatch(Prod[[#This Row],[MoldNo]], "^JAC")</f>
        <v>0</v>
      </c>
    </row>
    <row r="265" spans="1:57" x14ac:dyDescent="0.2">
      <c r="A265" s="195">
        <v>45459</v>
      </c>
      <c r="B265" s="201" t="s">
        <v>259</v>
      </c>
      <c r="C265" s="197" t="s">
        <v>145</v>
      </c>
      <c r="D265" s="197">
        <v>28021</v>
      </c>
      <c r="E265" s="198" t="s">
        <v>199</v>
      </c>
      <c r="F265" s="197">
        <v>814</v>
      </c>
      <c r="G265" s="197" t="str">
        <f>IF(OR(Prod[[#This Row],[S1Hrs]]&gt;0,Prod[[#This Row],[S2Hrs]]&gt;0,Prod[[#This Row],[S3Hrs]]&gt;0),"Running","Down")</f>
        <v>Running</v>
      </c>
      <c r="H265" s="199">
        <v>15.36</v>
      </c>
      <c r="I265" s="200">
        <v>8</v>
      </c>
      <c r="J265" s="196">
        <v>1768</v>
      </c>
      <c r="K265" s="201">
        <v>8</v>
      </c>
      <c r="L265" s="196">
        <f>Prod[[#This Row],[S1Shot]]*Prod[[#This Row],[S1Cavity]]-Prod[[#This Row],[S1Dft]]</f>
        <v>14144</v>
      </c>
      <c r="M265" s="207"/>
      <c r="N265" s="199">
        <v>15.37</v>
      </c>
      <c r="O265" s="200">
        <v>8</v>
      </c>
      <c r="P265" s="196">
        <v>2012</v>
      </c>
      <c r="Q265" s="201">
        <v>8</v>
      </c>
      <c r="R265" s="196">
        <f>Prod[[#This Row],[S2Shot]]*Prod[[#This Row],[S2Cavity]]-Prod[[#This Row],[S2Dft]]</f>
        <v>16096</v>
      </c>
      <c r="S265" s="207"/>
      <c r="T265" s="199">
        <v>15.36</v>
      </c>
      <c r="U265" s="200">
        <v>8</v>
      </c>
      <c r="V265" s="196">
        <v>1865</v>
      </c>
      <c r="W265" s="201">
        <v>8</v>
      </c>
      <c r="X265" s="196">
        <f>Prod[[#This Row],[S3Shot]]*Prod[[#This Row],[S3Cavity]]-Prod[[#This Row],[S3Dft]]</f>
        <v>14920</v>
      </c>
      <c r="Y265" s="207"/>
      <c r="Z265" s="196">
        <f>SUM(Prod[[#This Row],[S1Qty]],Prod[[#This Row],[S2Qty]],Prod[[#This Row],[S3Qty]])</f>
        <v>45160</v>
      </c>
      <c r="AA265" s="207"/>
      <c r="AB265" s="208"/>
      <c r="AC265" s="204"/>
      <c r="AD265" s="207"/>
      <c r="AE265" s="207"/>
      <c r="AF265" s="207"/>
      <c r="AG265" s="207"/>
      <c r="AH265" s="207"/>
      <c r="AI265" s="207"/>
      <c r="AJ265" s="207"/>
      <c r="AK265" s="207"/>
      <c r="AL265" s="207"/>
      <c r="AM265" s="207"/>
      <c r="AN265" s="207"/>
      <c r="AO265" s="207"/>
      <c r="AP265" s="207"/>
      <c r="AQ265" s="207"/>
      <c r="AR265" s="207"/>
      <c r="AS265" s="205">
        <f>IF(Prod[[#This Row],[S1Hrs]]=0,0,Prod[[#This Row],[S1Shot]]*Prod[[#This Row],[S1Cycle]]/(Prod[[#This Row],[S1Hrs]]*60*60))</f>
        <v>0.94293333333333329</v>
      </c>
      <c r="AT265" s="205">
        <f>IF(Prod[[#This Row],[S2Hrs]]=0,0,Prod[[#This Row],[S2Shot]]*Prod[[#This Row],[S2Cycle]]/(Prod[[#This Row],[S2Hrs]]*60*60))</f>
        <v>1.0737652777777777</v>
      </c>
      <c r="AU265" s="205">
        <f>IF(Prod[[#This Row],[S3Hrs]]=0,0,Prod[[#This Row],[S3Shot]]*Prod[[#This Row],[S3Cycle]]/(Prod[[#This Row],[S3Hrs]]*60*60))</f>
        <v>0.99466666666666659</v>
      </c>
      <c r="AV265" s="205">
        <f>IFERROR(AVERAGEIF(Prod[[#This Row],[S1%]:[S3%]], "&lt;&gt;0"),0)</f>
        <v>1.0037884259259258</v>
      </c>
      <c r="AW265" s="205">
        <v>0</v>
      </c>
      <c r="AX265" s="205">
        <v>0</v>
      </c>
      <c r="AY265" s="205">
        <v>0</v>
      </c>
      <c r="AZ265" s="206">
        <f>IF(Prod[[#This Row],[S1Cycle]]&lt;&gt;0,1,0)</f>
        <v>1</v>
      </c>
      <c r="BA265" s="206">
        <f>IF(Prod[[#This Row],[S2Cycle]]&lt;&gt;0,1,0)</f>
        <v>1</v>
      </c>
      <c r="BB265" s="206">
        <f>IF(Prod[[#This Row],[S3Cycle]]&lt;&gt;0,1,0)</f>
        <v>1</v>
      </c>
      <c r="BC265" s="206">
        <f>MAX(Prod[[#This Row],[S1Cavity]],Prod[[#This Row],[S2Cavity]],Prod[[#This Row],[S3Cavity]])</f>
        <v>8</v>
      </c>
      <c r="BD265" s="206" t="b">
        <f>RegExpMatch(Prod[[#This Row],[MoldNo]], "^DEO-(B|C)")</f>
        <v>0</v>
      </c>
      <c r="BE265" s="206" t="b">
        <f>RegExpMatch(Prod[[#This Row],[MoldNo]], "^JAC")</f>
        <v>0</v>
      </c>
    </row>
    <row r="266" spans="1:57" x14ac:dyDescent="0.2">
      <c r="A266" s="117">
        <v>45460</v>
      </c>
      <c r="B266" s="120" t="s">
        <v>190</v>
      </c>
      <c r="C266" s="119" t="s">
        <v>153</v>
      </c>
      <c r="D266" s="119">
        <v>27422</v>
      </c>
      <c r="E266" s="131" t="s">
        <v>199</v>
      </c>
      <c r="F266" s="119">
        <v>6331</v>
      </c>
      <c r="G266" s="119" t="str">
        <f>IF(OR(Prod[[#This Row],[S1Hrs]]&gt;0,Prod[[#This Row],[S2Hrs]]&gt;0,Prod[[#This Row],[S3Hrs]]&gt;0),"Running","Down")</f>
        <v>Running</v>
      </c>
      <c r="H266" s="194">
        <v>22.68</v>
      </c>
      <c r="I266" s="185">
        <v>8</v>
      </c>
      <c r="J266" s="130">
        <v>1253</v>
      </c>
      <c r="K266" s="130">
        <v>4</v>
      </c>
      <c r="L266" s="120">
        <f>Prod[[#This Row],[S1Shot]]*Prod[[#This Row],[S1Cavity]]-Prod[[#This Row],[S1Dft]]</f>
        <v>5005</v>
      </c>
      <c r="M266" s="136">
        <f>SUM(Prod[[#This Row],[S1Mold]],Prod[[#This Row],[S1Print]],Prod[[#This Row],[S1Ovlp]],Prod[[#This Row],[S1Seam]],Prod[[#This Row],[S1Dmg]])</f>
        <v>7</v>
      </c>
      <c r="N266" s="194">
        <v>22.69</v>
      </c>
      <c r="O266" s="185">
        <v>8</v>
      </c>
      <c r="P266" s="130">
        <v>1296</v>
      </c>
      <c r="Q266" s="130">
        <v>4</v>
      </c>
      <c r="R266" s="120">
        <f>Prod[[#This Row],[S2Shot]]*Prod[[#This Row],[S2Cavity]]-Prod[[#This Row],[S2Dft]]</f>
        <v>5177</v>
      </c>
      <c r="S266" s="136">
        <f>SUM(Prod[[#This Row],[S2Mold]],Prod[[#This Row],[S2Print]],Prod[[#This Row],[S2Ovlp]],Prod[[#This Row],[S2Seam]],Prod[[#This Row],[S2Dmg]])</f>
        <v>7</v>
      </c>
      <c r="T266" s="194">
        <v>22.68</v>
      </c>
      <c r="U266" s="185">
        <v>8</v>
      </c>
      <c r="V266" s="130">
        <v>1232</v>
      </c>
      <c r="W266" s="130">
        <v>4</v>
      </c>
      <c r="X266" s="120">
        <f>Prod[[#This Row],[S3Shot]]*Prod[[#This Row],[S3Cavity]]-Prod[[#This Row],[S3Dft]]</f>
        <v>4923</v>
      </c>
      <c r="Y266" s="120">
        <f>SUM(Prod[[#This Row],[S3Mold]],Prod[[#This Row],[S3Print]],Prod[[#This Row],[S3Ovlp]],Prod[[#This Row],[S3Seam]],Prod[[#This Row],[S3Dmg]])</f>
        <v>5</v>
      </c>
      <c r="Z266" s="120">
        <f>SUM(Prod[[#This Row],[S1Qty]],Prod[[#This Row],[S2Qty]],Prod[[#This Row],[S3Qty]])</f>
        <v>15105</v>
      </c>
      <c r="AA266" s="120">
        <f>SUM(Prod[[#This Row],[S1Dft]],Prod[[#This Row],[S2Dft]],Prod[[#This Row],[S3Dft]])</f>
        <v>19</v>
      </c>
      <c r="AB266" s="121">
        <f>IF(Prod[[#This Row],[Total]]=0,0,Prod[[#This Row],[TotalDft]]/Prod[[#This Row],[Total]])</f>
        <v>1.2578616352201257E-3</v>
      </c>
      <c r="AC266" s="118"/>
      <c r="AD266" s="120">
        <v>7</v>
      </c>
      <c r="AE266" s="120">
        <v>7</v>
      </c>
      <c r="AF266" s="120">
        <v>5</v>
      </c>
      <c r="AG266" s="120">
        <v>0</v>
      </c>
      <c r="AH266" s="120">
        <v>0</v>
      </c>
      <c r="AI266" s="120">
        <v>0</v>
      </c>
      <c r="AJ266" s="120">
        <v>0</v>
      </c>
      <c r="AK266" s="120">
        <v>0</v>
      </c>
      <c r="AL266" s="120">
        <v>0</v>
      </c>
      <c r="AM266" s="120">
        <v>0</v>
      </c>
      <c r="AN266" s="120">
        <v>0</v>
      </c>
      <c r="AO266" s="120">
        <v>0</v>
      </c>
      <c r="AP266" s="120">
        <v>0</v>
      </c>
      <c r="AQ266" s="120">
        <v>0</v>
      </c>
      <c r="AR266" s="120">
        <v>0</v>
      </c>
      <c r="AS266" s="132">
        <f>IF(Prod[[#This Row],[S1Hrs]]=0,0,Prod[[#This Row],[S1Shot]]*Prod[[#This Row],[S1Cycle]]/(Prod[[#This Row],[S1Hrs]]*60*60))</f>
        <v>0.98673750000000005</v>
      </c>
      <c r="AT266" s="132">
        <f>IF(Prod[[#This Row],[S2Hrs]]=0,0,Prod[[#This Row],[S2Shot]]*Prod[[#This Row],[S2Cycle]]/(Prod[[#This Row],[S2Hrs]]*60*60))</f>
        <v>1.02105</v>
      </c>
      <c r="AU266" s="132">
        <f>IF(Prod[[#This Row],[S3Hrs]]=0,0,Prod[[#This Row],[S3Shot]]*Prod[[#This Row],[S3Cycle]]/(Prod[[#This Row],[S3Hrs]]*60*60))</f>
        <v>0.97019999999999995</v>
      </c>
      <c r="AV266" s="132">
        <f>IFERROR(AVERAGEIF(Prod[[#This Row],[S1%]:[S3%]], "&lt;&gt;0"),0)</f>
        <v>0.99266250000000011</v>
      </c>
      <c r="AW266" s="132">
        <v>0</v>
      </c>
      <c r="AX266" s="132">
        <v>0</v>
      </c>
      <c r="AY266" s="132">
        <v>0</v>
      </c>
      <c r="AZ266" s="175">
        <f>IF(Prod[[#This Row],[S1Cycle]]&lt;&gt;0,1,0)</f>
        <v>1</v>
      </c>
      <c r="BA266" s="175">
        <f>IF(Prod[[#This Row],[S2Cycle]]&lt;&gt;0,1,0)</f>
        <v>1</v>
      </c>
      <c r="BB266" s="175">
        <f>IF(Prod[[#This Row],[S3Cycle]]&lt;&gt;0,1,0)</f>
        <v>1</v>
      </c>
      <c r="BC266" s="175">
        <f>MAX(Prod[[#This Row],[S1Cavity]],Prod[[#This Row],[S2Cavity]],Prod[[#This Row],[S3Cavity]])</f>
        <v>4</v>
      </c>
      <c r="BD266" s="175" t="b">
        <f>RegExpMatch(Prod[[#This Row],[MoldNo]], "^DEO-(B|C)")</f>
        <v>0</v>
      </c>
      <c r="BE266" s="175" t="b">
        <f>RegExpMatch(Prod[[#This Row],[MoldNo]], "^JAC")</f>
        <v>1</v>
      </c>
    </row>
    <row r="267" spans="1:57" x14ac:dyDescent="0.2">
      <c r="A267" s="117">
        <v>45460</v>
      </c>
      <c r="B267" s="130" t="s">
        <v>6</v>
      </c>
      <c r="C267" s="131" t="s">
        <v>8</v>
      </c>
      <c r="D267" s="119">
        <v>27581</v>
      </c>
      <c r="E267" s="131" t="s">
        <v>199</v>
      </c>
      <c r="F267" s="119">
        <v>814</v>
      </c>
      <c r="G267" s="119" t="str">
        <f>IF(OR(Prod[[#This Row],[S1Hrs]]&gt;0,Prod[[#This Row],[S2Hrs]]&gt;0,Prod[[#This Row],[S3Hrs]]&gt;0),"Running","Down")</f>
        <v>Running</v>
      </c>
      <c r="H267" s="194">
        <v>21.89</v>
      </c>
      <c r="I267" s="185">
        <v>8</v>
      </c>
      <c r="J267" s="130">
        <v>1255</v>
      </c>
      <c r="K267" s="130">
        <v>8</v>
      </c>
      <c r="L267" s="120">
        <f>Prod[[#This Row],[S1Shot]]*Prod[[#This Row],[S1Cavity]]-Prod[[#This Row],[S1Dft]]</f>
        <v>9905</v>
      </c>
      <c r="M267" s="136">
        <f>SUM(Prod[[#This Row],[S1Mold]],Prod[[#This Row],[S1Print]],Prod[[#This Row],[S1Ovlp]],Prod[[#This Row],[S1Seam]],Prod[[#This Row],[S1Dmg]])</f>
        <v>135</v>
      </c>
      <c r="N267" s="194">
        <v>21.89</v>
      </c>
      <c r="O267" s="185">
        <v>8</v>
      </c>
      <c r="P267" s="130">
        <v>1197</v>
      </c>
      <c r="Q267" s="130">
        <v>8</v>
      </c>
      <c r="R267" s="120">
        <f>Prod[[#This Row],[S2Shot]]*Prod[[#This Row],[S2Cavity]]-Prod[[#This Row],[S2Dft]]</f>
        <v>9436</v>
      </c>
      <c r="S267" s="136">
        <f>SUM(Prod[[#This Row],[S2Mold]],Prod[[#This Row],[S2Print]],Prod[[#This Row],[S2Ovlp]],Prod[[#This Row],[S2Seam]],Prod[[#This Row],[S2Dmg]])</f>
        <v>140</v>
      </c>
      <c r="T267" s="194">
        <v>0</v>
      </c>
      <c r="U267" s="185">
        <v>0</v>
      </c>
      <c r="V267" s="130">
        <v>0</v>
      </c>
      <c r="W267" s="130">
        <v>0</v>
      </c>
      <c r="X267" s="120">
        <f>Prod[[#This Row],[S3Shot]]*Prod[[#This Row],[S3Cavity]]-Prod[[#This Row],[S3Dft]]</f>
        <v>0</v>
      </c>
      <c r="Y267" s="120">
        <f>SUM(Prod[[#This Row],[S3Mold]],Prod[[#This Row],[S3Print]],Prod[[#This Row],[S3Ovlp]],Prod[[#This Row],[S3Seam]],Prod[[#This Row],[S3Dmg]])</f>
        <v>0</v>
      </c>
      <c r="Z267" s="120">
        <f>SUM(Prod[[#This Row],[S1Qty]],Prod[[#This Row],[S2Qty]],Prod[[#This Row],[S3Qty]])</f>
        <v>19341</v>
      </c>
      <c r="AA267" s="120">
        <f>SUM(Prod[[#This Row],[S1Dft]],Prod[[#This Row],[S2Dft]],Prod[[#This Row],[S3Dft]])</f>
        <v>275</v>
      </c>
      <c r="AB267" s="121">
        <f>IF(Prod[[#This Row],[Total]]=0,0,Prod[[#This Row],[TotalDft]]/Prod[[#This Row],[Total]])</f>
        <v>1.4218499560519104E-2</v>
      </c>
      <c r="AC267" s="131"/>
      <c r="AD267" s="120">
        <v>20</v>
      </c>
      <c r="AE267" s="120">
        <v>20</v>
      </c>
      <c r="AF267" s="120">
        <v>0</v>
      </c>
      <c r="AG267" s="120">
        <v>115</v>
      </c>
      <c r="AH267" s="120">
        <v>120</v>
      </c>
      <c r="AI267" s="120">
        <v>0</v>
      </c>
      <c r="AJ267" s="120">
        <v>0</v>
      </c>
      <c r="AK267" s="120">
        <v>0</v>
      </c>
      <c r="AL267" s="120">
        <v>0</v>
      </c>
      <c r="AM267" s="120">
        <v>0</v>
      </c>
      <c r="AN267" s="120">
        <v>0</v>
      </c>
      <c r="AO267" s="120">
        <v>0</v>
      </c>
      <c r="AP267" s="120">
        <v>0</v>
      </c>
      <c r="AQ267" s="120">
        <v>0</v>
      </c>
      <c r="AR267" s="120">
        <v>0</v>
      </c>
      <c r="AS267" s="132">
        <f>IF(Prod[[#This Row],[S1Hrs]]=0,0,Prod[[#This Row],[S1Shot]]*Prod[[#This Row],[S1Cycle]]/(Prod[[#This Row],[S1Hrs]]*60*60))</f>
        <v>0.9538871527777778</v>
      </c>
      <c r="AT267" s="132">
        <f>IF(Prod[[#This Row],[S2Hrs]]=0,0,Prod[[#This Row],[S2Shot]]*Prod[[#This Row],[S2Cycle]]/(Prod[[#This Row],[S2Hrs]]*60*60))</f>
        <v>0.90980312500000005</v>
      </c>
      <c r="AU267" s="132">
        <f>IF(Prod[[#This Row],[S3Hrs]]=0,0,Prod[[#This Row],[S3Shot]]*Prod[[#This Row],[S3Cycle]]/(Prod[[#This Row],[S3Hrs]]*60*60))</f>
        <v>0</v>
      </c>
      <c r="AV267" s="132">
        <f>IFERROR(AVERAGEIF(Prod[[#This Row],[S1%]:[S3%]], "&lt;&gt;0"),0)</f>
        <v>0.93184513888888887</v>
      </c>
      <c r="AW267" s="132">
        <v>0</v>
      </c>
      <c r="AX267" s="132">
        <v>0</v>
      </c>
      <c r="AY267" s="132">
        <v>0</v>
      </c>
      <c r="AZ267" s="175">
        <f>IF(Prod[[#This Row],[S1Cycle]]&lt;&gt;0,1,0)</f>
        <v>1</v>
      </c>
      <c r="BA267" s="175">
        <f>IF(Prod[[#This Row],[S2Cycle]]&lt;&gt;0,1,0)</f>
        <v>1</v>
      </c>
      <c r="BB267" s="175">
        <f>IF(Prod[[#This Row],[S3Cycle]]&lt;&gt;0,1,0)</f>
        <v>0</v>
      </c>
      <c r="BC267" s="175">
        <f>MAX(Prod[[#This Row],[S1Cavity]],Prod[[#This Row],[S2Cavity]],Prod[[#This Row],[S3Cavity]])</f>
        <v>8</v>
      </c>
      <c r="BD267" s="175" t="b">
        <f>RegExpMatch(Prod[[#This Row],[MoldNo]], "^DEO-(B|C)")</f>
        <v>1</v>
      </c>
      <c r="BE267" s="175" t="b">
        <f>RegExpMatch(Prod[[#This Row],[MoldNo]], "^JAC")</f>
        <v>0</v>
      </c>
    </row>
    <row r="268" spans="1:57" x14ac:dyDescent="0.2">
      <c r="A268" s="117">
        <v>45460</v>
      </c>
      <c r="B268" s="130" t="s">
        <v>6</v>
      </c>
      <c r="C268" s="131" t="s">
        <v>8</v>
      </c>
      <c r="D268" s="119">
        <v>28185</v>
      </c>
      <c r="E268" s="131" t="s">
        <v>235</v>
      </c>
      <c r="F268" s="119">
        <v>814</v>
      </c>
      <c r="G268" s="119" t="str">
        <f>IF(OR(Prod[[#This Row],[S1Hrs]]&gt;0,Prod[[#This Row],[S2Hrs]]&gt;0,Prod[[#This Row],[S3Hrs]]&gt;0),"Running","Down")</f>
        <v>Running</v>
      </c>
      <c r="H268" s="194">
        <v>0</v>
      </c>
      <c r="I268" s="185">
        <v>0</v>
      </c>
      <c r="J268" s="130">
        <v>0</v>
      </c>
      <c r="K268" s="130">
        <v>0</v>
      </c>
      <c r="L268" s="120">
        <f>Prod[[#This Row],[S1Shot]]*Prod[[#This Row],[S1Cavity]]-Prod[[#This Row],[S1Dft]]</f>
        <v>0</v>
      </c>
      <c r="M268" s="136">
        <f>SUM(Prod[[#This Row],[S1Mold]],Prod[[#This Row],[S1Print]],Prod[[#This Row],[S1Ovlp]],Prod[[#This Row],[S1Seam]],Prod[[#This Row],[S1Dmg]])</f>
        <v>0</v>
      </c>
      <c r="N268" s="194">
        <v>0</v>
      </c>
      <c r="O268" s="185">
        <v>0</v>
      </c>
      <c r="P268" s="130">
        <v>0</v>
      </c>
      <c r="Q268" s="130">
        <v>0</v>
      </c>
      <c r="R268" s="120">
        <f>Prod[[#This Row],[S2Shot]]*Prod[[#This Row],[S2Cavity]]-Prod[[#This Row],[S2Dft]]</f>
        <v>0</v>
      </c>
      <c r="S268" s="136">
        <f>SUM(Prod[[#This Row],[S2Mold]],Prod[[#This Row],[S2Print]],Prod[[#This Row],[S2Ovlp]],Prod[[#This Row],[S2Seam]],Prod[[#This Row],[S2Dmg]])</f>
        <v>0</v>
      </c>
      <c r="T268" s="194">
        <v>21.8</v>
      </c>
      <c r="U268" s="185">
        <v>8</v>
      </c>
      <c r="V268" s="130">
        <v>1158</v>
      </c>
      <c r="W268" s="130">
        <v>8</v>
      </c>
      <c r="X268" s="120">
        <f>Prod[[#This Row],[S3Shot]]*Prod[[#This Row],[S3Cavity]]-Prod[[#This Row],[S3Dft]]</f>
        <v>9239</v>
      </c>
      <c r="Y268" s="120">
        <f>SUM(Prod[[#This Row],[S3Mold]],Prod[[#This Row],[S3Print]],Prod[[#This Row],[S3Ovlp]],Prod[[#This Row],[S3Seam]],Prod[[#This Row],[S3Dmg]])</f>
        <v>25</v>
      </c>
      <c r="Z268" s="120">
        <f>SUM(Prod[[#This Row],[S1Qty]],Prod[[#This Row],[S2Qty]],Prod[[#This Row],[S3Qty]])</f>
        <v>9239</v>
      </c>
      <c r="AA268" s="120">
        <f>SUM(Prod[[#This Row],[S1Dft]],Prod[[#This Row],[S2Dft]],Prod[[#This Row],[S3Dft]])</f>
        <v>25</v>
      </c>
      <c r="AB268" s="121">
        <f>IF(Prod[[#This Row],[Total]]=0,0,Prod[[#This Row],[TotalDft]]/Prod[[#This Row],[Total]])</f>
        <v>2.7059205541725296E-3</v>
      </c>
      <c r="AC268" s="131" t="s">
        <v>266</v>
      </c>
      <c r="AD268" s="120">
        <v>0</v>
      </c>
      <c r="AE268" s="120">
        <v>0</v>
      </c>
      <c r="AF268" s="120">
        <v>25</v>
      </c>
      <c r="AG268" s="120">
        <v>0</v>
      </c>
      <c r="AH268" s="120">
        <v>0</v>
      </c>
      <c r="AI268" s="120">
        <v>0</v>
      </c>
      <c r="AJ268" s="120">
        <v>0</v>
      </c>
      <c r="AK268" s="120">
        <v>0</v>
      </c>
      <c r="AL268" s="120">
        <v>0</v>
      </c>
      <c r="AM268" s="120">
        <v>0</v>
      </c>
      <c r="AN268" s="120">
        <v>0</v>
      </c>
      <c r="AO268" s="120">
        <v>0</v>
      </c>
      <c r="AP268" s="120">
        <v>0</v>
      </c>
      <c r="AQ268" s="120">
        <v>0</v>
      </c>
      <c r="AR268" s="120">
        <v>0</v>
      </c>
      <c r="AS268" s="132">
        <f>IF(Prod[[#This Row],[S1Hrs]]=0,0,Prod[[#This Row],[S1Shot]]*Prod[[#This Row],[S1Cycle]]/(Prod[[#This Row],[S1Hrs]]*60*60))</f>
        <v>0</v>
      </c>
      <c r="AT268" s="132">
        <f>IF(Prod[[#This Row],[S2Hrs]]=0,0,Prod[[#This Row],[S2Shot]]*Prod[[#This Row],[S2Cycle]]/(Prod[[#This Row],[S2Hrs]]*60*60))</f>
        <v>0</v>
      </c>
      <c r="AU268" s="132">
        <f>IF(Prod[[#This Row],[S3Hrs]]=0,0,Prod[[#This Row],[S3Shot]]*Prod[[#This Row],[S3Cycle]]/(Prod[[#This Row],[S3Hrs]]*60*60))</f>
        <v>0.87654166666666666</v>
      </c>
      <c r="AV268" s="132">
        <f>IFERROR(AVERAGEIF(Prod[[#This Row],[S1%]:[S3%]], "&lt;&gt;0"),0)</f>
        <v>0.87654166666666666</v>
      </c>
      <c r="AW268" s="132">
        <v>0</v>
      </c>
      <c r="AX268" s="132">
        <v>0</v>
      </c>
      <c r="AY268" s="132">
        <v>0</v>
      </c>
      <c r="AZ268" s="175">
        <f>IF(Prod[[#This Row],[S1Cycle]]&lt;&gt;0,1,0)</f>
        <v>0</v>
      </c>
      <c r="BA268" s="175">
        <f>IF(Prod[[#This Row],[S2Cycle]]&lt;&gt;0,1,0)</f>
        <v>0</v>
      </c>
      <c r="BB268" s="175">
        <f>IF(Prod[[#This Row],[S3Cycle]]&lt;&gt;0,1,0)</f>
        <v>1</v>
      </c>
      <c r="BC268" s="175">
        <f>MAX(Prod[[#This Row],[S1Cavity]],Prod[[#This Row],[S2Cavity]],Prod[[#This Row],[S3Cavity]])</f>
        <v>8</v>
      </c>
      <c r="BD268" s="175" t="b">
        <f>RegExpMatch(Prod[[#This Row],[MoldNo]], "^DEO-(B|C)")</f>
        <v>1</v>
      </c>
      <c r="BE268" s="175" t="b">
        <f>RegExpMatch(Prod[[#This Row],[MoldNo]], "^JAC")</f>
        <v>0</v>
      </c>
    </row>
    <row r="269" spans="1:57" x14ac:dyDescent="0.2">
      <c r="A269" s="117">
        <v>45460</v>
      </c>
      <c r="B269" s="120" t="s">
        <v>7</v>
      </c>
      <c r="C269" s="119" t="s">
        <v>172</v>
      </c>
      <c r="D269" s="119">
        <v>27581</v>
      </c>
      <c r="E269" s="131" t="s">
        <v>199</v>
      </c>
      <c r="F269" s="119">
        <v>814</v>
      </c>
      <c r="G269" s="119" t="str">
        <f>IF(OR(Prod[[#This Row],[S1Hrs]]&gt;0,Prod[[#This Row],[S2Hrs]]&gt;0,Prod[[#This Row],[S3Hrs]]&gt;0),"Running","Down")</f>
        <v>Running</v>
      </c>
      <c r="H269" s="194">
        <v>20.8</v>
      </c>
      <c r="I269" s="185">
        <v>8</v>
      </c>
      <c r="J269" s="130">
        <v>1380</v>
      </c>
      <c r="K269" s="130">
        <v>8</v>
      </c>
      <c r="L269" s="120">
        <f>Prod[[#This Row],[S1Shot]]*Prod[[#This Row],[S1Cavity]]-Prod[[#This Row],[S1Dft]]</f>
        <v>10905</v>
      </c>
      <c r="M269" s="136">
        <f>SUM(Prod[[#This Row],[S1Mold]],Prod[[#This Row],[S1Print]],Prod[[#This Row],[S1Ovlp]],Prod[[#This Row],[S1Seam]],Prod[[#This Row],[S1Dmg]])</f>
        <v>135</v>
      </c>
      <c r="N269" s="194">
        <v>20.8</v>
      </c>
      <c r="O269" s="185">
        <v>3.5</v>
      </c>
      <c r="P269" s="130">
        <v>613</v>
      </c>
      <c r="Q269" s="130">
        <v>8</v>
      </c>
      <c r="R269" s="120">
        <f>Prod[[#This Row],[S2Shot]]*Prod[[#This Row],[S2Cavity]]-Prod[[#This Row],[S2Dft]]</f>
        <v>4869</v>
      </c>
      <c r="S269" s="136">
        <f>SUM(Prod[[#This Row],[S2Mold]],Prod[[#This Row],[S2Print]],Prod[[#This Row],[S2Ovlp]],Prod[[#This Row],[S2Seam]],Prod[[#This Row],[S2Dmg]])</f>
        <v>35</v>
      </c>
      <c r="T269" s="194">
        <v>0</v>
      </c>
      <c r="U269" s="185">
        <v>0</v>
      </c>
      <c r="V269" s="130">
        <v>0</v>
      </c>
      <c r="W269" s="130">
        <v>0</v>
      </c>
      <c r="X269" s="120">
        <f>Prod[[#This Row],[S3Shot]]*Prod[[#This Row],[S3Cavity]]-Prod[[#This Row],[S3Dft]]</f>
        <v>0</v>
      </c>
      <c r="Y269" s="120">
        <f>SUM(Prod[[#This Row],[S3Mold]],Prod[[#This Row],[S3Print]],Prod[[#This Row],[S3Ovlp]],Prod[[#This Row],[S3Seam]],Prod[[#This Row],[S3Dmg]])</f>
        <v>0</v>
      </c>
      <c r="Z269" s="120">
        <f>SUM(Prod[[#This Row],[S1Qty]],Prod[[#This Row],[S2Qty]],Prod[[#This Row],[S3Qty]])</f>
        <v>15774</v>
      </c>
      <c r="AA269" s="120">
        <f>SUM(Prod[[#This Row],[S1Dft]],Prod[[#This Row],[S2Dft]],Prod[[#This Row],[S3Dft]])</f>
        <v>170</v>
      </c>
      <c r="AB269" s="121">
        <f>IF(Prod[[#This Row],[Total]]=0,0,Prod[[#This Row],[TotalDft]]/Prod[[#This Row],[Total]])</f>
        <v>1.0777228350450108E-2</v>
      </c>
      <c r="AC269" s="131" t="s">
        <v>269</v>
      </c>
      <c r="AD269" s="120">
        <v>20</v>
      </c>
      <c r="AE269" s="120">
        <v>5</v>
      </c>
      <c r="AF269" s="120">
        <v>0</v>
      </c>
      <c r="AG269" s="120">
        <v>115</v>
      </c>
      <c r="AH269" s="120">
        <v>30</v>
      </c>
      <c r="AI269" s="120">
        <v>0</v>
      </c>
      <c r="AJ269" s="120">
        <v>0</v>
      </c>
      <c r="AK269" s="120">
        <v>0</v>
      </c>
      <c r="AL269" s="120">
        <v>0</v>
      </c>
      <c r="AM269" s="120">
        <v>0</v>
      </c>
      <c r="AN269" s="120">
        <v>0</v>
      </c>
      <c r="AO269" s="120">
        <v>0</v>
      </c>
      <c r="AP269" s="120">
        <v>0</v>
      </c>
      <c r="AQ269" s="120">
        <v>0</v>
      </c>
      <c r="AR269" s="120">
        <v>0</v>
      </c>
      <c r="AS269" s="132">
        <f>IF(Prod[[#This Row],[S1Hrs]]=0,0,Prod[[#This Row],[S1Shot]]*Prod[[#This Row],[S1Cycle]]/(Prod[[#This Row],[S1Hrs]]*60*60))</f>
        <v>0.9966666666666667</v>
      </c>
      <c r="AT269" s="132">
        <f>IF(Prod[[#This Row],[S2Hrs]]=0,0,Prod[[#This Row],[S2Shot]]*Prod[[#This Row],[S2Cycle]]/(Prod[[#This Row],[S2Hrs]]*60*60))</f>
        <v>1.0119365079365079</v>
      </c>
      <c r="AU269" s="132">
        <f>IF(Prod[[#This Row],[S3Hrs]]=0,0,Prod[[#This Row],[S3Shot]]*Prod[[#This Row],[S3Cycle]]/(Prod[[#This Row],[S3Hrs]]*60*60))</f>
        <v>0</v>
      </c>
      <c r="AV269" s="132">
        <f>IFERROR(AVERAGEIF(Prod[[#This Row],[S1%]:[S3%]], "&lt;&gt;0"),0)</f>
        <v>1.0043015873015873</v>
      </c>
      <c r="AW269" s="132">
        <v>0.5</v>
      </c>
      <c r="AX269" s="132">
        <v>0</v>
      </c>
      <c r="AY269" s="132">
        <v>0</v>
      </c>
      <c r="AZ269" s="175">
        <f>IF(Prod[[#This Row],[S1Cycle]]&lt;&gt;0,1,0)</f>
        <v>1</v>
      </c>
      <c r="BA269" s="175">
        <f>IF(Prod[[#This Row],[S2Cycle]]&lt;&gt;0,1,0)</f>
        <v>1</v>
      </c>
      <c r="BB269" s="175">
        <f>IF(Prod[[#This Row],[S3Cycle]]&lt;&gt;0,1,0)</f>
        <v>0</v>
      </c>
      <c r="BC269" s="175">
        <f>MAX(Prod[[#This Row],[S1Cavity]],Prod[[#This Row],[S2Cavity]],Prod[[#This Row],[S3Cavity]])</f>
        <v>8</v>
      </c>
      <c r="BD269" s="175" t="b">
        <f>RegExpMatch(Prod[[#This Row],[MoldNo]], "^DEO-(B|C)")</f>
        <v>1</v>
      </c>
      <c r="BE269" s="175" t="b">
        <f>RegExpMatch(Prod[[#This Row],[MoldNo]], "^JAC")</f>
        <v>0</v>
      </c>
    </row>
    <row r="270" spans="1:57" x14ac:dyDescent="0.2">
      <c r="A270" s="117">
        <v>45460</v>
      </c>
      <c r="B270" s="120" t="s">
        <v>85</v>
      </c>
      <c r="C270" s="119" t="s">
        <v>165</v>
      </c>
      <c r="D270" s="119"/>
      <c r="E270" s="131"/>
      <c r="F270" s="119"/>
      <c r="G270" s="119" t="str">
        <f>IF(OR(Prod[[#This Row],[S1Hrs]]&gt;0,Prod[[#This Row],[S2Hrs]]&gt;0,Prod[[#This Row],[S3Hrs]]&gt;0),"Running","Down")</f>
        <v>Down</v>
      </c>
      <c r="H270" s="194">
        <v>0</v>
      </c>
      <c r="I270" s="185">
        <v>0</v>
      </c>
      <c r="J270" s="130">
        <v>0</v>
      </c>
      <c r="K270" s="130">
        <v>0</v>
      </c>
      <c r="L270" s="120">
        <f>Prod[[#This Row],[S1Shot]]*Prod[[#This Row],[S1Cavity]]-Prod[[#This Row],[S1Dft]]</f>
        <v>0</v>
      </c>
      <c r="M270" s="134"/>
      <c r="N270" s="194">
        <v>0</v>
      </c>
      <c r="O270" s="185">
        <v>0</v>
      </c>
      <c r="P270" s="130">
        <v>0</v>
      </c>
      <c r="Q270" s="130">
        <v>0</v>
      </c>
      <c r="R270" s="120">
        <f>Prod[[#This Row],[S2Shot]]*Prod[[#This Row],[S2Cavity]]-Prod[[#This Row],[S2Dft]]</f>
        <v>0</v>
      </c>
      <c r="S270" s="134"/>
      <c r="T270" s="194">
        <v>0</v>
      </c>
      <c r="U270" s="185">
        <v>0</v>
      </c>
      <c r="V270" s="130">
        <v>0</v>
      </c>
      <c r="W270" s="130">
        <v>0</v>
      </c>
      <c r="X270" s="120">
        <f>Prod[[#This Row],[S3Shot]]*Prod[[#This Row],[S3Cavity]]-Prod[[#This Row],[S3Dft]]</f>
        <v>0</v>
      </c>
      <c r="Y270" s="134"/>
      <c r="Z270" s="120">
        <f>SUM(Prod[[#This Row],[S1Qty]],Prod[[#This Row],[S2Qty]],Prod[[#This Row],[S3Qty]])</f>
        <v>0</v>
      </c>
      <c r="AA270" s="134"/>
      <c r="AB270" s="135"/>
      <c r="AC270" s="118"/>
      <c r="AD270" s="134"/>
      <c r="AE270" s="134"/>
      <c r="AF270" s="134"/>
      <c r="AG270" s="134"/>
      <c r="AH270" s="134"/>
      <c r="AI270" s="134"/>
      <c r="AJ270" s="134"/>
      <c r="AK270" s="134"/>
      <c r="AL270" s="134"/>
      <c r="AM270" s="134"/>
      <c r="AN270" s="134"/>
      <c r="AO270" s="134"/>
      <c r="AP270" s="134"/>
      <c r="AQ270" s="134"/>
      <c r="AR270" s="134"/>
      <c r="AS270" s="132">
        <f>IF(Prod[[#This Row],[S1Hrs]]=0,0,Prod[[#This Row],[S1Shot]]*Prod[[#This Row],[S1Cycle]]/(Prod[[#This Row],[S1Hrs]]*60*60))</f>
        <v>0</v>
      </c>
      <c r="AT270" s="132">
        <f>IF(Prod[[#This Row],[S2Hrs]]=0,0,Prod[[#This Row],[S2Shot]]*Prod[[#This Row],[S2Cycle]]/(Prod[[#This Row],[S2Hrs]]*60*60))</f>
        <v>0</v>
      </c>
      <c r="AU270" s="132">
        <f>IF(Prod[[#This Row],[S3Hrs]]=0,0,Prod[[#This Row],[S3Shot]]*Prod[[#This Row],[S3Cycle]]/(Prod[[#This Row],[S3Hrs]]*60*60))</f>
        <v>0</v>
      </c>
      <c r="AV270" s="132">
        <f>IFERROR(AVERAGEIF(Prod[[#This Row],[S1%]:[S3%]], "&lt;&gt;0"),0)</f>
        <v>0</v>
      </c>
      <c r="AW270" s="132">
        <v>0</v>
      </c>
      <c r="AX270" s="132">
        <v>0</v>
      </c>
      <c r="AY270" s="132">
        <v>0</v>
      </c>
      <c r="AZ270" s="175">
        <f>IF(Prod[[#This Row],[S1Cycle]]&lt;&gt;0,1,0)</f>
        <v>0</v>
      </c>
      <c r="BA270" s="175">
        <f>IF(Prod[[#This Row],[S2Cycle]]&lt;&gt;0,1,0)</f>
        <v>0</v>
      </c>
      <c r="BB270" s="175">
        <f>IF(Prod[[#This Row],[S3Cycle]]&lt;&gt;0,1,0)</f>
        <v>0</v>
      </c>
      <c r="BC270" s="175">
        <f>MAX(Prod[[#This Row],[S1Cavity]],Prod[[#This Row],[S2Cavity]],Prod[[#This Row],[S3Cavity]])</f>
        <v>0</v>
      </c>
      <c r="BD270" s="175" t="b">
        <f>RegExpMatch(Prod[[#This Row],[MoldNo]], "^DEO-(B|C)")</f>
        <v>0</v>
      </c>
      <c r="BE270" s="175" t="b">
        <f>RegExpMatch(Prod[[#This Row],[MoldNo]], "^JAC")</f>
        <v>0</v>
      </c>
    </row>
    <row r="271" spans="1:57" x14ac:dyDescent="0.2">
      <c r="A271" s="117">
        <v>45460</v>
      </c>
      <c r="B271" s="120" t="s">
        <v>196</v>
      </c>
      <c r="C271" s="119" t="s">
        <v>82</v>
      </c>
      <c r="D271" s="119">
        <v>27438</v>
      </c>
      <c r="E271" s="131" t="s">
        <v>199</v>
      </c>
      <c r="F271" s="119">
        <v>814</v>
      </c>
      <c r="G271" s="119" t="str">
        <f>IF(OR(Prod[[#This Row],[S1Hrs]]&gt;0,Prod[[#This Row],[S2Hrs]]&gt;0,Prod[[#This Row],[S3Hrs]]&gt;0),"Running","Down")</f>
        <v>Running</v>
      </c>
      <c r="H271" s="194">
        <v>20.68</v>
      </c>
      <c r="I271" s="185">
        <v>8</v>
      </c>
      <c r="J271" s="130">
        <v>1253</v>
      </c>
      <c r="K271" s="130">
        <v>16</v>
      </c>
      <c r="L271" s="120">
        <f>Prod[[#This Row],[S1Shot]]*Prod[[#This Row],[S1Cavity]]-Prod[[#This Row],[S1Dft]]</f>
        <v>20048</v>
      </c>
      <c r="M271" s="134"/>
      <c r="N271" s="194">
        <v>20.68</v>
      </c>
      <c r="O271" s="185">
        <v>8</v>
      </c>
      <c r="P271" s="130">
        <v>1397</v>
      </c>
      <c r="Q271" s="130">
        <v>16</v>
      </c>
      <c r="R271" s="120">
        <f>Prod[[#This Row],[S2Shot]]*Prod[[#This Row],[S2Cavity]]-Prod[[#This Row],[S2Dft]]</f>
        <v>22352</v>
      </c>
      <c r="S271" s="134"/>
      <c r="T271" s="194">
        <v>20.67</v>
      </c>
      <c r="U271" s="185">
        <v>8</v>
      </c>
      <c r="V271" s="130">
        <v>1357</v>
      </c>
      <c r="W271" s="130">
        <v>16</v>
      </c>
      <c r="X271" s="120">
        <f>Prod[[#This Row],[S3Shot]]*Prod[[#This Row],[S3Cavity]]-Prod[[#This Row],[S3Dft]]</f>
        <v>21712</v>
      </c>
      <c r="Y271" s="134"/>
      <c r="Z271" s="120">
        <f>SUM(Prod[[#This Row],[S1Qty]],Prod[[#This Row],[S2Qty]],Prod[[#This Row],[S3Qty]])</f>
        <v>64112</v>
      </c>
      <c r="AA271" s="134"/>
      <c r="AB271" s="135"/>
      <c r="AC271" s="118"/>
      <c r="AD271" s="134"/>
      <c r="AE271" s="134"/>
      <c r="AF271" s="134"/>
      <c r="AG271" s="134"/>
      <c r="AH271" s="134"/>
      <c r="AI271" s="134"/>
      <c r="AJ271" s="134"/>
      <c r="AK271" s="134"/>
      <c r="AL271" s="134"/>
      <c r="AM271" s="134"/>
      <c r="AN271" s="134"/>
      <c r="AO271" s="134"/>
      <c r="AP271" s="134"/>
      <c r="AQ271" s="134"/>
      <c r="AR271" s="134"/>
      <c r="AS271" s="132">
        <f>IF(Prod[[#This Row],[S1Hrs]]=0,0,Prod[[#This Row],[S1Shot]]*Prod[[#This Row],[S1Cycle]]/(Prod[[#This Row],[S1Hrs]]*60*60))</f>
        <v>0.8997236111111111</v>
      </c>
      <c r="AT271" s="132">
        <f>IF(Prod[[#This Row],[S2Hrs]]=0,0,Prod[[#This Row],[S2Shot]]*Prod[[#This Row],[S2Cycle]]/(Prod[[#This Row],[S2Hrs]]*60*60))</f>
        <v>1.003123611111111</v>
      </c>
      <c r="AU271" s="132">
        <f>IF(Prod[[#This Row],[S3Hrs]]=0,0,Prod[[#This Row],[S3Shot]]*Prod[[#This Row],[S3Cycle]]/(Prod[[#This Row],[S3Hrs]]*60*60))</f>
        <v>0.97393020833333344</v>
      </c>
      <c r="AV271" s="132">
        <f>IFERROR(AVERAGEIF(Prod[[#This Row],[S1%]:[S3%]], "&lt;&gt;0"),0)</f>
        <v>0.95892581018518508</v>
      </c>
      <c r="AW271" s="132">
        <v>0</v>
      </c>
      <c r="AX271" s="132">
        <v>0</v>
      </c>
      <c r="AY271" s="132">
        <v>0</v>
      </c>
      <c r="AZ271" s="175">
        <f>IF(Prod[[#This Row],[S1Cycle]]&lt;&gt;0,1,0)</f>
        <v>1</v>
      </c>
      <c r="BA271" s="175">
        <f>IF(Prod[[#This Row],[S2Cycle]]&lt;&gt;0,1,0)</f>
        <v>1</v>
      </c>
      <c r="BB271" s="175">
        <f>IF(Prod[[#This Row],[S3Cycle]]&lt;&gt;0,1,0)</f>
        <v>1</v>
      </c>
      <c r="BC271" s="175">
        <f>MAX(Prod[[#This Row],[S1Cavity]],Prod[[#This Row],[S2Cavity]],Prod[[#This Row],[S3Cavity]])</f>
        <v>16</v>
      </c>
      <c r="BD271" s="175" t="b">
        <f>RegExpMatch(Prod[[#This Row],[MoldNo]], "^DEO-(B|C)")</f>
        <v>0</v>
      </c>
      <c r="BE271" s="175" t="b">
        <f>RegExpMatch(Prod[[#This Row],[MoldNo]], "^JAC")</f>
        <v>0</v>
      </c>
    </row>
    <row r="272" spans="1:57" x14ac:dyDescent="0.2">
      <c r="A272" s="117">
        <v>45460</v>
      </c>
      <c r="B272" s="120" t="s">
        <v>192</v>
      </c>
      <c r="C272" s="131" t="s">
        <v>193</v>
      </c>
      <c r="D272" s="119"/>
      <c r="E272" s="131"/>
      <c r="F272" s="119"/>
      <c r="G272" s="119" t="str">
        <f>IF(OR(Prod[[#This Row],[S1Hrs]]&gt;0,Prod[[#This Row],[S2Hrs]]&gt;0,Prod[[#This Row],[S3Hrs]]&gt;0),"Running","Down")</f>
        <v>Down</v>
      </c>
      <c r="H272" s="194">
        <v>0</v>
      </c>
      <c r="I272" s="185">
        <v>0</v>
      </c>
      <c r="J272" s="130">
        <v>0</v>
      </c>
      <c r="K272" s="130">
        <v>0</v>
      </c>
      <c r="L272" s="120">
        <f>Prod[[#This Row],[S1Shot]]*Prod[[#This Row],[S1Cavity]]-Prod[[#This Row],[S1Dft]]</f>
        <v>0</v>
      </c>
      <c r="M272" s="134"/>
      <c r="N272" s="194">
        <v>0</v>
      </c>
      <c r="O272" s="185">
        <v>0</v>
      </c>
      <c r="P272" s="130">
        <v>0</v>
      </c>
      <c r="Q272" s="130">
        <v>0</v>
      </c>
      <c r="R272" s="120">
        <f>Prod[[#This Row],[S2Shot]]*Prod[[#This Row],[S2Cavity]]-Prod[[#This Row],[S2Dft]]</f>
        <v>0</v>
      </c>
      <c r="S272" s="134"/>
      <c r="T272" s="194">
        <v>0</v>
      </c>
      <c r="U272" s="185">
        <v>0</v>
      </c>
      <c r="V272" s="130">
        <v>0</v>
      </c>
      <c r="W272" s="130">
        <v>0</v>
      </c>
      <c r="X272" s="120">
        <f>Prod[[#This Row],[S3Shot]]*Prod[[#This Row],[S3Cavity]]-Prod[[#This Row],[S3Dft]]</f>
        <v>0</v>
      </c>
      <c r="Y272" s="134"/>
      <c r="Z272" s="120">
        <f>SUM(Prod[[#This Row],[S1Qty]],Prod[[#This Row],[S2Qty]],Prod[[#This Row],[S3Qty]])</f>
        <v>0</v>
      </c>
      <c r="AA272" s="134"/>
      <c r="AB272" s="135"/>
      <c r="AC272" s="118"/>
      <c r="AD272" s="134"/>
      <c r="AE272" s="134"/>
      <c r="AF272" s="134"/>
      <c r="AG272" s="134"/>
      <c r="AH272" s="134"/>
      <c r="AI272" s="134"/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2">
        <f>IF(Prod[[#This Row],[S1Hrs]]=0,0,Prod[[#This Row],[S1Shot]]*Prod[[#This Row],[S1Cycle]]/(Prod[[#This Row],[S1Hrs]]*60*60))</f>
        <v>0</v>
      </c>
      <c r="AT272" s="132">
        <f>IF(Prod[[#This Row],[S2Hrs]]=0,0,Prod[[#This Row],[S2Shot]]*Prod[[#This Row],[S2Cycle]]/(Prod[[#This Row],[S2Hrs]]*60*60))</f>
        <v>0</v>
      </c>
      <c r="AU272" s="132">
        <f>IF(Prod[[#This Row],[S3Hrs]]=0,0,Prod[[#This Row],[S3Shot]]*Prod[[#This Row],[S3Cycle]]/(Prod[[#This Row],[S3Hrs]]*60*60))</f>
        <v>0</v>
      </c>
      <c r="AV272" s="132">
        <f>IFERROR(AVERAGEIF(Prod[[#This Row],[S1%]:[S3%]], "&lt;&gt;0"),0)</f>
        <v>0</v>
      </c>
      <c r="AW272" s="132">
        <v>0</v>
      </c>
      <c r="AX272" s="132">
        <v>0</v>
      </c>
      <c r="AY272" s="132">
        <v>0</v>
      </c>
      <c r="AZ272" s="175">
        <f>IF(Prod[[#This Row],[S1Cycle]]&lt;&gt;0,1,0)</f>
        <v>0</v>
      </c>
      <c r="BA272" s="175">
        <f>IF(Prod[[#This Row],[S2Cycle]]&lt;&gt;0,1,0)</f>
        <v>0</v>
      </c>
      <c r="BB272" s="175">
        <f>IF(Prod[[#This Row],[S3Cycle]]&lt;&gt;0,1,0)</f>
        <v>0</v>
      </c>
      <c r="BC272" s="175">
        <f>MAX(Prod[[#This Row],[S1Cavity]],Prod[[#This Row],[S2Cavity]],Prod[[#This Row],[S3Cavity]])</f>
        <v>0</v>
      </c>
      <c r="BD272" s="175" t="b">
        <f>RegExpMatch(Prod[[#This Row],[MoldNo]], "^DEO-(B|C)")</f>
        <v>0</v>
      </c>
      <c r="BE272" s="175" t="b">
        <f>RegExpMatch(Prod[[#This Row],[MoldNo]], "^JAC")</f>
        <v>0</v>
      </c>
    </row>
    <row r="273" spans="1:57" x14ac:dyDescent="0.2">
      <c r="A273" s="117">
        <v>45460</v>
      </c>
      <c r="B273" s="120" t="s">
        <v>168</v>
      </c>
      <c r="C273" s="119" t="s">
        <v>169</v>
      </c>
      <c r="D273" s="119">
        <v>26687</v>
      </c>
      <c r="E273" s="131" t="s">
        <v>199</v>
      </c>
      <c r="F273" s="119">
        <v>814</v>
      </c>
      <c r="G273" s="119" t="str">
        <f>IF(OR(Prod[[#This Row],[S1Hrs]]&gt;0,Prod[[#This Row],[S2Hrs]]&gt;0,Prod[[#This Row],[S3Hrs]]&gt;0),"Running","Down")</f>
        <v>Running</v>
      </c>
      <c r="H273" s="194">
        <v>15.46</v>
      </c>
      <c r="I273" s="185">
        <v>8</v>
      </c>
      <c r="J273" s="130">
        <v>1901</v>
      </c>
      <c r="K273" s="130">
        <v>15</v>
      </c>
      <c r="L273" s="120">
        <f>Prod[[#This Row],[S1Shot]]*Prod[[#This Row],[S1Cavity]]-Prod[[#This Row],[S1Dft]]</f>
        <v>28515</v>
      </c>
      <c r="M273" s="134"/>
      <c r="N273" s="194">
        <v>15.46</v>
      </c>
      <c r="O273" s="185">
        <v>8</v>
      </c>
      <c r="P273" s="130">
        <v>1826</v>
      </c>
      <c r="Q273" s="130">
        <v>15</v>
      </c>
      <c r="R273" s="120">
        <f>Prod[[#This Row],[S2Shot]]*Prod[[#This Row],[S2Cavity]]-Prod[[#This Row],[S2Dft]]</f>
        <v>27390</v>
      </c>
      <c r="S273" s="134"/>
      <c r="T273" s="194">
        <v>15.4</v>
      </c>
      <c r="U273" s="185">
        <v>8</v>
      </c>
      <c r="V273" s="130">
        <v>1874</v>
      </c>
      <c r="W273" s="130">
        <v>15</v>
      </c>
      <c r="X273" s="120">
        <f>Prod[[#This Row],[S3Shot]]*Prod[[#This Row],[S3Cavity]]-Prod[[#This Row],[S3Dft]]</f>
        <v>28110</v>
      </c>
      <c r="Y273" s="134"/>
      <c r="Z273" s="120">
        <f>SUM(Prod[[#This Row],[S1Qty]],Prod[[#This Row],[S2Qty]],Prod[[#This Row],[S3Qty]])</f>
        <v>84015</v>
      </c>
      <c r="AA273" s="134"/>
      <c r="AB273" s="135"/>
      <c r="AC273" s="118"/>
      <c r="AD273" s="134"/>
      <c r="AE273" s="134"/>
      <c r="AF273" s="134"/>
      <c r="AG273" s="134"/>
      <c r="AH273" s="134"/>
      <c r="AI273" s="134"/>
      <c r="AJ273" s="134"/>
      <c r="AK273" s="134"/>
      <c r="AL273" s="134"/>
      <c r="AM273" s="134"/>
      <c r="AN273" s="134"/>
      <c r="AO273" s="134"/>
      <c r="AP273" s="134"/>
      <c r="AQ273" s="134"/>
      <c r="AR273" s="134"/>
      <c r="AS273" s="132">
        <f>IF(Prod[[#This Row],[S1Hrs]]=0,0,Prod[[#This Row],[S1Shot]]*Prod[[#This Row],[S1Cycle]]/(Prod[[#This Row],[S1Hrs]]*60*60))</f>
        <v>1.0204673611111112</v>
      </c>
      <c r="AT273" s="132">
        <f>IF(Prod[[#This Row],[S2Hrs]]=0,0,Prod[[#This Row],[S2Shot]]*Prod[[#This Row],[S2Cycle]]/(Prod[[#This Row],[S2Hrs]]*60*60))</f>
        <v>0.98020694444444456</v>
      </c>
      <c r="AU273" s="132">
        <f>IF(Prod[[#This Row],[S3Hrs]]=0,0,Prod[[#This Row],[S3Shot]]*Prod[[#This Row],[S3Cycle]]/(Prod[[#This Row],[S3Hrs]]*60*60))</f>
        <v>1.0020694444444445</v>
      </c>
      <c r="AV273" s="132">
        <f>IFERROR(AVERAGEIF(Prod[[#This Row],[S1%]:[S3%]], "&lt;&gt;0"),0)</f>
        <v>1.0009145833333335</v>
      </c>
      <c r="AW273" s="132">
        <v>0</v>
      </c>
      <c r="AX273" s="132">
        <v>0</v>
      </c>
      <c r="AY273" s="132">
        <v>0</v>
      </c>
      <c r="AZ273" s="175">
        <f>IF(Prod[[#This Row],[S1Cycle]]&lt;&gt;0,1,0)</f>
        <v>1</v>
      </c>
      <c r="BA273" s="175">
        <f>IF(Prod[[#This Row],[S2Cycle]]&lt;&gt;0,1,0)</f>
        <v>1</v>
      </c>
      <c r="BB273" s="175">
        <f>IF(Prod[[#This Row],[S3Cycle]]&lt;&gt;0,1,0)</f>
        <v>1</v>
      </c>
      <c r="BC273" s="175">
        <f>MAX(Prod[[#This Row],[S1Cavity]],Prod[[#This Row],[S2Cavity]],Prod[[#This Row],[S3Cavity]])</f>
        <v>15</v>
      </c>
      <c r="BD273" s="175" t="b">
        <f>RegExpMatch(Prod[[#This Row],[MoldNo]], "^DEO-(B|C)")</f>
        <v>0</v>
      </c>
      <c r="BE273" s="175" t="b">
        <f>RegExpMatch(Prod[[#This Row],[MoldNo]], "^JAC")</f>
        <v>0</v>
      </c>
    </row>
    <row r="274" spans="1:57" x14ac:dyDescent="0.2">
      <c r="A274" s="117">
        <v>45460</v>
      </c>
      <c r="B274" s="120" t="s">
        <v>146</v>
      </c>
      <c r="C274" s="119" t="s">
        <v>84</v>
      </c>
      <c r="D274" s="119">
        <v>27501</v>
      </c>
      <c r="E274" s="131" t="s">
        <v>199</v>
      </c>
      <c r="F274" s="119">
        <v>6331</v>
      </c>
      <c r="G274" s="119" t="str">
        <f>IF(OR(Prod[[#This Row],[S1Hrs]]&gt;0,Prod[[#This Row],[S2Hrs]]&gt;0,Prod[[#This Row],[S3Hrs]]&gt;0),"Running","Down")</f>
        <v>Running</v>
      </c>
      <c r="H274" s="194">
        <v>11.99</v>
      </c>
      <c r="I274" s="185">
        <v>8</v>
      </c>
      <c r="J274" s="130">
        <v>2179</v>
      </c>
      <c r="K274" s="130">
        <v>8</v>
      </c>
      <c r="L274" s="120">
        <f>Prod[[#This Row],[S1Shot]]*Prod[[#This Row],[S1Cavity]]-Prod[[#This Row],[S1Dft]]</f>
        <v>17432</v>
      </c>
      <c r="M274" s="134"/>
      <c r="N274" s="194">
        <v>11.99</v>
      </c>
      <c r="O274" s="185">
        <v>8</v>
      </c>
      <c r="P274" s="130">
        <v>2266</v>
      </c>
      <c r="Q274" s="130">
        <v>8</v>
      </c>
      <c r="R274" s="120">
        <f>Prod[[#This Row],[S2Shot]]*Prod[[#This Row],[S2Cavity]]-Prod[[#This Row],[S2Dft]]</f>
        <v>18128</v>
      </c>
      <c r="S274" s="134"/>
      <c r="T274" s="194">
        <v>11.99</v>
      </c>
      <c r="U274" s="185">
        <v>8</v>
      </c>
      <c r="V274" s="130">
        <v>2451</v>
      </c>
      <c r="W274" s="130">
        <v>8</v>
      </c>
      <c r="X274" s="120">
        <f>Prod[[#This Row],[S3Shot]]*Prod[[#This Row],[S3Cavity]]-Prod[[#This Row],[S3Dft]]</f>
        <v>19608</v>
      </c>
      <c r="Y274" s="134"/>
      <c r="Z274" s="120">
        <f>SUM(Prod[[#This Row],[S1Qty]],Prod[[#This Row],[S2Qty]],Prod[[#This Row],[S3Qty]])</f>
        <v>55168</v>
      </c>
      <c r="AA274" s="134"/>
      <c r="AB274" s="135"/>
      <c r="AC274" s="118"/>
      <c r="AD274" s="134"/>
      <c r="AE274" s="134"/>
      <c r="AF274" s="134"/>
      <c r="AG274" s="134"/>
      <c r="AH274" s="134"/>
      <c r="AI274" s="134"/>
      <c r="AJ274" s="134"/>
      <c r="AK274" s="134"/>
      <c r="AL274" s="134"/>
      <c r="AM274" s="134"/>
      <c r="AN274" s="134"/>
      <c r="AO274" s="134"/>
      <c r="AP274" s="134"/>
      <c r="AQ274" s="134"/>
      <c r="AR274" s="134"/>
      <c r="AS274" s="132">
        <f>IF(Prod[[#This Row],[S1Hrs]]=0,0,Prod[[#This Row],[S1Shot]]*Prod[[#This Row],[S1Cycle]]/(Prod[[#This Row],[S1Hrs]]*60*60))</f>
        <v>0.90716006944444438</v>
      </c>
      <c r="AT274" s="132">
        <f>IF(Prod[[#This Row],[S2Hrs]]=0,0,Prod[[#This Row],[S2Shot]]*Prod[[#This Row],[S2Cycle]]/(Prod[[#This Row],[S2Hrs]]*60*60))</f>
        <v>0.94337986111111116</v>
      </c>
      <c r="AU274" s="132">
        <f>IF(Prod[[#This Row],[S3Hrs]]=0,0,Prod[[#This Row],[S3Shot]]*Prod[[#This Row],[S3Cycle]]/(Prod[[#This Row],[S3Hrs]]*60*60))</f>
        <v>1.0203989583333335</v>
      </c>
      <c r="AV274" s="132">
        <f>IFERROR(AVERAGEIF(Prod[[#This Row],[S1%]:[S3%]], "&lt;&gt;0"),0)</f>
        <v>0.95697962962962979</v>
      </c>
      <c r="AW274" s="132">
        <v>0</v>
      </c>
      <c r="AX274" s="132">
        <v>0</v>
      </c>
      <c r="AY274" s="132">
        <v>0</v>
      </c>
      <c r="AZ274" s="175">
        <f>IF(Prod[[#This Row],[S1Cycle]]&lt;&gt;0,1,0)</f>
        <v>1</v>
      </c>
      <c r="BA274" s="175">
        <f>IF(Prod[[#This Row],[S2Cycle]]&lt;&gt;0,1,0)</f>
        <v>1</v>
      </c>
      <c r="BB274" s="175">
        <f>IF(Prod[[#This Row],[S3Cycle]]&lt;&gt;0,1,0)</f>
        <v>1</v>
      </c>
      <c r="BC274" s="175">
        <f>MAX(Prod[[#This Row],[S1Cavity]],Prod[[#This Row],[S2Cavity]],Prod[[#This Row],[S3Cavity]])</f>
        <v>8</v>
      </c>
      <c r="BD274" s="175" t="b">
        <f>RegExpMatch(Prod[[#This Row],[MoldNo]], "^DEO-(B|C)")</f>
        <v>0</v>
      </c>
      <c r="BE274" s="175" t="b">
        <f>RegExpMatch(Prod[[#This Row],[MoldNo]], "^JAC")</f>
        <v>0</v>
      </c>
    </row>
    <row r="275" spans="1:57" x14ac:dyDescent="0.2">
      <c r="A275" s="117">
        <v>45460</v>
      </c>
      <c r="B275" s="130" t="s">
        <v>164</v>
      </c>
      <c r="C275" s="131" t="s">
        <v>144</v>
      </c>
      <c r="D275" s="119"/>
      <c r="E275" s="131"/>
      <c r="F275" s="119"/>
      <c r="G275" s="119" t="str">
        <f>IF(OR(Prod[[#This Row],[S1Hrs]]&gt;0,Prod[[#This Row],[S2Hrs]]&gt;0,Prod[[#This Row],[S3Hrs]]&gt;0),"Running","Down")</f>
        <v>Down</v>
      </c>
      <c r="H275" s="194">
        <v>0</v>
      </c>
      <c r="I275" s="185">
        <v>0</v>
      </c>
      <c r="J275" s="130">
        <v>0</v>
      </c>
      <c r="K275" s="130">
        <v>0</v>
      </c>
      <c r="L275" s="120">
        <f>Prod[[#This Row],[S1Shot]]*Prod[[#This Row],[S1Cavity]]-Prod[[#This Row],[S1Dft]]</f>
        <v>0</v>
      </c>
      <c r="M275" s="136">
        <f>SUM(Prod[[#This Row],[S1Mold]],Prod[[#This Row],[S1Print]],Prod[[#This Row],[S1Ovlp]],Prod[[#This Row],[S1Seam]],Prod[[#This Row],[S1Dmg]])</f>
        <v>0</v>
      </c>
      <c r="N275" s="194">
        <v>0</v>
      </c>
      <c r="O275" s="185">
        <v>0</v>
      </c>
      <c r="P275" s="130">
        <v>0</v>
      </c>
      <c r="Q275" s="130">
        <v>0</v>
      </c>
      <c r="R275" s="120">
        <f>Prod[[#This Row],[S2Shot]]*Prod[[#This Row],[S2Cavity]]-Prod[[#This Row],[S2Dft]]</f>
        <v>0</v>
      </c>
      <c r="S275" s="136">
        <f>SUM(Prod[[#This Row],[S2Mold]],Prod[[#This Row],[S2Print]],Prod[[#This Row],[S2Ovlp]],Prod[[#This Row],[S2Seam]],Prod[[#This Row],[S2Dmg]])</f>
        <v>0</v>
      </c>
      <c r="T275" s="194">
        <v>0</v>
      </c>
      <c r="U275" s="185">
        <v>0</v>
      </c>
      <c r="V275" s="130">
        <v>0</v>
      </c>
      <c r="W275" s="130">
        <v>0</v>
      </c>
      <c r="X275" s="120">
        <f>Prod[[#This Row],[S3Shot]]*Prod[[#This Row],[S3Cavity]]-Prod[[#This Row],[S3Dft]]</f>
        <v>0</v>
      </c>
      <c r="Y275" s="120">
        <f>SUM(Prod[[#This Row],[S3Mold]],Prod[[#This Row],[S3Print]],Prod[[#This Row],[S3Ovlp]],Prod[[#This Row],[S3Seam]],Prod[[#This Row],[S3Dmg]])</f>
        <v>0</v>
      </c>
      <c r="Z275" s="120">
        <f>SUM(Prod[[#This Row],[S1Qty]],Prod[[#This Row],[S2Qty]],Prod[[#This Row],[S3Qty]])</f>
        <v>0</v>
      </c>
      <c r="AA275" s="120">
        <f>SUM(Prod[[#This Row],[S1Dft]],Prod[[#This Row],[S2Dft]],Prod[[#This Row],[S3Dft]])</f>
        <v>0</v>
      </c>
      <c r="AB275" s="121">
        <f>IF(Prod[[#This Row],[Total]]=0,0,Prod[[#This Row],[TotalDft]]/Prod[[#This Row],[Total]])</f>
        <v>0</v>
      </c>
      <c r="AC275" s="118"/>
      <c r="AD275" s="120">
        <v>0</v>
      </c>
      <c r="AE275" s="120">
        <v>0</v>
      </c>
      <c r="AF275" s="120">
        <v>0</v>
      </c>
      <c r="AG275" s="120">
        <v>0</v>
      </c>
      <c r="AH275" s="120">
        <v>0</v>
      </c>
      <c r="AI275" s="120">
        <v>0</v>
      </c>
      <c r="AJ275" s="120">
        <v>0</v>
      </c>
      <c r="AK275" s="120">
        <v>0</v>
      </c>
      <c r="AL275" s="120">
        <v>0</v>
      </c>
      <c r="AM275" s="120">
        <v>0</v>
      </c>
      <c r="AN275" s="120">
        <v>0</v>
      </c>
      <c r="AO275" s="120">
        <v>0</v>
      </c>
      <c r="AP275" s="120">
        <v>0</v>
      </c>
      <c r="AQ275" s="120">
        <v>0</v>
      </c>
      <c r="AR275" s="120">
        <v>0</v>
      </c>
      <c r="AS275" s="132">
        <f>IF(Prod[[#This Row],[S1Hrs]]=0,0,Prod[[#This Row],[S1Shot]]*Prod[[#This Row],[S1Cycle]]/(Prod[[#This Row],[S1Hrs]]*60*60))</f>
        <v>0</v>
      </c>
      <c r="AT275" s="132">
        <f>IF(Prod[[#This Row],[S2Hrs]]=0,0,Prod[[#This Row],[S2Shot]]*Prod[[#This Row],[S2Cycle]]/(Prod[[#This Row],[S2Hrs]]*60*60))</f>
        <v>0</v>
      </c>
      <c r="AU275" s="132">
        <f>IF(Prod[[#This Row],[S3Hrs]]=0,0,Prod[[#This Row],[S3Shot]]*Prod[[#This Row],[S3Cycle]]/(Prod[[#This Row],[S3Hrs]]*60*60))</f>
        <v>0</v>
      </c>
      <c r="AV275" s="132">
        <f>IFERROR(AVERAGEIF(Prod[[#This Row],[S1%]:[S3%]], "&lt;&gt;0"),0)</f>
        <v>0</v>
      </c>
      <c r="AW275" s="132">
        <v>0</v>
      </c>
      <c r="AX275" s="132">
        <v>0</v>
      </c>
      <c r="AY275" s="132">
        <v>0</v>
      </c>
      <c r="AZ275" s="175">
        <f>IF(Prod[[#This Row],[S1Cycle]]&lt;&gt;0,1,0)</f>
        <v>0</v>
      </c>
      <c r="BA275" s="175">
        <f>IF(Prod[[#This Row],[S2Cycle]]&lt;&gt;0,1,0)</f>
        <v>0</v>
      </c>
      <c r="BB275" s="175">
        <f>IF(Prod[[#This Row],[S3Cycle]]&lt;&gt;0,1,0)</f>
        <v>0</v>
      </c>
      <c r="BC275" s="175">
        <f>MAX(Prod[[#This Row],[S1Cavity]],Prod[[#This Row],[S2Cavity]],Prod[[#This Row],[S3Cavity]])</f>
        <v>0</v>
      </c>
      <c r="BD275" s="175" t="b">
        <f>RegExpMatch(Prod[[#This Row],[MoldNo]], "^DEO-(B|C)")</f>
        <v>1</v>
      </c>
      <c r="BE275" s="175" t="b">
        <f>RegExpMatch(Prod[[#This Row],[MoldNo]], "^JAC")</f>
        <v>0</v>
      </c>
    </row>
    <row r="276" spans="1:57" x14ac:dyDescent="0.2">
      <c r="A276" s="117">
        <v>45460</v>
      </c>
      <c r="B276" s="130" t="s">
        <v>162</v>
      </c>
      <c r="C276" s="131" t="s">
        <v>163</v>
      </c>
      <c r="D276" s="119"/>
      <c r="E276" s="131"/>
      <c r="F276" s="119"/>
      <c r="G276" s="119" t="str">
        <f>IF(OR(Prod[[#This Row],[S1Hrs]]&gt;0,Prod[[#This Row],[S2Hrs]]&gt;0,Prod[[#This Row],[S3Hrs]]&gt;0),"Running","Down")</f>
        <v>Down</v>
      </c>
      <c r="H276" s="194">
        <v>0</v>
      </c>
      <c r="I276" s="185">
        <v>0</v>
      </c>
      <c r="J276" s="130">
        <v>0</v>
      </c>
      <c r="K276" s="130">
        <v>0</v>
      </c>
      <c r="L276" s="120">
        <f>Prod[[#This Row],[S1Shot]]*Prod[[#This Row],[S1Cavity]]-Prod[[#This Row],[S1Dft]]</f>
        <v>0</v>
      </c>
      <c r="M276" s="136">
        <f>SUM(Prod[[#This Row],[S1Mold]],Prod[[#This Row],[S1Print]],Prod[[#This Row],[S1Ovlp]],Prod[[#This Row],[S1Seam]],Prod[[#This Row],[S1Dmg]])</f>
        <v>0</v>
      </c>
      <c r="N276" s="194">
        <v>0</v>
      </c>
      <c r="O276" s="185">
        <v>0</v>
      </c>
      <c r="P276" s="130">
        <v>0</v>
      </c>
      <c r="Q276" s="130">
        <v>0</v>
      </c>
      <c r="R276" s="120">
        <f>Prod[[#This Row],[S2Shot]]*Prod[[#This Row],[S2Cavity]]-Prod[[#This Row],[S2Dft]]</f>
        <v>0</v>
      </c>
      <c r="S276" s="136">
        <f>SUM(Prod[[#This Row],[S2Mold]],Prod[[#This Row],[S2Print]],Prod[[#This Row],[S2Ovlp]],Prod[[#This Row],[S2Seam]],Prod[[#This Row],[S2Dmg]])</f>
        <v>0</v>
      </c>
      <c r="T276" s="194">
        <v>0</v>
      </c>
      <c r="U276" s="185">
        <v>0</v>
      </c>
      <c r="V276" s="130">
        <v>0</v>
      </c>
      <c r="W276" s="130">
        <v>0</v>
      </c>
      <c r="X276" s="120">
        <f>Prod[[#This Row],[S3Shot]]*Prod[[#This Row],[S3Cavity]]-Prod[[#This Row],[S3Dft]]</f>
        <v>0</v>
      </c>
      <c r="Y276" s="120">
        <f>SUM(Prod[[#This Row],[S3Mold]],Prod[[#This Row],[S3Print]],Prod[[#This Row],[S3Ovlp]],Prod[[#This Row],[S3Seam]],Prod[[#This Row],[S3Dmg]])</f>
        <v>0</v>
      </c>
      <c r="Z276" s="120">
        <f>SUM(Prod[[#This Row],[S1Qty]],Prod[[#This Row],[S2Qty]],Prod[[#This Row],[S3Qty]])</f>
        <v>0</v>
      </c>
      <c r="AA276" s="120">
        <f>SUM(Prod[[#This Row],[S1Dft]],Prod[[#This Row],[S2Dft]],Prod[[#This Row],[S3Dft]])</f>
        <v>0</v>
      </c>
      <c r="AB276" s="121">
        <f>IF(Prod[[#This Row],[Total]]=0,0,Prod[[#This Row],[TotalDft]]/Prod[[#This Row],[Total]])</f>
        <v>0</v>
      </c>
      <c r="AC276" s="118"/>
      <c r="AD276" s="120">
        <v>0</v>
      </c>
      <c r="AE276" s="120">
        <v>0</v>
      </c>
      <c r="AF276" s="120">
        <v>0</v>
      </c>
      <c r="AG276" s="120">
        <v>0</v>
      </c>
      <c r="AH276" s="120">
        <v>0</v>
      </c>
      <c r="AI276" s="120">
        <v>0</v>
      </c>
      <c r="AJ276" s="120">
        <v>0</v>
      </c>
      <c r="AK276" s="120">
        <v>0</v>
      </c>
      <c r="AL276" s="120">
        <v>0</v>
      </c>
      <c r="AM276" s="120">
        <v>0</v>
      </c>
      <c r="AN276" s="120">
        <v>0</v>
      </c>
      <c r="AO276" s="120">
        <v>0</v>
      </c>
      <c r="AP276" s="120">
        <v>0</v>
      </c>
      <c r="AQ276" s="120">
        <v>0</v>
      </c>
      <c r="AR276" s="120">
        <v>0</v>
      </c>
      <c r="AS276" s="132">
        <f>IF(Prod[[#This Row],[S1Hrs]]=0,0,Prod[[#This Row],[S1Shot]]*Prod[[#This Row],[S1Cycle]]/(Prod[[#This Row],[S1Hrs]]*60*60))</f>
        <v>0</v>
      </c>
      <c r="AT276" s="132">
        <f>IF(Prod[[#This Row],[S2Hrs]]=0,0,Prod[[#This Row],[S2Shot]]*Prod[[#This Row],[S2Cycle]]/(Prod[[#This Row],[S2Hrs]]*60*60))</f>
        <v>0</v>
      </c>
      <c r="AU276" s="132">
        <f>IF(Prod[[#This Row],[S3Hrs]]=0,0,Prod[[#This Row],[S3Shot]]*Prod[[#This Row],[S3Cycle]]/(Prod[[#This Row],[S3Hrs]]*60*60))</f>
        <v>0</v>
      </c>
      <c r="AV276" s="132">
        <f>IFERROR(AVERAGEIF(Prod[[#This Row],[S1%]:[S3%]], "&lt;&gt;0"),0)</f>
        <v>0</v>
      </c>
      <c r="AW276" s="132">
        <v>0</v>
      </c>
      <c r="AX276" s="132">
        <v>0</v>
      </c>
      <c r="AY276" s="132">
        <v>0</v>
      </c>
      <c r="AZ276" s="175">
        <f>IF(Prod[[#This Row],[S1Cycle]]&lt;&gt;0,1,0)</f>
        <v>0</v>
      </c>
      <c r="BA276" s="175">
        <f>IF(Prod[[#This Row],[S2Cycle]]&lt;&gt;0,1,0)</f>
        <v>0</v>
      </c>
      <c r="BB276" s="175">
        <f>IF(Prod[[#This Row],[S3Cycle]]&lt;&gt;0,1,0)</f>
        <v>0</v>
      </c>
      <c r="BC276" s="175">
        <f>MAX(Prod[[#This Row],[S1Cavity]],Prod[[#This Row],[S2Cavity]],Prod[[#This Row],[S3Cavity]])</f>
        <v>0</v>
      </c>
      <c r="BD276" s="175" t="b">
        <f>RegExpMatch(Prod[[#This Row],[MoldNo]], "^DEO-(B|C)")</f>
        <v>1</v>
      </c>
      <c r="BE276" s="175" t="b">
        <f>RegExpMatch(Prod[[#This Row],[MoldNo]], "^JAC")</f>
        <v>0</v>
      </c>
    </row>
    <row r="277" spans="1:57" x14ac:dyDescent="0.2">
      <c r="A277" s="117">
        <v>45460</v>
      </c>
      <c r="B277" s="241" t="s">
        <v>254</v>
      </c>
      <c r="C277" s="131" t="s">
        <v>255</v>
      </c>
      <c r="D277" s="119"/>
      <c r="E277" s="131"/>
      <c r="F277" s="119"/>
      <c r="G277" s="119" t="str">
        <f>IF(OR(Prod[[#This Row],[S1Hrs]]&gt;0,Prod[[#This Row],[S2Hrs]]&gt;0,Prod[[#This Row],[S3Hrs]]&gt;0),"Running","Down")</f>
        <v>Down</v>
      </c>
      <c r="H277" s="242">
        <v>0</v>
      </c>
      <c r="I277" s="243">
        <v>0</v>
      </c>
      <c r="J277" s="244">
        <v>0</v>
      </c>
      <c r="K277" s="241">
        <v>0</v>
      </c>
      <c r="L277" s="244">
        <f>Prod[[#This Row],[S1Shot]]*Prod[[#This Row],[S1Cavity]]-Prod[[#This Row],[S1Dft]]</f>
        <v>0</v>
      </c>
      <c r="M277" s="245">
        <f>SUM(Prod[[#This Row],[S1Mold]],Prod[[#This Row],[S1Print]],Prod[[#This Row],[S1Ovlp]],Prod[[#This Row],[S1Seam]],Prod[[#This Row],[S1Dmg]])</f>
        <v>0</v>
      </c>
      <c r="N277" s="242">
        <v>0</v>
      </c>
      <c r="O277" s="243">
        <v>0</v>
      </c>
      <c r="P277" s="244">
        <v>0</v>
      </c>
      <c r="Q277" s="241">
        <v>0</v>
      </c>
      <c r="R277" s="244">
        <f>Prod[[#This Row],[S2Shot]]*Prod[[#This Row],[S2Cavity]]-Prod[[#This Row],[S2Dft]]</f>
        <v>0</v>
      </c>
      <c r="S277" s="245">
        <f>SUM(Prod[[#This Row],[S2Mold]],Prod[[#This Row],[S2Print]],Prod[[#This Row],[S2Ovlp]],Prod[[#This Row],[S2Seam]],Prod[[#This Row],[S2Dmg]])</f>
        <v>0</v>
      </c>
      <c r="T277" s="242">
        <v>0</v>
      </c>
      <c r="U277" s="243">
        <v>0</v>
      </c>
      <c r="V277" s="244">
        <v>0</v>
      </c>
      <c r="W277" s="241">
        <v>0</v>
      </c>
      <c r="X277" s="244">
        <f>Prod[[#This Row],[S3Shot]]*Prod[[#This Row],[S3Cavity]]-Prod[[#This Row],[S3Dft]]</f>
        <v>0</v>
      </c>
      <c r="Y277" s="244">
        <f>SUM(Prod[[#This Row],[S3Mold]],Prod[[#This Row],[S3Print]],Prod[[#This Row],[S3Ovlp]],Prod[[#This Row],[S3Seam]],Prod[[#This Row],[S3Dmg]])</f>
        <v>0</v>
      </c>
      <c r="Z277" s="244">
        <f>SUM(Prod[[#This Row],[S1Qty]],Prod[[#This Row],[S2Qty]],Prod[[#This Row],[S3Qty]])</f>
        <v>0</v>
      </c>
      <c r="AA277" s="244">
        <f>SUM(Prod[[#This Row],[S1Dft]],Prod[[#This Row],[S2Dft]],Prod[[#This Row],[S3Dft]])</f>
        <v>0</v>
      </c>
      <c r="AB277" s="246">
        <f>IF(Prod[[#This Row],[Total]]=0,0,Prod[[#This Row],[TotalDft]]/Prod[[#This Row],[Total]])</f>
        <v>0</v>
      </c>
      <c r="AC277" s="131"/>
      <c r="AD277" s="244">
        <v>0</v>
      </c>
      <c r="AE277" s="244">
        <v>0</v>
      </c>
      <c r="AF277" s="244">
        <v>0</v>
      </c>
      <c r="AG277" s="244">
        <v>0</v>
      </c>
      <c r="AH277" s="244">
        <v>0</v>
      </c>
      <c r="AI277" s="244">
        <v>0</v>
      </c>
      <c r="AJ277" s="244">
        <v>0</v>
      </c>
      <c r="AK277" s="244">
        <v>0</v>
      </c>
      <c r="AL277" s="244">
        <v>0</v>
      </c>
      <c r="AM277" s="244">
        <v>0</v>
      </c>
      <c r="AN277" s="244">
        <v>0</v>
      </c>
      <c r="AO277" s="244">
        <v>0</v>
      </c>
      <c r="AP277" s="244">
        <v>0</v>
      </c>
      <c r="AQ277" s="244">
        <v>0</v>
      </c>
      <c r="AR277" s="244">
        <v>0</v>
      </c>
      <c r="AS277" s="247">
        <f>IF(Prod[[#This Row],[S1Hrs]]=0,0,Prod[[#This Row],[S1Shot]]*Prod[[#This Row],[S1Cycle]]/(Prod[[#This Row],[S1Hrs]]*60*60))</f>
        <v>0</v>
      </c>
      <c r="AT277" s="247">
        <f>IF(Prod[[#This Row],[S2Hrs]]=0,0,Prod[[#This Row],[S2Shot]]*Prod[[#This Row],[S2Cycle]]/(Prod[[#This Row],[S2Hrs]]*60*60))</f>
        <v>0</v>
      </c>
      <c r="AU277" s="247">
        <f>IF(Prod[[#This Row],[S3Hrs]]=0,0,Prod[[#This Row],[S3Shot]]*Prod[[#This Row],[S3Cycle]]/(Prod[[#This Row],[S3Hrs]]*60*60))</f>
        <v>0</v>
      </c>
      <c r="AV277" s="247">
        <f>IFERROR(AVERAGEIF(Prod[[#This Row],[S1%]:[S3%]], "&lt;&gt;0"),0)</f>
        <v>0</v>
      </c>
      <c r="AW277" s="247">
        <v>0</v>
      </c>
      <c r="AX277" s="247">
        <v>0</v>
      </c>
      <c r="AY277" s="247">
        <v>0</v>
      </c>
      <c r="AZ277" s="248">
        <f>IF(Prod[[#This Row],[S1Cycle]]&lt;&gt;0,1,0)</f>
        <v>0</v>
      </c>
      <c r="BA277" s="248">
        <f>IF(Prod[[#This Row],[S2Cycle]]&lt;&gt;0,1,0)</f>
        <v>0</v>
      </c>
      <c r="BB277" s="248">
        <f>IF(Prod[[#This Row],[S3Cycle]]&lt;&gt;0,1,0)</f>
        <v>0</v>
      </c>
      <c r="BC277" s="248">
        <f>MAX(Prod[[#This Row],[S1Cavity]],Prod[[#This Row],[S2Cavity]],Prod[[#This Row],[S3Cavity]])</f>
        <v>0</v>
      </c>
      <c r="BD277" s="248" t="b">
        <f>RegExpMatch(Prod[[#This Row],[MoldNo]], "^DEO-(B|C)")</f>
        <v>1</v>
      </c>
      <c r="BE277" s="248" t="b">
        <f>RegExpMatch(Prod[[#This Row],[MoldNo]], "^JAC")</f>
        <v>0</v>
      </c>
    </row>
    <row r="278" spans="1:57" x14ac:dyDescent="0.2">
      <c r="A278" s="117">
        <v>45460</v>
      </c>
      <c r="B278" s="130" t="s">
        <v>174</v>
      </c>
      <c r="C278" s="131" t="s">
        <v>175</v>
      </c>
      <c r="D278" s="119">
        <v>27579</v>
      </c>
      <c r="E278" s="131" t="s">
        <v>199</v>
      </c>
      <c r="F278" s="119">
        <v>814</v>
      </c>
      <c r="G278" s="119" t="str">
        <f>IF(OR(Prod[[#This Row],[S1Hrs]]&gt;0,Prod[[#This Row],[S2Hrs]]&gt;0,Prod[[#This Row],[S3Hrs]]&gt;0),"Running","Down")</f>
        <v>Running</v>
      </c>
      <c r="H278" s="194">
        <v>20.39</v>
      </c>
      <c r="I278" s="185">
        <v>4</v>
      </c>
      <c r="J278" s="130">
        <v>609</v>
      </c>
      <c r="K278" s="130">
        <v>8</v>
      </c>
      <c r="L278" s="120">
        <f>Prod[[#This Row],[S1Shot]]*Prod[[#This Row],[S1Cavity]]-Prod[[#This Row],[S1Dft]]</f>
        <v>4797</v>
      </c>
      <c r="M278" s="136">
        <f>SUM(Prod[[#This Row],[S1Mold]],Prod[[#This Row],[S1Print]],Prod[[#This Row],[S1Ovlp]],Prod[[#This Row],[S1Seam]],Prod[[#This Row],[S1Dmg]])</f>
        <v>75</v>
      </c>
      <c r="N278" s="194">
        <v>20.39</v>
      </c>
      <c r="O278" s="185">
        <v>8</v>
      </c>
      <c r="P278" s="130">
        <v>1511</v>
      </c>
      <c r="Q278" s="130">
        <v>8</v>
      </c>
      <c r="R278" s="120">
        <f>Prod[[#This Row],[S2Shot]]*Prod[[#This Row],[S2Cavity]]-Prod[[#This Row],[S2Dft]]</f>
        <v>11948</v>
      </c>
      <c r="S278" s="136">
        <f>SUM(Prod[[#This Row],[S2Mold]],Prod[[#This Row],[S2Print]],Prod[[#This Row],[S2Ovlp]],Prod[[#This Row],[S2Seam]],Prod[[#This Row],[S2Dmg]])</f>
        <v>140</v>
      </c>
      <c r="T278" s="194">
        <v>20.39</v>
      </c>
      <c r="U278" s="185">
        <v>8</v>
      </c>
      <c r="V278" s="130">
        <v>1185</v>
      </c>
      <c r="W278" s="130">
        <v>8</v>
      </c>
      <c r="X278" s="120">
        <f>Prod[[#This Row],[S3Shot]]*Prod[[#This Row],[S3Cavity]]-Prod[[#This Row],[S3Dft]]</f>
        <v>9340</v>
      </c>
      <c r="Y278" s="120">
        <f>SUM(Prod[[#This Row],[S3Mold]],Prod[[#This Row],[S3Print]],Prod[[#This Row],[S3Ovlp]],Prod[[#This Row],[S3Seam]],Prod[[#This Row],[S3Dmg]])</f>
        <v>140</v>
      </c>
      <c r="Z278" s="120">
        <f>SUM(Prod[[#This Row],[S1Qty]],Prod[[#This Row],[S2Qty]],Prod[[#This Row],[S3Qty]])</f>
        <v>26085</v>
      </c>
      <c r="AA278" s="120">
        <f>SUM(Prod[[#This Row],[S1Dft]],Prod[[#This Row],[S2Dft]],Prod[[#This Row],[S3Dft]])</f>
        <v>355</v>
      </c>
      <c r="AB278" s="121">
        <f>IF(Prod[[#This Row],[Total]]=0,0,Prod[[#This Row],[TotalDft]]/Prod[[#This Row],[Total]])</f>
        <v>1.3609354034885951E-2</v>
      </c>
      <c r="AC278" s="131" t="s">
        <v>267</v>
      </c>
      <c r="AD278" s="120">
        <v>10</v>
      </c>
      <c r="AE278" s="120">
        <v>20</v>
      </c>
      <c r="AF278" s="120">
        <v>25</v>
      </c>
      <c r="AG278" s="120">
        <v>65</v>
      </c>
      <c r="AH278" s="120">
        <v>120</v>
      </c>
      <c r="AI278" s="120">
        <v>115</v>
      </c>
      <c r="AJ278" s="120">
        <v>0</v>
      </c>
      <c r="AK278" s="120">
        <v>0</v>
      </c>
      <c r="AL278" s="120">
        <v>0</v>
      </c>
      <c r="AM278" s="120">
        <v>0</v>
      </c>
      <c r="AN278" s="120">
        <v>0</v>
      </c>
      <c r="AO278" s="120">
        <v>0</v>
      </c>
      <c r="AP278" s="120">
        <v>0</v>
      </c>
      <c r="AQ278" s="120">
        <v>0</v>
      </c>
      <c r="AR278" s="120">
        <v>0</v>
      </c>
      <c r="AS278" s="132">
        <f>IF(Prod[[#This Row],[S1Hrs]]=0,0,Prod[[#This Row],[S1Shot]]*Prod[[#This Row],[S1Cycle]]/(Prod[[#This Row],[S1Hrs]]*60*60))</f>
        <v>0.8623270833333333</v>
      </c>
      <c r="AT278" s="132">
        <f>IF(Prod[[#This Row],[S2Hrs]]=0,0,Prod[[#This Row],[S2Shot]]*Prod[[#This Row],[S2Cycle]]/(Prod[[#This Row],[S2Hrs]]*60*60))</f>
        <v>1.0697670138888888</v>
      </c>
      <c r="AU278" s="132">
        <f>IF(Prod[[#This Row],[S3Hrs]]=0,0,Prod[[#This Row],[S3Shot]]*Prod[[#This Row],[S3Cycle]]/(Prod[[#This Row],[S3Hrs]]*60*60))</f>
        <v>0.83896354166666676</v>
      </c>
      <c r="AV278" s="132">
        <f>IFERROR(AVERAGEIF(Prod[[#This Row],[S1%]:[S3%]], "&lt;&gt;0"),0)</f>
        <v>0.92368587962962956</v>
      </c>
      <c r="AW278" s="132">
        <v>1</v>
      </c>
      <c r="AX278" s="132">
        <v>3</v>
      </c>
      <c r="AY278" s="132">
        <v>0</v>
      </c>
      <c r="AZ278" s="175">
        <f>IF(Prod[[#This Row],[S1Cycle]]&lt;&gt;0,1,0)</f>
        <v>1</v>
      </c>
      <c r="BA278" s="175">
        <f>IF(Prod[[#This Row],[S2Cycle]]&lt;&gt;0,1,0)</f>
        <v>1</v>
      </c>
      <c r="BB278" s="175">
        <f>IF(Prod[[#This Row],[S3Cycle]]&lt;&gt;0,1,0)</f>
        <v>1</v>
      </c>
      <c r="BC278" s="175">
        <f>MAX(Prod[[#This Row],[S1Cavity]],Prod[[#This Row],[S2Cavity]],Prod[[#This Row],[S3Cavity]])</f>
        <v>8</v>
      </c>
      <c r="BD278" s="175" t="b">
        <f>RegExpMatch(Prod[[#This Row],[MoldNo]], "^DEO-(B|C)")</f>
        <v>1</v>
      </c>
      <c r="BE278" s="175" t="b">
        <f>RegExpMatch(Prod[[#This Row],[MoldNo]], "^JAC")</f>
        <v>0</v>
      </c>
    </row>
    <row r="279" spans="1:57" x14ac:dyDescent="0.2">
      <c r="A279" s="117">
        <v>45460</v>
      </c>
      <c r="B279" s="130" t="s">
        <v>176</v>
      </c>
      <c r="C279" s="131" t="s">
        <v>81</v>
      </c>
      <c r="D279" s="119">
        <v>27579</v>
      </c>
      <c r="E279" s="131" t="s">
        <v>199</v>
      </c>
      <c r="F279" s="119">
        <v>814</v>
      </c>
      <c r="G279" s="119" t="str">
        <f>IF(OR(Prod[[#This Row],[S1Hrs]]&gt;0,Prod[[#This Row],[S2Hrs]]&gt;0,Prod[[#This Row],[S3Hrs]]&gt;0),"Running","Down")</f>
        <v>Running</v>
      </c>
      <c r="H279" s="194">
        <v>21.89</v>
      </c>
      <c r="I279" s="185">
        <v>8</v>
      </c>
      <c r="J279" s="130">
        <v>1270</v>
      </c>
      <c r="K279" s="130">
        <v>8</v>
      </c>
      <c r="L279" s="120">
        <f>Prod[[#This Row],[S1Shot]]*Prod[[#This Row],[S1Cavity]]-Prod[[#This Row],[S1Dft]]</f>
        <v>10010</v>
      </c>
      <c r="M279" s="136">
        <f>SUM(Prod[[#This Row],[S1Mold]],Prod[[#This Row],[S1Print]],Prod[[#This Row],[S1Ovlp]],Prod[[#This Row],[S1Seam]],Prod[[#This Row],[S1Dmg]])</f>
        <v>150</v>
      </c>
      <c r="N279" s="194">
        <v>21.89</v>
      </c>
      <c r="O279" s="185">
        <v>8</v>
      </c>
      <c r="P279" s="130">
        <v>1352</v>
      </c>
      <c r="Q279" s="130">
        <v>8</v>
      </c>
      <c r="R279" s="120">
        <f>Prod[[#This Row],[S2Shot]]*Prod[[#This Row],[S2Cavity]]-Prod[[#This Row],[S2Dft]]</f>
        <v>10676</v>
      </c>
      <c r="S279" s="136">
        <f>SUM(Prod[[#This Row],[S2Mold]],Prod[[#This Row],[S2Print]],Prod[[#This Row],[S2Ovlp]],Prod[[#This Row],[S2Seam]],Prod[[#This Row],[S2Dmg]])</f>
        <v>140</v>
      </c>
      <c r="T279" s="194">
        <v>21.79</v>
      </c>
      <c r="U279" s="185">
        <v>8</v>
      </c>
      <c r="V279" s="130">
        <v>1159</v>
      </c>
      <c r="W279" s="130">
        <v>8</v>
      </c>
      <c r="X279" s="120">
        <f>Prod[[#This Row],[S3Shot]]*Prod[[#This Row],[S3Cavity]]-Prod[[#This Row],[S3Dft]]</f>
        <v>9137</v>
      </c>
      <c r="Y279" s="120">
        <f>SUM(Prod[[#This Row],[S3Mold]],Prod[[#This Row],[S3Print]],Prod[[#This Row],[S3Ovlp]],Prod[[#This Row],[S3Seam]],Prod[[#This Row],[S3Dmg]])</f>
        <v>135</v>
      </c>
      <c r="Z279" s="120">
        <f>SUM(Prod[[#This Row],[S1Qty]],Prod[[#This Row],[S2Qty]],Prod[[#This Row],[S3Qty]])</f>
        <v>29823</v>
      </c>
      <c r="AA279" s="120">
        <f>SUM(Prod[[#This Row],[S1Dft]],Prod[[#This Row],[S2Dft]],Prod[[#This Row],[S3Dft]])</f>
        <v>425</v>
      </c>
      <c r="AB279" s="121">
        <f>IF(Prod[[#This Row],[Total]]=0,0,Prod[[#This Row],[TotalDft]]/Prod[[#This Row],[Total]])</f>
        <v>1.4250746068470644E-2</v>
      </c>
      <c r="AC279" s="131"/>
      <c r="AD279" s="120">
        <v>25</v>
      </c>
      <c r="AE279" s="120">
        <v>20</v>
      </c>
      <c r="AF279" s="120">
        <v>20</v>
      </c>
      <c r="AG279" s="120">
        <v>125</v>
      </c>
      <c r="AH279" s="120">
        <v>120</v>
      </c>
      <c r="AI279" s="120">
        <v>115</v>
      </c>
      <c r="AJ279" s="120">
        <v>0</v>
      </c>
      <c r="AK279" s="120">
        <v>0</v>
      </c>
      <c r="AL279" s="120">
        <v>0</v>
      </c>
      <c r="AM279" s="120">
        <v>0</v>
      </c>
      <c r="AN279" s="120">
        <v>0</v>
      </c>
      <c r="AO279" s="120">
        <v>0</v>
      </c>
      <c r="AP279" s="120">
        <v>0</v>
      </c>
      <c r="AQ279" s="120">
        <v>0</v>
      </c>
      <c r="AR279" s="120">
        <v>0</v>
      </c>
      <c r="AS279" s="132">
        <f>IF(Prod[[#This Row],[S1Hrs]]=0,0,Prod[[#This Row],[S1Shot]]*Prod[[#This Row],[S1Cycle]]/(Prod[[#This Row],[S1Hrs]]*60*60))</f>
        <v>0.96528819444444447</v>
      </c>
      <c r="AT279" s="132">
        <f>IF(Prod[[#This Row],[S2Hrs]]=0,0,Prod[[#This Row],[S2Shot]]*Prod[[#This Row],[S2Cycle]]/(Prod[[#This Row],[S2Hrs]]*60*60))</f>
        <v>1.027613888888889</v>
      </c>
      <c r="AU279" s="132">
        <f>IF(Prod[[#This Row],[S3Hrs]]=0,0,Prod[[#This Row],[S3Shot]]*Prod[[#This Row],[S3Cycle]]/(Prod[[#This Row],[S3Hrs]]*60*60))</f>
        <v>0.87689618055555563</v>
      </c>
      <c r="AV279" s="132">
        <f>IFERROR(AVERAGEIF(Prod[[#This Row],[S1%]:[S3%]], "&lt;&gt;0"),0)</f>
        <v>0.95659942129629638</v>
      </c>
      <c r="AW279" s="132">
        <v>0</v>
      </c>
      <c r="AX279" s="132">
        <v>0</v>
      </c>
      <c r="AY279" s="132">
        <v>0</v>
      </c>
      <c r="AZ279" s="175">
        <f>IF(Prod[[#This Row],[S1Cycle]]&lt;&gt;0,1,0)</f>
        <v>1</v>
      </c>
      <c r="BA279" s="175">
        <f>IF(Prod[[#This Row],[S2Cycle]]&lt;&gt;0,1,0)</f>
        <v>1</v>
      </c>
      <c r="BB279" s="175">
        <f>IF(Prod[[#This Row],[S3Cycle]]&lt;&gt;0,1,0)</f>
        <v>1</v>
      </c>
      <c r="BC279" s="175">
        <f>MAX(Prod[[#This Row],[S1Cavity]],Prod[[#This Row],[S2Cavity]],Prod[[#This Row],[S3Cavity]])</f>
        <v>8</v>
      </c>
      <c r="BD279" s="175" t="b">
        <f>RegExpMatch(Prod[[#This Row],[MoldNo]], "^DEO-(B|C)")</f>
        <v>1</v>
      </c>
      <c r="BE279" s="175" t="b">
        <f>RegExpMatch(Prod[[#This Row],[MoldNo]], "^JAC")</f>
        <v>0</v>
      </c>
    </row>
    <row r="280" spans="1:57" x14ac:dyDescent="0.2">
      <c r="A280" s="117">
        <v>45460</v>
      </c>
      <c r="B280" s="130" t="s">
        <v>253</v>
      </c>
      <c r="C280" s="131" t="s">
        <v>9</v>
      </c>
      <c r="D280" s="119">
        <v>27581</v>
      </c>
      <c r="E280" s="131" t="s">
        <v>199</v>
      </c>
      <c r="F280" s="119">
        <v>814</v>
      </c>
      <c r="G280" s="119" t="str">
        <f>IF(OR(Prod[[#This Row],[S1Hrs]]&gt;0,Prod[[#This Row],[S2Hrs]]&gt;0,Prod[[#This Row],[S3Hrs]]&gt;0),"Running","Down")</f>
        <v>Running</v>
      </c>
      <c r="H280" s="194">
        <v>15.17</v>
      </c>
      <c r="I280" s="185">
        <v>8</v>
      </c>
      <c r="J280" s="130">
        <v>1897</v>
      </c>
      <c r="K280" s="130">
        <v>8</v>
      </c>
      <c r="L280" s="120">
        <f>Prod[[#This Row],[S1Shot]]*Prod[[#This Row],[S1Cavity]]-Prod[[#This Row],[S1Dft]]</f>
        <v>15176</v>
      </c>
      <c r="M280" s="134"/>
      <c r="N280" s="194">
        <v>15.19</v>
      </c>
      <c r="O280" s="185">
        <v>8</v>
      </c>
      <c r="P280" s="130">
        <v>1997</v>
      </c>
      <c r="Q280" s="130">
        <v>8</v>
      </c>
      <c r="R280" s="120">
        <f>Prod[[#This Row],[S2Shot]]*Prod[[#This Row],[S2Cavity]]-Prod[[#This Row],[S2Dft]]</f>
        <v>15976</v>
      </c>
      <c r="S280" s="134"/>
      <c r="T280" s="194">
        <v>15.17</v>
      </c>
      <c r="U280" s="185">
        <v>8</v>
      </c>
      <c r="V280" s="130">
        <v>1797</v>
      </c>
      <c r="W280" s="130">
        <v>8</v>
      </c>
      <c r="X280" s="120">
        <f>Prod[[#This Row],[S3Shot]]*Prod[[#This Row],[S3Cavity]]-Prod[[#This Row],[S3Dft]]</f>
        <v>14376</v>
      </c>
      <c r="Y280" s="134"/>
      <c r="Z280" s="120">
        <f>SUM(Prod[[#This Row],[S1Qty]],Prod[[#This Row],[S2Qty]],Prod[[#This Row],[S3Qty]])</f>
        <v>45528</v>
      </c>
      <c r="AA280" s="134"/>
      <c r="AB280" s="135"/>
      <c r="AC280" s="118"/>
      <c r="AD280" s="134"/>
      <c r="AE280" s="134"/>
      <c r="AF280" s="134"/>
      <c r="AG280" s="134"/>
      <c r="AH280" s="134"/>
      <c r="AI280" s="134"/>
      <c r="AJ280" s="134"/>
      <c r="AK280" s="134"/>
      <c r="AL280" s="134"/>
      <c r="AM280" s="134"/>
      <c r="AN280" s="134"/>
      <c r="AO280" s="134"/>
      <c r="AP280" s="134"/>
      <c r="AQ280" s="134"/>
      <c r="AR280" s="134"/>
      <c r="AS280" s="132">
        <f>IF(Prod[[#This Row],[S1Hrs]]=0,0,Prod[[#This Row],[S1Shot]]*Prod[[#This Row],[S1Cycle]]/(Prod[[#This Row],[S1Hrs]]*60*60))</f>
        <v>0.99921840277777785</v>
      </c>
      <c r="AT280" s="132">
        <f>IF(Prod[[#This Row],[S2Hrs]]=0,0,Prod[[#This Row],[S2Shot]]*Prod[[#This Row],[S2Cycle]]/(Prod[[#This Row],[S2Hrs]]*60*60))</f>
        <v>1.0532788194444445</v>
      </c>
      <c r="AU280" s="132">
        <f>IF(Prod[[#This Row],[S3Hrs]]=0,0,Prod[[#This Row],[S3Shot]]*Prod[[#This Row],[S3Cycle]]/(Prod[[#This Row],[S3Hrs]]*60*60))</f>
        <v>0.94654479166666672</v>
      </c>
      <c r="AV280" s="132">
        <f>IFERROR(AVERAGEIF(Prod[[#This Row],[S1%]:[S3%]], "&lt;&gt;0"),0)</f>
        <v>0.99968067129629634</v>
      </c>
      <c r="AW280" s="132">
        <v>0</v>
      </c>
      <c r="AX280" s="132">
        <v>0</v>
      </c>
      <c r="AY280" s="132">
        <v>0</v>
      </c>
      <c r="AZ280" s="175">
        <f>IF(Prod[[#This Row],[S1Cycle]]&lt;&gt;0,1,0)</f>
        <v>1</v>
      </c>
      <c r="BA280" s="175">
        <f>IF(Prod[[#This Row],[S2Cycle]]&lt;&gt;0,1,0)</f>
        <v>1</v>
      </c>
      <c r="BB280" s="175">
        <f>IF(Prod[[#This Row],[S3Cycle]]&lt;&gt;0,1,0)</f>
        <v>1</v>
      </c>
      <c r="BC280" s="175">
        <f>MAX(Prod[[#This Row],[S1Cavity]],Prod[[#This Row],[S2Cavity]],Prod[[#This Row],[S3Cavity]])</f>
        <v>8</v>
      </c>
      <c r="BD280" s="175" t="b">
        <f>RegExpMatch(Prod[[#This Row],[MoldNo]], "^DEO-(B|C)")</f>
        <v>0</v>
      </c>
      <c r="BE280" s="175" t="b">
        <f>RegExpMatch(Prod[[#This Row],[MoldNo]], "^JAC")</f>
        <v>0</v>
      </c>
    </row>
    <row r="281" spans="1:57" x14ac:dyDescent="0.2">
      <c r="A281" s="117">
        <v>45460</v>
      </c>
      <c r="B281" s="130" t="s">
        <v>259</v>
      </c>
      <c r="C281" s="119" t="s">
        <v>145</v>
      </c>
      <c r="D281" s="119">
        <v>28021</v>
      </c>
      <c r="E281" s="131" t="s">
        <v>199</v>
      </c>
      <c r="F281" s="119">
        <v>814</v>
      </c>
      <c r="G281" s="119" t="str">
        <f>IF(OR(Prod[[#This Row],[S1Hrs]]&gt;0,Prod[[#This Row],[S2Hrs]]&gt;0,Prod[[#This Row],[S3Hrs]]&gt;0),"Running","Down")</f>
        <v>Running</v>
      </c>
      <c r="H281" s="194">
        <v>15.36</v>
      </c>
      <c r="I281" s="185">
        <v>8</v>
      </c>
      <c r="J281" s="130">
        <v>1875</v>
      </c>
      <c r="K281" s="130">
        <v>16</v>
      </c>
      <c r="L281" s="120">
        <f>Prod[[#This Row],[S1Shot]]*Prod[[#This Row],[S1Cavity]]-Prod[[#This Row],[S1Dft]]</f>
        <v>30000</v>
      </c>
      <c r="M281" s="134"/>
      <c r="N281" s="194">
        <v>15.36</v>
      </c>
      <c r="O281" s="185">
        <v>8</v>
      </c>
      <c r="P281" s="130">
        <v>1900</v>
      </c>
      <c r="Q281" s="130">
        <v>16</v>
      </c>
      <c r="R281" s="120">
        <f>Prod[[#This Row],[S2Shot]]*Prod[[#This Row],[S2Cavity]]-Prod[[#This Row],[S2Dft]]</f>
        <v>30400</v>
      </c>
      <c r="S281" s="134"/>
      <c r="T281" s="194">
        <v>15.37</v>
      </c>
      <c r="U281" s="185">
        <v>8</v>
      </c>
      <c r="V281" s="130">
        <v>1890</v>
      </c>
      <c r="W281" s="130">
        <v>16</v>
      </c>
      <c r="X281" s="120">
        <f>Prod[[#This Row],[S3Shot]]*Prod[[#This Row],[S3Cavity]]-Prod[[#This Row],[S3Dft]]</f>
        <v>30240</v>
      </c>
      <c r="Y281" s="134"/>
      <c r="Z281" s="120">
        <f>SUM(Prod[[#This Row],[S1Qty]],Prod[[#This Row],[S2Qty]],Prod[[#This Row],[S3Qty]])</f>
        <v>90640</v>
      </c>
      <c r="AA281" s="134"/>
      <c r="AB281" s="135"/>
      <c r="AC281" s="131" t="s">
        <v>290</v>
      </c>
      <c r="AD281" s="134"/>
      <c r="AE281" s="134"/>
      <c r="AF281" s="134"/>
      <c r="AG281" s="134"/>
      <c r="AH281" s="134"/>
      <c r="AI281" s="134"/>
      <c r="AJ281" s="134"/>
      <c r="AK281" s="134"/>
      <c r="AL281" s="134"/>
      <c r="AM281" s="134"/>
      <c r="AN281" s="134"/>
      <c r="AO281" s="134"/>
      <c r="AP281" s="134"/>
      <c r="AQ281" s="134"/>
      <c r="AR281" s="134"/>
      <c r="AS281" s="132">
        <f>IF(Prod[[#This Row],[S1Hrs]]=0,0,Prod[[#This Row],[S1Shot]]*Prod[[#This Row],[S1Cycle]]/(Prod[[#This Row],[S1Hrs]]*60*60))</f>
        <v>1</v>
      </c>
      <c r="AT281" s="132">
        <f>IF(Prod[[#This Row],[S2Hrs]]=0,0,Prod[[#This Row],[S2Shot]]*Prod[[#This Row],[S2Cycle]]/(Prod[[#This Row],[S2Hrs]]*60*60))</f>
        <v>1.0133333333333334</v>
      </c>
      <c r="AU281" s="132">
        <f>IF(Prod[[#This Row],[S3Hrs]]=0,0,Prod[[#This Row],[S3Shot]]*Prod[[#This Row],[S3Cycle]]/(Prod[[#This Row],[S3Hrs]]*60*60))</f>
        <v>1.00865625</v>
      </c>
      <c r="AV281" s="132">
        <f>IFERROR(AVERAGEIF(Prod[[#This Row],[S1%]:[S3%]], "&lt;&gt;0"),0)</f>
        <v>1.0073298611111112</v>
      </c>
      <c r="AW281" s="132">
        <v>0</v>
      </c>
      <c r="AX281" s="132">
        <v>0</v>
      </c>
      <c r="AY281" s="132">
        <v>0</v>
      </c>
      <c r="AZ281" s="175">
        <f>IF(Prod[[#This Row],[S1Cycle]]&lt;&gt;0,1,0)</f>
        <v>1</v>
      </c>
      <c r="BA281" s="175">
        <f>IF(Prod[[#This Row],[S2Cycle]]&lt;&gt;0,1,0)</f>
        <v>1</v>
      </c>
      <c r="BB281" s="175">
        <f>IF(Prod[[#This Row],[S3Cycle]]&lt;&gt;0,1,0)</f>
        <v>1</v>
      </c>
      <c r="BC281" s="175">
        <f>MAX(Prod[[#This Row],[S1Cavity]],Prod[[#This Row],[S2Cavity]],Prod[[#This Row],[S3Cavity]])</f>
        <v>16</v>
      </c>
      <c r="BD281" s="175" t="b">
        <f>RegExpMatch(Prod[[#This Row],[MoldNo]], "^DEO-(B|C)")</f>
        <v>0</v>
      </c>
      <c r="BE281" s="175" t="b">
        <f>RegExpMatch(Prod[[#This Row],[MoldNo]], "^JAC")</f>
        <v>0</v>
      </c>
    </row>
    <row r="282" spans="1:57" x14ac:dyDescent="0.2">
      <c r="A282" s="195">
        <v>45461</v>
      </c>
      <c r="B282" s="196" t="s">
        <v>190</v>
      </c>
      <c r="C282" s="197" t="s">
        <v>153</v>
      </c>
      <c r="D282" s="197">
        <v>27422</v>
      </c>
      <c r="E282" s="198" t="s">
        <v>199</v>
      </c>
      <c r="F282" s="197">
        <v>6331</v>
      </c>
      <c r="G282" s="197" t="str">
        <f>IF(OR(Prod[[#This Row],[S1Hrs]]&gt;0,Prod[[#This Row],[S2Hrs]]&gt;0,Prod[[#This Row],[S3Hrs]]&gt;0),"Running","Down")</f>
        <v>Running</v>
      </c>
      <c r="H282" s="199">
        <v>22.68</v>
      </c>
      <c r="I282" s="200">
        <v>8</v>
      </c>
      <c r="J282" s="196">
        <v>1269</v>
      </c>
      <c r="K282" s="201">
        <v>4</v>
      </c>
      <c r="L282" s="196">
        <f>Prod[[#This Row],[S1Shot]]*Prod[[#This Row],[S1Cavity]]-Prod[[#This Row],[S1Dft]]</f>
        <v>5076</v>
      </c>
      <c r="M282" s="202">
        <f>SUM(Prod[[#This Row],[S1Mold]],Prod[[#This Row],[S1Print]],Prod[[#This Row],[S1Ovlp]],Prod[[#This Row],[S1Seam]],Prod[[#This Row],[S1Dmg]])</f>
        <v>0</v>
      </c>
      <c r="N282" s="199">
        <v>22.68</v>
      </c>
      <c r="O282" s="200">
        <v>6.5</v>
      </c>
      <c r="P282" s="196">
        <v>897</v>
      </c>
      <c r="Q282" s="201">
        <v>4</v>
      </c>
      <c r="R282" s="196">
        <f>Prod[[#This Row],[S2Shot]]*Prod[[#This Row],[S2Cavity]]-Prod[[#This Row],[S2Dft]]</f>
        <v>3588</v>
      </c>
      <c r="S282" s="202">
        <f>SUM(Prod[[#This Row],[S2Mold]],Prod[[#This Row],[S2Print]],Prod[[#This Row],[S2Ovlp]],Prod[[#This Row],[S2Seam]],Prod[[#This Row],[S2Dmg]])</f>
        <v>0</v>
      </c>
      <c r="T282" s="199">
        <v>22.69</v>
      </c>
      <c r="U282" s="200">
        <v>8</v>
      </c>
      <c r="V282" s="196">
        <v>1199</v>
      </c>
      <c r="W282" s="201">
        <v>4</v>
      </c>
      <c r="X282" s="196">
        <f>Prod[[#This Row],[S3Shot]]*Prod[[#This Row],[S3Cavity]]-Prod[[#This Row],[S3Dft]]</f>
        <v>4796</v>
      </c>
      <c r="Y282" s="196">
        <f>SUM(Prod[[#This Row],[S3Mold]],Prod[[#This Row],[S3Print]],Prod[[#This Row],[S3Ovlp]],Prod[[#This Row],[S3Seam]],Prod[[#This Row],[S3Dmg]])</f>
        <v>0</v>
      </c>
      <c r="Z282" s="196">
        <f>SUM(Prod[[#This Row],[S1Qty]],Prod[[#This Row],[S2Qty]],Prod[[#This Row],[S3Qty]])</f>
        <v>13460</v>
      </c>
      <c r="AA282" s="196">
        <f>SUM(Prod[[#This Row],[S1Dft]],Prod[[#This Row],[S2Dft]],Prod[[#This Row],[S3Dft]])</f>
        <v>0</v>
      </c>
      <c r="AB282" s="203">
        <f>IF(Prod[[#This Row],[Total]]=0,0,Prod[[#This Row],[TotalDft]]/Prod[[#This Row],[Total]])</f>
        <v>0</v>
      </c>
      <c r="AC282" s="204"/>
      <c r="AD282" s="196">
        <v>0</v>
      </c>
      <c r="AE282" s="196">
        <v>0</v>
      </c>
      <c r="AF282" s="196">
        <v>0</v>
      </c>
      <c r="AG282" s="196">
        <v>0</v>
      </c>
      <c r="AH282" s="196">
        <v>0</v>
      </c>
      <c r="AI282" s="196">
        <v>0</v>
      </c>
      <c r="AJ282" s="196">
        <v>0</v>
      </c>
      <c r="AK282" s="196">
        <v>0</v>
      </c>
      <c r="AL282" s="196">
        <v>0</v>
      </c>
      <c r="AM282" s="196">
        <v>0</v>
      </c>
      <c r="AN282" s="196">
        <v>0</v>
      </c>
      <c r="AO282" s="196">
        <v>0</v>
      </c>
      <c r="AP282" s="196">
        <v>0</v>
      </c>
      <c r="AQ282" s="196">
        <v>0</v>
      </c>
      <c r="AR282" s="196">
        <v>0</v>
      </c>
      <c r="AS282" s="205">
        <f>IF(Prod[[#This Row],[S1Hrs]]=0,0,Prod[[#This Row],[S1Shot]]*Prod[[#This Row],[S1Cycle]]/(Prod[[#This Row],[S1Hrs]]*60*60))</f>
        <v>0.99933749999999999</v>
      </c>
      <c r="AT282" s="205">
        <f>IF(Prod[[#This Row],[S2Hrs]]=0,0,Prod[[#This Row],[S2Shot]]*Prod[[#This Row],[S2Cycle]]/(Prod[[#This Row],[S2Hrs]]*60*60))</f>
        <v>0.86939999999999995</v>
      </c>
      <c r="AU282" s="205">
        <f>IF(Prod[[#This Row],[S3Hrs]]=0,0,Prod[[#This Row],[S3Shot]]*Prod[[#This Row],[S3Cycle]]/(Prod[[#This Row],[S3Hrs]]*60*60))</f>
        <v>0.94462881944444455</v>
      </c>
      <c r="AV282" s="205">
        <f>IFERROR(AVERAGEIF(Prod[[#This Row],[S1%]:[S3%]], "&lt;&gt;0"),0)</f>
        <v>0.93778877314814812</v>
      </c>
      <c r="AW282" s="205">
        <v>0</v>
      </c>
      <c r="AX282" s="205">
        <v>0</v>
      </c>
      <c r="AY282" s="205">
        <v>0</v>
      </c>
      <c r="AZ282" s="206">
        <f>IF(Prod[[#This Row],[S1Cycle]]&lt;&gt;0,1,0)</f>
        <v>1</v>
      </c>
      <c r="BA282" s="206">
        <f>IF(Prod[[#This Row],[S2Cycle]]&lt;&gt;0,1,0)</f>
        <v>1</v>
      </c>
      <c r="BB282" s="206">
        <f>IF(Prod[[#This Row],[S3Cycle]]&lt;&gt;0,1,0)</f>
        <v>1</v>
      </c>
      <c r="BC282" s="206">
        <f>MAX(Prod[[#This Row],[S1Cavity]],Prod[[#This Row],[S2Cavity]],Prod[[#This Row],[S3Cavity]])</f>
        <v>4</v>
      </c>
      <c r="BD282" s="206" t="b">
        <f>RegExpMatch(Prod[[#This Row],[MoldNo]], "^DEO-(B|C)")</f>
        <v>0</v>
      </c>
      <c r="BE282" s="206" t="b">
        <f>RegExpMatch(Prod[[#This Row],[MoldNo]], "^JAC")</f>
        <v>1</v>
      </c>
    </row>
    <row r="283" spans="1:57" x14ac:dyDescent="0.2">
      <c r="A283" s="195">
        <v>45461</v>
      </c>
      <c r="B283" s="201" t="s">
        <v>6</v>
      </c>
      <c r="C283" s="198" t="s">
        <v>8</v>
      </c>
      <c r="D283" s="197">
        <v>28185</v>
      </c>
      <c r="E283" s="198" t="s">
        <v>235</v>
      </c>
      <c r="F283" s="197">
        <v>814</v>
      </c>
      <c r="G283" s="197" t="str">
        <f>IF(OR(Prod[[#This Row],[S1Hrs]]&gt;0,Prod[[#This Row],[S2Hrs]]&gt;0,Prod[[#This Row],[S3Hrs]]&gt;0),"Running","Down")</f>
        <v>Running</v>
      </c>
      <c r="H283" s="199">
        <v>21.84</v>
      </c>
      <c r="I283" s="200">
        <v>3</v>
      </c>
      <c r="J283" s="196">
        <v>509</v>
      </c>
      <c r="K283" s="201">
        <v>8</v>
      </c>
      <c r="L283" s="196">
        <f>Prod[[#This Row],[S1Shot]]*Prod[[#This Row],[S1Cavity]]-Prod[[#This Row],[S1Dft]]</f>
        <v>4012</v>
      </c>
      <c r="M283" s="202">
        <f>SUM(Prod[[#This Row],[S1Mold]],Prod[[#This Row],[S1Print]],Prod[[#This Row],[S1Ovlp]],Prod[[#This Row],[S1Seam]],Prod[[#This Row],[S1Dmg]])</f>
        <v>60</v>
      </c>
      <c r="N283" s="199">
        <v>0</v>
      </c>
      <c r="O283" s="200">
        <v>0</v>
      </c>
      <c r="P283" s="196">
        <v>0</v>
      </c>
      <c r="Q283" s="201">
        <v>0</v>
      </c>
      <c r="R283" s="196">
        <f>Prod[[#This Row],[S2Shot]]*Prod[[#This Row],[S2Cavity]]-Prod[[#This Row],[S2Dft]]</f>
        <v>0</v>
      </c>
      <c r="S283" s="202">
        <f>SUM(Prod[[#This Row],[S2Mold]],Prod[[#This Row],[S2Print]],Prod[[#This Row],[S2Ovlp]],Prod[[#This Row],[S2Seam]],Prod[[#This Row],[S2Dmg]])</f>
        <v>0</v>
      </c>
      <c r="T283" s="199">
        <v>0</v>
      </c>
      <c r="U283" s="200">
        <v>0</v>
      </c>
      <c r="V283" s="196">
        <v>0</v>
      </c>
      <c r="W283" s="201">
        <v>0</v>
      </c>
      <c r="X283" s="196">
        <f>Prod[[#This Row],[S3Shot]]*Prod[[#This Row],[S3Cavity]]-Prod[[#This Row],[S3Dft]]</f>
        <v>0</v>
      </c>
      <c r="Y283" s="196">
        <f>SUM(Prod[[#This Row],[S3Mold]],Prod[[#This Row],[S3Print]],Prod[[#This Row],[S3Ovlp]],Prod[[#This Row],[S3Seam]],Prod[[#This Row],[S3Dmg]])</f>
        <v>0</v>
      </c>
      <c r="Z283" s="196">
        <f>SUM(Prod[[#This Row],[S1Qty]],Prod[[#This Row],[S2Qty]],Prod[[#This Row],[S3Qty]])</f>
        <v>4012</v>
      </c>
      <c r="AA283" s="196">
        <f>SUM(Prod[[#This Row],[S1Dft]],Prod[[#This Row],[S2Dft]],Prod[[#This Row],[S3Dft]])</f>
        <v>60</v>
      </c>
      <c r="AB283" s="203">
        <f>IF(Prod[[#This Row],[Total]]=0,0,Prod[[#This Row],[TotalDft]]/Prod[[#This Row],[Total]])</f>
        <v>1.4955134596211365E-2</v>
      </c>
      <c r="AC283" s="198"/>
      <c r="AD283" s="196">
        <v>10</v>
      </c>
      <c r="AE283" s="196">
        <v>0</v>
      </c>
      <c r="AF283" s="196">
        <v>0</v>
      </c>
      <c r="AG283" s="196">
        <v>50</v>
      </c>
      <c r="AH283" s="196">
        <v>0</v>
      </c>
      <c r="AI283" s="196">
        <v>0</v>
      </c>
      <c r="AJ283" s="196">
        <v>0</v>
      </c>
      <c r="AK283" s="196">
        <v>0</v>
      </c>
      <c r="AL283" s="196">
        <v>0</v>
      </c>
      <c r="AM283" s="196">
        <v>0</v>
      </c>
      <c r="AN283" s="196">
        <v>0</v>
      </c>
      <c r="AO283" s="196">
        <v>0</v>
      </c>
      <c r="AP283" s="196">
        <v>0</v>
      </c>
      <c r="AQ283" s="196">
        <v>0</v>
      </c>
      <c r="AR283" s="196">
        <v>0</v>
      </c>
      <c r="AS283" s="205">
        <f>IF(Prod[[#This Row],[S1Hrs]]=0,0,Prod[[#This Row],[S1Shot]]*Prod[[#This Row],[S1Cycle]]/(Prod[[#This Row],[S1Hrs]]*60*60))</f>
        <v>1.0293111111111111</v>
      </c>
      <c r="AT283" s="205">
        <f>IF(Prod[[#This Row],[S2Hrs]]=0,0,Prod[[#This Row],[S2Shot]]*Prod[[#This Row],[S2Cycle]]/(Prod[[#This Row],[S2Hrs]]*60*60))</f>
        <v>0</v>
      </c>
      <c r="AU283" s="205">
        <f>IF(Prod[[#This Row],[S3Hrs]]=0,0,Prod[[#This Row],[S3Shot]]*Prod[[#This Row],[S3Cycle]]/(Prod[[#This Row],[S3Hrs]]*60*60))</f>
        <v>0</v>
      </c>
      <c r="AV283" s="205">
        <f>IFERROR(AVERAGEIF(Prod[[#This Row],[S1%]:[S3%]], "&lt;&gt;0"),0)</f>
        <v>1.0293111111111111</v>
      </c>
      <c r="AW283" s="205">
        <v>0</v>
      </c>
      <c r="AX283" s="205">
        <v>0</v>
      </c>
      <c r="AY283" s="205">
        <v>0</v>
      </c>
      <c r="AZ283" s="206">
        <f>IF(Prod[[#This Row],[S1Cycle]]&lt;&gt;0,1,0)</f>
        <v>1</v>
      </c>
      <c r="BA283" s="206">
        <f>IF(Prod[[#This Row],[S2Cycle]]&lt;&gt;0,1,0)</f>
        <v>0</v>
      </c>
      <c r="BB283" s="206">
        <f>IF(Prod[[#This Row],[S3Cycle]]&lt;&gt;0,1,0)</f>
        <v>0</v>
      </c>
      <c r="BC283" s="206">
        <f>MAX(Prod[[#This Row],[S1Cavity]],Prod[[#This Row],[S2Cavity]],Prod[[#This Row],[S3Cavity]])</f>
        <v>8</v>
      </c>
      <c r="BD283" s="206" t="b">
        <f>RegExpMatch(Prod[[#This Row],[MoldNo]], "^DEO-(B|C)")</f>
        <v>1</v>
      </c>
      <c r="BE283" s="206" t="b">
        <f>RegExpMatch(Prod[[#This Row],[MoldNo]], "^JAC")</f>
        <v>0</v>
      </c>
    </row>
    <row r="284" spans="1:57" x14ac:dyDescent="0.2">
      <c r="A284" s="195">
        <v>45461</v>
      </c>
      <c r="B284" s="201" t="s">
        <v>6</v>
      </c>
      <c r="C284" s="198" t="s">
        <v>8</v>
      </c>
      <c r="D284" s="197">
        <v>26416</v>
      </c>
      <c r="E284" s="198" t="s">
        <v>270</v>
      </c>
      <c r="F284" s="197">
        <v>6331</v>
      </c>
      <c r="G284" s="197" t="str">
        <f>IF(OR(Prod[[#This Row],[S1Hrs]]&gt;0,Prod[[#This Row],[S2Hrs]]&gt;0,Prod[[#This Row],[S3Hrs]]&gt;0),"Running","Down")</f>
        <v>Running</v>
      </c>
      <c r="H284" s="199">
        <v>22.12</v>
      </c>
      <c r="I284" s="200">
        <v>5</v>
      </c>
      <c r="J284" s="196">
        <v>818</v>
      </c>
      <c r="K284" s="201">
        <v>8</v>
      </c>
      <c r="L284" s="196">
        <f>Prod[[#This Row],[S1Shot]]*Prod[[#This Row],[S1Cavity]]-Prod[[#This Row],[S1Dft]]</f>
        <v>6469</v>
      </c>
      <c r="M284" s="202">
        <f>SUM(Prod[[#This Row],[S1Mold]],Prod[[#This Row],[S1Print]],Prod[[#This Row],[S1Ovlp]],Prod[[#This Row],[S1Seam]],Prod[[#This Row],[S1Dmg]])</f>
        <v>75</v>
      </c>
      <c r="N284" s="199">
        <v>21.84</v>
      </c>
      <c r="O284" s="200">
        <v>4</v>
      </c>
      <c r="P284" s="196">
        <v>666</v>
      </c>
      <c r="Q284" s="201">
        <v>8</v>
      </c>
      <c r="R284" s="196">
        <f>Prod[[#This Row],[S2Shot]]*Prod[[#This Row],[S2Cavity]]-Prod[[#This Row],[S2Dft]]</f>
        <v>5248</v>
      </c>
      <c r="S284" s="202">
        <f>SUM(Prod[[#This Row],[S2Mold]],Prod[[#This Row],[S2Print]],Prod[[#This Row],[S2Ovlp]],Prod[[#This Row],[S2Seam]],Prod[[#This Row],[S2Dmg]])</f>
        <v>80</v>
      </c>
      <c r="T284" s="199">
        <v>0</v>
      </c>
      <c r="U284" s="200">
        <v>0</v>
      </c>
      <c r="V284" s="196">
        <v>0</v>
      </c>
      <c r="W284" s="201">
        <v>0</v>
      </c>
      <c r="X284" s="196">
        <f>Prod[[#This Row],[S3Shot]]*Prod[[#This Row],[S3Cavity]]-Prod[[#This Row],[S3Dft]]</f>
        <v>0</v>
      </c>
      <c r="Y284" s="196">
        <f>SUM(Prod[[#This Row],[S3Mold]],Prod[[#This Row],[S3Print]],Prod[[#This Row],[S3Ovlp]],Prod[[#This Row],[S3Seam]],Prod[[#This Row],[S3Dmg]])</f>
        <v>0</v>
      </c>
      <c r="Z284" s="196">
        <f>SUM(Prod[[#This Row],[S1Qty]],Prod[[#This Row],[S2Qty]],Prod[[#This Row],[S3Qty]])</f>
        <v>11717</v>
      </c>
      <c r="AA284" s="196">
        <f>SUM(Prod[[#This Row],[S1Dft]],Prod[[#This Row],[S2Dft]],Prod[[#This Row],[S3Dft]])</f>
        <v>155</v>
      </c>
      <c r="AB284" s="203">
        <f>IF(Prod[[#This Row],[Total]]=0,0,Prod[[#This Row],[TotalDft]]/Prod[[#This Row],[Total]])</f>
        <v>1.3228642143893488E-2</v>
      </c>
      <c r="AC284" s="198" t="s">
        <v>271</v>
      </c>
      <c r="AD284" s="196">
        <v>15</v>
      </c>
      <c r="AE284" s="196">
        <v>15</v>
      </c>
      <c r="AF284" s="196">
        <v>0</v>
      </c>
      <c r="AG284" s="196">
        <v>60</v>
      </c>
      <c r="AH284" s="196">
        <v>65</v>
      </c>
      <c r="AI284" s="196">
        <v>0</v>
      </c>
      <c r="AJ284" s="196">
        <v>0</v>
      </c>
      <c r="AK284" s="196">
        <v>0</v>
      </c>
      <c r="AL284" s="196">
        <v>0</v>
      </c>
      <c r="AM284" s="196">
        <v>0</v>
      </c>
      <c r="AN284" s="196">
        <v>0</v>
      </c>
      <c r="AO284" s="196">
        <v>0</v>
      </c>
      <c r="AP284" s="196">
        <v>0</v>
      </c>
      <c r="AQ284" s="196">
        <v>0</v>
      </c>
      <c r="AR284" s="196">
        <v>0</v>
      </c>
      <c r="AS284" s="205">
        <f>IF(Prod[[#This Row],[S1Hrs]]=0,0,Prod[[#This Row],[S1Shot]]*Prod[[#This Row],[S1Cycle]]/(Prod[[#This Row],[S1Hrs]]*60*60))</f>
        <v>1.0052311111111112</v>
      </c>
      <c r="AT284" s="205">
        <f>IF(Prod[[#This Row],[S2Hrs]]=0,0,Prod[[#This Row],[S2Shot]]*Prod[[#This Row],[S2Cycle]]/(Prod[[#This Row],[S2Hrs]]*60*60))</f>
        <v>1.0101</v>
      </c>
      <c r="AU284" s="205">
        <f>IF(Prod[[#This Row],[S3Hrs]]=0,0,Prod[[#This Row],[S3Shot]]*Prod[[#This Row],[S3Cycle]]/(Prod[[#This Row],[S3Hrs]]*60*60))</f>
        <v>0</v>
      </c>
      <c r="AV284" s="205">
        <f>IFERROR(AVERAGEIF(Prod[[#This Row],[S1%]:[S3%]], "&lt;&gt;0"),0)</f>
        <v>1.0076655555555556</v>
      </c>
      <c r="AW284" s="205">
        <v>1</v>
      </c>
      <c r="AX284" s="205">
        <v>0</v>
      </c>
      <c r="AY284" s="205">
        <v>0</v>
      </c>
      <c r="AZ284" s="206">
        <f>IF(Prod[[#This Row],[S1Cycle]]&lt;&gt;0,1,0)</f>
        <v>1</v>
      </c>
      <c r="BA284" s="206">
        <f>IF(Prod[[#This Row],[S2Cycle]]&lt;&gt;0,1,0)</f>
        <v>1</v>
      </c>
      <c r="BB284" s="206">
        <f>IF(Prod[[#This Row],[S3Cycle]]&lt;&gt;0,1,0)</f>
        <v>0</v>
      </c>
      <c r="BC284" s="206">
        <f>MAX(Prod[[#This Row],[S1Cavity]],Prod[[#This Row],[S2Cavity]],Prod[[#This Row],[S3Cavity]])</f>
        <v>8</v>
      </c>
      <c r="BD284" s="206" t="b">
        <f>RegExpMatch(Prod[[#This Row],[MoldNo]], "^DEO-(B|C)")</f>
        <v>1</v>
      </c>
      <c r="BE284" s="206" t="b">
        <f>RegExpMatch(Prod[[#This Row],[MoldNo]], "^JAC")</f>
        <v>0</v>
      </c>
    </row>
    <row r="285" spans="1:57" x14ac:dyDescent="0.2">
      <c r="A285" s="195">
        <v>45461</v>
      </c>
      <c r="B285" s="196" t="s">
        <v>7</v>
      </c>
      <c r="C285" s="197" t="s">
        <v>172</v>
      </c>
      <c r="D285" s="197">
        <v>27581</v>
      </c>
      <c r="E285" s="198" t="s">
        <v>199</v>
      </c>
      <c r="F285" s="197">
        <v>814</v>
      </c>
      <c r="G285" s="197" t="str">
        <f>IF(OR(Prod[[#This Row],[S1Hrs]]&gt;0,Prod[[#This Row],[S2Hrs]]&gt;0,Prod[[#This Row],[S3Hrs]]&gt;0),"Running","Down")</f>
        <v>Running</v>
      </c>
      <c r="H285" s="199">
        <v>20.75</v>
      </c>
      <c r="I285" s="200">
        <v>5</v>
      </c>
      <c r="J285" s="196">
        <v>714</v>
      </c>
      <c r="K285" s="201">
        <v>8</v>
      </c>
      <c r="L285" s="196">
        <f>Prod[[#This Row],[S1Shot]]*Prod[[#This Row],[S1Cavity]]-Prod[[#This Row],[S1Dft]]</f>
        <v>5637</v>
      </c>
      <c r="M285" s="202">
        <f>SUM(Prod[[#This Row],[S1Mold]],Prod[[#This Row],[S1Print]],Prod[[#This Row],[S1Ovlp]],Prod[[#This Row],[S1Seam]],Prod[[#This Row],[S1Dmg]])</f>
        <v>75</v>
      </c>
      <c r="N285" s="199">
        <v>20.75</v>
      </c>
      <c r="O285" s="200">
        <v>4</v>
      </c>
      <c r="P285" s="196">
        <v>700</v>
      </c>
      <c r="Q285" s="201">
        <v>8</v>
      </c>
      <c r="R285" s="196">
        <f>Prod[[#This Row],[S2Shot]]*Prod[[#This Row],[S2Cavity]]-Prod[[#This Row],[S2Dft]]</f>
        <v>5535</v>
      </c>
      <c r="S285" s="202">
        <f>SUM(Prod[[#This Row],[S2Mold]],Prod[[#This Row],[S2Print]],Prod[[#This Row],[S2Ovlp]],Prod[[#This Row],[S2Seam]],Prod[[#This Row],[S2Dmg]])</f>
        <v>65</v>
      </c>
      <c r="T285" s="199">
        <v>20.83</v>
      </c>
      <c r="U285" s="200">
        <v>2</v>
      </c>
      <c r="V285" s="196">
        <v>309</v>
      </c>
      <c r="W285" s="201">
        <v>8</v>
      </c>
      <c r="X285" s="196">
        <f>Prod[[#This Row],[S3Shot]]*Prod[[#This Row],[S3Cavity]]-Prod[[#This Row],[S3Dft]]</f>
        <v>2412</v>
      </c>
      <c r="Y285" s="196">
        <f>SUM(Prod[[#This Row],[S3Mold]],Prod[[#This Row],[S3Print]],Prod[[#This Row],[S3Ovlp]],Prod[[#This Row],[S3Seam]],Prod[[#This Row],[S3Dmg]])</f>
        <v>60</v>
      </c>
      <c r="Z285" s="196">
        <f>SUM(Prod[[#This Row],[S1Qty]],Prod[[#This Row],[S2Qty]],Prod[[#This Row],[S3Qty]])</f>
        <v>13584</v>
      </c>
      <c r="AA285" s="196">
        <f>SUM(Prod[[#This Row],[S1Dft]],Prod[[#This Row],[S2Dft]],Prod[[#This Row],[S3Dft]])</f>
        <v>200</v>
      </c>
      <c r="AB285" s="203">
        <f>IF(Prod[[#This Row],[Total]]=0,0,Prod[[#This Row],[TotalDft]]/Prod[[#This Row],[Total]])</f>
        <v>1.4723203769140165E-2</v>
      </c>
      <c r="AC285" s="198" t="s">
        <v>272</v>
      </c>
      <c r="AD285" s="196">
        <v>15</v>
      </c>
      <c r="AE285" s="196">
        <v>15</v>
      </c>
      <c r="AF285" s="196">
        <v>10</v>
      </c>
      <c r="AG285" s="196">
        <v>60</v>
      </c>
      <c r="AH285" s="196">
        <v>50</v>
      </c>
      <c r="AI285" s="196">
        <v>50</v>
      </c>
      <c r="AJ285" s="196">
        <v>0</v>
      </c>
      <c r="AK285" s="196">
        <v>0</v>
      </c>
      <c r="AL285" s="196">
        <v>0</v>
      </c>
      <c r="AM285" s="196">
        <v>0</v>
      </c>
      <c r="AN285" s="196">
        <v>0</v>
      </c>
      <c r="AO285" s="196">
        <v>0</v>
      </c>
      <c r="AP285" s="196">
        <v>0</v>
      </c>
      <c r="AQ285" s="196">
        <v>0</v>
      </c>
      <c r="AR285" s="196">
        <v>0</v>
      </c>
      <c r="AS285" s="205">
        <f>IF(Prod[[#This Row],[S1Hrs]]=0,0,Prod[[#This Row],[S1Shot]]*Prod[[#This Row],[S1Cycle]]/(Prod[[#This Row],[S1Hrs]]*60*60))</f>
        <v>0.82308333333333328</v>
      </c>
      <c r="AT285" s="205">
        <f>IF(Prod[[#This Row],[S2Hrs]]=0,0,Prod[[#This Row],[S2Shot]]*Prod[[#This Row],[S2Cycle]]/(Prod[[#This Row],[S2Hrs]]*60*60))</f>
        <v>1.0086805555555556</v>
      </c>
      <c r="AU285" s="205">
        <f>IF(Prod[[#This Row],[S3Hrs]]=0,0,Prod[[#This Row],[S3Shot]]*Prod[[#This Row],[S3Cycle]]/(Prod[[#This Row],[S3Hrs]]*60*60))</f>
        <v>0.89395416666666661</v>
      </c>
      <c r="AV285" s="205">
        <f>IFERROR(AVERAGEIF(Prod[[#This Row],[S1%]:[S3%]], "&lt;&gt;0"),0)</f>
        <v>0.90857268518518508</v>
      </c>
      <c r="AW285" s="205">
        <v>1</v>
      </c>
      <c r="AX285" s="205">
        <v>0</v>
      </c>
      <c r="AY285" s="205">
        <v>0</v>
      </c>
      <c r="AZ285" s="206">
        <f>IF(Prod[[#This Row],[S1Cycle]]&lt;&gt;0,1,0)</f>
        <v>1</v>
      </c>
      <c r="BA285" s="206">
        <f>IF(Prod[[#This Row],[S2Cycle]]&lt;&gt;0,1,0)</f>
        <v>1</v>
      </c>
      <c r="BB285" s="206">
        <f>IF(Prod[[#This Row],[S3Cycle]]&lt;&gt;0,1,0)</f>
        <v>1</v>
      </c>
      <c r="BC285" s="206">
        <f>MAX(Prod[[#This Row],[S1Cavity]],Prod[[#This Row],[S2Cavity]],Prod[[#This Row],[S3Cavity]])</f>
        <v>8</v>
      </c>
      <c r="BD285" s="206" t="b">
        <f>RegExpMatch(Prod[[#This Row],[MoldNo]], "^DEO-(B|C)")</f>
        <v>1</v>
      </c>
      <c r="BE285" s="206" t="b">
        <f>RegExpMatch(Prod[[#This Row],[MoldNo]], "^JAC")</f>
        <v>0</v>
      </c>
    </row>
    <row r="286" spans="1:57" x14ac:dyDescent="0.2">
      <c r="A286" s="195">
        <v>45461</v>
      </c>
      <c r="B286" s="196" t="s">
        <v>7</v>
      </c>
      <c r="C286" s="197" t="s">
        <v>172</v>
      </c>
      <c r="D286" s="197">
        <v>26416</v>
      </c>
      <c r="E286" s="198" t="s">
        <v>270</v>
      </c>
      <c r="F286" s="197">
        <v>6331</v>
      </c>
      <c r="G286" s="197" t="str">
        <f>IF(OR(Prod[[#This Row],[S1Hrs]]&gt;0,Prod[[#This Row],[S2Hrs]]&gt;0,Prod[[#This Row],[S3Hrs]]&gt;0),"Running","Down")</f>
        <v>Running</v>
      </c>
      <c r="H286" s="199">
        <v>0</v>
      </c>
      <c r="I286" s="200">
        <v>0</v>
      </c>
      <c r="J286" s="196">
        <v>0</v>
      </c>
      <c r="K286" s="201">
        <v>0</v>
      </c>
      <c r="L286" s="196">
        <f>Prod[[#This Row],[S1Shot]]*Prod[[#This Row],[S1Cavity]]-Prod[[#This Row],[S1Dft]]</f>
        <v>0</v>
      </c>
      <c r="M286" s="202">
        <f>SUM(Prod[[#This Row],[S1Mold]],Prod[[#This Row],[S1Print]],Prod[[#This Row],[S1Ovlp]],Prod[[#This Row],[S1Seam]],Prod[[#This Row],[S1Dmg]])</f>
        <v>0</v>
      </c>
      <c r="N286" s="199">
        <v>0</v>
      </c>
      <c r="O286" s="200">
        <v>0</v>
      </c>
      <c r="P286" s="196">
        <v>0</v>
      </c>
      <c r="Q286" s="201">
        <v>0</v>
      </c>
      <c r="R286" s="196">
        <f>Prod[[#This Row],[S2Shot]]*Prod[[#This Row],[S2Cavity]]-Prod[[#This Row],[S2Dft]]</f>
        <v>0</v>
      </c>
      <c r="S286" s="202">
        <f>SUM(Prod[[#This Row],[S2Mold]],Prod[[#This Row],[S2Print]],Prod[[#This Row],[S2Ovlp]],Prod[[#This Row],[S2Seam]],Prod[[#This Row],[S2Dmg]])</f>
        <v>0</v>
      </c>
      <c r="T286" s="199">
        <v>20.84</v>
      </c>
      <c r="U286" s="200">
        <v>6</v>
      </c>
      <c r="V286" s="196">
        <v>511</v>
      </c>
      <c r="W286" s="201">
        <v>8</v>
      </c>
      <c r="X286" s="196">
        <f>Prod[[#This Row],[S3Shot]]*Prod[[#This Row],[S3Cavity]]-Prod[[#This Row],[S3Dft]]</f>
        <v>4013</v>
      </c>
      <c r="Y286" s="196">
        <f>SUM(Prod[[#This Row],[S3Mold]],Prod[[#This Row],[S3Print]],Prod[[#This Row],[S3Ovlp]],Prod[[#This Row],[S3Seam]],Prod[[#This Row],[S3Dmg]])</f>
        <v>75</v>
      </c>
      <c r="Z286" s="196">
        <f>SUM(Prod[[#This Row],[S1Qty]],Prod[[#This Row],[S2Qty]],Prod[[#This Row],[S3Qty]])</f>
        <v>4013</v>
      </c>
      <c r="AA286" s="196">
        <f>SUM(Prod[[#This Row],[S1Dft]],Prod[[#This Row],[S2Dft]],Prod[[#This Row],[S3Dft]])</f>
        <v>75</v>
      </c>
      <c r="AB286" s="203">
        <f>IF(Prod[[#This Row],[Total]]=0,0,Prod[[#This Row],[TotalDft]]/Prod[[#This Row],[Total]])</f>
        <v>1.8689259905307749E-2</v>
      </c>
      <c r="AC286" s="198" t="s">
        <v>274</v>
      </c>
      <c r="AD286" s="196">
        <v>0</v>
      </c>
      <c r="AE286" s="196">
        <v>0</v>
      </c>
      <c r="AF286" s="196">
        <v>15</v>
      </c>
      <c r="AG286" s="196">
        <v>0</v>
      </c>
      <c r="AH286" s="196">
        <v>0</v>
      </c>
      <c r="AI286" s="196">
        <v>60</v>
      </c>
      <c r="AJ286" s="196">
        <v>0</v>
      </c>
      <c r="AK286" s="196">
        <v>0</v>
      </c>
      <c r="AL286" s="196">
        <v>0</v>
      </c>
      <c r="AM286" s="196">
        <v>0</v>
      </c>
      <c r="AN286" s="196">
        <v>0</v>
      </c>
      <c r="AO286" s="196">
        <v>0</v>
      </c>
      <c r="AP286" s="196">
        <v>0</v>
      </c>
      <c r="AQ286" s="196">
        <v>0</v>
      </c>
      <c r="AR286" s="196">
        <v>0</v>
      </c>
      <c r="AS286" s="205">
        <f>IF(Prod[[#This Row],[S1Hrs]]=0,0,Prod[[#This Row],[S1Shot]]*Prod[[#This Row],[S1Cycle]]/(Prod[[#This Row],[S1Hrs]]*60*60))</f>
        <v>0</v>
      </c>
      <c r="AT286" s="205">
        <f>IF(Prod[[#This Row],[S2Hrs]]=0,0,Prod[[#This Row],[S2Shot]]*Prod[[#This Row],[S2Cycle]]/(Prod[[#This Row],[S2Hrs]]*60*60))</f>
        <v>0</v>
      </c>
      <c r="AU286" s="205">
        <f>IF(Prod[[#This Row],[S3Hrs]]=0,0,Prod[[#This Row],[S3Shot]]*Prod[[#This Row],[S3Cycle]]/(Prod[[#This Row],[S3Hrs]]*60*60))</f>
        <v>0.49302037037037039</v>
      </c>
      <c r="AV286" s="205">
        <f>IFERROR(AVERAGEIF(Prod[[#This Row],[S1%]:[S3%]], "&lt;&gt;0"),0)</f>
        <v>0.49302037037037039</v>
      </c>
      <c r="AW286" s="205">
        <v>0</v>
      </c>
      <c r="AX286" s="205">
        <v>0</v>
      </c>
      <c r="AY286" s="205">
        <v>0</v>
      </c>
      <c r="AZ286" s="206">
        <f>IF(Prod[[#This Row],[S1Cycle]]&lt;&gt;0,1,0)</f>
        <v>0</v>
      </c>
      <c r="BA286" s="206">
        <f>IF(Prod[[#This Row],[S2Cycle]]&lt;&gt;0,1,0)</f>
        <v>0</v>
      </c>
      <c r="BB286" s="206">
        <f>IF(Prod[[#This Row],[S3Cycle]]&lt;&gt;0,1,0)</f>
        <v>1</v>
      </c>
      <c r="BC286" s="206">
        <f>MAX(Prod[[#This Row],[S1Cavity]],Prod[[#This Row],[S2Cavity]],Prod[[#This Row],[S3Cavity]])</f>
        <v>8</v>
      </c>
      <c r="BD286" s="206" t="b">
        <f>RegExpMatch(Prod[[#This Row],[MoldNo]], "^DEO-(B|C)")</f>
        <v>1</v>
      </c>
      <c r="BE286" s="206" t="b">
        <f>RegExpMatch(Prod[[#This Row],[MoldNo]], "^JAC")</f>
        <v>0</v>
      </c>
    </row>
    <row r="287" spans="1:57" x14ac:dyDescent="0.2">
      <c r="A287" s="195">
        <v>45461</v>
      </c>
      <c r="B287" s="196" t="s">
        <v>85</v>
      </c>
      <c r="C287" s="197" t="s">
        <v>165</v>
      </c>
      <c r="D287" s="197"/>
      <c r="E287" s="198"/>
      <c r="F287" s="197"/>
      <c r="G287" s="197" t="str">
        <f>IF(OR(Prod[[#This Row],[S1Hrs]]&gt;0,Prod[[#This Row],[S2Hrs]]&gt;0,Prod[[#This Row],[S3Hrs]]&gt;0),"Running","Down")</f>
        <v>Down</v>
      </c>
      <c r="H287" s="199">
        <v>0</v>
      </c>
      <c r="I287" s="200">
        <v>0</v>
      </c>
      <c r="J287" s="196">
        <v>0</v>
      </c>
      <c r="K287" s="201">
        <v>0</v>
      </c>
      <c r="L287" s="196">
        <f>Prod[[#This Row],[S1Shot]]*Prod[[#This Row],[S1Cavity]]-Prod[[#This Row],[S1Dft]]</f>
        <v>0</v>
      </c>
      <c r="M287" s="207"/>
      <c r="N287" s="199">
        <v>0</v>
      </c>
      <c r="O287" s="200">
        <v>0</v>
      </c>
      <c r="P287" s="196">
        <v>0</v>
      </c>
      <c r="Q287" s="201">
        <v>0</v>
      </c>
      <c r="R287" s="196">
        <f>Prod[[#This Row],[S2Shot]]*Prod[[#This Row],[S2Cavity]]-Prod[[#This Row],[S2Dft]]</f>
        <v>0</v>
      </c>
      <c r="S287" s="207"/>
      <c r="T287" s="199">
        <v>0</v>
      </c>
      <c r="U287" s="200">
        <v>0</v>
      </c>
      <c r="V287" s="196">
        <v>0</v>
      </c>
      <c r="W287" s="201">
        <v>0</v>
      </c>
      <c r="X287" s="196">
        <f>Prod[[#This Row],[S3Shot]]*Prod[[#This Row],[S3Cavity]]-Prod[[#This Row],[S3Dft]]</f>
        <v>0</v>
      </c>
      <c r="Y287" s="207"/>
      <c r="Z287" s="196">
        <f>SUM(Prod[[#This Row],[S1Qty]],Prod[[#This Row],[S2Qty]],Prod[[#This Row],[S3Qty]])</f>
        <v>0</v>
      </c>
      <c r="AA287" s="207"/>
      <c r="AB287" s="208"/>
      <c r="AC287" s="204"/>
      <c r="AD287" s="207"/>
      <c r="AE287" s="207"/>
      <c r="AF287" s="207"/>
      <c r="AG287" s="207"/>
      <c r="AH287" s="207"/>
      <c r="AI287" s="207"/>
      <c r="AJ287" s="207"/>
      <c r="AK287" s="207"/>
      <c r="AL287" s="207"/>
      <c r="AM287" s="207"/>
      <c r="AN287" s="207"/>
      <c r="AO287" s="207"/>
      <c r="AP287" s="207"/>
      <c r="AQ287" s="207"/>
      <c r="AR287" s="207"/>
      <c r="AS287" s="205">
        <f>IF(Prod[[#This Row],[S1Hrs]]=0,0,Prod[[#This Row],[S1Shot]]*Prod[[#This Row],[S1Cycle]]/(Prod[[#This Row],[S1Hrs]]*60*60))</f>
        <v>0</v>
      </c>
      <c r="AT287" s="205">
        <f>IF(Prod[[#This Row],[S2Hrs]]=0,0,Prod[[#This Row],[S2Shot]]*Prod[[#This Row],[S2Cycle]]/(Prod[[#This Row],[S2Hrs]]*60*60))</f>
        <v>0</v>
      </c>
      <c r="AU287" s="205">
        <f>IF(Prod[[#This Row],[S3Hrs]]=0,0,Prod[[#This Row],[S3Shot]]*Prod[[#This Row],[S3Cycle]]/(Prod[[#This Row],[S3Hrs]]*60*60))</f>
        <v>0</v>
      </c>
      <c r="AV287" s="205">
        <f>IFERROR(AVERAGEIF(Prod[[#This Row],[S1%]:[S3%]], "&lt;&gt;0"),0)</f>
        <v>0</v>
      </c>
      <c r="AW287" s="205">
        <v>0</v>
      </c>
      <c r="AX287" s="205">
        <v>0</v>
      </c>
      <c r="AY287" s="205">
        <v>0</v>
      </c>
      <c r="AZ287" s="206">
        <f>IF(Prod[[#This Row],[S1Cycle]]&lt;&gt;0,1,0)</f>
        <v>0</v>
      </c>
      <c r="BA287" s="206">
        <f>IF(Prod[[#This Row],[S2Cycle]]&lt;&gt;0,1,0)</f>
        <v>0</v>
      </c>
      <c r="BB287" s="206">
        <f>IF(Prod[[#This Row],[S3Cycle]]&lt;&gt;0,1,0)</f>
        <v>0</v>
      </c>
      <c r="BC287" s="206">
        <f>MAX(Prod[[#This Row],[S1Cavity]],Prod[[#This Row],[S2Cavity]],Prod[[#This Row],[S3Cavity]])</f>
        <v>0</v>
      </c>
      <c r="BD287" s="206" t="b">
        <f>RegExpMatch(Prod[[#This Row],[MoldNo]], "^DEO-(B|C)")</f>
        <v>0</v>
      </c>
      <c r="BE287" s="206" t="b">
        <f>RegExpMatch(Prod[[#This Row],[MoldNo]], "^JAC")</f>
        <v>0</v>
      </c>
    </row>
    <row r="288" spans="1:57" x14ac:dyDescent="0.2">
      <c r="A288" s="195">
        <v>45461</v>
      </c>
      <c r="B288" s="196" t="s">
        <v>196</v>
      </c>
      <c r="C288" s="197" t="s">
        <v>82</v>
      </c>
      <c r="D288" s="197">
        <v>27438</v>
      </c>
      <c r="E288" s="198" t="s">
        <v>199</v>
      </c>
      <c r="F288" s="197">
        <v>814</v>
      </c>
      <c r="G288" s="197" t="str">
        <f>IF(OR(Prod[[#This Row],[S1Hrs]]&gt;0,Prod[[#This Row],[S2Hrs]]&gt;0,Prod[[#This Row],[S3Hrs]]&gt;0),"Running","Down")</f>
        <v>Running</v>
      </c>
      <c r="H288" s="199">
        <v>18.61</v>
      </c>
      <c r="I288" s="200">
        <v>8</v>
      </c>
      <c r="J288" s="196">
        <v>1489</v>
      </c>
      <c r="K288" s="201">
        <v>16</v>
      </c>
      <c r="L288" s="196">
        <f>Prod[[#This Row],[S1Shot]]*Prod[[#This Row],[S1Cavity]]-Prod[[#This Row],[S1Dft]]</f>
        <v>23824</v>
      </c>
      <c r="M288" s="207"/>
      <c r="N288" s="199">
        <v>18.61</v>
      </c>
      <c r="O288" s="200">
        <v>6</v>
      </c>
      <c r="P288" s="196">
        <v>997</v>
      </c>
      <c r="Q288" s="201">
        <v>16</v>
      </c>
      <c r="R288" s="196">
        <f>Prod[[#This Row],[S2Shot]]*Prod[[#This Row],[S2Cavity]]-Prod[[#This Row],[S2Dft]]</f>
        <v>15952</v>
      </c>
      <c r="S288" s="207"/>
      <c r="T288" s="199">
        <v>18.559999999999999</v>
      </c>
      <c r="U288" s="200">
        <v>8</v>
      </c>
      <c r="V288" s="196">
        <v>1471</v>
      </c>
      <c r="W288" s="201">
        <v>16</v>
      </c>
      <c r="X288" s="196">
        <f>Prod[[#This Row],[S3Shot]]*Prod[[#This Row],[S3Cavity]]-Prod[[#This Row],[S3Dft]]</f>
        <v>23536</v>
      </c>
      <c r="Y288" s="207"/>
      <c r="Z288" s="196">
        <f>SUM(Prod[[#This Row],[S1Qty]],Prod[[#This Row],[S2Qty]],Prod[[#This Row],[S3Qty]])</f>
        <v>63312</v>
      </c>
      <c r="AA288" s="207"/>
      <c r="AB288" s="208"/>
      <c r="AC288" s="204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5">
        <f>IF(Prod[[#This Row],[S1Hrs]]=0,0,Prod[[#This Row],[S1Shot]]*Prod[[#This Row],[S1Cycle]]/(Prod[[#This Row],[S1Hrs]]*60*60))</f>
        <v>0.96216284722222223</v>
      </c>
      <c r="AT288" s="205">
        <f>IF(Prod[[#This Row],[S2Hrs]]=0,0,Prod[[#This Row],[S2Shot]]*Prod[[#This Row],[S2Cycle]]/(Prod[[#This Row],[S2Hrs]]*60*60))</f>
        <v>0.85898935185185177</v>
      </c>
      <c r="AU288" s="205">
        <f>IF(Prod[[#This Row],[S3Hrs]]=0,0,Prod[[#This Row],[S3Shot]]*Prod[[#This Row],[S3Cycle]]/(Prod[[#This Row],[S3Hrs]]*60*60))</f>
        <v>0.9479777777777777</v>
      </c>
      <c r="AV288" s="205">
        <f>IFERROR(AVERAGEIF(Prod[[#This Row],[S1%]:[S3%]], "&lt;&gt;0"),0)</f>
        <v>0.92304332561728397</v>
      </c>
      <c r="AW288" s="205">
        <v>0</v>
      </c>
      <c r="AX288" s="205">
        <v>0</v>
      </c>
      <c r="AY288" s="205">
        <v>0</v>
      </c>
      <c r="AZ288" s="206">
        <f>IF(Prod[[#This Row],[S1Cycle]]&lt;&gt;0,1,0)</f>
        <v>1</v>
      </c>
      <c r="BA288" s="206">
        <f>IF(Prod[[#This Row],[S2Cycle]]&lt;&gt;0,1,0)</f>
        <v>1</v>
      </c>
      <c r="BB288" s="206">
        <f>IF(Prod[[#This Row],[S3Cycle]]&lt;&gt;0,1,0)</f>
        <v>1</v>
      </c>
      <c r="BC288" s="206">
        <f>MAX(Prod[[#This Row],[S1Cavity]],Prod[[#This Row],[S2Cavity]],Prod[[#This Row],[S3Cavity]])</f>
        <v>16</v>
      </c>
      <c r="BD288" s="206" t="b">
        <f>RegExpMatch(Prod[[#This Row],[MoldNo]], "^DEO-(B|C)")</f>
        <v>0</v>
      </c>
      <c r="BE288" s="206" t="b">
        <f>RegExpMatch(Prod[[#This Row],[MoldNo]], "^JAC")</f>
        <v>0</v>
      </c>
    </row>
    <row r="289" spans="1:57" x14ac:dyDescent="0.2">
      <c r="A289" s="195">
        <v>45461</v>
      </c>
      <c r="B289" s="196" t="s">
        <v>192</v>
      </c>
      <c r="C289" s="198" t="s">
        <v>193</v>
      </c>
      <c r="D289" s="197"/>
      <c r="E289" s="198"/>
      <c r="F289" s="197"/>
      <c r="G289" s="197" t="str">
        <f>IF(OR(Prod[[#This Row],[S1Hrs]]&gt;0,Prod[[#This Row],[S2Hrs]]&gt;0,Prod[[#This Row],[S3Hrs]]&gt;0),"Running","Down")</f>
        <v>Down</v>
      </c>
      <c r="H289" s="199">
        <v>0</v>
      </c>
      <c r="I289" s="200">
        <v>0</v>
      </c>
      <c r="J289" s="196">
        <v>0</v>
      </c>
      <c r="K289" s="201">
        <v>0</v>
      </c>
      <c r="L289" s="196">
        <f>Prod[[#This Row],[S1Shot]]*Prod[[#This Row],[S1Cavity]]-Prod[[#This Row],[S1Dft]]</f>
        <v>0</v>
      </c>
      <c r="M289" s="207"/>
      <c r="N289" s="199">
        <v>0</v>
      </c>
      <c r="O289" s="200">
        <v>0</v>
      </c>
      <c r="P289" s="196">
        <v>0</v>
      </c>
      <c r="Q289" s="201">
        <v>0</v>
      </c>
      <c r="R289" s="196">
        <f>Prod[[#This Row],[S2Shot]]*Prod[[#This Row],[S2Cavity]]-Prod[[#This Row],[S2Dft]]</f>
        <v>0</v>
      </c>
      <c r="S289" s="207"/>
      <c r="T289" s="199">
        <v>0</v>
      </c>
      <c r="U289" s="200">
        <v>0</v>
      </c>
      <c r="V289" s="196">
        <v>0</v>
      </c>
      <c r="W289" s="201">
        <v>0</v>
      </c>
      <c r="X289" s="196">
        <f>Prod[[#This Row],[S3Shot]]*Prod[[#This Row],[S3Cavity]]-Prod[[#This Row],[S3Dft]]</f>
        <v>0</v>
      </c>
      <c r="Y289" s="207"/>
      <c r="Z289" s="196">
        <f>SUM(Prod[[#This Row],[S1Qty]],Prod[[#This Row],[S2Qty]],Prod[[#This Row],[S3Qty]])</f>
        <v>0</v>
      </c>
      <c r="AA289" s="207"/>
      <c r="AB289" s="208"/>
      <c r="AC289" s="204"/>
      <c r="AD289" s="207"/>
      <c r="AE289" s="207"/>
      <c r="AF289" s="207"/>
      <c r="AG289" s="207"/>
      <c r="AH289" s="207"/>
      <c r="AI289" s="207"/>
      <c r="AJ289" s="207"/>
      <c r="AK289" s="207"/>
      <c r="AL289" s="207"/>
      <c r="AM289" s="207"/>
      <c r="AN289" s="207"/>
      <c r="AO289" s="207"/>
      <c r="AP289" s="207"/>
      <c r="AQ289" s="207"/>
      <c r="AR289" s="207"/>
      <c r="AS289" s="205">
        <f>IF(Prod[[#This Row],[S1Hrs]]=0,0,Prod[[#This Row],[S1Shot]]*Prod[[#This Row],[S1Cycle]]/(Prod[[#This Row],[S1Hrs]]*60*60))</f>
        <v>0</v>
      </c>
      <c r="AT289" s="205">
        <f>IF(Prod[[#This Row],[S2Hrs]]=0,0,Prod[[#This Row],[S2Shot]]*Prod[[#This Row],[S2Cycle]]/(Prod[[#This Row],[S2Hrs]]*60*60))</f>
        <v>0</v>
      </c>
      <c r="AU289" s="205">
        <f>IF(Prod[[#This Row],[S3Hrs]]=0,0,Prod[[#This Row],[S3Shot]]*Prod[[#This Row],[S3Cycle]]/(Prod[[#This Row],[S3Hrs]]*60*60))</f>
        <v>0</v>
      </c>
      <c r="AV289" s="205">
        <f>IFERROR(AVERAGEIF(Prod[[#This Row],[S1%]:[S3%]], "&lt;&gt;0"),0)</f>
        <v>0</v>
      </c>
      <c r="AW289" s="205">
        <v>0</v>
      </c>
      <c r="AX289" s="205">
        <v>0</v>
      </c>
      <c r="AY289" s="205">
        <v>0</v>
      </c>
      <c r="AZ289" s="206">
        <f>IF(Prod[[#This Row],[S1Cycle]]&lt;&gt;0,1,0)</f>
        <v>0</v>
      </c>
      <c r="BA289" s="206">
        <f>IF(Prod[[#This Row],[S2Cycle]]&lt;&gt;0,1,0)</f>
        <v>0</v>
      </c>
      <c r="BB289" s="206">
        <f>IF(Prod[[#This Row],[S3Cycle]]&lt;&gt;0,1,0)</f>
        <v>0</v>
      </c>
      <c r="BC289" s="206">
        <f>MAX(Prod[[#This Row],[S1Cavity]],Prod[[#This Row],[S2Cavity]],Prod[[#This Row],[S3Cavity]])</f>
        <v>0</v>
      </c>
      <c r="BD289" s="206" t="b">
        <f>RegExpMatch(Prod[[#This Row],[MoldNo]], "^DEO-(B|C)")</f>
        <v>0</v>
      </c>
      <c r="BE289" s="206" t="b">
        <f>RegExpMatch(Prod[[#This Row],[MoldNo]], "^JAC")</f>
        <v>0</v>
      </c>
    </row>
    <row r="290" spans="1:57" x14ac:dyDescent="0.2">
      <c r="A290" s="195">
        <v>45461</v>
      </c>
      <c r="B290" s="196" t="s">
        <v>168</v>
      </c>
      <c r="C290" s="197" t="s">
        <v>169</v>
      </c>
      <c r="D290" s="197">
        <v>26687</v>
      </c>
      <c r="E290" s="198" t="s">
        <v>199</v>
      </c>
      <c r="F290" s="197">
        <v>814</v>
      </c>
      <c r="G290" s="197" t="str">
        <f>IF(OR(Prod[[#This Row],[S1Hrs]]&gt;0,Prod[[#This Row],[S2Hrs]]&gt;0,Prod[[#This Row],[S3Hrs]]&gt;0),"Running","Down")</f>
        <v>Running</v>
      </c>
      <c r="H290" s="199">
        <v>15.49</v>
      </c>
      <c r="I290" s="200">
        <v>8</v>
      </c>
      <c r="J290" s="196">
        <v>1834</v>
      </c>
      <c r="K290" s="201">
        <v>15</v>
      </c>
      <c r="L290" s="196">
        <f>Prod[[#This Row],[S1Shot]]*Prod[[#This Row],[S1Cavity]]-Prod[[#This Row],[S1Dft]]</f>
        <v>27510</v>
      </c>
      <c r="M290" s="207"/>
      <c r="N290" s="199">
        <v>15.47</v>
      </c>
      <c r="O290" s="200">
        <v>5.5</v>
      </c>
      <c r="P290" s="196">
        <v>1103</v>
      </c>
      <c r="Q290" s="201">
        <v>15</v>
      </c>
      <c r="R290" s="196">
        <f>Prod[[#This Row],[S2Shot]]*Prod[[#This Row],[S2Cavity]]-Prod[[#This Row],[S2Dft]]</f>
        <v>16545</v>
      </c>
      <c r="S290" s="207"/>
      <c r="T290" s="199">
        <v>15.45</v>
      </c>
      <c r="U290" s="200">
        <v>8</v>
      </c>
      <c r="V290" s="196">
        <v>1761</v>
      </c>
      <c r="W290" s="201">
        <v>15</v>
      </c>
      <c r="X290" s="196">
        <f>Prod[[#This Row],[S3Shot]]*Prod[[#This Row],[S3Cavity]]-Prod[[#This Row],[S3Dft]]</f>
        <v>26415</v>
      </c>
      <c r="Y290" s="207"/>
      <c r="Z290" s="196">
        <f>SUM(Prod[[#This Row],[S1Qty]],Prod[[#This Row],[S2Qty]],Prod[[#This Row],[S3Qty]])</f>
        <v>70470</v>
      </c>
      <c r="AA290" s="207"/>
      <c r="AB290" s="208"/>
      <c r="AC290" s="204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5">
        <f>IF(Prod[[#This Row],[S1Hrs]]=0,0,Prod[[#This Row],[S1Shot]]*Prod[[#This Row],[S1Cycle]]/(Prod[[#This Row],[S1Hrs]]*60*60))</f>
        <v>0.98641180555555552</v>
      </c>
      <c r="AT290" s="205">
        <f>IF(Prod[[#This Row],[S2Hrs]]=0,0,Prod[[#This Row],[S2Shot]]*Prod[[#This Row],[S2Cycle]]/(Prod[[#This Row],[S2Hrs]]*60*60))</f>
        <v>0.86178838383838385</v>
      </c>
      <c r="AU290" s="205">
        <f>IF(Prod[[#This Row],[S3Hrs]]=0,0,Prod[[#This Row],[S3Shot]]*Prod[[#This Row],[S3Cycle]]/(Prod[[#This Row],[S3Hrs]]*60*60))</f>
        <v>0.94470312499999987</v>
      </c>
      <c r="AV290" s="205">
        <f>IFERROR(AVERAGEIF(Prod[[#This Row],[S1%]:[S3%]], "&lt;&gt;0"),0)</f>
        <v>0.93096777146464638</v>
      </c>
      <c r="AW290" s="205">
        <v>0</v>
      </c>
      <c r="AX290" s="205">
        <v>0</v>
      </c>
      <c r="AY290" s="205">
        <v>0</v>
      </c>
      <c r="AZ290" s="206">
        <f>IF(Prod[[#This Row],[S1Cycle]]&lt;&gt;0,1,0)</f>
        <v>1</v>
      </c>
      <c r="BA290" s="206">
        <f>IF(Prod[[#This Row],[S2Cycle]]&lt;&gt;0,1,0)</f>
        <v>1</v>
      </c>
      <c r="BB290" s="206">
        <f>IF(Prod[[#This Row],[S3Cycle]]&lt;&gt;0,1,0)</f>
        <v>1</v>
      </c>
      <c r="BC290" s="206">
        <f>MAX(Prod[[#This Row],[S1Cavity]],Prod[[#This Row],[S2Cavity]],Prod[[#This Row],[S3Cavity]])</f>
        <v>15</v>
      </c>
      <c r="BD290" s="206" t="b">
        <f>RegExpMatch(Prod[[#This Row],[MoldNo]], "^DEO-(B|C)")</f>
        <v>0</v>
      </c>
      <c r="BE290" s="206" t="b">
        <f>RegExpMatch(Prod[[#This Row],[MoldNo]], "^JAC")</f>
        <v>0</v>
      </c>
    </row>
    <row r="291" spans="1:57" x14ac:dyDescent="0.2">
      <c r="A291" s="195">
        <v>45461</v>
      </c>
      <c r="B291" s="196" t="s">
        <v>146</v>
      </c>
      <c r="C291" s="197" t="s">
        <v>84</v>
      </c>
      <c r="D291" s="197">
        <v>27501</v>
      </c>
      <c r="E291" s="198" t="s">
        <v>199</v>
      </c>
      <c r="F291" s="197">
        <v>6331</v>
      </c>
      <c r="G291" s="197" t="str">
        <f>IF(OR(Prod[[#This Row],[S1Hrs]]&gt;0,Prod[[#This Row],[S2Hrs]]&gt;0,Prod[[#This Row],[S3Hrs]]&gt;0),"Running","Down")</f>
        <v>Running</v>
      </c>
      <c r="H291" s="199">
        <v>11.98</v>
      </c>
      <c r="I291" s="200">
        <v>8</v>
      </c>
      <c r="J291" s="196">
        <v>2379</v>
      </c>
      <c r="K291" s="201">
        <v>8</v>
      </c>
      <c r="L291" s="196">
        <f>Prod[[#This Row],[S1Shot]]*Prod[[#This Row],[S1Cavity]]-Prod[[#This Row],[S1Dft]]</f>
        <v>19032</v>
      </c>
      <c r="M291" s="207"/>
      <c r="N291" s="199">
        <v>11.98</v>
      </c>
      <c r="O291" s="200">
        <v>6</v>
      </c>
      <c r="P291" s="196">
        <v>1597</v>
      </c>
      <c r="Q291" s="201">
        <v>8</v>
      </c>
      <c r="R291" s="196">
        <f>Prod[[#This Row],[S2Shot]]*Prod[[#This Row],[S2Cavity]]-Prod[[#This Row],[S2Dft]]</f>
        <v>12776</v>
      </c>
      <c r="S291" s="207"/>
      <c r="T291" s="199">
        <v>11.94</v>
      </c>
      <c r="U291" s="200">
        <v>8</v>
      </c>
      <c r="V291" s="196">
        <v>2192</v>
      </c>
      <c r="W291" s="201">
        <v>8</v>
      </c>
      <c r="X291" s="196">
        <f>Prod[[#This Row],[S3Shot]]*Prod[[#This Row],[S3Cavity]]-Prod[[#This Row],[S3Dft]]</f>
        <v>17536</v>
      </c>
      <c r="Y291" s="207"/>
      <c r="Z291" s="196">
        <f>SUM(Prod[[#This Row],[S1Qty]],Prod[[#This Row],[S2Qty]],Prod[[#This Row],[S3Qty]])</f>
        <v>49344</v>
      </c>
      <c r="AA291" s="207"/>
      <c r="AB291" s="208"/>
      <c r="AC291" s="204"/>
      <c r="AD291" s="207"/>
      <c r="AE291" s="207"/>
      <c r="AF291" s="207"/>
      <c r="AG291" s="207"/>
      <c r="AH291" s="207"/>
      <c r="AI291" s="207"/>
      <c r="AJ291" s="207"/>
      <c r="AK291" s="207"/>
      <c r="AL291" s="207"/>
      <c r="AM291" s="207"/>
      <c r="AN291" s="207"/>
      <c r="AO291" s="207"/>
      <c r="AP291" s="207"/>
      <c r="AQ291" s="207"/>
      <c r="AR291" s="207"/>
      <c r="AS291" s="205">
        <f>IF(Prod[[#This Row],[S1Hrs]]=0,0,Prod[[#This Row],[S1Shot]]*Prod[[#This Row],[S1Cycle]]/(Prod[[#This Row],[S1Hrs]]*60*60))</f>
        <v>0.98959791666666674</v>
      </c>
      <c r="AT291" s="205">
        <f>IF(Prod[[#This Row],[S2Hrs]]=0,0,Prod[[#This Row],[S2Shot]]*Prod[[#This Row],[S2Cycle]]/(Prod[[#This Row],[S2Hrs]]*60*60))</f>
        <v>0.88574351851851862</v>
      </c>
      <c r="AU291" s="205">
        <f>IF(Prod[[#This Row],[S3Hrs]]=0,0,Prod[[#This Row],[S3Shot]]*Prod[[#This Row],[S3Cycle]]/(Prod[[#This Row],[S3Hrs]]*60*60))</f>
        <v>0.90876666666666661</v>
      </c>
      <c r="AV291" s="205">
        <f>IFERROR(AVERAGEIF(Prod[[#This Row],[S1%]:[S3%]], "&lt;&gt;0"),0)</f>
        <v>0.9280360339506174</v>
      </c>
      <c r="AW291" s="205">
        <v>0</v>
      </c>
      <c r="AX291" s="205">
        <v>0</v>
      </c>
      <c r="AY291" s="205">
        <v>0</v>
      </c>
      <c r="AZ291" s="206">
        <f>IF(Prod[[#This Row],[S1Cycle]]&lt;&gt;0,1,0)</f>
        <v>1</v>
      </c>
      <c r="BA291" s="206">
        <f>IF(Prod[[#This Row],[S2Cycle]]&lt;&gt;0,1,0)</f>
        <v>1</v>
      </c>
      <c r="BB291" s="206">
        <f>IF(Prod[[#This Row],[S3Cycle]]&lt;&gt;0,1,0)</f>
        <v>1</v>
      </c>
      <c r="BC291" s="206">
        <f>MAX(Prod[[#This Row],[S1Cavity]],Prod[[#This Row],[S2Cavity]],Prod[[#This Row],[S3Cavity]])</f>
        <v>8</v>
      </c>
      <c r="BD291" s="206" t="b">
        <f>RegExpMatch(Prod[[#This Row],[MoldNo]], "^DEO-(B|C)")</f>
        <v>0</v>
      </c>
      <c r="BE291" s="206" t="b">
        <f>RegExpMatch(Prod[[#This Row],[MoldNo]], "^JAC")</f>
        <v>0</v>
      </c>
    </row>
    <row r="292" spans="1:57" x14ac:dyDescent="0.2">
      <c r="A292" s="195">
        <v>45461</v>
      </c>
      <c r="B292" s="201" t="s">
        <v>164</v>
      </c>
      <c r="C292" s="198" t="s">
        <v>144</v>
      </c>
      <c r="D292" s="197"/>
      <c r="E292" s="198"/>
      <c r="F292" s="197"/>
      <c r="G292" s="197" t="str">
        <f>IF(OR(Prod[[#This Row],[S1Hrs]]&gt;0,Prod[[#This Row],[S2Hrs]]&gt;0,Prod[[#This Row],[S3Hrs]]&gt;0),"Running","Down")</f>
        <v>Down</v>
      </c>
      <c r="H292" s="199">
        <v>0</v>
      </c>
      <c r="I292" s="200">
        <v>0</v>
      </c>
      <c r="J292" s="196">
        <v>0</v>
      </c>
      <c r="K292" s="201">
        <v>0</v>
      </c>
      <c r="L292" s="196">
        <f>Prod[[#This Row],[S1Shot]]*Prod[[#This Row],[S1Cavity]]-Prod[[#This Row],[S1Dft]]</f>
        <v>0</v>
      </c>
      <c r="M292" s="202">
        <f>SUM(Prod[[#This Row],[S1Mold]],Prod[[#This Row],[S1Print]],Prod[[#This Row],[S1Ovlp]],Prod[[#This Row],[S1Seam]],Prod[[#This Row],[S1Dmg]])</f>
        <v>0</v>
      </c>
      <c r="N292" s="199">
        <v>0</v>
      </c>
      <c r="O292" s="200">
        <v>0</v>
      </c>
      <c r="P292" s="196">
        <v>0</v>
      </c>
      <c r="Q292" s="201">
        <v>0</v>
      </c>
      <c r="R292" s="196">
        <f>Prod[[#This Row],[S2Shot]]*Prod[[#This Row],[S2Cavity]]-Prod[[#This Row],[S2Dft]]</f>
        <v>0</v>
      </c>
      <c r="S292" s="202">
        <f>SUM(Prod[[#This Row],[S2Mold]],Prod[[#This Row],[S2Print]],Prod[[#This Row],[S2Ovlp]],Prod[[#This Row],[S2Seam]],Prod[[#This Row],[S2Dmg]])</f>
        <v>0</v>
      </c>
      <c r="T292" s="199">
        <v>0</v>
      </c>
      <c r="U292" s="200">
        <v>0</v>
      </c>
      <c r="V292" s="196">
        <v>0</v>
      </c>
      <c r="W292" s="201">
        <v>0</v>
      </c>
      <c r="X292" s="196">
        <f>Prod[[#This Row],[S3Shot]]*Prod[[#This Row],[S3Cavity]]-Prod[[#This Row],[S3Dft]]</f>
        <v>0</v>
      </c>
      <c r="Y292" s="196">
        <f>SUM(Prod[[#This Row],[S3Mold]],Prod[[#This Row],[S3Print]],Prod[[#This Row],[S3Ovlp]],Prod[[#This Row],[S3Seam]],Prod[[#This Row],[S3Dmg]])</f>
        <v>0</v>
      </c>
      <c r="Z292" s="196">
        <f>SUM(Prod[[#This Row],[S1Qty]],Prod[[#This Row],[S2Qty]],Prod[[#This Row],[S3Qty]])</f>
        <v>0</v>
      </c>
      <c r="AA292" s="196">
        <f>SUM(Prod[[#This Row],[S1Dft]],Prod[[#This Row],[S2Dft]],Prod[[#This Row],[S3Dft]])</f>
        <v>0</v>
      </c>
      <c r="AB292" s="203">
        <f>IF(Prod[[#This Row],[Total]]=0,0,Prod[[#This Row],[TotalDft]]/Prod[[#This Row],[Total]])</f>
        <v>0</v>
      </c>
      <c r="AC292" s="204"/>
      <c r="AD292" s="196">
        <v>0</v>
      </c>
      <c r="AE292" s="196">
        <v>0</v>
      </c>
      <c r="AF292" s="196">
        <v>0</v>
      </c>
      <c r="AG292" s="196">
        <v>0</v>
      </c>
      <c r="AH292" s="196">
        <v>0</v>
      </c>
      <c r="AI292" s="196">
        <v>0</v>
      </c>
      <c r="AJ292" s="196">
        <v>0</v>
      </c>
      <c r="AK292" s="196">
        <v>0</v>
      </c>
      <c r="AL292" s="196">
        <v>0</v>
      </c>
      <c r="AM292" s="196">
        <v>0</v>
      </c>
      <c r="AN292" s="196">
        <v>0</v>
      </c>
      <c r="AO292" s="196">
        <v>0</v>
      </c>
      <c r="AP292" s="196">
        <v>0</v>
      </c>
      <c r="AQ292" s="196">
        <v>0</v>
      </c>
      <c r="AR292" s="196">
        <v>0</v>
      </c>
      <c r="AS292" s="205">
        <f>IF(Prod[[#This Row],[S1Hrs]]=0,0,Prod[[#This Row],[S1Shot]]*Prod[[#This Row],[S1Cycle]]/(Prod[[#This Row],[S1Hrs]]*60*60))</f>
        <v>0</v>
      </c>
      <c r="AT292" s="205">
        <f>IF(Prod[[#This Row],[S2Hrs]]=0,0,Prod[[#This Row],[S2Shot]]*Prod[[#This Row],[S2Cycle]]/(Prod[[#This Row],[S2Hrs]]*60*60))</f>
        <v>0</v>
      </c>
      <c r="AU292" s="205">
        <f>IF(Prod[[#This Row],[S3Hrs]]=0,0,Prod[[#This Row],[S3Shot]]*Prod[[#This Row],[S3Cycle]]/(Prod[[#This Row],[S3Hrs]]*60*60))</f>
        <v>0</v>
      </c>
      <c r="AV292" s="205">
        <f>IFERROR(AVERAGEIF(Prod[[#This Row],[S1%]:[S3%]], "&lt;&gt;0"),0)</f>
        <v>0</v>
      </c>
      <c r="AW292" s="205">
        <v>0</v>
      </c>
      <c r="AX292" s="205">
        <v>0</v>
      </c>
      <c r="AY292" s="205">
        <v>0</v>
      </c>
      <c r="AZ292" s="206">
        <f>IF(Prod[[#This Row],[S1Cycle]]&lt;&gt;0,1,0)</f>
        <v>0</v>
      </c>
      <c r="BA292" s="206">
        <f>IF(Prod[[#This Row],[S2Cycle]]&lt;&gt;0,1,0)</f>
        <v>0</v>
      </c>
      <c r="BB292" s="206">
        <f>IF(Prod[[#This Row],[S3Cycle]]&lt;&gt;0,1,0)</f>
        <v>0</v>
      </c>
      <c r="BC292" s="206">
        <f>MAX(Prod[[#This Row],[S1Cavity]],Prod[[#This Row],[S2Cavity]],Prod[[#This Row],[S3Cavity]])</f>
        <v>0</v>
      </c>
      <c r="BD292" s="206" t="b">
        <f>RegExpMatch(Prod[[#This Row],[MoldNo]], "^DEO-(B|C)")</f>
        <v>1</v>
      </c>
      <c r="BE292" s="206" t="b">
        <f>RegExpMatch(Prod[[#This Row],[MoldNo]], "^JAC")</f>
        <v>0</v>
      </c>
    </row>
    <row r="293" spans="1:57" x14ac:dyDescent="0.2">
      <c r="A293" s="195">
        <v>45461</v>
      </c>
      <c r="B293" s="201" t="s">
        <v>162</v>
      </c>
      <c r="C293" s="198" t="s">
        <v>163</v>
      </c>
      <c r="D293" s="197"/>
      <c r="E293" s="198"/>
      <c r="F293" s="197"/>
      <c r="G293" s="197" t="str">
        <f>IF(OR(Prod[[#This Row],[S1Hrs]]&gt;0,Prod[[#This Row],[S2Hrs]]&gt;0,Prod[[#This Row],[S3Hrs]]&gt;0),"Running","Down")</f>
        <v>Down</v>
      </c>
      <c r="H293" s="199">
        <v>0</v>
      </c>
      <c r="I293" s="200">
        <v>0</v>
      </c>
      <c r="J293" s="196">
        <v>0</v>
      </c>
      <c r="K293" s="201">
        <v>0</v>
      </c>
      <c r="L293" s="196">
        <f>Prod[[#This Row],[S1Shot]]*Prod[[#This Row],[S1Cavity]]-Prod[[#This Row],[S1Dft]]</f>
        <v>0</v>
      </c>
      <c r="M293" s="202">
        <f>SUM(Prod[[#This Row],[S1Mold]],Prod[[#This Row],[S1Print]],Prod[[#This Row],[S1Ovlp]],Prod[[#This Row],[S1Seam]],Prod[[#This Row],[S1Dmg]])</f>
        <v>0</v>
      </c>
      <c r="N293" s="199">
        <v>0</v>
      </c>
      <c r="O293" s="200">
        <v>0</v>
      </c>
      <c r="P293" s="196">
        <v>0</v>
      </c>
      <c r="Q293" s="201">
        <v>0</v>
      </c>
      <c r="R293" s="196">
        <f>Prod[[#This Row],[S2Shot]]*Prod[[#This Row],[S2Cavity]]-Prod[[#This Row],[S2Dft]]</f>
        <v>0</v>
      </c>
      <c r="S293" s="202">
        <f>SUM(Prod[[#This Row],[S2Mold]],Prod[[#This Row],[S2Print]],Prod[[#This Row],[S2Ovlp]],Prod[[#This Row],[S2Seam]],Prod[[#This Row],[S2Dmg]])</f>
        <v>0</v>
      </c>
      <c r="T293" s="199">
        <v>0</v>
      </c>
      <c r="U293" s="200">
        <v>0</v>
      </c>
      <c r="V293" s="196">
        <v>0</v>
      </c>
      <c r="W293" s="201">
        <v>0</v>
      </c>
      <c r="X293" s="196">
        <f>Prod[[#This Row],[S3Shot]]*Prod[[#This Row],[S3Cavity]]-Prod[[#This Row],[S3Dft]]</f>
        <v>0</v>
      </c>
      <c r="Y293" s="196">
        <f>SUM(Prod[[#This Row],[S3Mold]],Prod[[#This Row],[S3Print]],Prod[[#This Row],[S3Ovlp]],Prod[[#This Row],[S3Seam]],Prod[[#This Row],[S3Dmg]])</f>
        <v>0</v>
      </c>
      <c r="Z293" s="196">
        <f>SUM(Prod[[#This Row],[S1Qty]],Prod[[#This Row],[S2Qty]],Prod[[#This Row],[S3Qty]])</f>
        <v>0</v>
      </c>
      <c r="AA293" s="196">
        <f>SUM(Prod[[#This Row],[S1Dft]],Prod[[#This Row],[S2Dft]],Prod[[#This Row],[S3Dft]])</f>
        <v>0</v>
      </c>
      <c r="AB293" s="203">
        <f>IF(Prod[[#This Row],[Total]]=0,0,Prod[[#This Row],[TotalDft]]/Prod[[#This Row],[Total]])</f>
        <v>0</v>
      </c>
      <c r="AC293" s="204"/>
      <c r="AD293" s="196">
        <v>0</v>
      </c>
      <c r="AE293" s="196">
        <v>0</v>
      </c>
      <c r="AF293" s="196">
        <v>0</v>
      </c>
      <c r="AG293" s="196">
        <v>0</v>
      </c>
      <c r="AH293" s="196">
        <v>0</v>
      </c>
      <c r="AI293" s="196">
        <v>0</v>
      </c>
      <c r="AJ293" s="196">
        <v>0</v>
      </c>
      <c r="AK293" s="196">
        <v>0</v>
      </c>
      <c r="AL293" s="196">
        <v>0</v>
      </c>
      <c r="AM293" s="196">
        <v>0</v>
      </c>
      <c r="AN293" s="196">
        <v>0</v>
      </c>
      <c r="AO293" s="196">
        <v>0</v>
      </c>
      <c r="AP293" s="196">
        <v>0</v>
      </c>
      <c r="AQ293" s="196">
        <v>0</v>
      </c>
      <c r="AR293" s="196">
        <v>0</v>
      </c>
      <c r="AS293" s="205">
        <f>IF(Prod[[#This Row],[S1Hrs]]=0,0,Prod[[#This Row],[S1Shot]]*Prod[[#This Row],[S1Cycle]]/(Prod[[#This Row],[S1Hrs]]*60*60))</f>
        <v>0</v>
      </c>
      <c r="AT293" s="205">
        <f>IF(Prod[[#This Row],[S2Hrs]]=0,0,Prod[[#This Row],[S2Shot]]*Prod[[#This Row],[S2Cycle]]/(Prod[[#This Row],[S2Hrs]]*60*60))</f>
        <v>0</v>
      </c>
      <c r="AU293" s="205">
        <f>IF(Prod[[#This Row],[S3Hrs]]=0,0,Prod[[#This Row],[S3Shot]]*Prod[[#This Row],[S3Cycle]]/(Prod[[#This Row],[S3Hrs]]*60*60))</f>
        <v>0</v>
      </c>
      <c r="AV293" s="205">
        <f>IFERROR(AVERAGEIF(Prod[[#This Row],[S1%]:[S3%]], "&lt;&gt;0"),0)</f>
        <v>0</v>
      </c>
      <c r="AW293" s="205">
        <v>0</v>
      </c>
      <c r="AX293" s="205">
        <v>0</v>
      </c>
      <c r="AY293" s="205">
        <v>0</v>
      </c>
      <c r="AZ293" s="206">
        <f>IF(Prod[[#This Row],[S1Cycle]]&lt;&gt;0,1,0)</f>
        <v>0</v>
      </c>
      <c r="BA293" s="206">
        <f>IF(Prod[[#This Row],[S2Cycle]]&lt;&gt;0,1,0)</f>
        <v>0</v>
      </c>
      <c r="BB293" s="206">
        <f>IF(Prod[[#This Row],[S3Cycle]]&lt;&gt;0,1,0)</f>
        <v>0</v>
      </c>
      <c r="BC293" s="206">
        <f>MAX(Prod[[#This Row],[S1Cavity]],Prod[[#This Row],[S2Cavity]],Prod[[#This Row],[S3Cavity]])</f>
        <v>0</v>
      </c>
      <c r="BD293" s="206" t="b">
        <f>RegExpMatch(Prod[[#This Row],[MoldNo]], "^DEO-(B|C)")</f>
        <v>1</v>
      </c>
      <c r="BE293" s="206" t="b">
        <f>RegExpMatch(Prod[[#This Row],[MoldNo]], "^JAC")</f>
        <v>0</v>
      </c>
    </row>
    <row r="294" spans="1:57" x14ac:dyDescent="0.2">
      <c r="A294" s="195">
        <v>45461</v>
      </c>
      <c r="B294" s="201" t="s">
        <v>174</v>
      </c>
      <c r="C294" s="198" t="s">
        <v>175</v>
      </c>
      <c r="D294" s="197">
        <v>27579</v>
      </c>
      <c r="E294" s="198" t="s">
        <v>199</v>
      </c>
      <c r="F294" s="197">
        <v>814</v>
      </c>
      <c r="G294" s="197" t="str">
        <f>IF(OR(Prod[[#This Row],[S1Hrs]]&gt;0,Prod[[#This Row],[S2Hrs]]&gt;0,Prod[[#This Row],[S3Hrs]]&gt;0),"Running","Down")</f>
        <v>Running</v>
      </c>
      <c r="H294" s="199">
        <v>20.39</v>
      </c>
      <c r="I294" s="200">
        <v>8</v>
      </c>
      <c r="J294" s="196">
        <v>1465</v>
      </c>
      <c r="K294" s="201">
        <v>8</v>
      </c>
      <c r="L294" s="196">
        <f>Prod[[#This Row],[S1Shot]]*Prod[[#This Row],[S1Cavity]]-Prod[[#This Row],[S1Dft]]</f>
        <v>11580</v>
      </c>
      <c r="M294" s="202">
        <f>SUM(Prod[[#This Row],[S1Mold]],Prod[[#This Row],[S1Print]],Prod[[#This Row],[S1Ovlp]],Prod[[#This Row],[S1Seam]],Prod[[#This Row],[S1Dmg]])</f>
        <v>140</v>
      </c>
      <c r="N294" s="199">
        <v>20.49</v>
      </c>
      <c r="O294" s="200">
        <v>6</v>
      </c>
      <c r="P294" s="196">
        <v>964</v>
      </c>
      <c r="Q294" s="201">
        <v>8</v>
      </c>
      <c r="R294" s="196">
        <f>Prod[[#This Row],[S2Shot]]*Prod[[#This Row],[S2Cavity]]-Prod[[#This Row],[S2Dft]]</f>
        <v>7572</v>
      </c>
      <c r="S294" s="202">
        <f>SUM(Prod[[#This Row],[S2Mold]],Prod[[#This Row],[S2Print]],Prod[[#This Row],[S2Ovlp]],Prod[[#This Row],[S2Seam]],Prod[[#This Row],[S2Dmg]])</f>
        <v>140</v>
      </c>
      <c r="T294" s="199">
        <v>20.39</v>
      </c>
      <c r="U294" s="200">
        <v>8</v>
      </c>
      <c r="V294" s="196">
        <v>1311</v>
      </c>
      <c r="W294" s="201">
        <v>8</v>
      </c>
      <c r="X294" s="196">
        <f>Prod[[#This Row],[S3Shot]]*Prod[[#This Row],[S3Cavity]]-Prod[[#This Row],[S3Dft]]</f>
        <v>10358</v>
      </c>
      <c r="Y294" s="196">
        <f>SUM(Prod[[#This Row],[S3Mold]],Prod[[#This Row],[S3Print]],Prod[[#This Row],[S3Ovlp]],Prod[[#This Row],[S3Seam]],Prod[[#This Row],[S3Dmg]])</f>
        <v>130</v>
      </c>
      <c r="Z294" s="196">
        <f>SUM(Prod[[#This Row],[S1Qty]],Prod[[#This Row],[S2Qty]],Prod[[#This Row],[S3Qty]])</f>
        <v>29510</v>
      </c>
      <c r="AA294" s="196">
        <f>SUM(Prod[[#This Row],[S1Dft]],Prod[[#This Row],[S2Dft]],Prod[[#This Row],[S3Dft]])</f>
        <v>410</v>
      </c>
      <c r="AB294" s="203">
        <f>IF(Prod[[#This Row],[Total]]=0,0,Prod[[#This Row],[TotalDft]]/Prod[[#This Row],[Total]])</f>
        <v>1.3893595391392748E-2</v>
      </c>
      <c r="AC294" s="198" t="s">
        <v>275</v>
      </c>
      <c r="AD294" s="196">
        <v>25</v>
      </c>
      <c r="AE294" s="196">
        <v>20</v>
      </c>
      <c r="AF294" s="196">
        <v>20</v>
      </c>
      <c r="AG294" s="196">
        <v>115</v>
      </c>
      <c r="AH294" s="196">
        <v>120</v>
      </c>
      <c r="AI294" s="196">
        <v>110</v>
      </c>
      <c r="AJ294" s="196">
        <v>0</v>
      </c>
      <c r="AK294" s="196">
        <v>0</v>
      </c>
      <c r="AL294" s="196">
        <v>0</v>
      </c>
      <c r="AM294" s="196">
        <v>0</v>
      </c>
      <c r="AN294" s="196">
        <v>0</v>
      </c>
      <c r="AO294" s="196">
        <v>0</v>
      </c>
      <c r="AP294" s="196">
        <v>0</v>
      </c>
      <c r="AQ294" s="196">
        <v>0</v>
      </c>
      <c r="AR294" s="196">
        <v>0</v>
      </c>
      <c r="AS294" s="205">
        <f>IF(Prod[[#This Row],[S1Hrs]]=0,0,Prod[[#This Row],[S1Shot]]*Prod[[#This Row],[S1Cycle]]/(Prod[[#This Row],[S1Hrs]]*60*60))</f>
        <v>1.0371996527777778</v>
      </c>
      <c r="AT294" s="205">
        <f>IF(Prod[[#This Row],[S2Hrs]]=0,0,Prod[[#This Row],[S2Shot]]*Prod[[#This Row],[S2Cycle]]/(Prod[[#This Row],[S2Hrs]]*60*60))</f>
        <v>0.91446111111111095</v>
      </c>
      <c r="AU294" s="205">
        <f>IF(Prod[[#This Row],[S3Hrs]]=0,0,Prod[[#This Row],[S3Shot]]*Prod[[#This Row],[S3Cycle]]/(Prod[[#This Row],[S3Hrs]]*60*60))</f>
        <v>0.92816979166666669</v>
      </c>
      <c r="AV294" s="205">
        <f>IFERROR(AVERAGEIF(Prod[[#This Row],[S1%]:[S3%]], "&lt;&gt;0"),0)</f>
        <v>0.95994351851851845</v>
      </c>
      <c r="AW294" s="205">
        <v>1</v>
      </c>
      <c r="AX294" s="205">
        <v>0</v>
      </c>
      <c r="AY294" s="205">
        <v>0</v>
      </c>
      <c r="AZ294" s="206">
        <f>IF(Prod[[#This Row],[S1Cycle]]&lt;&gt;0,1,0)</f>
        <v>1</v>
      </c>
      <c r="BA294" s="206">
        <f>IF(Prod[[#This Row],[S2Cycle]]&lt;&gt;0,1,0)</f>
        <v>1</v>
      </c>
      <c r="BB294" s="206">
        <f>IF(Prod[[#This Row],[S3Cycle]]&lt;&gt;0,1,0)</f>
        <v>1</v>
      </c>
      <c r="BC294" s="206">
        <f>MAX(Prod[[#This Row],[S1Cavity]],Prod[[#This Row],[S2Cavity]],Prod[[#This Row],[S3Cavity]])</f>
        <v>8</v>
      </c>
      <c r="BD294" s="206" t="b">
        <f>RegExpMatch(Prod[[#This Row],[MoldNo]], "^DEO-(B|C)")</f>
        <v>1</v>
      </c>
      <c r="BE294" s="206" t="b">
        <f>RegExpMatch(Prod[[#This Row],[MoldNo]], "^JAC")</f>
        <v>0</v>
      </c>
    </row>
    <row r="295" spans="1:57" x14ac:dyDescent="0.2">
      <c r="A295" s="195">
        <v>45461</v>
      </c>
      <c r="B295" s="201" t="s">
        <v>176</v>
      </c>
      <c r="C295" s="198" t="s">
        <v>81</v>
      </c>
      <c r="D295" s="197">
        <v>27579</v>
      </c>
      <c r="E295" s="198" t="s">
        <v>199</v>
      </c>
      <c r="F295" s="197">
        <v>814</v>
      </c>
      <c r="G295" s="197" t="str">
        <f>IF(OR(Prod[[#This Row],[S1Hrs]]&gt;0,Prod[[#This Row],[S2Hrs]]&gt;0,Prod[[#This Row],[S3Hrs]]&gt;0),"Running","Down")</f>
        <v>Running</v>
      </c>
      <c r="H295" s="199">
        <v>21.88</v>
      </c>
      <c r="I295" s="200">
        <v>5</v>
      </c>
      <c r="J295" s="196">
        <v>791</v>
      </c>
      <c r="K295" s="201">
        <v>8</v>
      </c>
      <c r="L295" s="196">
        <f>Prod[[#This Row],[S1Shot]]*Prod[[#This Row],[S1Cavity]]-Prod[[#This Row],[S1Dft]]</f>
        <v>6218</v>
      </c>
      <c r="M295" s="202">
        <f>SUM(Prod[[#This Row],[S1Mold]],Prod[[#This Row],[S1Print]],Prod[[#This Row],[S1Ovlp]],Prod[[#This Row],[S1Seam]],Prod[[#This Row],[S1Dmg]])</f>
        <v>110</v>
      </c>
      <c r="N295" s="199">
        <v>0</v>
      </c>
      <c r="O295" s="200">
        <v>0</v>
      </c>
      <c r="P295" s="196">
        <v>0</v>
      </c>
      <c r="Q295" s="201">
        <v>0</v>
      </c>
      <c r="R295" s="196">
        <f>Prod[[#This Row],[S2Shot]]*Prod[[#This Row],[S2Cavity]]-Prod[[#This Row],[S2Dft]]</f>
        <v>0</v>
      </c>
      <c r="S295" s="202">
        <f>SUM(Prod[[#This Row],[S2Mold]],Prod[[#This Row],[S2Print]],Prod[[#This Row],[S2Ovlp]],Prod[[#This Row],[S2Seam]],Prod[[#This Row],[S2Dmg]])</f>
        <v>0</v>
      </c>
      <c r="T295" s="199">
        <v>0</v>
      </c>
      <c r="U295" s="200">
        <v>0</v>
      </c>
      <c r="V295" s="196">
        <v>0</v>
      </c>
      <c r="W295" s="201">
        <v>0</v>
      </c>
      <c r="X295" s="196">
        <f>Prod[[#This Row],[S3Shot]]*Prod[[#This Row],[S3Cavity]]-Prod[[#This Row],[S3Dft]]</f>
        <v>0</v>
      </c>
      <c r="Y295" s="196">
        <f>SUM(Prod[[#This Row],[S3Mold]],Prod[[#This Row],[S3Print]],Prod[[#This Row],[S3Ovlp]],Prod[[#This Row],[S3Seam]],Prod[[#This Row],[S3Dmg]])</f>
        <v>0</v>
      </c>
      <c r="Z295" s="196">
        <f>SUM(Prod[[#This Row],[S1Qty]],Prod[[#This Row],[S2Qty]],Prod[[#This Row],[S3Qty]])</f>
        <v>6218</v>
      </c>
      <c r="AA295" s="196">
        <f>SUM(Prod[[#This Row],[S1Dft]],Prod[[#This Row],[S2Dft]],Prod[[#This Row],[S3Dft]])</f>
        <v>110</v>
      </c>
      <c r="AB295" s="203">
        <f>IF(Prod[[#This Row],[Total]]=0,0,Prod[[#This Row],[TotalDft]]/Prod[[#This Row],[Total]])</f>
        <v>1.7690575747828882E-2</v>
      </c>
      <c r="AC295" s="198" t="s">
        <v>273</v>
      </c>
      <c r="AD295" s="196">
        <v>10</v>
      </c>
      <c r="AE295" s="196">
        <v>0</v>
      </c>
      <c r="AF295" s="196">
        <v>0</v>
      </c>
      <c r="AG295" s="196">
        <v>100</v>
      </c>
      <c r="AH295" s="196">
        <v>0</v>
      </c>
      <c r="AI295" s="196">
        <v>0</v>
      </c>
      <c r="AJ295" s="196">
        <v>0</v>
      </c>
      <c r="AK295" s="196">
        <v>0</v>
      </c>
      <c r="AL295" s="196">
        <v>0</v>
      </c>
      <c r="AM295" s="196">
        <v>0</v>
      </c>
      <c r="AN295" s="196">
        <v>0</v>
      </c>
      <c r="AO295" s="196">
        <v>0</v>
      </c>
      <c r="AP295" s="196">
        <v>0</v>
      </c>
      <c r="AQ295" s="196">
        <v>0</v>
      </c>
      <c r="AR295" s="196">
        <v>0</v>
      </c>
      <c r="AS295" s="205">
        <f>IF(Prod[[#This Row],[S1Hrs]]=0,0,Prod[[#This Row],[S1Shot]]*Prod[[#This Row],[S1Cycle]]/(Prod[[#This Row],[S1Hrs]]*60*60))</f>
        <v>0.96150444444444438</v>
      </c>
      <c r="AT295" s="205">
        <f>IF(Prod[[#This Row],[S2Hrs]]=0,0,Prod[[#This Row],[S2Shot]]*Prod[[#This Row],[S2Cycle]]/(Prod[[#This Row],[S2Hrs]]*60*60))</f>
        <v>0</v>
      </c>
      <c r="AU295" s="205">
        <f>IF(Prod[[#This Row],[S3Hrs]]=0,0,Prod[[#This Row],[S3Shot]]*Prod[[#This Row],[S3Cycle]]/(Prod[[#This Row],[S3Hrs]]*60*60))</f>
        <v>0</v>
      </c>
      <c r="AV295" s="205">
        <f>IFERROR(AVERAGEIF(Prod[[#This Row],[S1%]:[S3%]], "&lt;&gt;0"),0)</f>
        <v>0.96150444444444438</v>
      </c>
      <c r="AW295" s="205">
        <v>0</v>
      </c>
      <c r="AX295" s="205">
        <v>0</v>
      </c>
      <c r="AY295" s="205">
        <v>0</v>
      </c>
      <c r="AZ295" s="206">
        <f>IF(Prod[[#This Row],[S1Cycle]]&lt;&gt;0,1,0)</f>
        <v>1</v>
      </c>
      <c r="BA295" s="206">
        <f>IF(Prod[[#This Row],[S2Cycle]]&lt;&gt;0,1,0)</f>
        <v>0</v>
      </c>
      <c r="BB295" s="206">
        <f>IF(Prod[[#This Row],[S3Cycle]]&lt;&gt;0,1,0)</f>
        <v>0</v>
      </c>
      <c r="BC295" s="206">
        <f>MAX(Prod[[#This Row],[S1Cavity]],Prod[[#This Row],[S2Cavity]],Prod[[#This Row],[S3Cavity]])</f>
        <v>8</v>
      </c>
      <c r="BD295" s="206" t="b">
        <f>RegExpMatch(Prod[[#This Row],[MoldNo]], "^DEO-(B|C)")</f>
        <v>1</v>
      </c>
      <c r="BE295" s="206" t="b">
        <f>RegExpMatch(Prod[[#This Row],[MoldNo]], "^JAC")</f>
        <v>0</v>
      </c>
    </row>
    <row r="296" spans="1:57" x14ac:dyDescent="0.2">
      <c r="A296" s="195">
        <v>45461</v>
      </c>
      <c r="B296" s="201" t="s">
        <v>253</v>
      </c>
      <c r="C296" s="198" t="s">
        <v>9</v>
      </c>
      <c r="D296" s="197">
        <v>27581</v>
      </c>
      <c r="E296" s="198" t="s">
        <v>199</v>
      </c>
      <c r="F296" s="197">
        <v>814</v>
      </c>
      <c r="G296" s="197" t="str">
        <f>IF(OR(Prod[[#This Row],[S1Hrs]]&gt;0,Prod[[#This Row],[S2Hrs]]&gt;0,Prod[[#This Row],[S3Hrs]]&gt;0),"Running","Down")</f>
        <v>Running</v>
      </c>
      <c r="H296" s="199">
        <v>15.21</v>
      </c>
      <c r="I296" s="200">
        <v>7.5</v>
      </c>
      <c r="J296" s="196">
        <v>1754</v>
      </c>
      <c r="K296" s="201">
        <v>8</v>
      </c>
      <c r="L296" s="196">
        <f>Prod[[#This Row],[S1Shot]]*Prod[[#This Row],[S1Cavity]]-Prod[[#This Row],[S1Dft]]</f>
        <v>14032</v>
      </c>
      <c r="M296" s="207"/>
      <c r="N296" s="199">
        <v>15.18</v>
      </c>
      <c r="O296" s="200">
        <v>6</v>
      </c>
      <c r="P296" s="196">
        <v>1481</v>
      </c>
      <c r="Q296" s="201">
        <v>8</v>
      </c>
      <c r="R296" s="196">
        <f>Prod[[#This Row],[S2Shot]]*Prod[[#This Row],[S2Cavity]]-Prod[[#This Row],[S2Dft]]</f>
        <v>11848</v>
      </c>
      <c r="S296" s="207"/>
      <c r="T296" s="199">
        <v>15.17</v>
      </c>
      <c r="U296" s="200">
        <v>8</v>
      </c>
      <c r="V296" s="196">
        <v>1741</v>
      </c>
      <c r="W296" s="201">
        <v>8</v>
      </c>
      <c r="X296" s="196">
        <f>Prod[[#This Row],[S3Shot]]*Prod[[#This Row],[S3Cavity]]-Prod[[#This Row],[S3Dft]]</f>
        <v>13928</v>
      </c>
      <c r="Y296" s="207"/>
      <c r="Z296" s="196">
        <f>SUM(Prod[[#This Row],[S1Qty]],Prod[[#This Row],[S2Qty]],Prod[[#This Row],[S3Qty]])</f>
        <v>39808</v>
      </c>
      <c r="AA296" s="207"/>
      <c r="AB296" s="208"/>
      <c r="AC296" s="204"/>
      <c r="AD296" s="207"/>
      <c r="AE296" s="207"/>
      <c r="AF296" s="207"/>
      <c r="AG296" s="207"/>
      <c r="AH296" s="207"/>
      <c r="AI296" s="207"/>
      <c r="AJ296" s="207"/>
      <c r="AK296" s="207"/>
      <c r="AL296" s="207"/>
      <c r="AM296" s="207"/>
      <c r="AN296" s="207"/>
      <c r="AO296" s="207"/>
      <c r="AP296" s="207"/>
      <c r="AQ296" s="207"/>
      <c r="AR296" s="207"/>
      <c r="AS296" s="205">
        <f>IF(Prod[[#This Row],[S1Hrs]]=0,0,Prod[[#This Row],[S1Shot]]*Prod[[#This Row],[S1Cycle]]/(Prod[[#This Row],[S1Hrs]]*60*60))</f>
        <v>0.98808666666666667</v>
      </c>
      <c r="AT296" s="205">
        <f>IF(Prod[[#This Row],[S2Hrs]]=0,0,Prod[[#This Row],[S2Shot]]*Prod[[#This Row],[S2Cycle]]/(Prod[[#This Row],[S2Hrs]]*60*60))</f>
        <v>1.0408138888888887</v>
      </c>
      <c r="AU296" s="205">
        <f>IF(Prod[[#This Row],[S3Hrs]]=0,0,Prod[[#This Row],[S3Shot]]*Prod[[#This Row],[S3Cycle]]/(Prod[[#This Row],[S3Hrs]]*60*60))</f>
        <v>0.91704756944444443</v>
      </c>
      <c r="AV296" s="205">
        <f>IFERROR(AVERAGEIF(Prod[[#This Row],[S1%]:[S3%]], "&lt;&gt;0"),0)</f>
        <v>0.98198270833333334</v>
      </c>
      <c r="AW296" s="205">
        <v>0</v>
      </c>
      <c r="AX296" s="205">
        <v>0</v>
      </c>
      <c r="AY296" s="205">
        <v>0</v>
      </c>
      <c r="AZ296" s="206">
        <f>IF(Prod[[#This Row],[S1Cycle]]&lt;&gt;0,1,0)</f>
        <v>1</v>
      </c>
      <c r="BA296" s="206">
        <f>IF(Prod[[#This Row],[S2Cycle]]&lt;&gt;0,1,0)</f>
        <v>1</v>
      </c>
      <c r="BB296" s="206">
        <f>IF(Prod[[#This Row],[S3Cycle]]&lt;&gt;0,1,0)</f>
        <v>1</v>
      </c>
      <c r="BC296" s="206">
        <f>MAX(Prod[[#This Row],[S1Cavity]],Prod[[#This Row],[S2Cavity]],Prod[[#This Row],[S3Cavity]])</f>
        <v>8</v>
      </c>
      <c r="BD296" s="206" t="b">
        <f>RegExpMatch(Prod[[#This Row],[MoldNo]], "^DEO-(B|C)")</f>
        <v>0</v>
      </c>
      <c r="BE296" s="206" t="b">
        <f>RegExpMatch(Prod[[#This Row],[MoldNo]], "^JAC")</f>
        <v>0</v>
      </c>
    </row>
    <row r="297" spans="1:57" x14ac:dyDescent="0.2">
      <c r="A297" s="195">
        <v>45461</v>
      </c>
      <c r="B297" s="201" t="s">
        <v>259</v>
      </c>
      <c r="C297" s="197" t="s">
        <v>145</v>
      </c>
      <c r="D297" s="197">
        <v>28021</v>
      </c>
      <c r="E297" s="198" t="s">
        <v>199</v>
      </c>
      <c r="F297" s="197">
        <v>814</v>
      </c>
      <c r="G297" s="197" t="str">
        <f>IF(OR(Prod[[#This Row],[S1Hrs]]&gt;0,Prod[[#This Row],[S2Hrs]]&gt;0,Prod[[#This Row],[S3Hrs]]&gt;0),"Running","Down")</f>
        <v>Running</v>
      </c>
      <c r="H297" s="199">
        <v>15.13</v>
      </c>
      <c r="I297" s="200">
        <v>8</v>
      </c>
      <c r="J297" s="196">
        <v>816</v>
      </c>
      <c r="K297" s="201">
        <v>16</v>
      </c>
      <c r="L297" s="196">
        <f>Prod[[#This Row],[S1Shot]]*Prod[[#This Row],[S1Cavity]]-Prod[[#This Row],[S1Dft]]</f>
        <v>13056</v>
      </c>
      <c r="M297" s="207"/>
      <c r="N297" s="199">
        <v>15.13</v>
      </c>
      <c r="O297" s="200">
        <v>6</v>
      </c>
      <c r="P297" s="196">
        <v>1433</v>
      </c>
      <c r="Q297" s="201">
        <v>16</v>
      </c>
      <c r="R297" s="196">
        <f>Prod[[#This Row],[S2Shot]]*Prod[[#This Row],[S2Cavity]]-Prod[[#This Row],[S2Dft]]</f>
        <v>22928</v>
      </c>
      <c r="S297" s="207"/>
      <c r="T297" s="199">
        <v>15.14</v>
      </c>
      <c r="U297" s="200">
        <v>8</v>
      </c>
      <c r="V297" s="196">
        <v>1814</v>
      </c>
      <c r="W297" s="201">
        <v>16</v>
      </c>
      <c r="X297" s="196">
        <f>Prod[[#This Row],[S3Shot]]*Prod[[#This Row],[S3Cavity]]-Prod[[#This Row],[S3Dft]]</f>
        <v>29024</v>
      </c>
      <c r="Y297" s="207"/>
      <c r="Z297" s="196">
        <f>SUM(Prod[[#This Row],[S1Qty]],Prod[[#This Row],[S2Qty]],Prod[[#This Row],[S3Qty]])</f>
        <v>65008</v>
      </c>
      <c r="AA297" s="207"/>
      <c r="AB297" s="208"/>
      <c r="AC297" s="204"/>
      <c r="AD297" s="207"/>
      <c r="AE297" s="207"/>
      <c r="AF297" s="207"/>
      <c r="AG297" s="207"/>
      <c r="AH297" s="207"/>
      <c r="AI297" s="207"/>
      <c r="AJ297" s="207"/>
      <c r="AK297" s="207"/>
      <c r="AL297" s="207"/>
      <c r="AM297" s="207"/>
      <c r="AN297" s="207"/>
      <c r="AO297" s="207"/>
      <c r="AP297" s="207"/>
      <c r="AQ297" s="207"/>
      <c r="AR297" s="207"/>
      <c r="AS297" s="205">
        <f>IF(Prod[[#This Row],[S1Hrs]]=0,0,Prod[[#This Row],[S1Shot]]*Prod[[#This Row],[S1Cycle]]/(Prod[[#This Row],[S1Hrs]]*60*60))</f>
        <v>0.42868333333333331</v>
      </c>
      <c r="AT297" s="205">
        <f>IF(Prod[[#This Row],[S2Hrs]]=0,0,Prod[[#This Row],[S2Shot]]*Prod[[#This Row],[S2Cycle]]/(Prod[[#This Row],[S2Hrs]]*60*60))</f>
        <v>1.003763425925926</v>
      </c>
      <c r="AU297" s="205">
        <f>IF(Prod[[#This Row],[S3Hrs]]=0,0,Prod[[#This Row],[S3Shot]]*Prod[[#This Row],[S3Cycle]]/(Prod[[#This Row],[S3Hrs]]*60*60))</f>
        <v>0.95360972222222229</v>
      </c>
      <c r="AV297" s="205">
        <f>IFERROR(AVERAGEIF(Prod[[#This Row],[S1%]:[S3%]], "&lt;&gt;0"),0)</f>
        <v>0.79535216049382729</v>
      </c>
      <c r="AW297" s="205">
        <v>0</v>
      </c>
      <c r="AX297" s="205">
        <v>0</v>
      </c>
      <c r="AY297" s="205">
        <v>0</v>
      </c>
      <c r="AZ297" s="206">
        <f>IF(Prod[[#This Row],[S1Cycle]]&lt;&gt;0,1,0)</f>
        <v>1</v>
      </c>
      <c r="BA297" s="206">
        <f>IF(Prod[[#This Row],[S2Cycle]]&lt;&gt;0,1,0)</f>
        <v>1</v>
      </c>
      <c r="BB297" s="206">
        <f>IF(Prod[[#This Row],[S3Cycle]]&lt;&gt;0,1,0)</f>
        <v>1</v>
      </c>
      <c r="BC297" s="206">
        <f>MAX(Prod[[#This Row],[S1Cavity]],Prod[[#This Row],[S2Cavity]],Prod[[#This Row],[S3Cavity]])</f>
        <v>16</v>
      </c>
      <c r="BD297" s="206" t="b">
        <f>RegExpMatch(Prod[[#This Row],[MoldNo]], "^DEO-(B|C)")</f>
        <v>0</v>
      </c>
      <c r="BE297" s="206" t="b">
        <f>RegExpMatch(Prod[[#This Row],[MoldNo]], "^JAC")</f>
        <v>0</v>
      </c>
    </row>
    <row r="298" spans="1:57" x14ac:dyDescent="0.2">
      <c r="A298" s="117">
        <v>45462</v>
      </c>
      <c r="B298" s="120" t="s">
        <v>190</v>
      </c>
      <c r="C298" s="119" t="s">
        <v>153</v>
      </c>
      <c r="D298" s="119">
        <v>27422</v>
      </c>
      <c r="E298" s="131" t="s">
        <v>199</v>
      </c>
      <c r="F298" s="119">
        <v>6331</v>
      </c>
      <c r="G298" s="119" t="str">
        <f>IF(OR(Prod[[#This Row],[S1Hrs]]&gt;0,Prod[[#This Row],[S2Hrs]]&gt;0,Prod[[#This Row],[S3Hrs]]&gt;0),"Running","Down")</f>
        <v>Running</v>
      </c>
      <c r="H298" s="194">
        <v>22.68</v>
      </c>
      <c r="I298" s="185">
        <v>8</v>
      </c>
      <c r="J298" s="130">
        <v>1255</v>
      </c>
      <c r="K298" s="130">
        <v>4</v>
      </c>
      <c r="L298" s="120">
        <f>Prod[[#This Row],[S1Shot]]*Prod[[#This Row],[S1Cavity]]-Prod[[#This Row],[S1Dft]]</f>
        <v>5020</v>
      </c>
      <c r="M298" s="136">
        <f>SUM(Prod[[#This Row],[S1Mold]],Prod[[#This Row],[S1Print]],Prod[[#This Row],[S1Ovlp]],Prod[[#This Row],[S1Seam]],Prod[[#This Row],[S1Dmg]])</f>
        <v>0</v>
      </c>
      <c r="N298" s="194">
        <v>22.59</v>
      </c>
      <c r="O298" s="185">
        <v>5.5</v>
      </c>
      <c r="P298" s="130">
        <v>852</v>
      </c>
      <c r="Q298" s="130">
        <v>4</v>
      </c>
      <c r="R298" s="120">
        <f>Prod[[#This Row],[S2Shot]]*Prod[[#This Row],[S2Cavity]]-Prod[[#This Row],[S2Dft]]</f>
        <v>3408</v>
      </c>
      <c r="S298" s="136">
        <f>SUM(Prod[[#This Row],[S2Mold]],Prod[[#This Row],[S2Print]],Prod[[#This Row],[S2Ovlp]],Prod[[#This Row],[S2Seam]],Prod[[#This Row],[S2Dmg]])</f>
        <v>0</v>
      </c>
      <c r="T298" s="194">
        <v>22.65</v>
      </c>
      <c r="U298" s="185">
        <v>8</v>
      </c>
      <c r="V298" s="130">
        <v>1192</v>
      </c>
      <c r="W298" s="130">
        <v>4</v>
      </c>
      <c r="X298" s="120">
        <f>Prod[[#This Row],[S3Shot]]*Prod[[#This Row],[S3Cavity]]-Prod[[#This Row],[S3Dft]]</f>
        <v>4768</v>
      </c>
      <c r="Y298" s="120">
        <f>SUM(Prod[[#This Row],[S3Mold]],Prod[[#This Row],[S3Print]],Prod[[#This Row],[S3Ovlp]],Prod[[#This Row],[S3Seam]],Prod[[#This Row],[S3Dmg]])</f>
        <v>0</v>
      </c>
      <c r="Z298" s="120">
        <f>SUM(Prod[[#This Row],[S1Qty]],Prod[[#This Row],[S2Qty]],Prod[[#This Row],[S3Qty]])</f>
        <v>13196</v>
      </c>
      <c r="AA298" s="120">
        <f>SUM(Prod[[#This Row],[S1Dft]],Prod[[#This Row],[S2Dft]],Prod[[#This Row],[S3Dft]])</f>
        <v>0</v>
      </c>
      <c r="AB298" s="121">
        <f>IF(Prod[[#This Row],[Total]]=0,0,Prod[[#This Row],[TotalDft]]/Prod[[#This Row],[Total]])</f>
        <v>0</v>
      </c>
      <c r="AC298" s="118"/>
      <c r="AD298" s="120">
        <v>0</v>
      </c>
      <c r="AE298" s="120">
        <v>0</v>
      </c>
      <c r="AF298" s="120">
        <v>0</v>
      </c>
      <c r="AG298" s="120">
        <v>0</v>
      </c>
      <c r="AH298" s="120">
        <v>0</v>
      </c>
      <c r="AI298" s="120">
        <v>0</v>
      </c>
      <c r="AJ298" s="120">
        <v>0</v>
      </c>
      <c r="AK298" s="120">
        <v>0</v>
      </c>
      <c r="AL298" s="120">
        <v>0</v>
      </c>
      <c r="AM298" s="120">
        <v>0</v>
      </c>
      <c r="AN298" s="120">
        <v>0</v>
      </c>
      <c r="AO298" s="120">
        <v>0</v>
      </c>
      <c r="AP298" s="120">
        <v>0</v>
      </c>
      <c r="AQ298" s="120">
        <v>0</v>
      </c>
      <c r="AR298" s="120">
        <v>0</v>
      </c>
      <c r="AS298" s="132">
        <f>IF(Prod[[#This Row],[S1Hrs]]=0,0,Prod[[#This Row],[S1Shot]]*Prod[[#This Row],[S1Cycle]]/(Prod[[#This Row],[S1Hrs]]*60*60))</f>
        <v>0.98831250000000004</v>
      </c>
      <c r="AT298" s="132">
        <f>IF(Prod[[#This Row],[S2Hrs]]=0,0,Prod[[#This Row],[S2Shot]]*Prod[[#This Row],[S2Cycle]]/(Prod[[#This Row],[S2Hrs]]*60*60))</f>
        <v>0.9720545454545455</v>
      </c>
      <c r="AU298" s="132">
        <f>IF(Prod[[#This Row],[S3Hrs]]=0,0,Prod[[#This Row],[S3Shot]]*Prod[[#This Row],[S3Cycle]]/(Prod[[#This Row],[S3Hrs]]*60*60))</f>
        <v>0.93745833333333328</v>
      </c>
      <c r="AV298" s="132">
        <f>IFERROR(AVERAGEIF(Prod[[#This Row],[S1%]:[S3%]], "&lt;&gt;0"),0)</f>
        <v>0.96594179292929294</v>
      </c>
      <c r="AW298" s="132">
        <v>0</v>
      </c>
      <c r="AX298" s="132">
        <v>0</v>
      </c>
      <c r="AY298" s="132">
        <v>0</v>
      </c>
      <c r="AZ298" s="175">
        <f>IF(Prod[[#This Row],[S1Cycle]]&lt;&gt;0,1,0)</f>
        <v>1</v>
      </c>
      <c r="BA298" s="175">
        <f>IF(Prod[[#This Row],[S2Cycle]]&lt;&gt;0,1,0)</f>
        <v>1</v>
      </c>
      <c r="BB298" s="175">
        <f>IF(Prod[[#This Row],[S3Cycle]]&lt;&gt;0,1,0)</f>
        <v>1</v>
      </c>
      <c r="BC298" s="175">
        <f>MAX(Prod[[#This Row],[S1Cavity]],Prod[[#This Row],[S2Cavity]],Prod[[#This Row],[S3Cavity]])</f>
        <v>4</v>
      </c>
      <c r="BD298" s="175" t="b">
        <f>RegExpMatch(Prod[[#This Row],[MoldNo]], "^DEO-(B|C)")</f>
        <v>0</v>
      </c>
      <c r="BE298" s="175" t="b">
        <f>RegExpMatch(Prod[[#This Row],[MoldNo]], "^JAC")</f>
        <v>1</v>
      </c>
    </row>
    <row r="299" spans="1:57" x14ac:dyDescent="0.2">
      <c r="A299" s="117">
        <v>45462</v>
      </c>
      <c r="B299" s="130" t="s">
        <v>6</v>
      </c>
      <c r="C299" s="131" t="s">
        <v>8</v>
      </c>
      <c r="D299" s="119"/>
      <c r="E299" s="131"/>
      <c r="F299" s="119"/>
      <c r="G299" s="119" t="str">
        <f>IF(OR(Prod[[#This Row],[S1Hrs]]&gt;0,Prod[[#This Row],[S2Hrs]]&gt;0,Prod[[#This Row],[S3Hrs]]&gt;0),"Running","Down")</f>
        <v>Down</v>
      </c>
      <c r="H299" s="194">
        <v>0</v>
      </c>
      <c r="I299" s="185">
        <v>0</v>
      </c>
      <c r="J299" s="130">
        <v>0</v>
      </c>
      <c r="K299" s="130">
        <v>0</v>
      </c>
      <c r="L299" s="120">
        <f>Prod[[#This Row],[S1Shot]]*Prod[[#This Row],[S1Cavity]]-Prod[[#This Row],[S1Dft]]</f>
        <v>0</v>
      </c>
      <c r="M299" s="136">
        <f>SUM(Prod[[#This Row],[S1Mold]],Prod[[#This Row],[S1Print]],Prod[[#This Row],[S1Ovlp]],Prod[[#This Row],[S1Seam]],Prod[[#This Row],[S1Dmg]])</f>
        <v>0</v>
      </c>
      <c r="N299" s="194">
        <v>0</v>
      </c>
      <c r="O299" s="185">
        <v>0</v>
      </c>
      <c r="P299" s="130">
        <v>0</v>
      </c>
      <c r="Q299" s="130">
        <v>0</v>
      </c>
      <c r="R299" s="120">
        <f>Prod[[#This Row],[S2Shot]]*Prod[[#This Row],[S2Cavity]]-Prod[[#This Row],[S2Dft]]</f>
        <v>0</v>
      </c>
      <c r="S299" s="136">
        <f>SUM(Prod[[#This Row],[S2Mold]],Prod[[#This Row],[S2Print]],Prod[[#This Row],[S2Ovlp]],Prod[[#This Row],[S2Seam]],Prod[[#This Row],[S2Dmg]])</f>
        <v>0</v>
      </c>
      <c r="T299" s="194">
        <v>0</v>
      </c>
      <c r="U299" s="185">
        <v>0</v>
      </c>
      <c r="V299" s="130">
        <v>0</v>
      </c>
      <c r="W299" s="130">
        <v>0</v>
      </c>
      <c r="X299" s="120">
        <f>Prod[[#This Row],[S3Shot]]*Prod[[#This Row],[S3Cavity]]-Prod[[#This Row],[S3Dft]]</f>
        <v>0</v>
      </c>
      <c r="Y299" s="120">
        <f>SUM(Prod[[#This Row],[S3Mold]],Prod[[#This Row],[S3Print]],Prod[[#This Row],[S3Ovlp]],Prod[[#This Row],[S3Seam]],Prod[[#This Row],[S3Dmg]])</f>
        <v>0</v>
      </c>
      <c r="Z299" s="120">
        <f>SUM(Prod[[#This Row],[S1Qty]],Prod[[#This Row],[S2Qty]],Prod[[#This Row],[S3Qty]])</f>
        <v>0</v>
      </c>
      <c r="AA299" s="120">
        <f>SUM(Prod[[#This Row],[S1Dft]],Prod[[#This Row],[S2Dft]],Prod[[#This Row],[S3Dft]])</f>
        <v>0</v>
      </c>
      <c r="AB299" s="121">
        <f>IF(Prod[[#This Row],[Total]]=0,0,Prod[[#This Row],[TotalDft]]/Prod[[#This Row],[Total]])</f>
        <v>0</v>
      </c>
      <c r="AC299" s="131"/>
      <c r="AD299" s="120">
        <v>0</v>
      </c>
      <c r="AE299" s="120">
        <v>0</v>
      </c>
      <c r="AF299" s="120">
        <v>0</v>
      </c>
      <c r="AG299" s="120">
        <v>0</v>
      </c>
      <c r="AH299" s="120">
        <v>0</v>
      </c>
      <c r="AI299" s="120">
        <v>0</v>
      </c>
      <c r="AJ299" s="120">
        <v>0</v>
      </c>
      <c r="AK299" s="120">
        <v>0</v>
      </c>
      <c r="AL299" s="120">
        <v>0</v>
      </c>
      <c r="AM299" s="120">
        <v>0</v>
      </c>
      <c r="AN299" s="120">
        <v>0</v>
      </c>
      <c r="AO299" s="120">
        <v>0</v>
      </c>
      <c r="AP299" s="120">
        <v>0</v>
      </c>
      <c r="AQ299" s="120">
        <v>0</v>
      </c>
      <c r="AR299" s="120">
        <v>0</v>
      </c>
      <c r="AS299" s="132">
        <f>IF(Prod[[#This Row],[S1Hrs]]=0,0,Prod[[#This Row],[S1Shot]]*Prod[[#This Row],[S1Cycle]]/(Prod[[#This Row],[S1Hrs]]*60*60))</f>
        <v>0</v>
      </c>
      <c r="AT299" s="132">
        <f>IF(Prod[[#This Row],[S2Hrs]]=0,0,Prod[[#This Row],[S2Shot]]*Prod[[#This Row],[S2Cycle]]/(Prod[[#This Row],[S2Hrs]]*60*60))</f>
        <v>0</v>
      </c>
      <c r="AU299" s="132">
        <f>IF(Prod[[#This Row],[S3Hrs]]=0,0,Prod[[#This Row],[S3Shot]]*Prod[[#This Row],[S3Cycle]]/(Prod[[#This Row],[S3Hrs]]*60*60))</f>
        <v>0</v>
      </c>
      <c r="AV299" s="132">
        <f>IFERROR(AVERAGEIF(Prod[[#This Row],[S1%]:[S3%]], "&lt;&gt;0"),0)</f>
        <v>0</v>
      </c>
      <c r="AW299" s="132">
        <v>0</v>
      </c>
      <c r="AX299" s="132">
        <v>0</v>
      </c>
      <c r="AY299" s="132">
        <v>0</v>
      </c>
      <c r="AZ299" s="175">
        <f>IF(Prod[[#This Row],[S1Cycle]]&lt;&gt;0,1,0)</f>
        <v>0</v>
      </c>
      <c r="BA299" s="175">
        <f>IF(Prod[[#This Row],[S2Cycle]]&lt;&gt;0,1,0)</f>
        <v>0</v>
      </c>
      <c r="BB299" s="175">
        <f>IF(Prod[[#This Row],[S3Cycle]]&lt;&gt;0,1,0)</f>
        <v>0</v>
      </c>
      <c r="BC299" s="175">
        <f>MAX(Prod[[#This Row],[S1Cavity]],Prod[[#This Row],[S2Cavity]],Prod[[#This Row],[S3Cavity]])</f>
        <v>0</v>
      </c>
      <c r="BD299" s="175" t="b">
        <f>RegExpMatch(Prod[[#This Row],[MoldNo]], "^DEO-(B|C)")</f>
        <v>1</v>
      </c>
      <c r="BE299" s="175" t="b">
        <f>RegExpMatch(Prod[[#This Row],[MoldNo]], "^JAC")</f>
        <v>0</v>
      </c>
    </row>
    <row r="300" spans="1:57" x14ac:dyDescent="0.2">
      <c r="A300" s="117">
        <v>45462</v>
      </c>
      <c r="B300" s="120" t="s">
        <v>7</v>
      </c>
      <c r="C300" s="119" t="s">
        <v>172</v>
      </c>
      <c r="D300" s="119">
        <v>26416</v>
      </c>
      <c r="E300" s="131" t="s">
        <v>270</v>
      </c>
      <c r="F300" s="119">
        <v>6331</v>
      </c>
      <c r="G300" s="119" t="str">
        <f>IF(OR(Prod[[#This Row],[S1Hrs]]&gt;0,Prod[[#This Row],[S2Hrs]]&gt;0,Prod[[#This Row],[S3Hrs]]&gt;0),"Running","Down")</f>
        <v>Running</v>
      </c>
      <c r="H300" s="194">
        <v>20.8</v>
      </c>
      <c r="I300" s="185">
        <v>6</v>
      </c>
      <c r="J300" s="130">
        <v>1130</v>
      </c>
      <c r="K300" s="130">
        <v>8</v>
      </c>
      <c r="L300" s="120">
        <f>Prod[[#This Row],[S1Shot]]*Prod[[#This Row],[S1Cavity]]-Prod[[#This Row],[S1Dft]]</f>
        <v>8925</v>
      </c>
      <c r="M300" s="136">
        <f>SUM(Prod[[#This Row],[S1Mold]],Prod[[#This Row],[S1Print]],Prod[[#This Row],[S1Ovlp]],Prod[[#This Row],[S1Seam]],Prod[[#This Row],[S1Dmg]])</f>
        <v>115</v>
      </c>
      <c r="N300" s="194">
        <v>0</v>
      </c>
      <c r="O300" s="185">
        <v>0</v>
      </c>
      <c r="P300" s="130">
        <v>0</v>
      </c>
      <c r="Q300" s="130">
        <v>0</v>
      </c>
      <c r="R300" s="120">
        <f>Prod[[#This Row],[S2Shot]]*Prod[[#This Row],[S2Cavity]]-Prod[[#This Row],[S2Dft]]</f>
        <v>0</v>
      </c>
      <c r="S300" s="136">
        <f>SUM(Prod[[#This Row],[S2Mold]],Prod[[#This Row],[S2Print]],Prod[[#This Row],[S2Ovlp]],Prod[[#This Row],[S2Seam]],Prod[[#This Row],[S2Dmg]])</f>
        <v>0</v>
      </c>
      <c r="T300" s="194">
        <v>0</v>
      </c>
      <c r="U300" s="185">
        <v>0</v>
      </c>
      <c r="V300" s="130">
        <v>0</v>
      </c>
      <c r="W300" s="130">
        <v>0</v>
      </c>
      <c r="X300" s="120">
        <f>Prod[[#This Row],[S3Shot]]*Prod[[#This Row],[S3Cavity]]-Prod[[#This Row],[S3Dft]]</f>
        <v>0</v>
      </c>
      <c r="Y300" s="120">
        <f>SUM(Prod[[#This Row],[S3Mold]],Prod[[#This Row],[S3Print]],Prod[[#This Row],[S3Ovlp]],Prod[[#This Row],[S3Seam]],Prod[[#This Row],[S3Dmg]])</f>
        <v>0</v>
      </c>
      <c r="Z300" s="120">
        <f>SUM(Prod[[#This Row],[S1Qty]],Prod[[#This Row],[S2Qty]],Prod[[#This Row],[S3Qty]])</f>
        <v>8925</v>
      </c>
      <c r="AA300" s="120">
        <f>SUM(Prod[[#This Row],[S1Dft]],Prod[[#This Row],[S2Dft]],Prod[[#This Row],[S3Dft]])</f>
        <v>115</v>
      </c>
      <c r="AB300" s="121">
        <f>IF(Prod[[#This Row],[Total]]=0,0,Prod[[#This Row],[TotalDft]]/Prod[[#This Row],[Total]])</f>
        <v>1.2885154061624649E-2</v>
      </c>
      <c r="AC300" s="131"/>
      <c r="AD300" s="120">
        <v>15</v>
      </c>
      <c r="AE300" s="120">
        <v>0</v>
      </c>
      <c r="AF300" s="120">
        <v>0</v>
      </c>
      <c r="AG300" s="120">
        <v>100</v>
      </c>
      <c r="AH300" s="120">
        <v>0</v>
      </c>
      <c r="AI300" s="120">
        <v>0</v>
      </c>
      <c r="AJ300" s="120">
        <v>0</v>
      </c>
      <c r="AK300" s="120">
        <v>0</v>
      </c>
      <c r="AL300" s="120">
        <v>0</v>
      </c>
      <c r="AM300" s="120">
        <v>0</v>
      </c>
      <c r="AN300" s="120">
        <v>0</v>
      </c>
      <c r="AO300" s="120">
        <v>0</v>
      </c>
      <c r="AP300" s="120">
        <v>0</v>
      </c>
      <c r="AQ300" s="120">
        <v>0</v>
      </c>
      <c r="AR300" s="120">
        <v>0</v>
      </c>
      <c r="AS300" s="132">
        <f>IF(Prod[[#This Row],[S1Hrs]]=0,0,Prod[[#This Row],[S1Shot]]*Prod[[#This Row],[S1Cycle]]/(Prod[[#This Row],[S1Hrs]]*60*60))</f>
        <v>1.0881481481481481</v>
      </c>
      <c r="AT300" s="132">
        <f>IF(Prod[[#This Row],[S2Hrs]]=0,0,Prod[[#This Row],[S2Shot]]*Prod[[#This Row],[S2Cycle]]/(Prod[[#This Row],[S2Hrs]]*60*60))</f>
        <v>0</v>
      </c>
      <c r="AU300" s="132">
        <f>IF(Prod[[#This Row],[S3Hrs]]=0,0,Prod[[#This Row],[S3Shot]]*Prod[[#This Row],[S3Cycle]]/(Prod[[#This Row],[S3Hrs]]*60*60))</f>
        <v>0</v>
      </c>
      <c r="AV300" s="132">
        <f>IFERROR(AVERAGEIF(Prod[[#This Row],[S1%]:[S3%]], "&lt;&gt;0"),0)</f>
        <v>1.0881481481481481</v>
      </c>
      <c r="AW300" s="132">
        <v>1</v>
      </c>
      <c r="AX300" s="132">
        <v>0</v>
      </c>
      <c r="AY300" s="132">
        <v>0</v>
      </c>
      <c r="AZ300" s="175">
        <f>IF(Prod[[#This Row],[S1Cycle]]&lt;&gt;0,1,0)</f>
        <v>1</v>
      </c>
      <c r="BA300" s="175">
        <f>IF(Prod[[#This Row],[S2Cycle]]&lt;&gt;0,1,0)</f>
        <v>0</v>
      </c>
      <c r="BB300" s="175">
        <f>IF(Prod[[#This Row],[S3Cycle]]&lt;&gt;0,1,0)</f>
        <v>0</v>
      </c>
      <c r="BC300" s="175">
        <f>MAX(Prod[[#This Row],[S1Cavity]],Prod[[#This Row],[S2Cavity]],Prod[[#This Row],[S3Cavity]])</f>
        <v>8</v>
      </c>
      <c r="BD300" s="175" t="b">
        <f>RegExpMatch(Prod[[#This Row],[MoldNo]], "^DEO-(B|C)")</f>
        <v>1</v>
      </c>
      <c r="BE300" s="175" t="b">
        <f>RegExpMatch(Prod[[#This Row],[MoldNo]], "^JAC")</f>
        <v>0</v>
      </c>
    </row>
    <row r="301" spans="1:57" x14ac:dyDescent="0.2">
      <c r="A301" s="117">
        <v>45462</v>
      </c>
      <c r="B301" s="120" t="s">
        <v>7</v>
      </c>
      <c r="C301" s="119" t="s">
        <v>172</v>
      </c>
      <c r="D301" s="119">
        <v>27897</v>
      </c>
      <c r="E301" s="131" t="s">
        <v>279</v>
      </c>
      <c r="F301" s="119">
        <v>6331</v>
      </c>
      <c r="G301" s="119" t="str">
        <f>IF(OR(Prod[[#This Row],[S1Hrs]]&gt;0,Prod[[#This Row],[S2Hrs]]&gt;0,Prod[[#This Row],[S3Hrs]]&gt;0),"Running","Down")</f>
        <v>Running</v>
      </c>
      <c r="H301" s="194">
        <v>20.8</v>
      </c>
      <c r="I301" s="185">
        <v>1</v>
      </c>
      <c r="J301" s="130">
        <v>105</v>
      </c>
      <c r="K301" s="130">
        <v>8</v>
      </c>
      <c r="L301" s="120">
        <f>Prod[[#This Row],[S1Shot]]*Prod[[#This Row],[S1Cavity]]-Prod[[#This Row],[S1Dft]]</f>
        <v>840</v>
      </c>
      <c r="M301" s="136">
        <f>SUM(Prod[[#This Row],[S1Mold]],Prod[[#This Row],[S1Print]],Prod[[#This Row],[S1Ovlp]],Prod[[#This Row],[S1Seam]],Prod[[#This Row],[S1Dmg]])</f>
        <v>0</v>
      </c>
      <c r="N301" s="194">
        <v>20.75</v>
      </c>
      <c r="O301" s="185">
        <v>6</v>
      </c>
      <c r="P301" s="130">
        <v>1086</v>
      </c>
      <c r="Q301" s="130">
        <v>8</v>
      </c>
      <c r="R301" s="120">
        <f>Prod[[#This Row],[S2Shot]]*Prod[[#This Row],[S2Cavity]]-Prod[[#This Row],[S2Dft]]</f>
        <v>8628</v>
      </c>
      <c r="S301" s="136">
        <f>SUM(Prod[[#This Row],[S2Mold]],Prod[[#This Row],[S2Print]],Prod[[#This Row],[S2Ovlp]],Prod[[#This Row],[S2Seam]],Prod[[#This Row],[S2Dmg]])</f>
        <v>60</v>
      </c>
      <c r="T301" s="194">
        <v>20.81</v>
      </c>
      <c r="U301" s="185">
        <v>8</v>
      </c>
      <c r="V301" s="130">
        <v>1184</v>
      </c>
      <c r="W301" s="130">
        <v>8</v>
      </c>
      <c r="X301" s="120">
        <f>Prod[[#This Row],[S3Shot]]*Prod[[#This Row],[S3Cavity]]-Prod[[#This Row],[S3Dft]]</f>
        <v>9327</v>
      </c>
      <c r="Y301" s="120">
        <f>SUM(Prod[[#This Row],[S3Mold]],Prod[[#This Row],[S3Print]],Prod[[#This Row],[S3Ovlp]],Prod[[#This Row],[S3Seam]],Prod[[#This Row],[S3Dmg]])</f>
        <v>145</v>
      </c>
      <c r="Z301" s="120">
        <f>SUM(Prod[[#This Row],[S1Qty]],Prod[[#This Row],[S2Qty]],Prod[[#This Row],[S3Qty]])</f>
        <v>18795</v>
      </c>
      <c r="AA301" s="120">
        <f>SUM(Prod[[#This Row],[S1Dft]],Prod[[#This Row],[S2Dft]],Prod[[#This Row],[S3Dft]])</f>
        <v>205</v>
      </c>
      <c r="AB301" s="121">
        <f>IF(Prod[[#This Row],[Total]]=0,0,Prod[[#This Row],[TotalDft]]/Prod[[#This Row],[Total]])</f>
        <v>1.0907156158552806E-2</v>
      </c>
      <c r="AC301" s="131" t="s">
        <v>280</v>
      </c>
      <c r="AD301" s="120">
        <v>0</v>
      </c>
      <c r="AE301" s="120">
        <v>10</v>
      </c>
      <c r="AF301" s="120">
        <v>25</v>
      </c>
      <c r="AG301" s="120">
        <v>0</v>
      </c>
      <c r="AH301" s="120">
        <v>50</v>
      </c>
      <c r="AI301" s="120">
        <v>120</v>
      </c>
      <c r="AJ301" s="120">
        <v>0</v>
      </c>
      <c r="AK301" s="120">
        <v>0</v>
      </c>
      <c r="AL301" s="120">
        <v>0</v>
      </c>
      <c r="AM301" s="120">
        <v>0</v>
      </c>
      <c r="AN301" s="120">
        <v>0</v>
      </c>
      <c r="AO301" s="120">
        <v>0</v>
      </c>
      <c r="AP301" s="120">
        <v>0</v>
      </c>
      <c r="AQ301" s="120">
        <v>0</v>
      </c>
      <c r="AR301" s="120">
        <v>0</v>
      </c>
      <c r="AS301" s="132">
        <f>IF(Prod[[#This Row],[S1Hrs]]=0,0,Prod[[#This Row],[S1Shot]]*Prod[[#This Row],[S1Cycle]]/(Prod[[#This Row],[S1Hrs]]*60*60))</f>
        <v>0.60666666666666669</v>
      </c>
      <c r="AT301" s="132">
        <f>IF(Prod[[#This Row],[S2Hrs]]=0,0,Prod[[#This Row],[S2Shot]]*Prod[[#This Row],[S2Cycle]]/(Prod[[#This Row],[S2Hrs]]*60*60))</f>
        <v>1.043263888888889</v>
      </c>
      <c r="AU301" s="132">
        <f>IF(Prod[[#This Row],[S3Hrs]]=0,0,Prod[[#This Row],[S3Shot]]*Prod[[#This Row],[S3Cycle]]/(Prod[[#This Row],[S3Hrs]]*60*60))</f>
        <v>0.85552222222222207</v>
      </c>
      <c r="AV301" s="132">
        <f>IFERROR(AVERAGEIF(Prod[[#This Row],[S1%]:[S3%]], "&lt;&gt;0"),0)</f>
        <v>0.83515092592592588</v>
      </c>
      <c r="AW301" s="132">
        <v>1</v>
      </c>
      <c r="AX301" s="132">
        <v>0</v>
      </c>
      <c r="AY301" s="132">
        <v>0</v>
      </c>
      <c r="AZ301" s="175">
        <f>IF(Prod[[#This Row],[S1Cycle]]&lt;&gt;0,1,0)</f>
        <v>1</v>
      </c>
      <c r="BA301" s="175">
        <f>IF(Prod[[#This Row],[S2Cycle]]&lt;&gt;0,1,0)</f>
        <v>1</v>
      </c>
      <c r="BB301" s="175">
        <f>IF(Prod[[#This Row],[S3Cycle]]&lt;&gt;0,1,0)</f>
        <v>1</v>
      </c>
      <c r="BC301" s="175">
        <f>MAX(Prod[[#This Row],[S1Cavity]],Prod[[#This Row],[S2Cavity]],Prod[[#This Row],[S3Cavity]])</f>
        <v>8</v>
      </c>
      <c r="BD301" s="175" t="b">
        <f>RegExpMatch(Prod[[#This Row],[MoldNo]], "^DEO-(B|C)")</f>
        <v>1</v>
      </c>
      <c r="BE301" s="175" t="b">
        <f>RegExpMatch(Prod[[#This Row],[MoldNo]], "^JAC")</f>
        <v>0</v>
      </c>
    </row>
    <row r="302" spans="1:57" x14ac:dyDescent="0.2">
      <c r="A302" s="117">
        <v>45462</v>
      </c>
      <c r="B302" s="120" t="s">
        <v>85</v>
      </c>
      <c r="C302" s="119" t="s">
        <v>165</v>
      </c>
      <c r="D302" s="119"/>
      <c r="E302" s="131"/>
      <c r="F302" s="119"/>
      <c r="G302" s="119" t="str">
        <f>IF(OR(Prod[[#This Row],[S1Hrs]]&gt;0,Prod[[#This Row],[S2Hrs]]&gt;0,Prod[[#This Row],[S3Hrs]]&gt;0),"Running","Down")</f>
        <v>Down</v>
      </c>
      <c r="H302" s="194">
        <v>0</v>
      </c>
      <c r="I302" s="185">
        <v>0</v>
      </c>
      <c r="J302" s="130">
        <v>0</v>
      </c>
      <c r="K302" s="130">
        <v>0</v>
      </c>
      <c r="L302" s="120">
        <f>Prod[[#This Row],[S1Shot]]*Prod[[#This Row],[S1Cavity]]-Prod[[#This Row],[S1Dft]]</f>
        <v>0</v>
      </c>
      <c r="M302" s="134"/>
      <c r="N302" s="194">
        <v>0</v>
      </c>
      <c r="O302" s="185">
        <v>0</v>
      </c>
      <c r="P302" s="130">
        <v>0</v>
      </c>
      <c r="Q302" s="130">
        <v>0</v>
      </c>
      <c r="R302" s="120">
        <f>Prod[[#This Row],[S2Shot]]*Prod[[#This Row],[S2Cavity]]-Prod[[#This Row],[S2Dft]]</f>
        <v>0</v>
      </c>
      <c r="S302" s="134"/>
      <c r="T302" s="194">
        <v>0</v>
      </c>
      <c r="U302" s="185">
        <v>0</v>
      </c>
      <c r="V302" s="130">
        <v>0</v>
      </c>
      <c r="W302" s="130">
        <v>0</v>
      </c>
      <c r="X302" s="120">
        <f>Prod[[#This Row],[S3Shot]]*Prod[[#This Row],[S3Cavity]]-Prod[[#This Row],[S3Dft]]</f>
        <v>0</v>
      </c>
      <c r="Y302" s="134"/>
      <c r="Z302" s="120">
        <f>SUM(Prod[[#This Row],[S1Qty]],Prod[[#This Row],[S2Qty]],Prod[[#This Row],[S3Qty]])</f>
        <v>0</v>
      </c>
      <c r="AA302" s="134"/>
      <c r="AB302" s="135"/>
      <c r="AC302" s="118"/>
      <c r="AD302" s="134"/>
      <c r="AE302" s="134"/>
      <c r="AF302" s="134"/>
      <c r="AG302" s="134"/>
      <c r="AH302" s="134"/>
      <c r="AI302" s="134"/>
      <c r="AJ302" s="134"/>
      <c r="AK302" s="134"/>
      <c r="AL302" s="134"/>
      <c r="AM302" s="134"/>
      <c r="AN302" s="134"/>
      <c r="AO302" s="134"/>
      <c r="AP302" s="134"/>
      <c r="AQ302" s="134"/>
      <c r="AR302" s="134"/>
      <c r="AS302" s="132">
        <f>IF(Prod[[#This Row],[S1Hrs]]=0,0,Prod[[#This Row],[S1Shot]]*Prod[[#This Row],[S1Cycle]]/(Prod[[#This Row],[S1Hrs]]*60*60))</f>
        <v>0</v>
      </c>
      <c r="AT302" s="132">
        <f>IF(Prod[[#This Row],[S2Hrs]]=0,0,Prod[[#This Row],[S2Shot]]*Prod[[#This Row],[S2Cycle]]/(Prod[[#This Row],[S2Hrs]]*60*60))</f>
        <v>0</v>
      </c>
      <c r="AU302" s="132">
        <f>IF(Prod[[#This Row],[S3Hrs]]=0,0,Prod[[#This Row],[S3Shot]]*Prod[[#This Row],[S3Cycle]]/(Prod[[#This Row],[S3Hrs]]*60*60))</f>
        <v>0</v>
      </c>
      <c r="AV302" s="132">
        <f>IFERROR(AVERAGEIF(Prod[[#This Row],[S1%]:[S3%]], "&lt;&gt;0"),0)</f>
        <v>0</v>
      </c>
      <c r="AW302" s="132">
        <v>0</v>
      </c>
      <c r="AX302" s="132">
        <v>0</v>
      </c>
      <c r="AY302" s="132">
        <v>0</v>
      </c>
      <c r="AZ302" s="175">
        <f>IF(Prod[[#This Row],[S1Cycle]]&lt;&gt;0,1,0)</f>
        <v>0</v>
      </c>
      <c r="BA302" s="175">
        <f>IF(Prod[[#This Row],[S2Cycle]]&lt;&gt;0,1,0)</f>
        <v>0</v>
      </c>
      <c r="BB302" s="175">
        <f>IF(Prod[[#This Row],[S3Cycle]]&lt;&gt;0,1,0)</f>
        <v>0</v>
      </c>
      <c r="BC302" s="175">
        <f>MAX(Prod[[#This Row],[S1Cavity]],Prod[[#This Row],[S2Cavity]],Prod[[#This Row],[S3Cavity]])</f>
        <v>0</v>
      </c>
      <c r="BD302" s="175" t="b">
        <f>RegExpMatch(Prod[[#This Row],[MoldNo]], "^DEO-(B|C)")</f>
        <v>0</v>
      </c>
      <c r="BE302" s="175" t="b">
        <f>RegExpMatch(Prod[[#This Row],[MoldNo]], "^JAC")</f>
        <v>0</v>
      </c>
    </row>
    <row r="303" spans="1:57" x14ac:dyDescent="0.2">
      <c r="A303" s="117">
        <v>45462</v>
      </c>
      <c r="B303" s="120" t="s">
        <v>196</v>
      </c>
      <c r="C303" s="119" t="s">
        <v>82</v>
      </c>
      <c r="D303" s="119">
        <v>27438</v>
      </c>
      <c r="E303" s="131" t="s">
        <v>199</v>
      </c>
      <c r="F303" s="119">
        <v>814</v>
      </c>
      <c r="G303" s="119" t="str">
        <f>IF(OR(Prod[[#This Row],[S1Hrs]]&gt;0,Prod[[#This Row],[S2Hrs]]&gt;0,Prod[[#This Row],[S3Hrs]]&gt;0),"Running","Down")</f>
        <v>Running</v>
      </c>
      <c r="H303" s="194">
        <v>18.54</v>
      </c>
      <c r="I303" s="185">
        <v>6.5</v>
      </c>
      <c r="J303" s="130">
        <v>1324</v>
      </c>
      <c r="K303" s="130">
        <v>16</v>
      </c>
      <c r="L303" s="120">
        <f>Prod[[#This Row],[S1Shot]]*Prod[[#This Row],[S1Cavity]]-Prod[[#This Row],[S1Dft]]</f>
        <v>21184</v>
      </c>
      <c r="M303" s="134"/>
      <c r="N303" s="194">
        <v>23.29</v>
      </c>
      <c r="O303" s="185">
        <v>5.5</v>
      </c>
      <c r="P303" s="130">
        <v>934</v>
      </c>
      <c r="Q303" s="130">
        <v>8</v>
      </c>
      <c r="R303" s="120">
        <f>Prod[[#This Row],[S2Shot]]*Prod[[#This Row],[S2Cavity]]-Prod[[#This Row],[S2Dft]]</f>
        <v>7472</v>
      </c>
      <c r="S303" s="134"/>
      <c r="T303" s="194">
        <v>0</v>
      </c>
      <c r="U303" s="185">
        <v>0</v>
      </c>
      <c r="V303" s="130">
        <v>0</v>
      </c>
      <c r="W303" s="130">
        <v>0</v>
      </c>
      <c r="X303" s="120">
        <f>Prod[[#This Row],[S3Shot]]*Prod[[#This Row],[S3Cavity]]-Prod[[#This Row],[S3Dft]]</f>
        <v>0</v>
      </c>
      <c r="Y303" s="134"/>
      <c r="Z303" s="120">
        <f>SUM(Prod[[#This Row],[S1Qty]],Prod[[#This Row],[S2Qty]],Prod[[#This Row],[S3Qty]])</f>
        <v>28656</v>
      </c>
      <c r="AA303" s="134"/>
      <c r="AB303" s="135"/>
      <c r="AC303" s="131" t="s">
        <v>288</v>
      </c>
      <c r="AD303" s="134"/>
      <c r="AE303" s="134"/>
      <c r="AF303" s="134"/>
      <c r="AG303" s="134"/>
      <c r="AH303" s="134"/>
      <c r="AI303" s="134"/>
      <c r="AJ303" s="134"/>
      <c r="AK303" s="134"/>
      <c r="AL303" s="134"/>
      <c r="AM303" s="134"/>
      <c r="AN303" s="134"/>
      <c r="AO303" s="134"/>
      <c r="AP303" s="134"/>
      <c r="AQ303" s="134"/>
      <c r="AR303" s="134"/>
      <c r="AS303" s="132">
        <f>IF(Prod[[#This Row],[S1Hrs]]=0,0,Prod[[#This Row],[S1Shot]]*Prod[[#This Row],[S1Cycle]]/(Prod[[#This Row],[S1Hrs]]*60*60))</f>
        <v>1.0490153846153847</v>
      </c>
      <c r="AT303" s="132">
        <f>IF(Prod[[#This Row],[S2Hrs]]=0,0,Prod[[#This Row],[S2Shot]]*Prod[[#This Row],[S2Cycle]]/(Prod[[#This Row],[S2Hrs]]*60*60))</f>
        <v>1.0986292929292929</v>
      </c>
      <c r="AU303" s="132">
        <f>IF(Prod[[#This Row],[S3Hrs]]=0,0,Prod[[#This Row],[S3Shot]]*Prod[[#This Row],[S3Cycle]]/(Prod[[#This Row],[S3Hrs]]*60*60))</f>
        <v>0</v>
      </c>
      <c r="AV303" s="132">
        <f>IFERROR(AVERAGEIF(Prod[[#This Row],[S1%]:[S3%]], "&lt;&gt;0"),0)</f>
        <v>1.0738223387723389</v>
      </c>
      <c r="AW303" s="132">
        <v>0</v>
      </c>
      <c r="AX303" s="132">
        <v>0</v>
      </c>
      <c r="AY303" s="132">
        <v>0</v>
      </c>
      <c r="AZ303" s="175">
        <f>IF(Prod[[#This Row],[S1Cycle]]&lt;&gt;0,1,0)</f>
        <v>1</v>
      </c>
      <c r="BA303" s="175">
        <f>IF(Prod[[#This Row],[S2Cycle]]&lt;&gt;0,1,0)</f>
        <v>1</v>
      </c>
      <c r="BB303" s="175">
        <f>IF(Prod[[#This Row],[S3Cycle]]&lt;&gt;0,1,0)</f>
        <v>0</v>
      </c>
      <c r="BC303" s="175">
        <f>MAX(Prod[[#This Row],[S1Cavity]],Prod[[#This Row],[S2Cavity]],Prod[[#This Row],[S3Cavity]])</f>
        <v>16</v>
      </c>
      <c r="BD303" s="175" t="b">
        <f>RegExpMatch(Prod[[#This Row],[MoldNo]], "^DEO-(B|C)")</f>
        <v>0</v>
      </c>
      <c r="BE303" s="175" t="b">
        <f>RegExpMatch(Prod[[#This Row],[MoldNo]], "^JAC")</f>
        <v>0</v>
      </c>
    </row>
    <row r="304" spans="1:57" x14ac:dyDescent="0.2">
      <c r="A304" s="117">
        <v>45462</v>
      </c>
      <c r="B304" s="120" t="s">
        <v>196</v>
      </c>
      <c r="C304" s="119" t="s">
        <v>82</v>
      </c>
      <c r="D304" s="119">
        <v>27897</v>
      </c>
      <c r="E304" s="131" t="s">
        <v>287</v>
      </c>
      <c r="F304" s="119">
        <v>6331</v>
      </c>
      <c r="G304" s="119" t="str">
        <f>IF(OR(Prod[[#This Row],[S1Hrs]]&gt;0,Prod[[#This Row],[S2Hrs]]&gt;0,Prod[[#This Row],[S3Hrs]]&gt;0),"Running","Down")</f>
        <v>Running</v>
      </c>
      <c r="H304" s="194">
        <v>0</v>
      </c>
      <c r="I304" s="185">
        <v>0</v>
      </c>
      <c r="J304" s="130">
        <v>0</v>
      </c>
      <c r="K304" s="130">
        <v>0</v>
      </c>
      <c r="L304" s="120">
        <f>Prod[[#This Row],[S1Shot]]*Prod[[#This Row],[S1Cavity]]-Prod[[#This Row],[S1Dft]]</f>
        <v>0</v>
      </c>
      <c r="M304" s="134"/>
      <c r="N304" s="194">
        <v>0</v>
      </c>
      <c r="O304" s="185">
        <v>0</v>
      </c>
      <c r="P304" s="130">
        <v>0</v>
      </c>
      <c r="Q304" s="130">
        <v>0</v>
      </c>
      <c r="R304" s="120">
        <f>Prod[[#This Row],[S2Shot]]*Prod[[#This Row],[S2Cavity]]-Prod[[#This Row],[S2Dft]]</f>
        <v>0</v>
      </c>
      <c r="S304" s="134"/>
      <c r="T304" s="194">
        <v>23.27</v>
      </c>
      <c r="U304" s="185">
        <v>8</v>
      </c>
      <c r="V304" s="130">
        <v>1119</v>
      </c>
      <c r="W304" s="130">
        <v>8</v>
      </c>
      <c r="X304" s="120">
        <f>Prod[[#This Row],[S3Shot]]*Prod[[#This Row],[S3Cavity]]-Prod[[#This Row],[S3Dft]]</f>
        <v>8952</v>
      </c>
      <c r="Y304" s="134"/>
      <c r="Z304" s="120">
        <f>SUM(Prod[[#This Row],[S1Qty]],Prod[[#This Row],[S2Qty]],Prod[[#This Row],[S3Qty]])</f>
        <v>8952</v>
      </c>
      <c r="AA304" s="134"/>
      <c r="AB304" s="135"/>
      <c r="AC304" s="118"/>
      <c r="AD304" s="134"/>
      <c r="AE304" s="134"/>
      <c r="AF304" s="134"/>
      <c r="AG304" s="134"/>
      <c r="AH304" s="134"/>
      <c r="AI304" s="134"/>
      <c r="AJ304" s="134"/>
      <c r="AK304" s="134"/>
      <c r="AL304" s="134"/>
      <c r="AM304" s="134"/>
      <c r="AN304" s="134"/>
      <c r="AO304" s="134"/>
      <c r="AP304" s="134"/>
      <c r="AQ304" s="134"/>
      <c r="AR304" s="134"/>
      <c r="AS304" s="132">
        <f>IF(Prod[[#This Row],[S1Hrs]]=0,0,Prod[[#This Row],[S1Shot]]*Prod[[#This Row],[S1Cycle]]/(Prod[[#This Row],[S1Hrs]]*60*60))</f>
        <v>0</v>
      </c>
      <c r="AT304" s="132">
        <f>IF(Prod[[#This Row],[S2Hrs]]=0,0,Prod[[#This Row],[S2Shot]]*Prod[[#This Row],[S2Cycle]]/(Prod[[#This Row],[S2Hrs]]*60*60))</f>
        <v>0</v>
      </c>
      <c r="AU304" s="132">
        <f>IF(Prod[[#This Row],[S3Hrs]]=0,0,Prod[[#This Row],[S3Shot]]*Prod[[#This Row],[S3Cycle]]/(Prod[[#This Row],[S3Hrs]]*60*60))</f>
        <v>0.90413645833333334</v>
      </c>
      <c r="AV304" s="132">
        <f>IFERROR(AVERAGEIF(Prod[[#This Row],[S1%]:[S3%]], "&lt;&gt;0"),0)</f>
        <v>0.90413645833333334</v>
      </c>
      <c r="AW304" s="132">
        <v>0</v>
      </c>
      <c r="AX304" s="132">
        <v>0</v>
      </c>
      <c r="AY304" s="132">
        <v>0</v>
      </c>
      <c r="AZ304" s="175">
        <f>IF(Prod[[#This Row],[S1Cycle]]&lt;&gt;0,1,0)</f>
        <v>0</v>
      </c>
      <c r="BA304" s="175">
        <f>IF(Prod[[#This Row],[S2Cycle]]&lt;&gt;0,1,0)</f>
        <v>0</v>
      </c>
      <c r="BB304" s="175">
        <f>IF(Prod[[#This Row],[S3Cycle]]&lt;&gt;0,1,0)</f>
        <v>1</v>
      </c>
      <c r="BC304" s="175">
        <f>MAX(Prod[[#This Row],[S1Cavity]],Prod[[#This Row],[S2Cavity]],Prod[[#This Row],[S3Cavity]])</f>
        <v>8</v>
      </c>
      <c r="BD304" s="175" t="b">
        <f>RegExpMatch(Prod[[#This Row],[MoldNo]], "^DEO-(B|C)")</f>
        <v>0</v>
      </c>
      <c r="BE304" s="175" t="b">
        <f>RegExpMatch(Prod[[#This Row],[MoldNo]], "^JAC")</f>
        <v>0</v>
      </c>
    </row>
    <row r="305" spans="1:57" x14ac:dyDescent="0.2">
      <c r="A305" s="117">
        <v>45462</v>
      </c>
      <c r="B305" s="120" t="s">
        <v>192</v>
      </c>
      <c r="C305" s="131" t="s">
        <v>193</v>
      </c>
      <c r="D305" s="119"/>
      <c r="E305" s="131"/>
      <c r="F305" s="119"/>
      <c r="G305" s="119" t="str">
        <f>IF(OR(Prod[[#This Row],[S1Hrs]]&gt;0,Prod[[#This Row],[S2Hrs]]&gt;0,Prod[[#This Row],[S3Hrs]]&gt;0),"Running","Down")</f>
        <v>Down</v>
      </c>
      <c r="H305" s="194">
        <v>0</v>
      </c>
      <c r="I305" s="185">
        <v>0</v>
      </c>
      <c r="J305" s="130">
        <v>0</v>
      </c>
      <c r="K305" s="130">
        <v>0</v>
      </c>
      <c r="L305" s="120">
        <f>Prod[[#This Row],[S1Shot]]*Prod[[#This Row],[S1Cavity]]-Prod[[#This Row],[S1Dft]]</f>
        <v>0</v>
      </c>
      <c r="M305" s="134"/>
      <c r="N305" s="194">
        <v>0</v>
      </c>
      <c r="O305" s="185">
        <v>0</v>
      </c>
      <c r="P305" s="130">
        <v>0</v>
      </c>
      <c r="Q305" s="130">
        <v>0</v>
      </c>
      <c r="R305" s="120">
        <f>Prod[[#This Row],[S2Shot]]*Prod[[#This Row],[S2Cavity]]-Prod[[#This Row],[S2Dft]]</f>
        <v>0</v>
      </c>
      <c r="S305" s="134"/>
      <c r="T305" s="194">
        <v>0</v>
      </c>
      <c r="U305" s="185">
        <v>0</v>
      </c>
      <c r="V305" s="130">
        <v>0</v>
      </c>
      <c r="W305" s="130">
        <v>0</v>
      </c>
      <c r="X305" s="120">
        <f>Prod[[#This Row],[S3Shot]]*Prod[[#This Row],[S3Cavity]]-Prod[[#This Row],[S3Dft]]</f>
        <v>0</v>
      </c>
      <c r="Y305" s="134"/>
      <c r="Z305" s="120">
        <f>SUM(Prod[[#This Row],[S1Qty]],Prod[[#This Row],[S2Qty]],Prod[[#This Row],[S3Qty]])</f>
        <v>0</v>
      </c>
      <c r="AA305" s="134"/>
      <c r="AB305" s="135"/>
      <c r="AC305" s="118"/>
      <c r="AD305" s="134"/>
      <c r="AE305" s="134"/>
      <c r="AF305" s="134"/>
      <c r="AG305" s="134"/>
      <c r="AH305" s="134"/>
      <c r="AI305" s="134"/>
      <c r="AJ305" s="134"/>
      <c r="AK305" s="134"/>
      <c r="AL305" s="134"/>
      <c r="AM305" s="134"/>
      <c r="AN305" s="134"/>
      <c r="AO305" s="134"/>
      <c r="AP305" s="134"/>
      <c r="AQ305" s="134"/>
      <c r="AR305" s="134"/>
      <c r="AS305" s="132">
        <f>IF(Prod[[#This Row],[S1Hrs]]=0,0,Prod[[#This Row],[S1Shot]]*Prod[[#This Row],[S1Cycle]]/(Prod[[#This Row],[S1Hrs]]*60*60))</f>
        <v>0</v>
      </c>
      <c r="AT305" s="132">
        <f>IF(Prod[[#This Row],[S2Hrs]]=0,0,Prod[[#This Row],[S2Shot]]*Prod[[#This Row],[S2Cycle]]/(Prod[[#This Row],[S2Hrs]]*60*60))</f>
        <v>0</v>
      </c>
      <c r="AU305" s="132">
        <f>IF(Prod[[#This Row],[S3Hrs]]=0,0,Prod[[#This Row],[S3Shot]]*Prod[[#This Row],[S3Cycle]]/(Prod[[#This Row],[S3Hrs]]*60*60))</f>
        <v>0</v>
      </c>
      <c r="AV305" s="132">
        <f>IFERROR(AVERAGEIF(Prod[[#This Row],[S1%]:[S3%]], "&lt;&gt;0"),0)</f>
        <v>0</v>
      </c>
      <c r="AW305" s="132">
        <v>0</v>
      </c>
      <c r="AX305" s="132">
        <v>0</v>
      </c>
      <c r="AY305" s="132">
        <v>0</v>
      </c>
      <c r="AZ305" s="175">
        <f>IF(Prod[[#This Row],[S1Cycle]]&lt;&gt;0,1,0)</f>
        <v>0</v>
      </c>
      <c r="BA305" s="175">
        <f>IF(Prod[[#This Row],[S2Cycle]]&lt;&gt;0,1,0)</f>
        <v>0</v>
      </c>
      <c r="BB305" s="175">
        <f>IF(Prod[[#This Row],[S3Cycle]]&lt;&gt;0,1,0)</f>
        <v>0</v>
      </c>
      <c r="BC305" s="175">
        <f>MAX(Prod[[#This Row],[S1Cavity]],Prod[[#This Row],[S2Cavity]],Prod[[#This Row],[S3Cavity]])</f>
        <v>0</v>
      </c>
      <c r="BD305" s="175" t="b">
        <f>RegExpMatch(Prod[[#This Row],[MoldNo]], "^DEO-(B|C)")</f>
        <v>0</v>
      </c>
      <c r="BE305" s="175" t="b">
        <f>RegExpMatch(Prod[[#This Row],[MoldNo]], "^JAC")</f>
        <v>0</v>
      </c>
    </row>
    <row r="306" spans="1:57" x14ac:dyDescent="0.2">
      <c r="A306" s="117">
        <v>45462</v>
      </c>
      <c r="B306" s="120" t="s">
        <v>168</v>
      </c>
      <c r="C306" s="119" t="s">
        <v>169</v>
      </c>
      <c r="D306" s="119">
        <v>26687</v>
      </c>
      <c r="E306" s="131" t="s">
        <v>199</v>
      </c>
      <c r="F306" s="119">
        <v>814</v>
      </c>
      <c r="G306" s="119" t="str">
        <f>IF(OR(Prod[[#This Row],[S1Hrs]]&gt;0,Prod[[#This Row],[S2Hrs]]&gt;0,Prod[[#This Row],[S3Hrs]]&gt;0),"Running","Down")</f>
        <v>Running</v>
      </c>
      <c r="H306" s="194">
        <v>15.51</v>
      </c>
      <c r="I306" s="185">
        <v>8</v>
      </c>
      <c r="J306" s="130">
        <v>1831</v>
      </c>
      <c r="K306" s="130">
        <v>16</v>
      </c>
      <c r="L306" s="120">
        <f>Prod[[#This Row],[S1Shot]]*Prod[[#This Row],[S1Cavity]]-Prod[[#This Row],[S1Dft]]</f>
        <v>29296</v>
      </c>
      <c r="M306" s="134"/>
      <c r="N306" s="194">
        <v>15.46</v>
      </c>
      <c r="O306" s="185">
        <v>5.5</v>
      </c>
      <c r="P306" s="130">
        <v>989</v>
      </c>
      <c r="Q306" s="130">
        <v>15</v>
      </c>
      <c r="R306" s="120">
        <f>Prod[[#This Row],[S2Shot]]*Prod[[#This Row],[S2Cavity]]-Prod[[#This Row],[S2Dft]]</f>
        <v>14835</v>
      </c>
      <c r="S306" s="134"/>
      <c r="T306" s="194">
        <v>15.45</v>
      </c>
      <c r="U306" s="185">
        <v>8</v>
      </c>
      <c r="V306" s="130">
        <v>1760</v>
      </c>
      <c r="W306" s="130">
        <v>15</v>
      </c>
      <c r="X306" s="120">
        <f>Prod[[#This Row],[S3Shot]]*Prod[[#This Row],[S3Cavity]]-Prod[[#This Row],[S3Dft]]</f>
        <v>26400</v>
      </c>
      <c r="Y306" s="134"/>
      <c r="Z306" s="120">
        <f>SUM(Prod[[#This Row],[S1Qty]],Prod[[#This Row],[S2Qty]],Prod[[#This Row],[S3Qty]])</f>
        <v>70531</v>
      </c>
      <c r="AA306" s="134"/>
      <c r="AB306" s="135"/>
      <c r="AC306" s="118"/>
      <c r="AD306" s="134"/>
      <c r="AE306" s="134"/>
      <c r="AF306" s="134"/>
      <c r="AG306" s="134"/>
      <c r="AH306" s="134"/>
      <c r="AI306" s="134"/>
      <c r="AJ306" s="134"/>
      <c r="AK306" s="134"/>
      <c r="AL306" s="134"/>
      <c r="AM306" s="134"/>
      <c r="AN306" s="134"/>
      <c r="AO306" s="134"/>
      <c r="AP306" s="134"/>
      <c r="AQ306" s="134"/>
      <c r="AR306" s="134"/>
      <c r="AS306" s="132">
        <f>IF(Prod[[#This Row],[S1Hrs]]=0,0,Prod[[#This Row],[S1Shot]]*Prod[[#This Row],[S1Cycle]]/(Prod[[#This Row],[S1Hrs]]*60*60))</f>
        <v>0.98606979166666675</v>
      </c>
      <c r="AT306" s="132">
        <f>IF(Prod[[#This Row],[S2Hrs]]=0,0,Prod[[#This Row],[S2Shot]]*Prod[[#This Row],[S2Cycle]]/(Prod[[#This Row],[S2Hrs]]*60*60))</f>
        <v>0.77221919191919197</v>
      </c>
      <c r="AU306" s="132">
        <f>IF(Prod[[#This Row],[S3Hrs]]=0,0,Prod[[#This Row],[S3Shot]]*Prod[[#This Row],[S3Cycle]]/(Prod[[#This Row],[S3Hrs]]*60*60))</f>
        <v>0.94416666666666671</v>
      </c>
      <c r="AV306" s="132">
        <f>IFERROR(AVERAGEIF(Prod[[#This Row],[S1%]:[S3%]], "&lt;&gt;0"),0)</f>
        <v>0.90081855008417522</v>
      </c>
      <c r="AW306" s="132">
        <v>0</v>
      </c>
      <c r="AX306" s="132">
        <v>0</v>
      </c>
      <c r="AY306" s="132">
        <v>0</v>
      </c>
      <c r="AZ306" s="175">
        <f>IF(Prod[[#This Row],[S1Cycle]]&lt;&gt;0,1,0)</f>
        <v>1</v>
      </c>
      <c r="BA306" s="175">
        <f>IF(Prod[[#This Row],[S2Cycle]]&lt;&gt;0,1,0)</f>
        <v>1</v>
      </c>
      <c r="BB306" s="175">
        <f>IF(Prod[[#This Row],[S3Cycle]]&lt;&gt;0,1,0)</f>
        <v>1</v>
      </c>
      <c r="BC306" s="175">
        <f>MAX(Prod[[#This Row],[S1Cavity]],Prod[[#This Row],[S2Cavity]],Prod[[#This Row],[S3Cavity]])</f>
        <v>16</v>
      </c>
      <c r="BD306" s="175" t="b">
        <f>RegExpMatch(Prod[[#This Row],[MoldNo]], "^DEO-(B|C)")</f>
        <v>0</v>
      </c>
      <c r="BE306" s="175" t="b">
        <f>RegExpMatch(Prod[[#This Row],[MoldNo]], "^JAC")</f>
        <v>0</v>
      </c>
    </row>
    <row r="307" spans="1:57" x14ac:dyDescent="0.2">
      <c r="A307" s="117">
        <v>45462</v>
      </c>
      <c r="B307" s="120" t="s">
        <v>146</v>
      </c>
      <c r="C307" s="119" t="s">
        <v>84</v>
      </c>
      <c r="D307" s="119"/>
      <c r="E307" s="131"/>
      <c r="F307" s="119"/>
      <c r="G307" s="119" t="str">
        <f>IF(OR(Prod[[#This Row],[S1Hrs]]&gt;0,Prod[[#This Row],[S2Hrs]]&gt;0,Prod[[#This Row],[S3Hrs]]&gt;0),"Running","Down")</f>
        <v>Down</v>
      </c>
      <c r="H307" s="194">
        <v>0</v>
      </c>
      <c r="I307" s="185">
        <v>0</v>
      </c>
      <c r="J307" s="130">
        <v>0</v>
      </c>
      <c r="K307" s="130">
        <v>0</v>
      </c>
      <c r="L307" s="120">
        <f>Prod[[#This Row],[S1Shot]]*Prod[[#This Row],[S1Cavity]]-Prod[[#This Row],[S1Dft]]</f>
        <v>0</v>
      </c>
      <c r="M307" s="134"/>
      <c r="N307" s="194">
        <v>0</v>
      </c>
      <c r="O307" s="185">
        <v>0</v>
      </c>
      <c r="P307" s="130">
        <v>0</v>
      </c>
      <c r="Q307" s="130">
        <v>0</v>
      </c>
      <c r="R307" s="120">
        <f>Prod[[#This Row],[S2Shot]]*Prod[[#This Row],[S2Cavity]]-Prod[[#This Row],[S2Dft]]</f>
        <v>0</v>
      </c>
      <c r="S307" s="134"/>
      <c r="T307" s="194">
        <v>0</v>
      </c>
      <c r="U307" s="185">
        <v>0</v>
      </c>
      <c r="V307" s="130">
        <v>0</v>
      </c>
      <c r="W307" s="130">
        <v>0</v>
      </c>
      <c r="X307" s="120">
        <f>Prod[[#This Row],[S3Shot]]*Prod[[#This Row],[S3Cavity]]-Prod[[#This Row],[S3Dft]]</f>
        <v>0</v>
      </c>
      <c r="Y307" s="134"/>
      <c r="Z307" s="120">
        <f>SUM(Prod[[#This Row],[S1Qty]],Prod[[#This Row],[S2Qty]],Prod[[#This Row],[S3Qty]])</f>
        <v>0</v>
      </c>
      <c r="AA307" s="134"/>
      <c r="AB307" s="135"/>
      <c r="AC307" s="118"/>
      <c r="AD307" s="134"/>
      <c r="AE307" s="134"/>
      <c r="AF307" s="134"/>
      <c r="AG307" s="134"/>
      <c r="AH307" s="134"/>
      <c r="AI307" s="134"/>
      <c r="AJ307" s="134"/>
      <c r="AK307" s="134"/>
      <c r="AL307" s="134"/>
      <c r="AM307" s="134"/>
      <c r="AN307" s="134"/>
      <c r="AO307" s="134"/>
      <c r="AP307" s="134"/>
      <c r="AQ307" s="134"/>
      <c r="AR307" s="134"/>
      <c r="AS307" s="132">
        <f>IF(Prod[[#This Row],[S1Hrs]]=0,0,Prod[[#This Row],[S1Shot]]*Prod[[#This Row],[S1Cycle]]/(Prod[[#This Row],[S1Hrs]]*60*60))</f>
        <v>0</v>
      </c>
      <c r="AT307" s="132">
        <f>IF(Prod[[#This Row],[S2Hrs]]=0,0,Prod[[#This Row],[S2Shot]]*Prod[[#This Row],[S2Cycle]]/(Prod[[#This Row],[S2Hrs]]*60*60))</f>
        <v>0</v>
      </c>
      <c r="AU307" s="132">
        <f>IF(Prod[[#This Row],[S3Hrs]]=0,0,Prod[[#This Row],[S3Shot]]*Prod[[#This Row],[S3Cycle]]/(Prod[[#This Row],[S3Hrs]]*60*60))</f>
        <v>0</v>
      </c>
      <c r="AV307" s="132">
        <f>IFERROR(AVERAGEIF(Prod[[#This Row],[S1%]:[S3%]], "&lt;&gt;0"),0)</f>
        <v>0</v>
      </c>
      <c r="AW307" s="132">
        <v>0</v>
      </c>
      <c r="AX307" s="132">
        <v>0</v>
      </c>
      <c r="AY307" s="132">
        <v>0</v>
      </c>
      <c r="AZ307" s="175">
        <f>IF(Prod[[#This Row],[S1Cycle]]&lt;&gt;0,1,0)</f>
        <v>0</v>
      </c>
      <c r="BA307" s="175">
        <f>IF(Prod[[#This Row],[S2Cycle]]&lt;&gt;0,1,0)</f>
        <v>0</v>
      </c>
      <c r="BB307" s="175">
        <f>IF(Prod[[#This Row],[S3Cycle]]&lt;&gt;0,1,0)</f>
        <v>0</v>
      </c>
      <c r="BC307" s="175">
        <f>MAX(Prod[[#This Row],[S1Cavity]],Prod[[#This Row],[S2Cavity]],Prod[[#This Row],[S3Cavity]])</f>
        <v>0</v>
      </c>
      <c r="BD307" s="175" t="b">
        <f>RegExpMatch(Prod[[#This Row],[MoldNo]], "^DEO-(B|C)")</f>
        <v>0</v>
      </c>
      <c r="BE307" s="175" t="b">
        <f>RegExpMatch(Prod[[#This Row],[MoldNo]], "^JAC")</f>
        <v>0</v>
      </c>
    </row>
    <row r="308" spans="1:57" x14ac:dyDescent="0.2">
      <c r="A308" s="117">
        <v>45462</v>
      </c>
      <c r="B308" s="130" t="s">
        <v>164</v>
      </c>
      <c r="C308" s="131" t="s">
        <v>144</v>
      </c>
      <c r="D308" s="119"/>
      <c r="E308" s="131"/>
      <c r="F308" s="119"/>
      <c r="G308" s="119" t="str">
        <f>IF(OR(Prod[[#This Row],[S1Hrs]]&gt;0,Prod[[#This Row],[S2Hrs]]&gt;0,Prod[[#This Row],[S3Hrs]]&gt;0),"Running","Down")</f>
        <v>Down</v>
      </c>
      <c r="H308" s="194">
        <v>0</v>
      </c>
      <c r="I308" s="185">
        <v>0</v>
      </c>
      <c r="J308" s="130">
        <v>0</v>
      </c>
      <c r="K308" s="130">
        <v>0</v>
      </c>
      <c r="L308" s="120">
        <f>Prod[[#This Row],[S1Shot]]*Prod[[#This Row],[S1Cavity]]-Prod[[#This Row],[S1Dft]]</f>
        <v>0</v>
      </c>
      <c r="M308" s="136">
        <f>SUM(Prod[[#This Row],[S1Mold]],Prod[[#This Row],[S1Print]],Prod[[#This Row],[S1Ovlp]],Prod[[#This Row],[S1Seam]],Prod[[#This Row],[S1Dmg]])</f>
        <v>0</v>
      </c>
      <c r="N308" s="194">
        <v>0</v>
      </c>
      <c r="O308" s="185">
        <v>0</v>
      </c>
      <c r="P308" s="130">
        <v>0</v>
      </c>
      <c r="Q308" s="130">
        <v>0</v>
      </c>
      <c r="R308" s="120">
        <f>Prod[[#This Row],[S2Shot]]*Prod[[#This Row],[S2Cavity]]-Prod[[#This Row],[S2Dft]]</f>
        <v>0</v>
      </c>
      <c r="S308" s="136">
        <f>SUM(Prod[[#This Row],[S2Mold]],Prod[[#This Row],[S2Print]],Prod[[#This Row],[S2Ovlp]],Prod[[#This Row],[S2Seam]],Prod[[#This Row],[S2Dmg]])</f>
        <v>0</v>
      </c>
      <c r="T308" s="194">
        <v>0</v>
      </c>
      <c r="U308" s="185">
        <v>0</v>
      </c>
      <c r="V308" s="130">
        <v>0</v>
      </c>
      <c r="W308" s="130">
        <v>0</v>
      </c>
      <c r="X308" s="120">
        <f>Prod[[#This Row],[S3Shot]]*Prod[[#This Row],[S3Cavity]]-Prod[[#This Row],[S3Dft]]</f>
        <v>0</v>
      </c>
      <c r="Y308" s="120">
        <f>SUM(Prod[[#This Row],[S3Mold]],Prod[[#This Row],[S3Print]],Prod[[#This Row],[S3Ovlp]],Prod[[#This Row],[S3Seam]],Prod[[#This Row],[S3Dmg]])</f>
        <v>0</v>
      </c>
      <c r="Z308" s="120">
        <f>SUM(Prod[[#This Row],[S1Qty]],Prod[[#This Row],[S2Qty]],Prod[[#This Row],[S3Qty]])</f>
        <v>0</v>
      </c>
      <c r="AA308" s="120">
        <f>SUM(Prod[[#This Row],[S1Dft]],Prod[[#This Row],[S2Dft]],Prod[[#This Row],[S3Dft]])</f>
        <v>0</v>
      </c>
      <c r="AB308" s="121">
        <f>IF(Prod[[#This Row],[Total]]=0,0,Prod[[#This Row],[TotalDft]]/Prod[[#This Row],[Total]])</f>
        <v>0</v>
      </c>
      <c r="AC308" s="118"/>
      <c r="AD308" s="120">
        <v>0</v>
      </c>
      <c r="AE308" s="120">
        <v>0</v>
      </c>
      <c r="AF308" s="120">
        <v>0</v>
      </c>
      <c r="AG308" s="120">
        <v>0</v>
      </c>
      <c r="AH308" s="120">
        <v>0</v>
      </c>
      <c r="AI308" s="120">
        <v>0</v>
      </c>
      <c r="AJ308" s="120">
        <v>0</v>
      </c>
      <c r="AK308" s="120">
        <v>0</v>
      </c>
      <c r="AL308" s="120">
        <v>0</v>
      </c>
      <c r="AM308" s="120">
        <v>0</v>
      </c>
      <c r="AN308" s="120">
        <v>0</v>
      </c>
      <c r="AO308" s="120">
        <v>0</v>
      </c>
      <c r="AP308" s="120">
        <v>0</v>
      </c>
      <c r="AQ308" s="120">
        <v>0</v>
      </c>
      <c r="AR308" s="120">
        <v>0</v>
      </c>
      <c r="AS308" s="132">
        <f>IF(Prod[[#This Row],[S1Hrs]]=0,0,Prod[[#This Row],[S1Shot]]*Prod[[#This Row],[S1Cycle]]/(Prod[[#This Row],[S1Hrs]]*60*60))</f>
        <v>0</v>
      </c>
      <c r="AT308" s="132">
        <f>IF(Prod[[#This Row],[S2Hrs]]=0,0,Prod[[#This Row],[S2Shot]]*Prod[[#This Row],[S2Cycle]]/(Prod[[#This Row],[S2Hrs]]*60*60))</f>
        <v>0</v>
      </c>
      <c r="AU308" s="132">
        <f>IF(Prod[[#This Row],[S3Hrs]]=0,0,Prod[[#This Row],[S3Shot]]*Prod[[#This Row],[S3Cycle]]/(Prod[[#This Row],[S3Hrs]]*60*60))</f>
        <v>0</v>
      </c>
      <c r="AV308" s="132">
        <f>IFERROR(AVERAGEIF(Prod[[#This Row],[S1%]:[S3%]], "&lt;&gt;0"),0)</f>
        <v>0</v>
      </c>
      <c r="AW308" s="132">
        <v>0</v>
      </c>
      <c r="AX308" s="132">
        <v>0</v>
      </c>
      <c r="AY308" s="132">
        <v>0</v>
      </c>
      <c r="AZ308" s="175">
        <f>IF(Prod[[#This Row],[S1Cycle]]&lt;&gt;0,1,0)</f>
        <v>0</v>
      </c>
      <c r="BA308" s="175">
        <f>IF(Prod[[#This Row],[S2Cycle]]&lt;&gt;0,1,0)</f>
        <v>0</v>
      </c>
      <c r="BB308" s="175">
        <f>IF(Prod[[#This Row],[S3Cycle]]&lt;&gt;0,1,0)</f>
        <v>0</v>
      </c>
      <c r="BC308" s="175">
        <f>MAX(Prod[[#This Row],[S1Cavity]],Prod[[#This Row],[S2Cavity]],Prod[[#This Row],[S3Cavity]])</f>
        <v>0</v>
      </c>
      <c r="BD308" s="175" t="b">
        <f>RegExpMatch(Prod[[#This Row],[MoldNo]], "^DEO-(B|C)")</f>
        <v>1</v>
      </c>
      <c r="BE308" s="175" t="b">
        <f>RegExpMatch(Prod[[#This Row],[MoldNo]], "^JAC")</f>
        <v>0</v>
      </c>
    </row>
    <row r="309" spans="1:57" x14ac:dyDescent="0.2">
      <c r="A309" s="117">
        <v>45462</v>
      </c>
      <c r="B309" s="130" t="s">
        <v>162</v>
      </c>
      <c r="C309" s="131" t="s">
        <v>163</v>
      </c>
      <c r="D309" s="119"/>
      <c r="E309" s="131"/>
      <c r="F309" s="119"/>
      <c r="G309" s="119" t="str">
        <f>IF(OR(Prod[[#This Row],[S1Hrs]]&gt;0,Prod[[#This Row],[S2Hrs]]&gt;0,Prod[[#This Row],[S3Hrs]]&gt;0),"Running","Down")</f>
        <v>Down</v>
      </c>
      <c r="H309" s="194">
        <v>0</v>
      </c>
      <c r="I309" s="185">
        <v>0</v>
      </c>
      <c r="J309" s="130">
        <v>0</v>
      </c>
      <c r="K309" s="130">
        <v>0</v>
      </c>
      <c r="L309" s="120">
        <f>Prod[[#This Row],[S1Shot]]*Prod[[#This Row],[S1Cavity]]-Prod[[#This Row],[S1Dft]]</f>
        <v>0</v>
      </c>
      <c r="M309" s="136">
        <f>SUM(Prod[[#This Row],[S1Mold]],Prod[[#This Row],[S1Print]],Prod[[#This Row],[S1Ovlp]],Prod[[#This Row],[S1Seam]],Prod[[#This Row],[S1Dmg]])</f>
        <v>0</v>
      </c>
      <c r="N309" s="194">
        <v>0</v>
      </c>
      <c r="O309" s="185">
        <v>0</v>
      </c>
      <c r="P309" s="130">
        <v>0</v>
      </c>
      <c r="Q309" s="130">
        <v>0</v>
      </c>
      <c r="R309" s="120">
        <f>Prod[[#This Row],[S2Shot]]*Prod[[#This Row],[S2Cavity]]-Prod[[#This Row],[S2Dft]]</f>
        <v>0</v>
      </c>
      <c r="S309" s="136">
        <f>SUM(Prod[[#This Row],[S2Mold]],Prod[[#This Row],[S2Print]],Prod[[#This Row],[S2Ovlp]],Prod[[#This Row],[S2Seam]],Prod[[#This Row],[S2Dmg]])</f>
        <v>0</v>
      </c>
      <c r="T309" s="194">
        <v>0</v>
      </c>
      <c r="U309" s="185">
        <v>0</v>
      </c>
      <c r="V309" s="130">
        <v>0</v>
      </c>
      <c r="W309" s="130">
        <v>0</v>
      </c>
      <c r="X309" s="120">
        <f>Prod[[#This Row],[S3Shot]]*Prod[[#This Row],[S3Cavity]]-Prod[[#This Row],[S3Dft]]</f>
        <v>0</v>
      </c>
      <c r="Y309" s="120">
        <f>SUM(Prod[[#This Row],[S3Mold]],Prod[[#This Row],[S3Print]],Prod[[#This Row],[S3Ovlp]],Prod[[#This Row],[S3Seam]],Prod[[#This Row],[S3Dmg]])</f>
        <v>0</v>
      </c>
      <c r="Z309" s="120">
        <f>SUM(Prod[[#This Row],[S1Qty]],Prod[[#This Row],[S2Qty]],Prod[[#This Row],[S3Qty]])</f>
        <v>0</v>
      </c>
      <c r="AA309" s="120">
        <f>SUM(Prod[[#This Row],[S1Dft]],Prod[[#This Row],[S2Dft]],Prod[[#This Row],[S3Dft]])</f>
        <v>0</v>
      </c>
      <c r="AB309" s="121">
        <f>IF(Prod[[#This Row],[Total]]=0,0,Prod[[#This Row],[TotalDft]]/Prod[[#This Row],[Total]])</f>
        <v>0</v>
      </c>
      <c r="AC309" s="118"/>
      <c r="AD309" s="120">
        <v>0</v>
      </c>
      <c r="AE309" s="120">
        <v>0</v>
      </c>
      <c r="AF309" s="120">
        <v>0</v>
      </c>
      <c r="AG309" s="120">
        <v>0</v>
      </c>
      <c r="AH309" s="120">
        <v>0</v>
      </c>
      <c r="AI309" s="120">
        <v>0</v>
      </c>
      <c r="AJ309" s="120">
        <v>0</v>
      </c>
      <c r="AK309" s="120">
        <v>0</v>
      </c>
      <c r="AL309" s="120">
        <v>0</v>
      </c>
      <c r="AM309" s="120">
        <v>0</v>
      </c>
      <c r="AN309" s="120">
        <v>0</v>
      </c>
      <c r="AO309" s="120">
        <v>0</v>
      </c>
      <c r="AP309" s="120">
        <v>0</v>
      </c>
      <c r="AQ309" s="120">
        <v>0</v>
      </c>
      <c r="AR309" s="120">
        <v>0</v>
      </c>
      <c r="AS309" s="132">
        <f>IF(Prod[[#This Row],[S1Hrs]]=0,0,Prod[[#This Row],[S1Shot]]*Prod[[#This Row],[S1Cycle]]/(Prod[[#This Row],[S1Hrs]]*60*60))</f>
        <v>0</v>
      </c>
      <c r="AT309" s="132">
        <f>IF(Prod[[#This Row],[S2Hrs]]=0,0,Prod[[#This Row],[S2Shot]]*Prod[[#This Row],[S2Cycle]]/(Prod[[#This Row],[S2Hrs]]*60*60))</f>
        <v>0</v>
      </c>
      <c r="AU309" s="132">
        <f>IF(Prod[[#This Row],[S3Hrs]]=0,0,Prod[[#This Row],[S3Shot]]*Prod[[#This Row],[S3Cycle]]/(Prod[[#This Row],[S3Hrs]]*60*60))</f>
        <v>0</v>
      </c>
      <c r="AV309" s="132">
        <f>IFERROR(AVERAGEIF(Prod[[#This Row],[S1%]:[S3%]], "&lt;&gt;0"),0)</f>
        <v>0</v>
      </c>
      <c r="AW309" s="132">
        <v>0</v>
      </c>
      <c r="AX309" s="132">
        <v>0</v>
      </c>
      <c r="AY309" s="132">
        <v>0</v>
      </c>
      <c r="AZ309" s="175">
        <f>IF(Prod[[#This Row],[S1Cycle]]&lt;&gt;0,1,0)</f>
        <v>0</v>
      </c>
      <c r="BA309" s="175">
        <f>IF(Prod[[#This Row],[S2Cycle]]&lt;&gt;0,1,0)</f>
        <v>0</v>
      </c>
      <c r="BB309" s="175">
        <f>IF(Prod[[#This Row],[S3Cycle]]&lt;&gt;0,1,0)</f>
        <v>0</v>
      </c>
      <c r="BC309" s="175">
        <f>MAX(Prod[[#This Row],[S1Cavity]],Prod[[#This Row],[S2Cavity]],Prod[[#This Row],[S3Cavity]])</f>
        <v>0</v>
      </c>
      <c r="BD309" s="175" t="b">
        <f>RegExpMatch(Prod[[#This Row],[MoldNo]], "^DEO-(B|C)")</f>
        <v>1</v>
      </c>
      <c r="BE309" s="175" t="b">
        <f>RegExpMatch(Prod[[#This Row],[MoldNo]], "^JAC")</f>
        <v>0</v>
      </c>
    </row>
    <row r="310" spans="1:57" x14ac:dyDescent="0.2">
      <c r="A310" s="117">
        <v>45462</v>
      </c>
      <c r="B310" s="130" t="s">
        <v>174</v>
      </c>
      <c r="C310" s="131" t="s">
        <v>175</v>
      </c>
      <c r="D310" s="119">
        <v>27579</v>
      </c>
      <c r="E310" s="131" t="s">
        <v>199</v>
      </c>
      <c r="F310" s="119">
        <v>814</v>
      </c>
      <c r="G310" s="119" t="str">
        <f>IF(OR(Prod[[#This Row],[S1Hrs]]&gt;0,Prod[[#This Row],[S2Hrs]]&gt;0,Prod[[#This Row],[S3Hrs]]&gt;0),"Running","Down")</f>
        <v>Running</v>
      </c>
      <c r="H310" s="194">
        <v>20.39</v>
      </c>
      <c r="I310" s="185">
        <v>8</v>
      </c>
      <c r="J310" s="130">
        <v>1406</v>
      </c>
      <c r="K310" s="130">
        <v>8</v>
      </c>
      <c r="L310" s="120">
        <f>Prod[[#This Row],[S1Shot]]*Prod[[#This Row],[S1Cavity]]-Prod[[#This Row],[S1Dft]]</f>
        <v>11103</v>
      </c>
      <c r="M310" s="136">
        <f>SUM(Prod[[#This Row],[S1Mold]],Prod[[#This Row],[S1Print]],Prod[[#This Row],[S1Ovlp]],Prod[[#This Row],[S1Seam]],Prod[[#This Row],[S1Dmg]])</f>
        <v>145</v>
      </c>
      <c r="N310" s="194">
        <v>20.49</v>
      </c>
      <c r="O310" s="185">
        <v>6</v>
      </c>
      <c r="P310" s="130">
        <v>956</v>
      </c>
      <c r="Q310" s="130">
        <v>8</v>
      </c>
      <c r="R310" s="120">
        <f>Prod[[#This Row],[S2Shot]]*Prod[[#This Row],[S2Cavity]]-Prod[[#This Row],[S2Dft]]</f>
        <v>7528</v>
      </c>
      <c r="S310" s="136">
        <f>SUM(Prod[[#This Row],[S2Mold]],Prod[[#This Row],[S2Print]],Prod[[#This Row],[S2Ovlp]],Prod[[#This Row],[S2Seam]],Prod[[#This Row],[S2Dmg]])</f>
        <v>120</v>
      </c>
      <c r="T310" s="194">
        <v>20.399999999999999</v>
      </c>
      <c r="U310" s="185">
        <v>8</v>
      </c>
      <c r="V310" s="130">
        <v>1265</v>
      </c>
      <c r="W310" s="130">
        <v>8</v>
      </c>
      <c r="X310" s="120">
        <f>Prod[[#This Row],[S3Shot]]*Prod[[#This Row],[S3Cavity]]-Prod[[#This Row],[S3Dft]]</f>
        <v>9970</v>
      </c>
      <c r="Y310" s="120">
        <f>SUM(Prod[[#This Row],[S3Mold]],Prod[[#This Row],[S3Print]],Prod[[#This Row],[S3Ovlp]],Prod[[#This Row],[S3Seam]],Prod[[#This Row],[S3Dmg]])</f>
        <v>150</v>
      </c>
      <c r="Z310" s="120">
        <f>SUM(Prod[[#This Row],[S1Qty]],Prod[[#This Row],[S2Qty]],Prod[[#This Row],[S3Qty]])</f>
        <v>28601</v>
      </c>
      <c r="AA310" s="120">
        <f>SUM(Prod[[#This Row],[S1Dft]],Prod[[#This Row],[S2Dft]],Prod[[#This Row],[S3Dft]])</f>
        <v>415</v>
      </c>
      <c r="AB310" s="121">
        <f>IF(Prod[[#This Row],[Total]]=0,0,Prod[[#This Row],[TotalDft]]/Prod[[#This Row],[Total]])</f>
        <v>1.4509982168455648E-2</v>
      </c>
      <c r="AC310" s="131" t="s">
        <v>275</v>
      </c>
      <c r="AD310" s="120">
        <v>25</v>
      </c>
      <c r="AE310" s="120">
        <v>20</v>
      </c>
      <c r="AF310" s="120">
        <v>25</v>
      </c>
      <c r="AG310" s="120">
        <v>120</v>
      </c>
      <c r="AH310" s="120">
        <v>100</v>
      </c>
      <c r="AI310" s="120">
        <v>125</v>
      </c>
      <c r="AJ310" s="120">
        <v>0</v>
      </c>
      <c r="AK310" s="120">
        <v>0</v>
      </c>
      <c r="AL310" s="120">
        <v>0</v>
      </c>
      <c r="AM310" s="120">
        <v>0</v>
      </c>
      <c r="AN310" s="120">
        <v>0</v>
      </c>
      <c r="AO310" s="120">
        <v>0</v>
      </c>
      <c r="AP310" s="120">
        <v>0</v>
      </c>
      <c r="AQ310" s="120">
        <v>0</v>
      </c>
      <c r="AR310" s="120">
        <v>0</v>
      </c>
      <c r="AS310" s="132">
        <f>IF(Prod[[#This Row],[S1Hrs]]=0,0,Prod[[#This Row],[S1Shot]]*Prod[[#This Row],[S1Cycle]]/(Prod[[#This Row],[S1Hrs]]*60*60))</f>
        <v>0.99542847222222219</v>
      </c>
      <c r="AT310" s="132">
        <f>IF(Prod[[#This Row],[S2Hrs]]=0,0,Prod[[#This Row],[S2Shot]]*Prod[[#This Row],[S2Cycle]]/(Prod[[#This Row],[S2Hrs]]*60*60))</f>
        <v>0.90687222222222219</v>
      </c>
      <c r="AU310" s="132">
        <f>IF(Prod[[#This Row],[S3Hrs]]=0,0,Prod[[#This Row],[S3Shot]]*Prod[[#This Row],[S3Cycle]]/(Prod[[#This Row],[S3Hrs]]*60*60))</f>
        <v>0.89604166666666663</v>
      </c>
      <c r="AV310" s="132">
        <f>IFERROR(AVERAGEIF(Prod[[#This Row],[S1%]:[S3%]], "&lt;&gt;0"),0)</f>
        <v>0.93278078703703704</v>
      </c>
      <c r="AW310" s="132">
        <v>1.5</v>
      </c>
      <c r="AX310" s="132">
        <v>0</v>
      </c>
      <c r="AY310" s="132">
        <v>0</v>
      </c>
      <c r="AZ310" s="175">
        <f>IF(Prod[[#This Row],[S1Cycle]]&lt;&gt;0,1,0)</f>
        <v>1</v>
      </c>
      <c r="BA310" s="175">
        <f>IF(Prod[[#This Row],[S2Cycle]]&lt;&gt;0,1,0)</f>
        <v>1</v>
      </c>
      <c r="BB310" s="175">
        <f>IF(Prod[[#This Row],[S3Cycle]]&lt;&gt;0,1,0)</f>
        <v>1</v>
      </c>
      <c r="BC310" s="175">
        <f>MAX(Prod[[#This Row],[S1Cavity]],Prod[[#This Row],[S2Cavity]],Prod[[#This Row],[S3Cavity]])</f>
        <v>8</v>
      </c>
      <c r="BD310" s="175" t="b">
        <f>RegExpMatch(Prod[[#This Row],[MoldNo]], "^DEO-(B|C)")</f>
        <v>1</v>
      </c>
      <c r="BE310" s="175" t="b">
        <f>RegExpMatch(Prod[[#This Row],[MoldNo]], "^JAC")</f>
        <v>0</v>
      </c>
    </row>
    <row r="311" spans="1:57" x14ac:dyDescent="0.2">
      <c r="A311" s="117">
        <v>45462</v>
      </c>
      <c r="B311" s="130" t="s">
        <v>176</v>
      </c>
      <c r="C311" s="131" t="s">
        <v>81</v>
      </c>
      <c r="D311" s="119">
        <v>27579</v>
      </c>
      <c r="E311" s="131" t="s">
        <v>199</v>
      </c>
      <c r="F311" s="119">
        <v>814</v>
      </c>
      <c r="G311" s="119" t="str">
        <f>IF(OR(Prod[[#This Row],[S1Hrs]]&gt;0,Prod[[#This Row],[S2Hrs]]&gt;0,Prod[[#This Row],[S3Hrs]]&gt;0),"Running","Down")</f>
        <v>Running</v>
      </c>
      <c r="H311" s="194">
        <v>21.88</v>
      </c>
      <c r="I311" s="185">
        <v>2.5</v>
      </c>
      <c r="J311" s="130">
        <v>364</v>
      </c>
      <c r="K311" s="130">
        <v>8</v>
      </c>
      <c r="L311" s="120">
        <f>Prod[[#This Row],[S1Shot]]*Prod[[#This Row],[S1Cavity]]-Prod[[#This Row],[S1Dft]]</f>
        <v>2857</v>
      </c>
      <c r="M311" s="136">
        <f>SUM(Prod[[#This Row],[S1Mold]],Prod[[#This Row],[S1Print]],Prod[[#This Row],[S1Ovlp]],Prod[[#This Row],[S1Seam]],Prod[[#This Row],[S1Dmg]])</f>
        <v>55</v>
      </c>
      <c r="N311" s="194">
        <v>21.79</v>
      </c>
      <c r="O311" s="185">
        <v>6</v>
      </c>
      <c r="P311" s="130">
        <v>958</v>
      </c>
      <c r="Q311" s="130">
        <v>8</v>
      </c>
      <c r="R311" s="120">
        <f>Prod[[#This Row],[S2Shot]]*Prod[[#This Row],[S2Cavity]]-Prod[[#This Row],[S2Dft]]</f>
        <v>7554</v>
      </c>
      <c r="S311" s="136">
        <f>SUM(Prod[[#This Row],[S2Mold]],Prod[[#This Row],[S2Print]],Prod[[#This Row],[S2Ovlp]],Prod[[#This Row],[S2Seam]],Prod[[#This Row],[S2Dmg]])</f>
        <v>110</v>
      </c>
      <c r="T311" s="194">
        <v>21.88</v>
      </c>
      <c r="U311" s="185">
        <v>8</v>
      </c>
      <c r="V311" s="130">
        <v>1223</v>
      </c>
      <c r="W311" s="130">
        <v>8</v>
      </c>
      <c r="X311" s="120">
        <f>Prod[[#This Row],[S3Shot]]*Prod[[#This Row],[S3Cavity]]-Prod[[#This Row],[S3Dft]]</f>
        <v>9644</v>
      </c>
      <c r="Y311" s="120">
        <f>SUM(Prod[[#This Row],[S3Mold]],Prod[[#This Row],[S3Print]],Prod[[#This Row],[S3Ovlp]],Prod[[#This Row],[S3Seam]],Prod[[#This Row],[S3Dmg]])</f>
        <v>140</v>
      </c>
      <c r="Z311" s="120">
        <f>SUM(Prod[[#This Row],[S1Qty]],Prod[[#This Row],[S2Qty]],Prod[[#This Row],[S3Qty]])</f>
        <v>20055</v>
      </c>
      <c r="AA311" s="120">
        <f>SUM(Prod[[#This Row],[S1Dft]],Prod[[#This Row],[S2Dft]],Prod[[#This Row],[S3Dft]])</f>
        <v>305</v>
      </c>
      <c r="AB311" s="121">
        <f>IF(Prod[[#This Row],[Total]]=0,0,Prod[[#This Row],[TotalDft]]/Prod[[#This Row],[Total]])</f>
        <v>1.5208177511842433E-2</v>
      </c>
      <c r="AC311" s="131" t="s">
        <v>281</v>
      </c>
      <c r="AD311" s="120">
        <v>5</v>
      </c>
      <c r="AE311" s="120">
        <v>10</v>
      </c>
      <c r="AF311" s="120">
        <v>20</v>
      </c>
      <c r="AG311" s="120">
        <v>50</v>
      </c>
      <c r="AH311" s="120">
        <v>100</v>
      </c>
      <c r="AI311" s="120">
        <v>120</v>
      </c>
      <c r="AJ311" s="120">
        <v>0</v>
      </c>
      <c r="AK311" s="120">
        <v>0</v>
      </c>
      <c r="AL311" s="120">
        <v>0</v>
      </c>
      <c r="AM311" s="120">
        <v>0</v>
      </c>
      <c r="AN311" s="120">
        <v>0</v>
      </c>
      <c r="AO311" s="120">
        <v>0</v>
      </c>
      <c r="AP311" s="120">
        <v>0</v>
      </c>
      <c r="AQ311" s="120">
        <v>0</v>
      </c>
      <c r="AR311" s="120">
        <v>0</v>
      </c>
      <c r="AS311" s="132">
        <f>IF(Prod[[#This Row],[S1Hrs]]=0,0,Prod[[#This Row],[S1Shot]]*Prod[[#This Row],[S1Cycle]]/(Prod[[#This Row],[S1Hrs]]*60*60))</f>
        <v>0.8849244444444444</v>
      </c>
      <c r="AT311" s="132">
        <f>IF(Prod[[#This Row],[S2Hrs]]=0,0,Prod[[#This Row],[S2Shot]]*Prod[[#This Row],[S2Cycle]]/(Prod[[#This Row],[S2Hrs]]*60*60))</f>
        <v>0.96642685185185184</v>
      </c>
      <c r="AU311" s="132">
        <f>IF(Prod[[#This Row],[S3Hrs]]=0,0,Prod[[#This Row],[S3Shot]]*Prod[[#This Row],[S3Cycle]]/(Prod[[#This Row],[S3Hrs]]*60*60))</f>
        <v>0.92914027777777775</v>
      </c>
      <c r="AV311" s="132">
        <f>IFERROR(AVERAGEIF(Prod[[#This Row],[S1%]:[S3%]], "&lt;&gt;0"),0)</f>
        <v>0.92683052469135807</v>
      </c>
      <c r="AW311" s="132">
        <v>1</v>
      </c>
      <c r="AX311" s="132">
        <v>0</v>
      </c>
      <c r="AY311" s="132">
        <v>0</v>
      </c>
      <c r="AZ311" s="175">
        <f>IF(Prod[[#This Row],[S1Cycle]]&lt;&gt;0,1,0)</f>
        <v>1</v>
      </c>
      <c r="BA311" s="175">
        <f>IF(Prod[[#This Row],[S2Cycle]]&lt;&gt;0,1,0)</f>
        <v>1</v>
      </c>
      <c r="BB311" s="175">
        <f>IF(Prod[[#This Row],[S3Cycle]]&lt;&gt;0,1,0)</f>
        <v>1</v>
      </c>
      <c r="BC311" s="175">
        <f>MAX(Prod[[#This Row],[S1Cavity]],Prod[[#This Row],[S2Cavity]],Prod[[#This Row],[S3Cavity]])</f>
        <v>8</v>
      </c>
      <c r="BD311" s="175" t="b">
        <f>RegExpMatch(Prod[[#This Row],[MoldNo]], "^DEO-(B|C)")</f>
        <v>1</v>
      </c>
      <c r="BE311" s="175" t="b">
        <f>RegExpMatch(Prod[[#This Row],[MoldNo]], "^JAC")</f>
        <v>0</v>
      </c>
    </row>
    <row r="312" spans="1:57" x14ac:dyDescent="0.2">
      <c r="A312" s="117">
        <v>45462</v>
      </c>
      <c r="B312" s="130" t="s">
        <v>253</v>
      </c>
      <c r="C312" s="131" t="s">
        <v>9</v>
      </c>
      <c r="D312" s="119">
        <v>27581</v>
      </c>
      <c r="E312" s="131" t="s">
        <v>199</v>
      </c>
      <c r="F312" s="119">
        <v>814</v>
      </c>
      <c r="G312" s="119" t="str">
        <f>IF(OR(Prod[[#This Row],[S1Hrs]]&gt;0,Prod[[#This Row],[S2Hrs]]&gt;0,Prod[[#This Row],[S3Hrs]]&gt;0),"Running","Down")</f>
        <v>Running</v>
      </c>
      <c r="H312" s="194">
        <v>15.17</v>
      </c>
      <c r="I312" s="185">
        <v>8</v>
      </c>
      <c r="J312" s="130">
        <v>1900</v>
      </c>
      <c r="K312" s="130">
        <v>8</v>
      </c>
      <c r="L312" s="120">
        <f>Prod[[#This Row],[S1Shot]]*Prod[[#This Row],[S1Cavity]]-Prod[[#This Row],[S1Dft]]</f>
        <v>15200</v>
      </c>
      <c r="M312" s="134"/>
      <c r="N312" s="194">
        <v>15.07</v>
      </c>
      <c r="O312" s="185">
        <v>6</v>
      </c>
      <c r="P312" s="130">
        <v>1392</v>
      </c>
      <c r="Q312" s="130">
        <v>8</v>
      </c>
      <c r="R312" s="120">
        <f>Prod[[#This Row],[S2Shot]]*Prod[[#This Row],[S2Cavity]]-Prod[[#This Row],[S2Dft]]</f>
        <v>11136</v>
      </c>
      <c r="S312" s="134"/>
      <c r="T312" s="194">
        <v>15.07</v>
      </c>
      <c r="U312" s="185">
        <v>8</v>
      </c>
      <c r="V312" s="130">
        <v>1778</v>
      </c>
      <c r="W312" s="130">
        <v>7</v>
      </c>
      <c r="X312" s="120">
        <f>Prod[[#This Row],[S3Shot]]*Prod[[#This Row],[S3Cavity]]-Prod[[#This Row],[S3Dft]]</f>
        <v>12446</v>
      </c>
      <c r="Y312" s="134"/>
      <c r="Z312" s="120">
        <f>SUM(Prod[[#This Row],[S1Qty]],Prod[[#This Row],[S2Qty]],Prod[[#This Row],[S3Qty]])</f>
        <v>38782</v>
      </c>
      <c r="AA312" s="134"/>
      <c r="AB312" s="135"/>
      <c r="AC312" s="118"/>
      <c r="AD312" s="134"/>
      <c r="AE312" s="134"/>
      <c r="AF312" s="134"/>
      <c r="AG312" s="134"/>
      <c r="AH312" s="134"/>
      <c r="AI312" s="134"/>
      <c r="AJ312" s="134"/>
      <c r="AK312" s="134"/>
      <c r="AL312" s="134"/>
      <c r="AM312" s="134"/>
      <c r="AN312" s="134"/>
      <c r="AO312" s="134"/>
      <c r="AP312" s="134"/>
      <c r="AQ312" s="134"/>
      <c r="AR312" s="134"/>
      <c r="AS312" s="132">
        <f>IF(Prod[[#This Row],[S1Hrs]]=0,0,Prod[[#This Row],[S1Shot]]*Prod[[#This Row],[S1Cycle]]/(Prod[[#This Row],[S1Hrs]]*60*60))</f>
        <v>1.0007986111111111</v>
      </c>
      <c r="AT312" s="132">
        <f>IF(Prod[[#This Row],[S2Hrs]]=0,0,Prod[[#This Row],[S2Shot]]*Prod[[#This Row],[S2Cycle]]/(Prod[[#This Row],[S2Hrs]]*60*60))</f>
        <v>0.9711777777777777</v>
      </c>
      <c r="AU312" s="132">
        <f>IF(Prod[[#This Row],[S3Hrs]]=0,0,Prod[[#This Row],[S3Shot]]*Prod[[#This Row],[S3Cycle]]/(Prod[[#This Row],[S3Hrs]]*60*60))</f>
        <v>0.93036319444444437</v>
      </c>
      <c r="AV312" s="132">
        <f>IFERROR(AVERAGEIF(Prod[[#This Row],[S1%]:[S3%]], "&lt;&gt;0"),0)</f>
        <v>0.96744652777777773</v>
      </c>
      <c r="AW312" s="132">
        <v>0</v>
      </c>
      <c r="AX312" s="132">
        <v>0</v>
      </c>
      <c r="AY312" s="132">
        <v>0</v>
      </c>
      <c r="AZ312" s="175">
        <f>IF(Prod[[#This Row],[S1Cycle]]&lt;&gt;0,1,0)</f>
        <v>1</v>
      </c>
      <c r="BA312" s="175">
        <f>IF(Prod[[#This Row],[S2Cycle]]&lt;&gt;0,1,0)</f>
        <v>1</v>
      </c>
      <c r="BB312" s="175">
        <f>IF(Prod[[#This Row],[S3Cycle]]&lt;&gt;0,1,0)</f>
        <v>1</v>
      </c>
      <c r="BC312" s="175">
        <f>MAX(Prod[[#This Row],[S1Cavity]],Prod[[#This Row],[S2Cavity]],Prod[[#This Row],[S3Cavity]])</f>
        <v>8</v>
      </c>
      <c r="BD312" s="175" t="b">
        <f>RegExpMatch(Prod[[#This Row],[MoldNo]], "^DEO-(B|C)")</f>
        <v>0</v>
      </c>
      <c r="BE312" s="175" t="b">
        <f>RegExpMatch(Prod[[#This Row],[MoldNo]], "^JAC")</f>
        <v>0</v>
      </c>
    </row>
    <row r="313" spans="1:57" x14ac:dyDescent="0.2">
      <c r="A313" s="117">
        <v>45462</v>
      </c>
      <c r="B313" s="130" t="s">
        <v>259</v>
      </c>
      <c r="C313" s="119" t="s">
        <v>145</v>
      </c>
      <c r="D313" s="119">
        <v>28121</v>
      </c>
      <c r="E313" s="131" t="s">
        <v>199</v>
      </c>
      <c r="F313" s="119">
        <v>814</v>
      </c>
      <c r="G313" s="119" t="str">
        <f>IF(OR(Prod[[#This Row],[S1Hrs]]&gt;0,Prod[[#This Row],[S2Hrs]]&gt;0,Prod[[#This Row],[S3Hrs]]&gt;0),"Running","Down")</f>
        <v>Running</v>
      </c>
      <c r="H313" s="194">
        <v>15.16</v>
      </c>
      <c r="I313" s="185">
        <v>8</v>
      </c>
      <c r="J313" s="130">
        <v>2013</v>
      </c>
      <c r="K313" s="130">
        <v>16</v>
      </c>
      <c r="L313" s="120">
        <f>Prod[[#This Row],[S1Shot]]*Prod[[#This Row],[S1Cavity]]-Prod[[#This Row],[S1Dft]]</f>
        <v>32208</v>
      </c>
      <c r="M313" s="134"/>
      <c r="N313" s="194">
        <v>15.16</v>
      </c>
      <c r="O313" s="185">
        <v>6</v>
      </c>
      <c r="P313" s="130">
        <v>691</v>
      </c>
      <c r="Q313" s="130">
        <v>16</v>
      </c>
      <c r="R313" s="120">
        <f>Prod[[#This Row],[S2Shot]]*Prod[[#This Row],[S2Cavity]]-Prod[[#This Row],[S2Dft]]</f>
        <v>11056</v>
      </c>
      <c r="S313" s="134"/>
      <c r="T313" s="194">
        <v>15.15</v>
      </c>
      <c r="U313" s="185">
        <v>8</v>
      </c>
      <c r="V313" s="130">
        <v>1660</v>
      </c>
      <c r="W313" s="130">
        <v>16</v>
      </c>
      <c r="X313" s="120">
        <f>Prod[[#This Row],[S3Shot]]*Prod[[#This Row],[S3Cavity]]-Prod[[#This Row],[S3Dft]]</f>
        <v>26560</v>
      </c>
      <c r="Y313" s="134"/>
      <c r="Z313" s="120">
        <f>SUM(Prod[[#This Row],[S1Qty]],Prod[[#This Row],[S2Qty]],Prod[[#This Row],[S3Qty]])</f>
        <v>69824</v>
      </c>
      <c r="AA313" s="134"/>
      <c r="AB313" s="135"/>
      <c r="AC313" s="118"/>
      <c r="AD313" s="134"/>
      <c r="AE313" s="134"/>
      <c r="AF313" s="134"/>
      <c r="AG313" s="134"/>
      <c r="AH313" s="134"/>
      <c r="AI313" s="134"/>
      <c r="AJ313" s="134"/>
      <c r="AK313" s="134"/>
      <c r="AL313" s="134"/>
      <c r="AM313" s="134"/>
      <c r="AN313" s="134"/>
      <c r="AO313" s="134"/>
      <c r="AP313" s="134"/>
      <c r="AQ313" s="134"/>
      <c r="AR313" s="134"/>
      <c r="AS313" s="132">
        <f>IF(Prod[[#This Row],[S1Hrs]]=0,0,Prod[[#This Row],[S1Shot]]*Prod[[#This Row],[S1Cycle]]/(Prod[[#This Row],[S1Hrs]]*60*60))</f>
        <v>1.0596208333333335</v>
      </c>
      <c r="AT313" s="132">
        <f>IF(Prod[[#This Row],[S2Hrs]]=0,0,Prod[[#This Row],[S2Shot]]*Prod[[#This Row],[S2Cycle]]/(Prod[[#This Row],[S2Hrs]]*60*60))</f>
        <v>0.48497962962962959</v>
      </c>
      <c r="AU313" s="132">
        <f>IF(Prod[[#This Row],[S3Hrs]]=0,0,Prod[[#This Row],[S3Shot]]*Prod[[#This Row],[S3Cycle]]/(Prod[[#This Row],[S3Hrs]]*60*60))</f>
        <v>0.87322916666666661</v>
      </c>
      <c r="AV313" s="132">
        <f>IFERROR(AVERAGEIF(Prod[[#This Row],[S1%]:[S3%]], "&lt;&gt;0"),0)</f>
        <v>0.80594320987654322</v>
      </c>
      <c r="AW313" s="132">
        <v>0</v>
      </c>
      <c r="AX313" s="132">
        <v>0</v>
      </c>
      <c r="AY313" s="132">
        <v>0</v>
      </c>
      <c r="AZ313" s="175">
        <f>IF(Prod[[#This Row],[S1Cycle]]&lt;&gt;0,1,0)</f>
        <v>1</v>
      </c>
      <c r="BA313" s="175">
        <f>IF(Prod[[#This Row],[S2Cycle]]&lt;&gt;0,1,0)</f>
        <v>1</v>
      </c>
      <c r="BB313" s="175">
        <f>IF(Prod[[#This Row],[S3Cycle]]&lt;&gt;0,1,0)</f>
        <v>1</v>
      </c>
      <c r="BC313" s="175">
        <f>MAX(Prod[[#This Row],[S1Cavity]],Prod[[#This Row],[S2Cavity]],Prod[[#This Row],[S3Cavity]])</f>
        <v>16</v>
      </c>
      <c r="BD313" s="175" t="b">
        <f>RegExpMatch(Prod[[#This Row],[MoldNo]], "^DEO-(B|C)")</f>
        <v>0</v>
      </c>
      <c r="BE313" s="175" t="b">
        <f>RegExpMatch(Prod[[#This Row],[MoldNo]], "^JAC")</f>
        <v>0</v>
      </c>
    </row>
    <row r="314" spans="1:57" x14ac:dyDescent="0.2">
      <c r="A314" s="117">
        <v>45463</v>
      </c>
      <c r="B314" s="120" t="s">
        <v>190</v>
      </c>
      <c r="C314" s="119" t="s">
        <v>153</v>
      </c>
      <c r="D314" s="119">
        <v>27422</v>
      </c>
      <c r="E314" s="131" t="s">
        <v>199</v>
      </c>
      <c r="F314" s="119">
        <v>6331</v>
      </c>
      <c r="G314" s="119" t="str">
        <f>IF(OR(Prod[[#This Row],[S1Hrs]]&gt;0,Prod[[#This Row],[S2Hrs]]&gt;0,Prod[[#This Row],[S3Hrs]]&gt;0),"Running","Down")</f>
        <v>Running</v>
      </c>
      <c r="H314" s="187">
        <v>22.6</v>
      </c>
      <c r="I314" s="141">
        <v>8</v>
      </c>
      <c r="J314" s="120">
        <v>1053</v>
      </c>
      <c r="K314" s="130">
        <v>4</v>
      </c>
      <c r="L314" s="120">
        <f>Prod[[#This Row],[S1Shot]]*Prod[[#This Row],[S1Cavity]]-Prod[[#This Row],[S1Dft]]</f>
        <v>4207</v>
      </c>
      <c r="M314" s="136">
        <f>SUM(Prod[[#This Row],[S1Mold]],Prod[[#This Row],[S1Print]],Prod[[#This Row],[S1Ovlp]],Prod[[#This Row],[S1Seam]],Prod[[#This Row],[S1Dmg]])</f>
        <v>5</v>
      </c>
      <c r="N314" s="187">
        <v>22.65</v>
      </c>
      <c r="O314" s="141">
        <v>5.5</v>
      </c>
      <c r="P314" s="120">
        <v>939</v>
      </c>
      <c r="Q314" s="130">
        <v>4</v>
      </c>
      <c r="R314" s="120">
        <f>Prod[[#This Row],[S2Shot]]*Prod[[#This Row],[S2Cavity]]-Prod[[#This Row],[S2Dft]]</f>
        <v>3750</v>
      </c>
      <c r="S314" s="136">
        <f>SUM(Prod[[#This Row],[S2Mold]],Prod[[#This Row],[S2Print]],Prod[[#This Row],[S2Ovlp]],Prod[[#This Row],[S2Seam]],Prod[[#This Row],[S2Dmg]])</f>
        <v>6</v>
      </c>
      <c r="T314" s="187">
        <v>22.66</v>
      </c>
      <c r="U314" s="141">
        <v>8</v>
      </c>
      <c r="V314" s="120">
        <v>1115</v>
      </c>
      <c r="W314" s="130">
        <v>4</v>
      </c>
      <c r="X314" s="120">
        <f>Prod[[#This Row],[S3Shot]]*Prod[[#This Row],[S3Cavity]]-Prod[[#This Row],[S3Dft]]</f>
        <v>4453</v>
      </c>
      <c r="Y314" s="120">
        <f>SUM(Prod[[#This Row],[S3Mold]],Prod[[#This Row],[S3Print]],Prod[[#This Row],[S3Ovlp]],Prod[[#This Row],[S3Seam]],Prod[[#This Row],[S3Dmg]])</f>
        <v>7</v>
      </c>
      <c r="Z314" s="120">
        <f>SUM(Prod[[#This Row],[S1Qty]],Prod[[#This Row],[S2Qty]],Prod[[#This Row],[S3Qty]])</f>
        <v>12410</v>
      </c>
      <c r="AA314" s="120">
        <f>SUM(Prod[[#This Row],[S1Dft]],Prod[[#This Row],[S2Dft]],Prod[[#This Row],[S3Dft]])</f>
        <v>18</v>
      </c>
      <c r="AB314" s="121">
        <f>IF(Prod[[#This Row],[Total]]=0,0,Prod[[#This Row],[TotalDft]]/Prod[[#This Row],[Total]])</f>
        <v>1.4504431909750201E-3</v>
      </c>
      <c r="AC314" s="118"/>
      <c r="AD314" s="120">
        <v>5</v>
      </c>
      <c r="AE314" s="120">
        <v>6</v>
      </c>
      <c r="AF314" s="120">
        <v>7</v>
      </c>
      <c r="AG314" s="120">
        <v>0</v>
      </c>
      <c r="AH314" s="120">
        <v>0</v>
      </c>
      <c r="AI314" s="120">
        <v>0</v>
      </c>
      <c r="AJ314" s="120">
        <v>0</v>
      </c>
      <c r="AK314" s="120">
        <v>0</v>
      </c>
      <c r="AL314" s="120">
        <v>0</v>
      </c>
      <c r="AM314" s="120">
        <v>0</v>
      </c>
      <c r="AN314" s="120">
        <v>0</v>
      </c>
      <c r="AO314" s="120">
        <v>0</v>
      </c>
      <c r="AP314" s="120">
        <v>0</v>
      </c>
      <c r="AQ314" s="120">
        <v>0</v>
      </c>
      <c r="AR314" s="120">
        <v>0</v>
      </c>
      <c r="AS314" s="132">
        <f>IF(Prod[[#This Row],[S1Hrs]]=0,0,Prod[[#This Row],[S1Shot]]*Prod[[#This Row],[S1Cycle]]/(Prod[[#This Row],[S1Hrs]]*60*60))</f>
        <v>0.82631250000000012</v>
      </c>
      <c r="AT314" s="132">
        <f>IF(Prod[[#This Row],[S2Hrs]]=0,0,Prod[[#This Row],[S2Shot]]*Prod[[#This Row],[S2Cycle]]/(Prod[[#This Row],[S2Hrs]]*60*60))</f>
        <v>1.0741590909090908</v>
      </c>
      <c r="AU314" s="132">
        <f>IF(Prod[[#This Row],[S3Hrs]]=0,0,Prod[[#This Row],[S3Shot]]*Prod[[#This Row],[S3Cycle]]/(Prod[[#This Row],[S3Hrs]]*60*60))</f>
        <v>0.8772881944444445</v>
      </c>
      <c r="AV314" s="132">
        <f>IFERROR(AVERAGEIF(Prod[[#This Row],[S1%]:[S3%]], "&lt;&gt;0"),0)</f>
        <v>0.92591992845117854</v>
      </c>
      <c r="AW314" s="132">
        <v>0</v>
      </c>
      <c r="AX314" s="132">
        <v>0</v>
      </c>
      <c r="AY314" s="132">
        <v>0</v>
      </c>
      <c r="AZ314" s="175">
        <f>IF(Prod[[#This Row],[S1Cycle]]&lt;&gt;0,1,0)</f>
        <v>1</v>
      </c>
      <c r="BA314" s="175">
        <f>IF(Prod[[#This Row],[S2Cycle]]&lt;&gt;0,1,0)</f>
        <v>1</v>
      </c>
      <c r="BB314" s="175">
        <f>IF(Prod[[#This Row],[S3Cycle]]&lt;&gt;0,1,0)</f>
        <v>1</v>
      </c>
      <c r="BC314" s="175">
        <f>MAX(Prod[[#This Row],[S1Cavity]],Prod[[#This Row],[S2Cavity]],Prod[[#This Row],[S3Cavity]])</f>
        <v>4</v>
      </c>
      <c r="BD314" s="175" t="b">
        <f>RegExpMatch(Prod[[#This Row],[MoldNo]], "^DEO-(B|C)")</f>
        <v>0</v>
      </c>
      <c r="BE314" s="175" t="b">
        <f>RegExpMatch(Prod[[#This Row],[MoldNo]], "^JAC")</f>
        <v>1</v>
      </c>
    </row>
    <row r="315" spans="1:57" x14ac:dyDescent="0.2">
      <c r="A315" s="117">
        <v>45463</v>
      </c>
      <c r="B315" s="130" t="s">
        <v>6</v>
      </c>
      <c r="C315" s="131" t="s">
        <v>8</v>
      </c>
      <c r="D315" s="119">
        <v>28210</v>
      </c>
      <c r="E315" s="131" t="s">
        <v>199</v>
      </c>
      <c r="F315" s="119">
        <v>6331</v>
      </c>
      <c r="G315" s="119" t="str">
        <f>IF(OR(Prod[[#This Row],[S1Hrs]]&gt;0,Prod[[#This Row],[S2Hrs]]&gt;0,Prod[[#This Row],[S3Hrs]]&gt;0),"Running","Down")</f>
        <v>Running</v>
      </c>
      <c r="H315" s="187">
        <v>0</v>
      </c>
      <c r="I315" s="141">
        <v>0</v>
      </c>
      <c r="J315" s="120">
        <v>0</v>
      </c>
      <c r="K315" s="130">
        <v>0</v>
      </c>
      <c r="L315" s="120">
        <f>Prod[[#This Row],[S1Shot]]*Prod[[#This Row],[S1Cavity]]-Prod[[#This Row],[S1Dft]]</f>
        <v>0</v>
      </c>
      <c r="M315" s="136">
        <f>SUM(Prod[[#This Row],[S1Mold]],Prod[[#This Row],[S1Print]],Prod[[#This Row],[S1Ovlp]],Prod[[#This Row],[S1Seam]],Prod[[#This Row],[S1Dmg]])</f>
        <v>0</v>
      </c>
      <c r="N315" s="187">
        <v>22.21</v>
      </c>
      <c r="O315" s="141">
        <v>1.5</v>
      </c>
      <c r="P315" s="120">
        <v>243</v>
      </c>
      <c r="Q315" s="130">
        <v>8</v>
      </c>
      <c r="R315" s="120">
        <f>Prod[[#This Row],[S2Shot]]*Prod[[#This Row],[S2Cavity]]-Prod[[#This Row],[S2Dft]]</f>
        <v>1924</v>
      </c>
      <c r="S315" s="136">
        <f>SUM(Prod[[#This Row],[S2Mold]],Prod[[#This Row],[S2Print]],Prod[[#This Row],[S2Ovlp]],Prod[[#This Row],[S2Seam]],Prod[[#This Row],[S2Dmg]])</f>
        <v>20</v>
      </c>
      <c r="T315" s="187">
        <v>22.19</v>
      </c>
      <c r="U315" s="141">
        <v>5</v>
      </c>
      <c r="V315" s="120">
        <v>666</v>
      </c>
      <c r="W315" s="130">
        <v>8</v>
      </c>
      <c r="X315" s="120">
        <f>Prod[[#This Row],[S3Shot]]*Prod[[#This Row],[S3Cavity]]-Prod[[#This Row],[S3Dft]]</f>
        <v>5263</v>
      </c>
      <c r="Y315" s="120">
        <f>SUM(Prod[[#This Row],[S3Mold]],Prod[[#This Row],[S3Print]],Prod[[#This Row],[S3Ovlp]],Prod[[#This Row],[S3Seam]],Prod[[#This Row],[S3Dmg]])</f>
        <v>65</v>
      </c>
      <c r="Z315" s="120">
        <f>SUM(Prod[[#This Row],[S1Qty]],Prod[[#This Row],[S2Qty]],Prod[[#This Row],[S3Qty]])</f>
        <v>7187</v>
      </c>
      <c r="AA315" s="120">
        <f>SUM(Prod[[#This Row],[S1Dft]],Prod[[#This Row],[S2Dft]],Prod[[#This Row],[S3Dft]])</f>
        <v>85</v>
      </c>
      <c r="AB315" s="121">
        <f>IF(Prod[[#This Row],[Total]]=0,0,Prod[[#This Row],[TotalDft]]/Prod[[#This Row],[Total]])</f>
        <v>1.1826909698065952E-2</v>
      </c>
      <c r="AC315" s="131" t="s">
        <v>284</v>
      </c>
      <c r="AD315" s="120">
        <v>0</v>
      </c>
      <c r="AE315" s="120">
        <v>5</v>
      </c>
      <c r="AF315" s="120">
        <v>15</v>
      </c>
      <c r="AG315" s="120">
        <v>0</v>
      </c>
      <c r="AH315" s="120">
        <v>15</v>
      </c>
      <c r="AI315" s="120">
        <v>50</v>
      </c>
      <c r="AJ315" s="120">
        <v>0</v>
      </c>
      <c r="AK315" s="120">
        <v>0</v>
      </c>
      <c r="AL315" s="120">
        <v>0</v>
      </c>
      <c r="AM315" s="120">
        <v>0</v>
      </c>
      <c r="AN315" s="120">
        <v>0</v>
      </c>
      <c r="AO315" s="120">
        <v>0</v>
      </c>
      <c r="AP315" s="120">
        <v>0</v>
      </c>
      <c r="AQ315" s="120">
        <v>0</v>
      </c>
      <c r="AR315" s="120">
        <v>0</v>
      </c>
      <c r="AS315" s="132">
        <f>IF(Prod[[#This Row],[S1Hrs]]=0,0,Prod[[#This Row],[S1Shot]]*Prod[[#This Row],[S1Cycle]]/(Prod[[#This Row],[S1Hrs]]*60*60))</f>
        <v>0</v>
      </c>
      <c r="AT315" s="132">
        <f>IF(Prod[[#This Row],[S2Hrs]]=0,0,Prod[[#This Row],[S2Shot]]*Prod[[#This Row],[S2Cycle]]/(Prod[[#This Row],[S2Hrs]]*60*60))</f>
        <v>0.99945000000000017</v>
      </c>
      <c r="AU315" s="132">
        <f>IF(Prod[[#This Row],[S3Hrs]]=0,0,Prod[[#This Row],[S3Shot]]*Prod[[#This Row],[S3Cycle]]/(Prod[[#This Row],[S3Hrs]]*60*60))</f>
        <v>0.82103000000000004</v>
      </c>
      <c r="AV315" s="132">
        <f>IFERROR(AVERAGEIF(Prod[[#This Row],[S1%]:[S3%]], "&lt;&gt;0"),0)</f>
        <v>0.91024000000000016</v>
      </c>
      <c r="AW315" s="132">
        <v>0</v>
      </c>
      <c r="AX315" s="132">
        <v>0</v>
      </c>
      <c r="AY315" s="132">
        <v>0</v>
      </c>
      <c r="AZ315" s="175">
        <f>IF(Prod[[#This Row],[S1Cycle]]&lt;&gt;0,1,0)</f>
        <v>0</v>
      </c>
      <c r="BA315" s="175">
        <f>IF(Prod[[#This Row],[S2Cycle]]&lt;&gt;0,1,0)</f>
        <v>1</v>
      </c>
      <c r="BB315" s="175">
        <f>IF(Prod[[#This Row],[S3Cycle]]&lt;&gt;0,1,0)</f>
        <v>1</v>
      </c>
      <c r="BC315" s="175">
        <f>MAX(Prod[[#This Row],[S1Cavity]],Prod[[#This Row],[S2Cavity]],Prod[[#This Row],[S3Cavity]])</f>
        <v>8</v>
      </c>
      <c r="BD315" s="175" t="b">
        <f>RegExpMatch(Prod[[#This Row],[MoldNo]], "^DEO-(B|C)")</f>
        <v>1</v>
      </c>
      <c r="BE315" s="175" t="b">
        <f>RegExpMatch(Prod[[#This Row],[MoldNo]], "^JAC")</f>
        <v>0</v>
      </c>
    </row>
    <row r="316" spans="1:57" x14ac:dyDescent="0.2">
      <c r="A316" s="117">
        <v>45463</v>
      </c>
      <c r="B316" s="120" t="s">
        <v>7</v>
      </c>
      <c r="C316" s="119" t="s">
        <v>172</v>
      </c>
      <c r="D316" s="119">
        <v>27897</v>
      </c>
      <c r="E316" s="131" t="s">
        <v>279</v>
      </c>
      <c r="F316" s="119">
        <v>6331</v>
      </c>
      <c r="G316" s="119" t="str">
        <f>IF(OR(Prod[[#This Row],[S1Hrs]]&gt;0,Prod[[#This Row],[S2Hrs]]&gt;0,Prod[[#This Row],[S3Hrs]]&gt;0),"Running","Down")</f>
        <v>Running</v>
      </c>
      <c r="H316" s="187">
        <v>20.8</v>
      </c>
      <c r="I316" s="141">
        <v>8</v>
      </c>
      <c r="J316" s="120">
        <v>1362</v>
      </c>
      <c r="K316" s="130">
        <v>8</v>
      </c>
      <c r="L316" s="120">
        <f>Prod[[#This Row],[S1Shot]]*Prod[[#This Row],[S1Cavity]]-Prod[[#This Row],[S1Dft]]</f>
        <v>10776</v>
      </c>
      <c r="M316" s="136">
        <f>SUM(Prod[[#This Row],[S1Mold]],Prod[[#This Row],[S1Print]],Prod[[#This Row],[S1Ovlp]],Prod[[#This Row],[S1Seam]],Prod[[#This Row],[S1Dmg]])</f>
        <v>120</v>
      </c>
      <c r="N316" s="187">
        <v>20.75</v>
      </c>
      <c r="O316" s="141">
        <v>1</v>
      </c>
      <c r="P316" s="120">
        <v>173</v>
      </c>
      <c r="Q316" s="130">
        <v>8</v>
      </c>
      <c r="R316" s="120">
        <f>Prod[[#This Row],[S2Shot]]*Prod[[#This Row],[S2Cavity]]-Prod[[#This Row],[S2Dft]]</f>
        <v>1369</v>
      </c>
      <c r="S316" s="136">
        <f>SUM(Prod[[#This Row],[S2Mold]],Prod[[#This Row],[S2Print]],Prod[[#This Row],[S2Ovlp]],Prod[[#This Row],[S2Seam]],Prod[[#This Row],[S2Dmg]])</f>
        <v>15</v>
      </c>
      <c r="T316" s="187">
        <v>0</v>
      </c>
      <c r="U316" s="141">
        <v>0</v>
      </c>
      <c r="V316" s="120">
        <v>0</v>
      </c>
      <c r="W316" s="130">
        <v>0</v>
      </c>
      <c r="X316" s="120">
        <f>Prod[[#This Row],[S3Shot]]*Prod[[#This Row],[S3Cavity]]-Prod[[#This Row],[S3Dft]]</f>
        <v>0</v>
      </c>
      <c r="Y316" s="120">
        <f>SUM(Prod[[#This Row],[S3Mold]],Prod[[#This Row],[S3Print]],Prod[[#This Row],[S3Ovlp]],Prod[[#This Row],[S3Seam]],Prod[[#This Row],[S3Dmg]])</f>
        <v>0</v>
      </c>
      <c r="Z316" s="120">
        <f>SUM(Prod[[#This Row],[S1Qty]],Prod[[#This Row],[S2Qty]],Prod[[#This Row],[S3Qty]])</f>
        <v>12145</v>
      </c>
      <c r="AA316" s="120">
        <f>SUM(Prod[[#This Row],[S1Dft]],Prod[[#This Row],[S2Dft]],Prod[[#This Row],[S3Dft]])</f>
        <v>135</v>
      </c>
      <c r="AB316" s="121">
        <f>IF(Prod[[#This Row],[Total]]=0,0,Prod[[#This Row],[TotalDft]]/Prod[[#This Row],[Total]])</f>
        <v>1.1115685467270481E-2</v>
      </c>
      <c r="AC316" s="131" t="s">
        <v>286</v>
      </c>
      <c r="AD316" s="120">
        <v>20</v>
      </c>
      <c r="AE316" s="120">
        <v>5</v>
      </c>
      <c r="AF316" s="120">
        <v>0</v>
      </c>
      <c r="AG316" s="120">
        <v>100</v>
      </c>
      <c r="AH316" s="120">
        <v>10</v>
      </c>
      <c r="AI316" s="120">
        <v>0</v>
      </c>
      <c r="AJ316" s="120">
        <v>0</v>
      </c>
      <c r="AK316" s="120">
        <v>0</v>
      </c>
      <c r="AL316" s="120">
        <v>0</v>
      </c>
      <c r="AM316" s="120">
        <v>0</v>
      </c>
      <c r="AN316" s="120">
        <v>0</v>
      </c>
      <c r="AO316" s="120">
        <v>0</v>
      </c>
      <c r="AP316" s="120">
        <v>0</v>
      </c>
      <c r="AQ316" s="120">
        <v>0</v>
      </c>
      <c r="AR316" s="120">
        <v>0</v>
      </c>
      <c r="AS316" s="132">
        <f>IF(Prod[[#This Row],[S1Hrs]]=0,0,Prod[[#This Row],[S1Shot]]*Prod[[#This Row],[S1Cycle]]/(Prod[[#This Row],[S1Hrs]]*60*60))</f>
        <v>0.98366666666666669</v>
      </c>
      <c r="AT316" s="132">
        <f>IF(Prod[[#This Row],[S2Hrs]]=0,0,Prod[[#This Row],[S2Shot]]*Prod[[#This Row],[S2Cycle]]/(Prod[[#This Row],[S2Hrs]]*60*60))</f>
        <v>0.99715277777777778</v>
      </c>
      <c r="AU316" s="132">
        <f>IF(Prod[[#This Row],[S3Hrs]]=0,0,Prod[[#This Row],[S3Shot]]*Prod[[#This Row],[S3Cycle]]/(Prod[[#This Row],[S3Hrs]]*60*60))</f>
        <v>0</v>
      </c>
      <c r="AV316" s="132">
        <f>IFERROR(AVERAGEIF(Prod[[#This Row],[S1%]:[S3%]], "&lt;&gt;0"),0)</f>
        <v>0.99040972222222223</v>
      </c>
      <c r="AW316" s="132">
        <v>2</v>
      </c>
      <c r="AX316" s="132">
        <v>0</v>
      </c>
      <c r="AY316" s="132">
        <v>0</v>
      </c>
      <c r="AZ316" s="175">
        <f>IF(Prod[[#This Row],[S1Cycle]]&lt;&gt;0,1,0)</f>
        <v>1</v>
      </c>
      <c r="BA316" s="175">
        <f>IF(Prod[[#This Row],[S2Cycle]]&lt;&gt;0,1,0)</f>
        <v>1</v>
      </c>
      <c r="BB316" s="175">
        <f>IF(Prod[[#This Row],[S3Cycle]]&lt;&gt;0,1,0)</f>
        <v>0</v>
      </c>
      <c r="BC316" s="175">
        <f>MAX(Prod[[#This Row],[S1Cavity]],Prod[[#This Row],[S2Cavity]],Prod[[#This Row],[S3Cavity]])</f>
        <v>8</v>
      </c>
      <c r="BD316" s="175" t="b">
        <f>RegExpMatch(Prod[[#This Row],[MoldNo]], "^DEO-(B|C)")</f>
        <v>1</v>
      </c>
      <c r="BE316" s="175" t="b">
        <f>RegExpMatch(Prod[[#This Row],[MoldNo]], "^JAC")</f>
        <v>0</v>
      </c>
    </row>
    <row r="317" spans="1:57" x14ac:dyDescent="0.2">
      <c r="A317" s="117">
        <v>45463</v>
      </c>
      <c r="B317" s="120" t="s">
        <v>7</v>
      </c>
      <c r="C317" s="119" t="s">
        <v>172</v>
      </c>
      <c r="D317" s="119">
        <v>28210</v>
      </c>
      <c r="E317" s="131" t="s">
        <v>199</v>
      </c>
      <c r="F317" s="119">
        <v>6331</v>
      </c>
      <c r="G317" s="119" t="str">
        <f>IF(OR(Prod[[#This Row],[S1Hrs]]&gt;0,Prod[[#This Row],[S2Hrs]]&gt;0,Prod[[#This Row],[S3Hrs]]&gt;0),"Running","Down")</f>
        <v>Running</v>
      </c>
      <c r="H317" s="187">
        <v>0</v>
      </c>
      <c r="I317" s="141">
        <v>0</v>
      </c>
      <c r="J317" s="120">
        <v>0</v>
      </c>
      <c r="K317" s="130">
        <v>0</v>
      </c>
      <c r="L317" s="120">
        <f>Prod[[#This Row],[S1Shot]]*Prod[[#This Row],[S1Cavity]]-Prod[[#This Row],[S1Dft]]</f>
        <v>0</v>
      </c>
      <c r="M317" s="136">
        <f>SUM(Prod[[#This Row],[S1Mold]],Prod[[#This Row],[S1Print]],Prod[[#This Row],[S1Ovlp]],Prod[[#This Row],[S1Seam]],Prod[[#This Row],[S1Dmg]])</f>
        <v>0</v>
      </c>
      <c r="N317" s="187">
        <v>0</v>
      </c>
      <c r="O317" s="141">
        <v>0</v>
      </c>
      <c r="P317" s="120">
        <v>0</v>
      </c>
      <c r="Q317" s="130">
        <v>0</v>
      </c>
      <c r="R317" s="120">
        <f>Prod[[#This Row],[S2Shot]]*Prod[[#This Row],[S2Cavity]]-Prod[[#This Row],[S2Dft]]</f>
        <v>0</v>
      </c>
      <c r="S317" s="136">
        <f>SUM(Prod[[#This Row],[S2Mold]],Prod[[#This Row],[S2Print]],Prod[[#This Row],[S2Ovlp]],Prod[[#This Row],[S2Seam]],Prod[[#This Row],[S2Dmg]])</f>
        <v>0</v>
      </c>
      <c r="T317" s="187">
        <v>20.8</v>
      </c>
      <c r="U317" s="141">
        <v>8</v>
      </c>
      <c r="V317" s="120">
        <v>1424</v>
      </c>
      <c r="W317" s="130">
        <v>8</v>
      </c>
      <c r="X317" s="120">
        <f>Prod[[#This Row],[S3Shot]]*Prod[[#This Row],[S3Cavity]]-Prod[[#This Row],[S3Dft]]</f>
        <v>11392</v>
      </c>
      <c r="Y317" s="120">
        <f>SUM(Prod[[#This Row],[S3Mold]],Prod[[#This Row],[S3Print]],Prod[[#This Row],[S3Ovlp]],Prod[[#This Row],[S3Seam]],Prod[[#This Row],[S3Dmg]])</f>
        <v>0</v>
      </c>
      <c r="Z317" s="120">
        <f>SUM(Prod[[#This Row],[S1Qty]],Prod[[#This Row],[S2Qty]],Prod[[#This Row],[S3Qty]])</f>
        <v>11392</v>
      </c>
      <c r="AA317" s="120">
        <f>SUM(Prod[[#This Row],[S1Dft]],Prod[[#This Row],[S2Dft]],Prod[[#This Row],[S3Dft]])</f>
        <v>0</v>
      </c>
      <c r="AB317" s="121">
        <f>IF(Prod[[#This Row],[Total]]=0,0,Prod[[#This Row],[TotalDft]]/Prod[[#This Row],[Total]])</f>
        <v>0</v>
      </c>
      <c r="AC317" s="131"/>
      <c r="AD317" s="120">
        <v>0</v>
      </c>
      <c r="AE317" s="120">
        <v>0</v>
      </c>
      <c r="AF317" s="120">
        <v>0</v>
      </c>
      <c r="AG317" s="120">
        <v>0</v>
      </c>
      <c r="AH317" s="120">
        <v>0</v>
      </c>
      <c r="AI317" s="120">
        <v>0</v>
      </c>
      <c r="AJ317" s="120">
        <v>0</v>
      </c>
      <c r="AK317" s="120">
        <v>0</v>
      </c>
      <c r="AL317" s="120">
        <v>0</v>
      </c>
      <c r="AM317" s="120">
        <v>0</v>
      </c>
      <c r="AN317" s="120">
        <v>0</v>
      </c>
      <c r="AO317" s="120">
        <v>0</v>
      </c>
      <c r="AP317" s="120">
        <v>0</v>
      </c>
      <c r="AQ317" s="120">
        <v>0</v>
      </c>
      <c r="AR317" s="120">
        <v>0</v>
      </c>
      <c r="AS317" s="132">
        <f>IF(Prod[[#This Row],[S1Hrs]]=0,0,Prod[[#This Row],[S1Shot]]*Prod[[#This Row],[S1Cycle]]/(Prod[[#This Row],[S1Hrs]]*60*60))</f>
        <v>0</v>
      </c>
      <c r="AT317" s="132">
        <f>IF(Prod[[#This Row],[S2Hrs]]=0,0,Prod[[#This Row],[S2Shot]]*Prod[[#This Row],[S2Cycle]]/(Prod[[#This Row],[S2Hrs]]*60*60))</f>
        <v>0</v>
      </c>
      <c r="AU317" s="132">
        <f>IF(Prod[[#This Row],[S3Hrs]]=0,0,Prod[[#This Row],[S3Shot]]*Prod[[#This Row],[S3Cycle]]/(Prod[[#This Row],[S3Hrs]]*60*60))</f>
        <v>1.0284444444444445</v>
      </c>
      <c r="AV317" s="132">
        <f>IFERROR(AVERAGEIF(Prod[[#This Row],[S1%]:[S3%]], "&lt;&gt;0"),0)</f>
        <v>1.0284444444444445</v>
      </c>
      <c r="AW317" s="132">
        <v>0</v>
      </c>
      <c r="AX317" s="132">
        <v>0</v>
      </c>
      <c r="AY317" s="132">
        <v>0</v>
      </c>
      <c r="AZ317" s="175">
        <f>IF(Prod[[#This Row],[S1Cycle]]&lt;&gt;0,1,0)</f>
        <v>0</v>
      </c>
      <c r="BA317" s="175">
        <f>IF(Prod[[#This Row],[S2Cycle]]&lt;&gt;0,1,0)</f>
        <v>0</v>
      </c>
      <c r="BB317" s="175">
        <f>IF(Prod[[#This Row],[S3Cycle]]&lt;&gt;0,1,0)</f>
        <v>1</v>
      </c>
      <c r="BC317" s="175">
        <f>MAX(Prod[[#This Row],[S1Cavity]],Prod[[#This Row],[S2Cavity]],Prod[[#This Row],[S3Cavity]])</f>
        <v>8</v>
      </c>
      <c r="BD317" s="175" t="b">
        <f>RegExpMatch(Prod[[#This Row],[MoldNo]], "^DEO-(B|C)")</f>
        <v>1</v>
      </c>
      <c r="BE317" s="175" t="b">
        <f>RegExpMatch(Prod[[#This Row],[MoldNo]], "^JAC")</f>
        <v>0</v>
      </c>
    </row>
    <row r="318" spans="1:57" x14ac:dyDescent="0.2">
      <c r="A318" s="117">
        <v>45463</v>
      </c>
      <c r="B318" s="120" t="s">
        <v>85</v>
      </c>
      <c r="C318" s="119" t="s">
        <v>165</v>
      </c>
      <c r="D318" s="119"/>
      <c r="E318" s="131"/>
      <c r="F318" s="119"/>
      <c r="G318" s="119" t="str">
        <f>IF(OR(Prod[[#This Row],[S1Hrs]]&gt;0,Prod[[#This Row],[S2Hrs]]&gt;0,Prod[[#This Row],[S3Hrs]]&gt;0),"Running","Down")</f>
        <v>Down</v>
      </c>
      <c r="H318" s="187">
        <v>0</v>
      </c>
      <c r="I318" s="141">
        <v>0</v>
      </c>
      <c r="J318" s="120">
        <v>0</v>
      </c>
      <c r="K318" s="130">
        <v>0</v>
      </c>
      <c r="L318" s="120">
        <f>Prod[[#This Row],[S1Shot]]*Prod[[#This Row],[S1Cavity]]-Prod[[#This Row],[S1Dft]]</f>
        <v>0</v>
      </c>
      <c r="M318" s="134"/>
      <c r="N318" s="187">
        <v>0</v>
      </c>
      <c r="O318" s="141">
        <v>0</v>
      </c>
      <c r="P318" s="120">
        <v>0</v>
      </c>
      <c r="Q318" s="130">
        <v>0</v>
      </c>
      <c r="R318" s="120">
        <f>Prod[[#This Row],[S2Shot]]*Prod[[#This Row],[S2Cavity]]-Prod[[#This Row],[S2Dft]]</f>
        <v>0</v>
      </c>
      <c r="S318" s="134"/>
      <c r="T318" s="187">
        <v>0</v>
      </c>
      <c r="U318" s="141">
        <v>0</v>
      </c>
      <c r="V318" s="120">
        <v>0</v>
      </c>
      <c r="W318" s="130">
        <v>0</v>
      </c>
      <c r="X318" s="120">
        <f>Prod[[#This Row],[S3Shot]]*Prod[[#This Row],[S3Cavity]]-Prod[[#This Row],[S3Dft]]</f>
        <v>0</v>
      </c>
      <c r="Y318" s="134"/>
      <c r="Z318" s="120">
        <f>SUM(Prod[[#This Row],[S1Qty]],Prod[[#This Row],[S2Qty]],Prod[[#This Row],[S3Qty]])</f>
        <v>0</v>
      </c>
      <c r="AA318" s="134"/>
      <c r="AB318" s="135"/>
      <c r="AC318" s="118"/>
      <c r="AD318" s="134"/>
      <c r="AE318" s="134"/>
      <c r="AF318" s="134"/>
      <c r="AG318" s="134"/>
      <c r="AH318" s="134"/>
      <c r="AI318" s="134"/>
      <c r="AJ318" s="134"/>
      <c r="AK318" s="134"/>
      <c r="AL318" s="134"/>
      <c r="AM318" s="134"/>
      <c r="AN318" s="134"/>
      <c r="AO318" s="134"/>
      <c r="AP318" s="134"/>
      <c r="AQ318" s="134"/>
      <c r="AR318" s="134"/>
      <c r="AS318" s="132">
        <f>IF(Prod[[#This Row],[S1Hrs]]=0,0,Prod[[#This Row],[S1Shot]]*Prod[[#This Row],[S1Cycle]]/(Prod[[#This Row],[S1Hrs]]*60*60))</f>
        <v>0</v>
      </c>
      <c r="AT318" s="132">
        <f>IF(Prod[[#This Row],[S2Hrs]]=0,0,Prod[[#This Row],[S2Shot]]*Prod[[#This Row],[S2Cycle]]/(Prod[[#This Row],[S2Hrs]]*60*60))</f>
        <v>0</v>
      </c>
      <c r="AU318" s="132">
        <f>IF(Prod[[#This Row],[S3Hrs]]=0,0,Prod[[#This Row],[S3Shot]]*Prod[[#This Row],[S3Cycle]]/(Prod[[#This Row],[S3Hrs]]*60*60))</f>
        <v>0</v>
      </c>
      <c r="AV318" s="132">
        <f>IFERROR(AVERAGEIF(Prod[[#This Row],[S1%]:[S3%]], "&lt;&gt;0"),0)</f>
        <v>0</v>
      </c>
      <c r="AW318" s="132">
        <v>0</v>
      </c>
      <c r="AX318" s="132">
        <v>0</v>
      </c>
      <c r="AY318" s="132">
        <v>0</v>
      </c>
      <c r="AZ318" s="175">
        <f>IF(Prod[[#This Row],[S1Cycle]]&lt;&gt;0,1,0)</f>
        <v>0</v>
      </c>
      <c r="BA318" s="175">
        <f>IF(Prod[[#This Row],[S2Cycle]]&lt;&gt;0,1,0)</f>
        <v>0</v>
      </c>
      <c r="BB318" s="175">
        <f>IF(Prod[[#This Row],[S3Cycle]]&lt;&gt;0,1,0)</f>
        <v>0</v>
      </c>
      <c r="BC318" s="175">
        <f>MAX(Prod[[#This Row],[S1Cavity]],Prod[[#This Row],[S2Cavity]],Prod[[#This Row],[S3Cavity]])</f>
        <v>0</v>
      </c>
      <c r="BD318" s="175" t="b">
        <f>RegExpMatch(Prod[[#This Row],[MoldNo]], "^DEO-(B|C)")</f>
        <v>0</v>
      </c>
      <c r="BE318" s="175" t="b">
        <f>RegExpMatch(Prod[[#This Row],[MoldNo]], "^JAC")</f>
        <v>0</v>
      </c>
    </row>
    <row r="319" spans="1:57" x14ac:dyDescent="0.2">
      <c r="A319" s="117">
        <v>45463</v>
      </c>
      <c r="B319" s="120" t="s">
        <v>196</v>
      </c>
      <c r="C319" s="119" t="s">
        <v>82</v>
      </c>
      <c r="D319" s="119">
        <v>27897</v>
      </c>
      <c r="E319" s="131" t="s">
        <v>235</v>
      </c>
      <c r="F319" s="119">
        <v>6331</v>
      </c>
      <c r="G319" s="119" t="str">
        <f>IF(OR(Prod[[#This Row],[S1Hrs]]&gt;0,Prod[[#This Row],[S2Hrs]]&gt;0,Prod[[#This Row],[S3Hrs]]&gt;0),"Running","Down")</f>
        <v>Running</v>
      </c>
      <c r="H319" s="187">
        <v>23.26</v>
      </c>
      <c r="I319" s="141">
        <v>5</v>
      </c>
      <c r="J319" s="120">
        <v>779</v>
      </c>
      <c r="K319" s="130">
        <v>8</v>
      </c>
      <c r="L319" s="120">
        <f>Prod[[#This Row],[S1Shot]]*Prod[[#This Row],[S1Cavity]]-Prod[[#This Row],[S1Dft]]</f>
        <v>6232</v>
      </c>
      <c r="M319" s="134"/>
      <c r="N319" s="187">
        <v>0</v>
      </c>
      <c r="O319" s="141">
        <v>0</v>
      </c>
      <c r="P319" s="120">
        <v>0</v>
      </c>
      <c r="Q319" s="130">
        <v>0</v>
      </c>
      <c r="R319" s="120">
        <f>Prod[[#This Row],[S2Shot]]*Prod[[#This Row],[S2Cavity]]-Prod[[#This Row],[S2Dft]]</f>
        <v>0</v>
      </c>
      <c r="S319" s="134"/>
      <c r="T319" s="187">
        <v>0</v>
      </c>
      <c r="U319" s="141">
        <v>0</v>
      </c>
      <c r="V319" s="120">
        <v>0</v>
      </c>
      <c r="W319" s="130">
        <v>0</v>
      </c>
      <c r="X319" s="120">
        <f>Prod[[#This Row],[S3Shot]]*Prod[[#This Row],[S3Cavity]]-Prod[[#This Row],[S3Dft]]</f>
        <v>0</v>
      </c>
      <c r="Y319" s="134"/>
      <c r="Z319" s="120">
        <f>SUM(Prod[[#This Row],[S1Qty]],Prod[[#This Row],[S2Qty]],Prod[[#This Row],[S3Qty]])</f>
        <v>6232</v>
      </c>
      <c r="AA319" s="134"/>
      <c r="AB319" s="135"/>
      <c r="AC319" s="118"/>
      <c r="AD319" s="134"/>
      <c r="AE319" s="134"/>
      <c r="AF319" s="134"/>
      <c r="AG319" s="134"/>
      <c r="AH319" s="134"/>
      <c r="AI319" s="134"/>
      <c r="AJ319" s="134"/>
      <c r="AK319" s="134"/>
      <c r="AL319" s="134"/>
      <c r="AM319" s="134"/>
      <c r="AN319" s="134"/>
      <c r="AO319" s="134"/>
      <c r="AP319" s="134"/>
      <c r="AQ319" s="134"/>
      <c r="AR319" s="134"/>
      <c r="AS319" s="132">
        <f>IF(Prod[[#This Row],[S1Hrs]]=0,0,Prod[[#This Row],[S1Shot]]*Prod[[#This Row],[S1Cycle]]/(Prod[[#This Row],[S1Hrs]]*60*60))</f>
        <v>1.0066411111111111</v>
      </c>
      <c r="AT319" s="132">
        <f>IF(Prod[[#This Row],[S2Hrs]]=0,0,Prod[[#This Row],[S2Shot]]*Prod[[#This Row],[S2Cycle]]/(Prod[[#This Row],[S2Hrs]]*60*60))</f>
        <v>0</v>
      </c>
      <c r="AU319" s="132">
        <f>IF(Prod[[#This Row],[S3Hrs]]=0,0,Prod[[#This Row],[S3Shot]]*Prod[[#This Row],[S3Cycle]]/(Prod[[#This Row],[S3Hrs]]*60*60))</f>
        <v>0</v>
      </c>
      <c r="AV319" s="132">
        <f>IFERROR(AVERAGEIF(Prod[[#This Row],[S1%]:[S3%]], "&lt;&gt;0"),0)</f>
        <v>1.0066411111111111</v>
      </c>
      <c r="AW319" s="132">
        <v>0</v>
      </c>
      <c r="AX319" s="132">
        <v>0</v>
      </c>
      <c r="AY319" s="132">
        <v>0</v>
      </c>
      <c r="AZ319" s="175">
        <f>IF(Prod[[#This Row],[S1Cycle]]&lt;&gt;0,1,0)</f>
        <v>1</v>
      </c>
      <c r="BA319" s="175">
        <f>IF(Prod[[#This Row],[S2Cycle]]&lt;&gt;0,1,0)</f>
        <v>0</v>
      </c>
      <c r="BB319" s="175">
        <f>IF(Prod[[#This Row],[S3Cycle]]&lt;&gt;0,1,0)</f>
        <v>0</v>
      </c>
      <c r="BC319" s="175">
        <f>MAX(Prod[[#This Row],[S1Cavity]],Prod[[#This Row],[S2Cavity]],Prod[[#This Row],[S3Cavity]])</f>
        <v>8</v>
      </c>
      <c r="BD319" s="175" t="b">
        <f>RegExpMatch(Prod[[#This Row],[MoldNo]], "^DEO-(B|C)")</f>
        <v>0</v>
      </c>
      <c r="BE319" s="175" t="b">
        <f>RegExpMatch(Prod[[#This Row],[MoldNo]], "^JAC")</f>
        <v>0</v>
      </c>
    </row>
    <row r="320" spans="1:57" x14ac:dyDescent="0.2">
      <c r="A320" s="117">
        <v>45463</v>
      </c>
      <c r="B320" s="120" t="s">
        <v>192</v>
      </c>
      <c r="C320" s="131" t="s">
        <v>193</v>
      </c>
      <c r="D320" s="119">
        <v>27754</v>
      </c>
      <c r="E320" s="131"/>
      <c r="F320" s="119"/>
      <c r="G320" s="119" t="str">
        <f>IF(OR(Prod[[#This Row],[S1Hrs]]&gt;0,Prod[[#This Row],[S2Hrs]]&gt;0,Prod[[#This Row],[S3Hrs]]&gt;0),"Running","Down")</f>
        <v>Down</v>
      </c>
      <c r="H320" s="187">
        <v>0</v>
      </c>
      <c r="I320" s="141">
        <v>0</v>
      </c>
      <c r="J320" s="120">
        <v>0</v>
      </c>
      <c r="K320" s="130">
        <v>0</v>
      </c>
      <c r="L320" s="120">
        <f>Prod[[#This Row],[S1Shot]]*Prod[[#This Row],[S1Cavity]]-Prod[[#This Row],[S1Dft]]</f>
        <v>0</v>
      </c>
      <c r="M320" s="134"/>
      <c r="N320" s="187">
        <v>0</v>
      </c>
      <c r="O320" s="141">
        <v>0</v>
      </c>
      <c r="P320" s="120">
        <v>0</v>
      </c>
      <c r="Q320" s="130">
        <v>0</v>
      </c>
      <c r="R320" s="120">
        <f>Prod[[#This Row],[S2Shot]]*Prod[[#This Row],[S2Cavity]]-Prod[[#This Row],[S2Dft]]</f>
        <v>0</v>
      </c>
      <c r="S320" s="134"/>
      <c r="T320" s="187">
        <v>0</v>
      </c>
      <c r="U320" s="141">
        <v>0</v>
      </c>
      <c r="V320" s="120">
        <v>0</v>
      </c>
      <c r="W320" s="130">
        <v>0</v>
      </c>
      <c r="X320" s="120">
        <f>Prod[[#This Row],[S3Shot]]*Prod[[#This Row],[S3Cavity]]-Prod[[#This Row],[S3Dft]]</f>
        <v>0</v>
      </c>
      <c r="Y320" s="134"/>
      <c r="Z320" s="120">
        <f>SUM(Prod[[#This Row],[S1Qty]],Prod[[#This Row],[S2Qty]],Prod[[#This Row],[S3Qty]])</f>
        <v>0</v>
      </c>
      <c r="AA320" s="134"/>
      <c r="AB320" s="135"/>
      <c r="AC320" s="118"/>
      <c r="AD320" s="134"/>
      <c r="AE320" s="134"/>
      <c r="AF320" s="134"/>
      <c r="AG320" s="134"/>
      <c r="AH320" s="134"/>
      <c r="AI320" s="134"/>
      <c r="AJ320" s="134"/>
      <c r="AK320" s="134"/>
      <c r="AL320" s="134"/>
      <c r="AM320" s="134"/>
      <c r="AN320" s="134"/>
      <c r="AO320" s="134"/>
      <c r="AP320" s="134"/>
      <c r="AQ320" s="134"/>
      <c r="AR320" s="134"/>
      <c r="AS320" s="132">
        <f>IF(Prod[[#This Row],[S1Hrs]]=0,0,Prod[[#This Row],[S1Shot]]*Prod[[#This Row],[S1Cycle]]/(Prod[[#This Row],[S1Hrs]]*60*60))</f>
        <v>0</v>
      </c>
      <c r="AT320" s="132">
        <f>IF(Prod[[#This Row],[S2Hrs]]=0,0,Prod[[#This Row],[S2Shot]]*Prod[[#This Row],[S2Cycle]]/(Prod[[#This Row],[S2Hrs]]*60*60))</f>
        <v>0</v>
      </c>
      <c r="AU320" s="132">
        <f>IF(Prod[[#This Row],[S3Hrs]]=0,0,Prod[[#This Row],[S3Shot]]*Prod[[#This Row],[S3Cycle]]/(Prod[[#This Row],[S3Hrs]]*60*60))</f>
        <v>0</v>
      </c>
      <c r="AV320" s="132">
        <f>IFERROR(AVERAGEIF(Prod[[#This Row],[S1%]:[S3%]], "&lt;&gt;0"),0)</f>
        <v>0</v>
      </c>
      <c r="AW320" s="132">
        <v>0</v>
      </c>
      <c r="AX320" s="132">
        <v>0</v>
      </c>
      <c r="AY320" s="132">
        <v>0</v>
      </c>
      <c r="AZ320" s="175">
        <f>IF(Prod[[#This Row],[S1Cycle]]&lt;&gt;0,1,0)</f>
        <v>0</v>
      </c>
      <c r="BA320" s="175">
        <f>IF(Prod[[#This Row],[S2Cycle]]&lt;&gt;0,1,0)</f>
        <v>0</v>
      </c>
      <c r="BB320" s="175">
        <f>IF(Prod[[#This Row],[S3Cycle]]&lt;&gt;0,1,0)</f>
        <v>0</v>
      </c>
      <c r="BC320" s="175">
        <f>MAX(Prod[[#This Row],[S1Cavity]],Prod[[#This Row],[S2Cavity]],Prod[[#This Row],[S3Cavity]])</f>
        <v>0</v>
      </c>
      <c r="BD320" s="175" t="b">
        <f>RegExpMatch(Prod[[#This Row],[MoldNo]], "^DEO-(B|C)")</f>
        <v>0</v>
      </c>
      <c r="BE320" s="175" t="b">
        <f>RegExpMatch(Prod[[#This Row],[MoldNo]], "^JAC")</f>
        <v>0</v>
      </c>
    </row>
    <row r="321" spans="1:57" x14ac:dyDescent="0.2">
      <c r="A321" s="117">
        <v>45463</v>
      </c>
      <c r="B321" s="120" t="s">
        <v>168</v>
      </c>
      <c r="C321" s="119" t="s">
        <v>169</v>
      </c>
      <c r="D321" s="119">
        <v>26687</v>
      </c>
      <c r="E321" s="131" t="s">
        <v>199</v>
      </c>
      <c r="F321" s="119">
        <v>814</v>
      </c>
      <c r="G321" s="119" t="str">
        <f>IF(OR(Prod[[#This Row],[S1Hrs]]&gt;0,Prod[[#This Row],[S2Hrs]]&gt;0,Prod[[#This Row],[S3Hrs]]&gt;0),"Running","Down")</f>
        <v>Running</v>
      </c>
      <c r="H321" s="187">
        <v>15.5</v>
      </c>
      <c r="I321" s="141">
        <v>3</v>
      </c>
      <c r="J321" s="120">
        <v>735</v>
      </c>
      <c r="K321" s="130">
        <v>15</v>
      </c>
      <c r="L321" s="120">
        <f>Prod[[#This Row],[S1Shot]]*Prod[[#This Row],[S1Cavity]]-Prod[[#This Row],[S1Dft]]</f>
        <v>11025</v>
      </c>
      <c r="M321" s="134"/>
      <c r="N321" s="187">
        <v>15.51</v>
      </c>
      <c r="O321" s="141">
        <v>5.5</v>
      </c>
      <c r="P321" s="120">
        <v>1226</v>
      </c>
      <c r="Q321" s="130">
        <v>15</v>
      </c>
      <c r="R321" s="120">
        <f>Prod[[#This Row],[S2Shot]]*Prod[[#This Row],[S2Cavity]]-Prod[[#This Row],[S2Dft]]</f>
        <v>18390</v>
      </c>
      <c r="S321" s="134"/>
      <c r="T321" s="187">
        <v>15.5</v>
      </c>
      <c r="U321" s="141">
        <v>8</v>
      </c>
      <c r="V321" s="120">
        <v>1787</v>
      </c>
      <c r="W321" s="130">
        <v>15</v>
      </c>
      <c r="X321" s="120">
        <f>Prod[[#This Row],[S3Shot]]*Prod[[#This Row],[S3Cavity]]-Prod[[#This Row],[S3Dft]]</f>
        <v>26805</v>
      </c>
      <c r="Y321" s="134"/>
      <c r="Z321" s="120">
        <f>SUM(Prod[[#This Row],[S1Qty]],Prod[[#This Row],[S2Qty]],Prod[[#This Row],[S3Qty]])</f>
        <v>56220</v>
      </c>
      <c r="AA321" s="134"/>
      <c r="AB321" s="135"/>
      <c r="AC321" s="118"/>
      <c r="AD321" s="134"/>
      <c r="AE321" s="134"/>
      <c r="AF321" s="134"/>
      <c r="AG321" s="134"/>
      <c r="AH321" s="134"/>
      <c r="AI321" s="134"/>
      <c r="AJ321" s="134"/>
      <c r="AK321" s="134"/>
      <c r="AL321" s="134"/>
      <c r="AM321" s="134"/>
      <c r="AN321" s="134"/>
      <c r="AO321" s="134"/>
      <c r="AP321" s="134"/>
      <c r="AQ321" s="134"/>
      <c r="AR321" s="134"/>
      <c r="AS321" s="132">
        <f>IF(Prod[[#This Row],[S1Hrs]]=0,0,Prod[[#This Row],[S1Shot]]*Prod[[#This Row],[S1Cycle]]/(Prod[[#This Row],[S1Hrs]]*60*60))</f>
        <v>1.054861111111111</v>
      </c>
      <c r="AT321" s="132">
        <f>IF(Prod[[#This Row],[S2Hrs]]=0,0,Prod[[#This Row],[S2Shot]]*Prod[[#This Row],[S2Cycle]]/(Prod[[#This Row],[S2Hrs]]*60*60))</f>
        <v>0.96036666666666659</v>
      </c>
      <c r="AU321" s="132">
        <f>IF(Prod[[#This Row],[S3Hrs]]=0,0,Prod[[#This Row],[S3Shot]]*Prod[[#This Row],[S3Cycle]]/(Prod[[#This Row],[S3Hrs]]*60*60))</f>
        <v>0.96175347222222218</v>
      </c>
      <c r="AV321" s="132">
        <f>IFERROR(AVERAGEIF(Prod[[#This Row],[S1%]:[S3%]], "&lt;&gt;0"),0)</f>
        <v>0.99232708333333319</v>
      </c>
      <c r="AW321" s="132">
        <v>0</v>
      </c>
      <c r="AX321" s="132">
        <v>0</v>
      </c>
      <c r="AY321" s="132">
        <v>0</v>
      </c>
      <c r="AZ321" s="175">
        <f>IF(Prod[[#This Row],[S1Cycle]]&lt;&gt;0,1,0)</f>
        <v>1</v>
      </c>
      <c r="BA321" s="175">
        <f>IF(Prod[[#This Row],[S2Cycle]]&lt;&gt;0,1,0)</f>
        <v>1</v>
      </c>
      <c r="BB321" s="175">
        <f>IF(Prod[[#This Row],[S3Cycle]]&lt;&gt;0,1,0)</f>
        <v>1</v>
      </c>
      <c r="BC321" s="175">
        <f>MAX(Prod[[#This Row],[S1Cavity]],Prod[[#This Row],[S2Cavity]],Prod[[#This Row],[S3Cavity]])</f>
        <v>15</v>
      </c>
      <c r="BD321" s="175" t="b">
        <f>RegExpMatch(Prod[[#This Row],[MoldNo]], "^DEO-(B|C)")</f>
        <v>0</v>
      </c>
      <c r="BE321" s="175" t="b">
        <f>RegExpMatch(Prod[[#This Row],[MoldNo]], "^JAC")</f>
        <v>0</v>
      </c>
    </row>
    <row r="322" spans="1:57" x14ac:dyDescent="0.2">
      <c r="A322" s="117">
        <v>45463</v>
      </c>
      <c r="B322" s="120" t="s">
        <v>146</v>
      </c>
      <c r="C322" s="119" t="s">
        <v>84</v>
      </c>
      <c r="D322" s="119"/>
      <c r="E322" s="131"/>
      <c r="F322" s="119"/>
      <c r="G322" s="119" t="str">
        <f>IF(OR(Prod[[#This Row],[S1Hrs]]&gt;0,Prod[[#This Row],[S2Hrs]]&gt;0,Prod[[#This Row],[S3Hrs]]&gt;0),"Running","Down")</f>
        <v>Down</v>
      </c>
      <c r="H322" s="187">
        <v>0</v>
      </c>
      <c r="I322" s="141">
        <v>0</v>
      </c>
      <c r="J322" s="120">
        <v>0</v>
      </c>
      <c r="K322" s="130">
        <v>0</v>
      </c>
      <c r="L322" s="120">
        <f>Prod[[#This Row],[S1Shot]]*Prod[[#This Row],[S1Cavity]]-Prod[[#This Row],[S1Dft]]</f>
        <v>0</v>
      </c>
      <c r="M322" s="134"/>
      <c r="N322" s="187">
        <v>0</v>
      </c>
      <c r="O322" s="141">
        <v>0</v>
      </c>
      <c r="P322" s="120">
        <v>0</v>
      </c>
      <c r="Q322" s="130">
        <v>0</v>
      </c>
      <c r="R322" s="120">
        <f>Prod[[#This Row],[S2Shot]]*Prod[[#This Row],[S2Cavity]]-Prod[[#This Row],[S2Dft]]</f>
        <v>0</v>
      </c>
      <c r="S322" s="134"/>
      <c r="T322" s="187">
        <v>0</v>
      </c>
      <c r="U322" s="141">
        <v>0</v>
      </c>
      <c r="V322" s="120">
        <v>0</v>
      </c>
      <c r="W322" s="130">
        <v>0</v>
      </c>
      <c r="X322" s="120">
        <f>Prod[[#This Row],[S3Shot]]*Prod[[#This Row],[S3Cavity]]-Prod[[#This Row],[S3Dft]]</f>
        <v>0</v>
      </c>
      <c r="Y322" s="134"/>
      <c r="Z322" s="120">
        <f>SUM(Prod[[#This Row],[S1Qty]],Prod[[#This Row],[S2Qty]],Prod[[#This Row],[S3Qty]])</f>
        <v>0</v>
      </c>
      <c r="AA322" s="134"/>
      <c r="AB322" s="135"/>
      <c r="AC322" s="118"/>
      <c r="AD322" s="134"/>
      <c r="AE322" s="134"/>
      <c r="AF322" s="134"/>
      <c r="AG322" s="134"/>
      <c r="AH322" s="134"/>
      <c r="AI322" s="134"/>
      <c r="AJ322" s="134"/>
      <c r="AK322" s="134"/>
      <c r="AL322" s="134"/>
      <c r="AM322" s="134"/>
      <c r="AN322" s="134"/>
      <c r="AO322" s="134"/>
      <c r="AP322" s="134"/>
      <c r="AQ322" s="134"/>
      <c r="AR322" s="134"/>
      <c r="AS322" s="132">
        <f>IF(Prod[[#This Row],[S1Hrs]]=0,0,Prod[[#This Row],[S1Shot]]*Prod[[#This Row],[S1Cycle]]/(Prod[[#This Row],[S1Hrs]]*60*60))</f>
        <v>0</v>
      </c>
      <c r="AT322" s="132">
        <f>IF(Prod[[#This Row],[S2Hrs]]=0,0,Prod[[#This Row],[S2Shot]]*Prod[[#This Row],[S2Cycle]]/(Prod[[#This Row],[S2Hrs]]*60*60))</f>
        <v>0</v>
      </c>
      <c r="AU322" s="132">
        <f>IF(Prod[[#This Row],[S3Hrs]]=0,0,Prod[[#This Row],[S3Shot]]*Prod[[#This Row],[S3Cycle]]/(Prod[[#This Row],[S3Hrs]]*60*60))</f>
        <v>0</v>
      </c>
      <c r="AV322" s="132">
        <f>IFERROR(AVERAGEIF(Prod[[#This Row],[S1%]:[S3%]], "&lt;&gt;0"),0)</f>
        <v>0</v>
      </c>
      <c r="AW322" s="132">
        <v>0</v>
      </c>
      <c r="AX322" s="132">
        <v>0</v>
      </c>
      <c r="AY322" s="132">
        <v>0</v>
      </c>
      <c r="AZ322" s="175">
        <f>IF(Prod[[#This Row],[S1Cycle]]&lt;&gt;0,1,0)</f>
        <v>0</v>
      </c>
      <c r="BA322" s="175">
        <f>IF(Prod[[#This Row],[S2Cycle]]&lt;&gt;0,1,0)</f>
        <v>0</v>
      </c>
      <c r="BB322" s="175">
        <f>IF(Prod[[#This Row],[S3Cycle]]&lt;&gt;0,1,0)</f>
        <v>0</v>
      </c>
      <c r="BC322" s="175">
        <f>MAX(Prod[[#This Row],[S1Cavity]],Prod[[#This Row],[S2Cavity]],Prod[[#This Row],[S3Cavity]])</f>
        <v>0</v>
      </c>
      <c r="BD322" s="175" t="b">
        <f>RegExpMatch(Prod[[#This Row],[MoldNo]], "^DEO-(B|C)")</f>
        <v>0</v>
      </c>
      <c r="BE322" s="175" t="b">
        <f>RegExpMatch(Prod[[#This Row],[MoldNo]], "^JAC")</f>
        <v>0</v>
      </c>
    </row>
    <row r="323" spans="1:57" x14ac:dyDescent="0.2">
      <c r="A323" s="117">
        <v>45463</v>
      </c>
      <c r="B323" s="130" t="s">
        <v>164</v>
      </c>
      <c r="C323" s="131" t="s">
        <v>144</v>
      </c>
      <c r="D323" s="119"/>
      <c r="E323" s="131"/>
      <c r="F323" s="119"/>
      <c r="G323" s="119" t="str">
        <f>IF(OR(Prod[[#This Row],[S1Hrs]]&gt;0,Prod[[#This Row],[S2Hrs]]&gt;0,Prod[[#This Row],[S3Hrs]]&gt;0),"Running","Down")</f>
        <v>Down</v>
      </c>
      <c r="H323" s="187">
        <v>0</v>
      </c>
      <c r="I323" s="141">
        <v>0</v>
      </c>
      <c r="J323" s="120">
        <v>0</v>
      </c>
      <c r="K323" s="130">
        <v>0</v>
      </c>
      <c r="L323" s="120">
        <f>Prod[[#This Row],[S1Shot]]*Prod[[#This Row],[S1Cavity]]-Prod[[#This Row],[S1Dft]]</f>
        <v>0</v>
      </c>
      <c r="M323" s="136">
        <f>SUM(Prod[[#This Row],[S1Mold]],Prod[[#This Row],[S1Print]],Prod[[#This Row],[S1Ovlp]],Prod[[#This Row],[S1Seam]],Prod[[#This Row],[S1Dmg]])</f>
        <v>0</v>
      </c>
      <c r="N323" s="187">
        <v>0</v>
      </c>
      <c r="O323" s="141">
        <v>0</v>
      </c>
      <c r="P323" s="120">
        <v>0</v>
      </c>
      <c r="Q323" s="130">
        <v>0</v>
      </c>
      <c r="R323" s="120">
        <f>Prod[[#This Row],[S2Shot]]*Prod[[#This Row],[S2Cavity]]-Prod[[#This Row],[S2Dft]]</f>
        <v>0</v>
      </c>
      <c r="S323" s="136">
        <f>SUM(Prod[[#This Row],[S2Mold]],Prod[[#This Row],[S2Print]],Prod[[#This Row],[S2Ovlp]],Prod[[#This Row],[S2Seam]],Prod[[#This Row],[S2Dmg]])</f>
        <v>0</v>
      </c>
      <c r="T323" s="187">
        <v>0</v>
      </c>
      <c r="U323" s="141">
        <v>0</v>
      </c>
      <c r="V323" s="120">
        <v>0</v>
      </c>
      <c r="W323" s="130">
        <v>0</v>
      </c>
      <c r="X323" s="120">
        <f>Prod[[#This Row],[S3Shot]]*Prod[[#This Row],[S3Cavity]]-Prod[[#This Row],[S3Dft]]</f>
        <v>0</v>
      </c>
      <c r="Y323" s="120">
        <f>SUM(Prod[[#This Row],[S3Mold]],Prod[[#This Row],[S3Print]],Prod[[#This Row],[S3Ovlp]],Prod[[#This Row],[S3Seam]],Prod[[#This Row],[S3Dmg]])</f>
        <v>0</v>
      </c>
      <c r="Z323" s="120">
        <f>SUM(Prod[[#This Row],[S1Qty]],Prod[[#This Row],[S2Qty]],Prod[[#This Row],[S3Qty]])</f>
        <v>0</v>
      </c>
      <c r="AA323" s="120">
        <f>SUM(Prod[[#This Row],[S1Dft]],Prod[[#This Row],[S2Dft]],Prod[[#This Row],[S3Dft]])</f>
        <v>0</v>
      </c>
      <c r="AB323" s="121">
        <f>IF(Prod[[#This Row],[Total]]=0,0,Prod[[#This Row],[TotalDft]]/Prod[[#This Row],[Total]])</f>
        <v>0</v>
      </c>
      <c r="AC323" s="131"/>
      <c r="AD323" s="120">
        <v>0</v>
      </c>
      <c r="AE323" s="120">
        <v>0</v>
      </c>
      <c r="AF323" s="120">
        <v>0</v>
      </c>
      <c r="AG323" s="120">
        <v>0</v>
      </c>
      <c r="AH323" s="120">
        <v>0</v>
      </c>
      <c r="AI323" s="120">
        <v>0</v>
      </c>
      <c r="AJ323" s="120">
        <v>0</v>
      </c>
      <c r="AK323" s="120">
        <v>0</v>
      </c>
      <c r="AL323" s="120">
        <v>0</v>
      </c>
      <c r="AM323" s="120">
        <v>0</v>
      </c>
      <c r="AN323" s="120">
        <v>0</v>
      </c>
      <c r="AO323" s="120">
        <v>0</v>
      </c>
      <c r="AP323" s="120">
        <v>0</v>
      </c>
      <c r="AQ323" s="120">
        <v>0</v>
      </c>
      <c r="AR323" s="120">
        <v>0</v>
      </c>
      <c r="AS323" s="132">
        <f>IF(Prod[[#This Row],[S1Hrs]]=0,0,Prod[[#This Row],[S1Shot]]*Prod[[#This Row],[S1Cycle]]/(Prod[[#This Row],[S1Hrs]]*60*60))</f>
        <v>0</v>
      </c>
      <c r="AT323" s="132">
        <f>IF(Prod[[#This Row],[S2Hrs]]=0,0,Prod[[#This Row],[S2Shot]]*Prod[[#This Row],[S2Cycle]]/(Prod[[#This Row],[S2Hrs]]*60*60))</f>
        <v>0</v>
      </c>
      <c r="AU323" s="132">
        <f>IF(Prod[[#This Row],[S3Hrs]]=0,0,Prod[[#This Row],[S3Shot]]*Prod[[#This Row],[S3Cycle]]/(Prod[[#This Row],[S3Hrs]]*60*60))</f>
        <v>0</v>
      </c>
      <c r="AV323" s="132">
        <f>IFERROR(AVERAGEIF(Prod[[#This Row],[S1%]:[S3%]], "&lt;&gt;0"),0)</f>
        <v>0</v>
      </c>
      <c r="AW323" s="132">
        <v>0</v>
      </c>
      <c r="AX323" s="132">
        <v>0</v>
      </c>
      <c r="AY323" s="132">
        <v>0</v>
      </c>
      <c r="AZ323" s="175">
        <f>IF(Prod[[#This Row],[S1Cycle]]&lt;&gt;0,1,0)</f>
        <v>0</v>
      </c>
      <c r="BA323" s="175">
        <f>IF(Prod[[#This Row],[S2Cycle]]&lt;&gt;0,1,0)</f>
        <v>0</v>
      </c>
      <c r="BB323" s="175">
        <f>IF(Prod[[#This Row],[S3Cycle]]&lt;&gt;0,1,0)</f>
        <v>0</v>
      </c>
      <c r="BC323" s="175">
        <f>MAX(Prod[[#This Row],[S1Cavity]],Prod[[#This Row],[S2Cavity]],Prod[[#This Row],[S3Cavity]])</f>
        <v>0</v>
      </c>
      <c r="BD323" s="175" t="b">
        <f>RegExpMatch(Prod[[#This Row],[MoldNo]], "^DEO-(B|C)")</f>
        <v>1</v>
      </c>
      <c r="BE323" s="175" t="b">
        <f>RegExpMatch(Prod[[#This Row],[MoldNo]], "^JAC")</f>
        <v>0</v>
      </c>
    </row>
    <row r="324" spans="1:57" x14ac:dyDescent="0.2">
      <c r="A324" s="117">
        <v>45463</v>
      </c>
      <c r="B324" s="130" t="s">
        <v>162</v>
      </c>
      <c r="C324" s="131" t="s">
        <v>163</v>
      </c>
      <c r="D324" s="119"/>
      <c r="E324" s="131"/>
      <c r="F324" s="119"/>
      <c r="G324" s="119" t="str">
        <f>IF(OR(Prod[[#This Row],[S1Hrs]]&gt;0,Prod[[#This Row],[S2Hrs]]&gt;0,Prod[[#This Row],[S3Hrs]]&gt;0),"Running","Down")</f>
        <v>Down</v>
      </c>
      <c r="H324" s="187">
        <v>0</v>
      </c>
      <c r="I324" s="141">
        <v>0</v>
      </c>
      <c r="J324" s="120">
        <v>0</v>
      </c>
      <c r="K324" s="130">
        <v>0</v>
      </c>
      <c r="L324" s="120">
        <f>Prod[[#This Row],[S1Shot]]*Prod[[#This Row],[S1Cavity]]-Prod[[#This Row],[S1Dft]]</f>
        <v>0</v>
      </c>
      <c r="M324" s="136">
        <f>SUM(Prod[[#This Row],[S1Mold]],Prod[[#This Row],[S1Print]],Prod[[#This Row],[S1Ovlp]],Prod[[#This Row],[S1Seam]],Prod[[#This Row],[S1Dmg]])</f>
        <v>0</v>
      </c>
      <c r="N324" s="187">
        <v>0</v>
      </c>
      <c r="O324" s="141">
        <v>0</v>
      </c>
      <c r="P324" s="120">
        <v>0</v>
      </c>
      <c r="Q324" s="130">
        <v>0</v>
      </c>
      <c r="R324" s="120">
        <f>Prod[[#This Row],[S2Shot]]*Prod[[#This Row],[S2Cavity]]-Prod[[#This Row],[S2Dft]]</f>
        <v>0</v>
      </c>
      <c r="S324" s="136">
        <f>SUM(Prod[[#This Row],[S2Mold]],Prod[[#This Row],[S2Print]],Prod[[#This Row],[S2Ovlp]],Prod[[#This Row],[S2Seam]],Prod[[#This Row],[S2Dmg]])</f>
        <v>0</v>
      </c>
      <c r="T324" s="187">
        <v>0</v>
      </c>
      <c r="U324" s="141">
        <v>0</v>
      </c>
      <c r="V324" s="120">
        <v>0</v>
      </c>
      <c r="W324" s="130">
        <v>0</v>
      </c>
      <c r="X324" s="120">
        <f>Prod[[#This Row],[S3Shot]]*Prod[[#This Row],[S3Cavity]]-Prod[[#This Row],[S3Dft]]</f>
        <v>0</v>
      </c>
      <c r="Y324" s="120">
        <f>SUM(Prod[[#This Row],[S3Mold]],Prod[[#This Row],[S3Print]],Prod[[#This Row],[S3Ovlp]],Prod[[#This Row],[S3Seam]],Prod[[#This Row],[S3Dmg]])</f>
        <v>0</v>
      </c>
      <c r="Z324" s="120">
        <f>SUM(Prod[[#This Row],[S1Qty]],Prod[[#This Row],[S2Qty]],Prod[[#This Row],[S3Qty]])</f>
        <v>0</v>
      </c>
      <c r="AA324" s="120">
        <f>SUM(Prod[[#This Row],[S1Dft]],Prod[[#This Row],[S2Dft]],Prod[[#This Row],[S3Dft]])</f>
        <v>0</v>
      </c>
      <c r="AB324" s="121">
        <f>IF(Prod[[#This Row],[Total]]=0,0,Prod[[#This Row],[TotalDft]]/Prod[[#This Row],[Total]])</f>
        <v>0</v>
      </c>
      <c r="AC324" s="118"/>
      <c r="AD324" s="120">
        <v>0</v>
      </c>
      <c r="AE324" s="120">
        <v>0</v>
      </c>
      <c r="AF324" s="120">
        <v>0</v>
      </c>
      <c r="AG324" s="120">
        <v>0</v>
      </c>
      <c r="AH324" s="120">
        <v>0</v>
      </c>
      <c r="AI324" s="120">
        <v>0</v>
      </c>
      <c r="AJ324" s="120">
        <v>0</v>
      </c>
      <c r="AK324" s="120">
        <v>0</v>
      </c>
      <c r="AL324" s="120">
        <v>0</v>
      </c>
      <c r="AM324" s="120">
        <v>0</v>
      </c>
      <c r="AN324" s="120">
        <v>0</v>
      </c>
      <c r="AO324" s="120">
        <v>0</v>
      </c>
      <c r="AP324" s="120">
        <v>0</v>
      </c>
      <c r="AQ324" s="120">
        <v>0</v>
      </c>
      <c r="AR324" s="120">
        <v>0</v>
      </c>
      <c r="AS324" s="132">
        <f>IF(Prod[[#This Row],[S1Hrs]]=0,0,Prod[[#This Row],[S1Shot]]*Prod[[#This Row],[S1Cycle]]/(Prod[[#This Row],[S1Hrs]]*60*60))</f>
        <v>0</v>
      </c>
      <c r="AT324" s="132">
        <f>IF(Prod[[#This Row],[S2Hrs]]=0,0,Prod[[#This Row],[S2Shot]]*Prod[[#This Row],[S2Cycle]]/(Prod[[#This Row],[S2Hrs]]*60*60))</f>
        <v>0</v>
      </c>
      <c r="AU324" s="132">
        <f>IF(Prod[[#This Row],[S3Hrs]]=0,0,Prod[[#This Row],[S3Shot]]*Prod[[#This Row],[S3Cycle]]/(Prod[[#This Row],[S3Hrs]]*60*60))</f>
        <v>0</v>
      </c>
      <c r="AV324" s="132">
        <f>IFERROR(AVERAGEIF(Prod[[#This Row],[S1%]:[S3%]], "&lt;&gt;0"),0)</f>
        <v>0</v>
      </c>
      <c r="AW324" s="132">
        <v>0</v>
      </c>
      <c r="AX324" s="132">
        <v>0</v>
      </c>
      <c r="AY324" s="132">
        <v>0</v>
      </c>
      <c r="AZ324" s="175">
        <f>IF(Prod[[#This Row],[S1Cycle]]&lt;&gt;0,1,0)</f>
        <v>0</v>
      </c>
      <c r="BA324" s="175">
        <f>IF(Prod[[#This Row],[S2Cycle]]&lt;&gt;0,1,0)</f>
        <v>0</v>
      </c>
      <c r="BB324" s="175">
        <f>IF(Prod[[#This Row],[S3Cycle]]&lt;&gt;0,1,0)</f>
        <v>0</v>
      </c>
      <c r="BC324" s="175">
        <f>MAX(Prod[[#This Row],[S1Cavity]],Prod[[#This Row],[S2Cavity]],Prod[[#This Row],[S3Cavity]])</f>
        <v>0</v>
      </c>
      <c r="BD324" s="175" t="b">
        <f>RegExpMatch(Prod[[#This Row],[MoldNo]], "^DEO-(B|C)")</f>
        <v>1</v>
      </c>
      <c r="BE324" s="175" t="b">
        <f>RegExpMatch(Prod[[#This Row],[MoldNo]], "^JAC")</f>
        <v>0</v>
      </c>
    </row>
    <row r="325" spans="1:57" x14ac:dyDescent="0.2">
      <c r="A325" s="117">
        <v>45463</v>
      </c>
      <c r="B325" s="130" t="s">
        <v>254</v>
      </c>
      <c r="C325" s="131" t="s">
        <v>255</v>
      </c>
      <c r="D325" s="119">
        <v>27897</v>
      </c>
      <c r="E325" s="131" t="s">
        <v>279</v>
      </c>
      <c r="F325" s="119">
        <v>6331</v>
      </c>
      <c r="G325" s="119" t="str">
        <f>IF(OR(Prod[[#This Row],[S1Hrs]]&gt;0,Prod[[#This Row],[S2Hrs]]&gt;0,Prod[[#This Row],[S3Hrs]]&gt;0),"Running","Down")</f>
        <v>Running</v>
      </c>
      <c r="H325" s="187">
        <v>0</v>
      </c>
      <c r="I325" s="141">
        <v>0</v>
      </c>
      <c r="J325" s="120">
        <v>0</v>
      </c>
      <c r="K325" s="130">
        <v>0</v>
      </c>
      <c r="L325" s="120">
        <f>Prod[[#This Row],[S1Shot]]*Prod[[#This Row],[S1Cavity]]-Prod[[#This Row],[S1Dft]]</f>
        <v>0</v>
      </c>
      <c r="M325" s="136">
        <f>SUM(Prod[[#This Row],[S1Mold]],Prod[[#This Row],[S1Print]],Prod[[#This Row],[S1Ovlp]],Prod[[#This Row],[S1Seam]],Prod[[#This Row],[S1Dmg]])</f>
        <v>0</v>
      </c>
      <c r="N325" s="187">
        <v>0</v>
      </c>
      <c r="O325" s="141">
        <v>0</v>
      </c>
      <c r="P325" s="120">
        <v>0</v>
      </c>
      <c r="Q325" s="130">
        <v>0</v>
      </c>
      <c r="R325" s="120">
        <f>Prod[[#This Row],[S2Shot]]*Prod[[#This Row],[S2Cavity]]-Prod[[#This Row],[S2Dft]]</f>
        <v>0</v>
      </c>
      <c r="S325" s="136">
        <f>SUM(Prod[[#This Row],[S2Mold]],Prod[[#This Row],[S2Print]],Prod[[#This Row],[S2Ovlp]],Prod[[#This Row],[S2Seam]],Prod[[#This Row],[S2Dmg]])</f>
        <v>0</v>
      </c>
      <c r="T325" s="187">
        <v>18.89</v>
      </c>
      <c r="U325" s="141">
        <v>8</v>
      </c>
      <c r="V325" s="120">
        <v>1341</v>
      </c>
      <c r="W325" s="130">
        <v>8</v>
      </c>
      <c r="X325" s="120">
        <f>Prod[[#This Row],[S3Shot]]*Prod[[#This Row],[S3Cavity]]-Prod[[#This Row],[S3Dft]]</f>
        <v>10708</v>
      </c>
      <c r="Y325" s="120">
        <f>SUM(Prod[[#This Row],[S3Mold]],Prod[[#This Row],[S3Print]],Prod[[#This Row],[S3Ovlp]],Prod[[#This Row],[S3Seam]],Prod[[#This Row],[S3Dmg]])</f>
        <v>20</v>
      </c>
      <c r="Z325" s="120">
        <f>SUM(Prod[[#This Row],[S1Qty]],Prod[[#This Row],[S2Qty]],Prod[[#This Row],[S3Qty]])</f>
        <v>10708</v>
      </c>
      <c r="AA325" s="120">
        <f>SUM(Prod[[#This Row],[S1Dft]],Prod[[#This Row],[S2Dft]],Prod[[#This Row],[S3Dft]])</f>
        <v>20</v>
      </c>
      <c r="AB325" s="121">
        <f>IF(Prod[[#This Row],[Total]]=0,0,Prod[[#This Row],[TotalDft]]/Prod[[#This Row],[Total]])</f>
        <v>1.8677624206200972E-3</v>
      </c>
      <c r="AC325" s="131"/>
      <c r="AD325" s="120">
        <v>0</v>
      </c>
      <c r="AE325" s="120">
        <v>0</v>
      </c>
      <c r="AF325" s="120">
        <v>20</v>
      </c>
      <c r="AG325" s="120">
        <v>0</v>
      </c>
      <c r="AH325" s="120">
        <v>0</v>
      </c>
      <c r="AI325" s="120">
        <v>0</v>
      </c>
      <c r="AJ325" s="120">
        <v>0</v>
      </c>
      <c r="AK325" s="120">
        <v>0</v>
      </c>
      <c r="AL325" s="120">
        <v>0</v>
      </c>
      <c r="AM325" s="120">
        <v>0</v>
      </c>
      <c r="AN325" s="120">
        <v>0</v>
      </c>
      <c r="AO325" s="120">
        <v>0</v>
      </c>
      <c r="AP325" s="120">
        <v>0</v>
      </c>
      <c r="AQ325" s="120">
        <v>0</v>
      </c>
      <c r="AR325" s="120">
        <v>0</v>
      </c>
      <c r="AS325" s="132">
        <f>IF(Prod[[#This Row],[S1Hrs]]=0,0,Prod[[#This Row],[S1Shot]]*Prod[[#This Row],[S1Cycle]]/(Prod[[#This Row],[S1Hrs]]*60*60))</f>
        <v>0</v>
      </c>
      <c r="AT325" s="132">
        <f>IF(Prod[[#This Row],[S2Hrs]]=0,0,Prod[[#This Row],[S2Shot]]*Prod[[#This Row],[S2Cycle]]/(Prod[[#This Row],[S2Hrs]]*60*60))</f>
        <v>0</v>
      </c>
      <c r="AU325" s="132">
        <f>IF(Prod[[#This Row],[S3Hrs]]=0,0,Prod[[#This Row],[S3Shot]]*Prod[[#This Row],[S3Cycle]]/(Prod[[#This Row],[S3Hrs]]*60*60))</f>
        <v>0.87956562500000002</v>
      </c>
      <c r="AV325" s="132">
        <f>IFERROR(AVERAGEIF(Prod[[#This Row],[S1%]:[S3%]], "&lt;&gt;0"),0)</f>
        <v>0.87956562500000002</v>
      </c>
      <c r="AW325" s="132">
        <v>0</v>
      </c>
      <c r="AX325" s="132">
        <v>0</v>
      </c>
      <c r="AY325" s="132">
        <v>0</v>
      </c>
      <c r="AZ325" s="175">
        <f>IF(Prod[[#This Row],[S1Cycle]]&lt;&gt;0,1,0)</f>
        <v>0</v>
      </c>
      <c r="BA325" s="175">
        <f>IF(Prod[[#This Row],[S2Cycle]]&lt;&gt;0,1,0)</f>
        <v>0</v>
      </c>
      <c r="BB325" s="175">
        <f>IF(Prod[[#This Row],[S3Cycle]]&lt;&gt;0,1,0)</f>
        <v>1</v>
      </c>
      <c r="BC325" s="175">
        <f>MAX(Prod[[#This Row],[S1Cavity]],Prod[[#This Row],[S2Cavity]],Prod[[#This Row],[S3Cavity]])</f>
        <v>8</v>
      </c>
      <c r="BD325" s="175" t="b">
        <f>RegExpMatch(Prod[[#This Row],[MoldNo]], "^DEO-(B|C)")</f>
        <v>1</v>
      </c>
      <c r="BE325" s="175" t="b">
        <f>RegExpMatch(Prod[[#This Row],[MoldNo]], "^JAC")</f>
        <v>0</v>
      </c>
    </row>
    <row r="326" spans="1:57" x14ac:dyDescent="0.2">
      <c r="A326" s="117">
        <v>45463</v>
      </c>
      <c r="B326" s="130" t="s">
        <v>174</v>
      </c>
      <c r="C326" s="131" t="s">
        <v>175</v>
      </c>
      <c r="D326" s="119">
        <v>27579</v>
      </c>
      <c r="E326" s="131" t="s">
        <v>199</v>
      </c>
      <c r="F326" s="119">
        <v>814</v>
      </c>
      <c r="G326" s="119" t="str">
        <f>IF(OR(Prod[[#This Row],[S1Hrs]]&gt;0,Prod[[#This Row],[S2Hrs]]&gt;0,Prod[[#This Row],[S3Hrs]]&gt;0),"Running","Down")</f>
        <v>Running</v>
      </c>
      <c r="H326" s="187">
        <v>20.38</v>
      </c>
      <c r="I326" s="141">
        <v>8</v>
      </c>
      <c r="J326" s="120">
        <v>1464</v>
      </c>
      <c r="K326" s="130">
        <v>8</v>
      </c>
      <c r="L326" s="120">
        <f>Prod[[#This Row],[S1Shot]]*Prod[[#This Row],[S1Cavity]]-Prod[[#This Row],[S1Dft]]</f>
        <v>11587</v>
      </c>
      <c r="M326" s="136">
        <f>SUM(Prod[[#This Row],[S1Mold]],Prod[[#This Row],[S1Print]],Prod[[#This Row],[S1Ovlp]],Prod[[#This Row],[S1Seam]],Prod[[#This Row],[S1Dmg]])</f>
        <v>125</v>
      </c>
      <c r="N326" s="187">
        <v>20.38</v>
      </c>
      <c r="O326" s="141">
        <v>6</v>
      </c>
      <c r="P326" s="120">
        <v>1057</v>
      </c>
      <c r="Q326" s="130">
        <v>8</v>
      </c>
      <c r="R326" s="120">
        <f>Prod[[#This Row],[S2Shot]]*Prod[[#This Row],[S2Cavity]]-Prod[[#This Row],[S2Dft]]</f>
        <v>8356</v>
      </c>
      <c r="S326" s="136">
        <f>SUM(Prod[[#This Row],[S2Mold]],Prod[[#This Row],[S2Print]],Prod[[#This Row],[S2Ovlp]],Prod[[#This Row],[S2Seam]],Prod[[#This Row],[S2Dmg]])</f>
        <v>100</v>
      </c>
      <c r="T326" s="187">
        <v>20.38</v>
      </c>
      <c r="U326" s="141">
        <v>8</v>
      </c>
      <c r="V326" s="120">
        <v>1242</v>
      </c>
      <c r="W326" s="130">
        <v>8</v>
      </c>
      <c r="X326" s="120">
        <f>Prod[[#This Row],[S3Shot]]*Prod[[#This Row],[S3Cavity]]-Prod[[#This Row],[S3Dft]]</f>
        <v>9816</v>
      </c>
      <c r="Y326" s="120">
        <f>SUM(Prod[[#This Row],[S3Mold]],Prod[[#This Row],[S3Print]],Prod[[#This Row],[S3Ovlp]],Prod[[#This Row],[S3Seam]],Prod[[#This Row],[S3Dmg]])</f>
        <v>120</v>
      </c>
      <c r="Z326" s="120">
        <f>SUM(Prod[[#This Row],[S1Qty]],Prod[[#This Row],[S2Qty]],Prod[[#This Row],[S3Qty]])</f>
        <v>29759</v>
      </c>
      <c r="AA326" s="120">
        <f>SUM(Prod[[#This Row],[S1Dft]],Prod[[#This Row],[S2Dft]],Prod[[#This Row],[S3Dft]])</f>
        <v>345</v>
      </c>
      <c r="AB326" s="121">
        <f>IF(Prod[[#This Row],[Total]]=0,0,Prod[[#This Row],[TotalDft]]/Prod[[#This Row],[Total]])</f>
        <v>1.1593131489633389E-2</v>
      </c>
      <c r="AC326" s="131"/>
      <c r="AD326" s="120">
        <v>20</v>
      </c>
      <c r="AE326" s="120">
        <v>15</v>
      </c>
      <c r="AF326" s="120">
        <v>20</v>
      </c>
      <c r="AG326" s="120">
        <v>105</v>
      </c>
      <c r="AH326" s="120">
        <v>85</v>
      </c>
      <c r="AI326" s="120">
        <v>100</v>
      </c>
      <c r="AJ326" s="120">
        <v>0</v>
      </c>
      <c r="AK326" s="120">
        <v>0</v>
      </c>
      <c r="AL326" s="120">
        <v>0</v>
      </c>
      <c r="AM326" s="120">
        <v>0</v>
      </c>
      <c r="AN326" s="120">
        <v>0</v>
      </c>
      <c r="AO326" s="120">
        <v>0</v>
      </c>
      <c r="AP326" s="120">
        <v>0</v>
      </c>
      <c r="AQ326" s="120">
        <v>0</v>
      </c>
      <c r="AR326" s="120">
        <v>0</v>
      </c>
      <c r="AS326" s="132">
        <f>IF(Prod[[#This Row],[S1Hrs]]=0,0,Prod[[#This Row],[S1Shot]]*Prod[[#This Row],[S1Cycle]]/(Prod[[#This Row],[S1Hrs]]*60*60))</f>
        <v>1.0359833333333333</v>
      </c>
      <c r="AT326" s="132">
        <f>IF(Prod[[#This Row],[S2Hrs]]=0,0,Prod[[#This Row],[S2Shot]]*Prod[[#This Row],[S2Cycle]]/(Prod[[#This Row],[S2Hrs]]*60*60))</f>
        <v>0.99729907407407403</v>
      </c>
      <c r="AU326" s="132">
        <f>IF(Prod[[#This Row],[S3Hrs]]=0,0,Prod[[#This Row],[S3Shot]]*Prod[[#This Row],[S3Cycle]]/(Prod[[#This Row],[S3Hrs]]*60*60))</f>
        <v>0.87888749999999993</v>
      </c>
      <c r="AV326" s="132">
        <f>IFERROR(AVERAGEIF(Prod[[#This Row],[S1%]:[S3%]], "&lt;&gt;0"),0)</f>
        <v>0.97072330246913563</v>
      </c>
      <c r="AW326" s="132">
        <v>0</v>
      </c>
      <c r="AX326" s="132">
        <v>0</v>
      </c>
      <c r="AY326" s="132">
        <v>0</v>
      </c>
      <c r="AZ326" s="175">
        <f>IF(Prod[[#This Row],[S1Cycle]]&lt;&gt;0,1,0)</f>
        <v>1</v>
      </c>
      <c r="BA326" s="175">
        <f>IF(Prod[[#This Row],[S2Cycle]]&lt;&gt;0,1,0)</f>
        <v>1</v>
      </c>
      <c r="BB326" s="175">
        <f>IF(Prod[[#This Row],[S3Cycle]]&lt;&gt;0,1,0)</f>
        <v>1</v>
      </c>
      <c r="BC326" s="175">
        <f>MAX(Prod[[#This Row],[S1Cavity]],Prod[[#This Row],[S2Cavity]],Prod[[#This Row],[S3Cavity]])</f>
        <v>8</v>
      </c>
      <c r="BD326" s="175" t="b">
        <f>RegExpMatch(Prod[[#This Row],[MoldNo]], "^DEO-(B|C)")</f>
        <v>1</v>
      </c>
      <c r="BE326" s="175" t="b">
        <f>RegExpMatch(Prod[[#This Row],[MoldNo]], "^JAC")</f>
        <v>0</v>
      </c>
    </row>
    <row r="327" spans="1:57" x14ac:dyDescent="0.2">
      <c r="A327" s="117">
        <v>45463</v>
      </c>
      <c r="B327" s="130" t="s">
        <v>176</v>
      </c>
      <c r="C327" s="131" t="s">
        <v>81</v>
      </c>
      <c r="D327" s="119">
        <v>27579</v>
      </c>
      <c r="E327" s="119" t="s">
        <v>199</v>
      </c>
      <c r="F327" s="119">
        <v>814</v>
      </c>
      <c r="G327" s="119" t="str">
        <f>IF(OR(Prod[[#This Row],[S1Hrs]]&gt;0,Prod[[#This Row],[S2Hrs]]&gt;0,Prod[[#This Row],[S3Hrs]]&gt;0),"Running","Down")</f>
        <v>Running</v>
      </c>
      <c r="H327" s="187">
        <v>21.89</v>
      </c>
      <c r="I327" s="141">
        <v>8</v>
      </c>
      <c r="J327" s="120">
        <v>1290</v>
      </c>
      <c r="K327" s="130">
        <v>8</v>
      </c>
      <c r="L327" s="120">
        <f>Prod[[#This Row],[S1Shot]]*Prod[[#This Row],[S1Cavity]]-Prod[[#This Row],[S1Dft]]</f>
        <v>10210</v>
      </c>
      <c r="M327" s="136">
        <f>SUM(Prod[[#This Row],[S1Mold]],Prod[[#This Row],[S1Print]],Prod[[#This Row],[S1Ovlp]],Prod[[#This Row],[S1Seam]],Prod[[#This Row],[S1Dmg]])</f>
        <v>110</v>
      </c>
      <c r="N327" s="187">
        <v>21.78</v>
      </c>
      <c r="O327" s="141">
        <v>6</v>
      </c>
      <c r="P327" s="120">
        <v>1010</v>
      </c>
      <c r="Q327" s="130">
        <v>8</v>
      </c>
      <c r="R327" s="120">
        <f>Prod[[#This Row],[S2Shot]]*Prod[[#This Row],[S2Cavity]]-Prod[[#This Row],[S2Dft]]</f>
        <v>7965</v>
      </c>
      <c r="S327" s="136">
        <f>SUM(Prod[[#This Row],[S2Mold]],Prod[[#This Row],[S2Print]],Prod[[#This Row],[S2Ovlp]],Prod[[#This Row],[S2Seam]],Prod[[#This Row],[S2Dmg]])</f>
        <v>115</v>
      </c>
      <c r="T327" s="187">
        <v>21.83</v>
      </c>
      <c r="U327" s="141">
        <v>6</v>
      </c>
      <c r="V327" s="120">
        <v>868</v>
      </c>
      <c r="W327" s="130">
        <v>8</v>
      </c>
      <c r="X327" s="120">
        <f>Prod[[#This Row],[S3Shot]]*Prod[[#This Row],[S3Cavity]]-Prod[[#This Row],[S3Dft]]</f>
        <v>6874</v>
      </c>
      <c r="Y327" s="120">
        <f>SUM(Prod[[#This Row],[S3Mold]],Prod[[#This Row],[S3Print]],Prod[[#This Row],[S3Ovlp]],Prod[[#This Row],[S3Seam]],Prod[[#This Row],[S3Dmg]])</f>
        <v>70</v>
      </c>
      <c r="Z327" s="120">
        <f>SUM(Prod[[#This Row],[S1Qty]],Prod[[#This Row],[S2Qty]],Prod[[#This Row],[S3Qty]])</f>
        <v>25049</v>
      </c>
      <c r="AA327" s="120">
        <f>SUM(Prod[[#This Row],[S1Dft]],Prod[[#This Row],[S2Dft]],Prod[[#This Row],[S3Dft]])</f>
        <v>295</v>
      </c>
      <c r="AB327" s="121">
        <f>IF(Prod[[#This Row],[Total]]=0,0,Prod[[#This Row],[TotalDft]]/Prod[[#This Row],[Total]])</f>
        <v>1.1776917242205278E-2</v>
      </c>
      <c r="AC327" s="131"/>
      <c r="AD327" s="120">
        <v>20</v>
      </c>
      <c r="AE327" s="120">
        <v>20</v>
      </c>
      <c r="AF327" s="120">
        <v>15</v>
      </c>
      <c r="AG327" s="120">
        <v>90</v>
      </c>
      <c r="AH327" s="120">
        <v>95</v>
      </c>
      <c r="AI327" s="120">
        <v>55</v>
      </c>
      <c r="AJ327" s="120">
        <v>0</v>
      </c>
      <c r="AK327" s="120">
        <v>0</v>
      </c>
      <c r="AL327" s="120">
        <v>0</v>
      </c>
      <c r="AM327" s="120">
        <v>0</v>
      </c>
      <c r="AN327" s="120">
        <v>0</v>
      </c>
      <c r="AO327" s="120">
        <v>0</v>
      </c>
      <c r="AP327" s="120">
        <v>0</v>
      </c>
      <c r="AQ327" s="120">
        <v>0</v>
      </c>
      <c r="AR327" s="120">
        <v>0</v>
      </c>
      <c r="AS327" s="132">
        <f>IF(Prod[[#This Row],[S1Hrs]]=0,0,Prod[[#This Row],[S1Shot]]*Prod[[#This Row],[S1Cycle]]/(Prod[[#This Row],[S1Hrs]]*60*60))</f>
        <v>0.98048958333333336</v>
      </c>
      <c r="AT327" s="132">
        <f>IF(Prod[[#This Row],[S2Hrs]]=0,0,Prod[[#This Row],[S2Shot]]*Prod[[#This Row],[S2Cycle]]/(Prod[[#This Row],[S2Hrs]]*60*60))</f>
        <v>1.0184166666666667</v>
      </c>
      <c r="AU327" s="132">
        <f>IF(Prod[[#This Row],[S3Hrs]]=0,0,Prod[[#This Row],[S3Shot]]*Prod[[#This Row],[S3Cycle]]/(Prod[[#This Row],[S3Hrs]]*60*60))</f>
        <v>0.87724259259259252</v>
      </c>
      <c r="AV327" s="132">
        <f>IFERROR(AVERAGEIF(Prod[[#This Row],[S1%]:[S3%]], "&lt;&gt;0"),0)</f>
        <v>0.95871628086419758</v>
      </c>
      <c r="AW327" s="132">
        <v>0</v>
      </c>
      <c r="AX327" s="132">
        <v>0</v>
      </c>
      <c r="AY327" s="132">
        <v>0</v>
      </c>
      <c r="AZ327" s="175">
        <f>IF(Prod[[#This Row],[S1Cycle]]&lt;&gt;0,1,0)</f>
        <v>1</v>
      </c>
      <c r="BA327" s="175">
        <f>IF(Prod[[#This Row],[S2Cycle]]&lt;&gt;0,1,0)</f>
        <v>1</v>
      </c>
      <c r="BB327" s="175">
        <f>IF(Prod[[#This Row],[S3Cycle]]&lt;&gt;0,1,0)</f>
        <v>1</v>
      </c>
      <c r="BC327" s="175">
        <f>MAX(Prod[[#This Row],[S1Cavity]],Prod[[#This Row],[S2Cavity]],Prod[[#This Row],[S3Cavity]])</f>
        <v>8</v>
      </c>
      <c r="BD327" s="175" t="b">
        <f>RegExpMatch(Prod[[#This Row],[MoldNo]], "^DEO-(B|C)")</f>
        <v>1</v>
      </c>
      <c r="BE327" s="175" t="b">
        <f>RegExpMatch(Prod[[#This Row],[MoldNo]], "^JAC")</f>
        <v>0</v>
      </c>
    </row>
    <row r="328" spans="1:57" x14ac:dyDescent="0.2">
      <c r="A328" s="117">
        <v>45463</v>
      </c>
      <c r="B328" s="130" t="s">
        <v>176</v>
      </c>
      <c r="C328" s="131" t="s">
        <v>81</v>
      </c>
      <c r="D328" s="119">
        <v>27577</v>
      </c>
      <c r="E328" s="119" t="s">
        <v>199</v>
      </c>
      <c r="F328" s="119">
        <v>814</v>
      </c>
      <c r="G328" s="119" t="str">
        <f>IF(OR(Prod[[#This Row],[S1Hrs]]&gt;0,Prod[[#This Row],[S2Hrs]]&gt;0,Prod[[#This Row],[S3Hrs]]&gt;0),"Running","Down")</f>
        <v>Running</v>
      </c>
      <c r="H328" s="187">
        <v>0</v>
      </c>
      <c r="I328" s="141">
        <v>0</v>
      </c>
      <c r="J328" s="120">
        <v>0</v>
      </c>
      <c r="K328" s="130">
        <v>0</v>
      </c>
      <c r="L328" s="120">
        <f>Prod[[#This Row],[S1Shot]]*Prod[[#This Row],[S1Cavity]]-Prod[[#This Row],[S1Dft]]</f>
        <v>0</v>
      </c>
      <c r="M328" s="136">
        <f>SUM(Prod[[#This Row],[S1Mold]],Prod[[#This Row],[S1Print]],Prod[[#This Row],[S1Ovlp]],Prod[[#This Row],[S1Seam]],Prod[[#This Row],[S1Dmg]])</f>
        <v>0</v>
      </c>
      <c r="N328" s="187">
        <v>0</v>
      </c>
      <c r="O328" s="141">
        <v>0</v>
      </c>
      <c r="P328" s="120">
        <v>0</v>
      </c>
      <c r="Q328" s="130">
        <v>0</v>
      </c>
      <c r="R328" s="120">
        <f>Prod[[#This Row],[S2Shot]]*Prod[[#This Row],[S2Cavity]]-Prod[[#This Row],[S2Dft]]</f>
        <v>0</v>
      </c>
      <c r="S328" s="136">
        <f>SUM(Prod[[#This Row],[S2Mold]],Prod[[#This Row],[S2Print]],Prod[[#This Row],[S2Ovlp]],Prod[[#This Row],[S2Seam]],Prod[[#This Row],[S2Dmg]])</f>
        <v>0</v>
      </c>
      <c r="T328" s="187">
        <v>21.79</v>
      </c>
      <c r="U328" s="141">
        <v>2</v>
      </c>
      <c r="V328" s="120">
        <v>316</v>
      </c>
      <c r="W328" s="130">
        <v>8</v>
      </c>
      <c r="X328" s="120">
        <f>Prod[[#This Row],[S3Shot]]*Prod[[#This Row],[S3Cavity]]-Prod[[#This Row],[S3Dft]]</f>
        <v>2503</v>
      </c>
      <c r="Y328" s="120">
        <f>SUM(Prod[[#This Row],[S3Mold]],Prod[[#This Row],[S3Print]],Prod[[#This Row],[S3Ovlp]],Prod[[#This Row],[S3Seam]],Prod[[#This Row],[S3Dmg]])</f>
        <v>25</v>
      </c>
      <c r="Z328" s="120">
        <f>SUM(Prod[[#This Row],[S1Qty]],Prod[[#This Row],[S2Qty]],Prod[[#This Row],[S3Qty]])</f>
        <v>2503</v>
      </c>
      <c r="AA328" s="120">
        <f>SUM(Prod[[#This Row],[S1Dft]],Prod[[#This Row],[S2Dft]],Prod[[#This Row],[S3Dft]])</f>
        <v>25</v>
      </c>
      <c r="AB328" s="121">
        <f>IF(Prod[[#This Row],[Total]]=0,0,Prod[[#This Row],[TotalDft]]/Prod[[#This Row],[Total]])</f>
        <v>9.9880143827407106E-3</v>
      </c>
      <c r="AC328" s="131"/>
      <c r="AD328" s="120">
        <v>0</v>
      </c>
      <c r="AE328" s="120">
        <v>0</v>
      </c>
      <c r="AF328" s="120">
        <v>5</v>
      </c>
      <c r="AG328" s="120">
        <v>0</v>
      </c>
      <c r="AH328" s="120">
        <v>0</v>
      </c>
      <c r="AI328" s="120">
        <v>20</v>
      </c>
      <c r="AJ328" s="120">
        <v>0</v>
      </c>
      <c r="AK328" s="120">
        <v>0</v>
      </c>
      <c r="AL328" s="120">
        <v>0</v>
      </c>
      <c r="AM328" s="120">
        <v>0</v>
      </c>
      <c r="AN328" s="120">
        <v>0</v>
      </c>
      <c r="AO328" s="120">
        <v>0</v>
      </c>
      <c r="AP328" s="120">
        <v>0</v>
      </c>
      <c r="AQ328" s="120">
        <v>0</v>
      </c>
      <c r="AR328" s="120">
        <v>0</v>
      </c>
      <c r="AS328" s="132">
        <f>IF(Prod[[#This Row],[S1Hrs]]=0,0,Prod[[#This Row],[S1Shot]]*Prod[[#This Row],[S1Cycle]]/(Prod[[#This Row],[S1Hrs]]*60*60))</f>
        <v>0</v>
      </c>
      <c r="AT328" s="132">
        <f>IF(Prod[[#This Row],[S2Hrs]]=0,0,Prod[[#This Row],[S2Shot]]*Prod[[#This Row],[S2Cycle]]/(Prod[[#This Row],[S2Hrs]]*60*60))</f>
        <v>0</v>
      </c>
      <c r="AU328" s="132">
        <f>IF(Prod[[#This Row],[S3Hrs]]=0,0,Prod[[#This Row],[S3Shot]]*Prod[[#This Row],[S3Cycle]]/(Prod[[#This Row],[S3Hrs]]*60*60))</f>
        <v>0.95633888888888885</v>
      </c>
      <c r="AV328" s="132">
        <f>IFERROR(AVERAGEIF(Prod[[#This Row],[S1%]:[S3%]], "&lt;&gt;0"),0)</f>
        <v>0.95633888888888885</v>
      </c>
      <c r="AW328" s="132">
        <v>0</v>
      </c>
      <c r="AX328" s="132">
        <v>0</v>
      </c>
      <c r="AY328" s="132">
        <v>0</v>
      </c>
      <c r="AZ328" s="175">
        <f>IF(Prod[[#This Row],[S1Cycle]]&lt;&gt;0,1,0)</f>
        <v>0</v>
      </c>
      <c r="BA328" s="175">
        <f>IF(Prod[[#This Row],[S2Cycle]]&lt;&gt;0,1,0)</f>
        <v>0</v>
      </c>
      <c r="BB328" s="175">
        <f>IF(Prod[[#This Row],[S3Cycle]]&lt;&gt;0,1,0)</f>
        <v>1</v>
      </c>
      <c r="BC328" s="175">
        <f>MAX(Prod[[#This Row],[S1Cavity]],Prod[[#This Row],[S2Cavity]],Prod[[#This Row],[S3Cavity]])</f>
        <v>8</v>
      </c>
      <c r="BD328" s="175" t="b">
        <f>RegExpMatch(Prod[[#This Row],[MoldNo]], "^DEO-(B|C)")</f>
        <v>1</v>
      </c>
      <c r="BE328" s="175" t="b">
        <f>RegExpMatch(Prod[[#This Row],[MoldNo]], "^JAC")</f>
        <v>0</v>
      </c>
    </row>
    <row r="329" spans="1:57" x14ac:dyDescent="0.2">
      <c r="A329" s="117">
        <v>45463</v>
      </c>
      <c r="B329" s="130" t="s">
        <v>253</v>
      </c>
      <c r="C329" s="131" t="s">
        <v>9</v>
      </c>
      <c r="D329" s="119">
        <v>27581</v>
      </c>
      <c r="E329" s="131" t="s">
        <v>199</v>
      </c>
      <c r="F329" s="119">
        <v>814</v>
      </c>
      <c r="G329" s="119" t="str">
        <f>IF(OR(Prod[[#This Row],[S1Hrs]]&gt;0,Prod[[#This Row],[S2Hrs]]&gt;0,Prod[[#This Row],[S3Hrs]]&gt;0),"Running","Down")</f>
        <v>Running</v>
      </c>
      <c r="H329" s="187">
        <v>15.08</v>
      </c>
      <c r="I329" s="141">
        <v>8</v>
      </c>
      <c r="J329" s="120">
        <v>1776</v>
      </c>
      <c r="K329" s="130">
        <v>7</v>
      </c>
      <c r="L329" s="120">
        <f>Prod[[#This Row],[S1Shot]]*Prod[[#This Row],[S1Cavity]]-Prod[[#This Row],[S1Dft]]</f>
        <v>12432</v>
      </c>
      <c r="M329" s="134"/>
      <c r="N329" s="187">
        <v>15.13</v>
      </c>
      <c r="O329" s="141">
        <v>6</v>
      </c>
      <c r="P329" s="120">
        <v>1359</v>
      </c>
      <c r="Q329" s="130">
        <v>7</v>
      </c>
      <c r="R329" s="120">
        <f>Prod[[#This Row],[S2Shot]]*Prod[[#This Row],[S2Cavity]]-Prod[[#This Row],[S2Dft]]</f>
        <v>9513</v>
      </c>
      <c r="S329" s="134"/>
      <c r="T329" s="187">
        <v>15.12</v>
      </c>
      <c r="U329" s="141">
        <v>8</v>
      </c>
      <c r="V329" s="120">
        <v>1778</v>
      </c>
      <c r="W329" s="130">
        <v>7</v>
      </c>
      <c r="X329" s="120">
        <f>Prod[[#This Row],[S3Shot]]*Prod[[#This Row],[S3Cavity]]-Prod[[#This Row],[S3Dft]]</f>
        <v>12446</v>
      </c>
      <c r="Y329" s="134"/>
      <c r="Z329" s="120">
        <f>SUM(Prod[[#This Row],[S1Qty]],Prod[[#This Row],[S2Qty]],Prod[[#This Row],[S3Qty]])</f>
        <v>34391</v>
      </c>
      <c r="AA329" s="134"/>
      <c r="AB329" s="135"/>
      <c r="AC329" s="118"/>
      <c r="AD329" s="134"/>
      <c r="AE329" s="134"/>
      <c r="AF329" s="134"/>
      <c r="AG329" s="134"/>
      <c r="AH329" s="134"/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2">
        <f>IF(Prod[[#This Row],[S1Hrs]]=0,0,Prod[[#This Row],[S1Shot]]*Prod[[#This Row],[S1Cycle]]/(Prod[[#This Row],[S1Hrs]]*60*60))</f>
        <v>0.92993333333333339</v>
      </c>
      <c r="AT329" s="132">
        <f>IF(Prod[[#This Row],[S2Hrs]]=0,0,Prod[[#This Row],[S2Shot]]*Prod[[#This Row],[S2Cycle]]/(Prod[[#This Row],[S2Hrs]]*60*60))</f>
        <v>0.95192916666666672</v>
      </c>
      <c r="AU329" s="132">
        <f>IF(Prod[[#This Row],[S3Hrs]]=0,0,Prod[[#This Row],[S3Shot]]*Prod[[#This Row],[S3Cycle]]/(Prod[[#This Row],[S3Hrs]]*60*60))</f>
        <v>0.93344999999999989</v>
      </c>
      <c r="AV329" s="132">
        <f>IFERROR(AVERAGEIF(Prod[[#This Row],[S1%]:[S3%]], "&lt;&gt;0"),0)</f>
        <v>0.93843750000000004</v>
      </c>
      <c r="AW329" s="132">
        <v>0</v>
      </c>
      <c r="AX329" s="132">
        <v>0</v>
      </c>
      <c r="AY329" s="132">
        <v>0</v>
      </c>
      <c r="AZ329" s="175">
        <f>IF(Prod[[#This Row],[S1Cycle]]&lt;&gt;0,1,0)</f>
        <v>1</v>
      </c>
      <c r="BA329" s="175">
        <f>IF(Prod[[#This Row],[S2Cycle]]&lt;&gt;0,1,0)</f>
        <v>1</v>
      </c>
      <c r="BB329" s="175">
        <f>IF(Prod[[#This Row],[S3Cycle]]&lt;&gt;0,1,0)</f>
        <v>1</v>
      </c>
      <c r="BC329" s="175">
        <f>MAX(Prod[[#This Row],[S1Cavity]],Prod[[#This Row],[S2Cavity]],Prod[[#This Row],[S3Cavity]])</f>
        <v>7</v>
      </c>
      <c r="BD329" s="175" t="b">
        <f>RegExpMatch(Prod[[#This Row],[MoldNo]], "^DEO-(B|C)")</f>
        <v>0</v>
      </c>
      <c r="BE329" s="175" t="b">
        <f>RegExpMatch(Prod[[#This Row],[MoldNo]], "^JAC")</f>
        <v>0</v>
      </c>
    </row>
    <row r="330" spans="1:57" x14ac:dyDescent="0.2">
      <c r="A330" s="117">
        <v>45463</v>
      </c>
      <c r="B330" s="130" t="s">
        <v>259</v>
      </c>
      <c r="C330" s="119" t="s">
        <v>145</v>
      </c>
      <c r="D330" s="119">
        <v>28021</v>
      </c>
      <c r="E330" s="131" t="s">
        <v>199</v>
      </c>
      <c r="F330" s="119">
        <v>814</v>
      </c>
      <c r="G330" s="119" t="str">
        <f>IF(OR(Prod[[#This Row],[S1Hrs]]&gt;0,Prod[[#This Row],[S2Hrs]]&gt;0,Prod[[#This Row],[S3Hrs]]&gt;0),"Running","Down")</f>
        <v>Running</v>
      </c>
      <c r="H330" s="187">
        <v>15.16</v>
      </c>
      <c r="I330" s="141">
        <v>8</v>
      </c>
      <c r="J330" s="120">
        <v>1894</v>
      </c>
      <c r="K330" s="130">
        <v>16</v>
      </c>
      <c r="L330" s="120">
        <f>Prod[[#This Row],[S1Shot]]*Prod[[#This Row],[S1Cavity]]-Prod[[#This Row],[S1Dft]]</f>
        <v>30304</v>
      </c>
      <c r="M330" s="134"/>
      <c r="N330" s="187">
        <v>15.6</v>
      </c>
      <c r="O330" s="141">
        <v>6</v>
      </c>
      <c r="P330" s="120">
        <v>1228</v>
      </c>
      <c r="Q330" s="130">
        <v>16</v>
      </c>
      <c r="R330" s="120">
        <f>Prod[[#This Row],[S2Shot]]*Prod[[#This Row],[S2Cavity]]-Prod[[#This Row],[S2Dft]]</f>
        <v>19648</v>
      </c>
      <c r="S330" s="134"/>
      <c r="T330" s="187">
        <v>15.14</v>
      </c>
      <c r="U330" s="141">
        <v>8</v>
      </c>
      <c r="V330" s="120">
        <v>1823</v>
      </c>
      <c r="W330" s="130">
        <v>16</v>
      </c>
      <c r="X330" s="120">
        <f>Prod[[#This Row],[S3Shot]]*Prod[[#This Row],[S3Cavity]]-Prod[[#This Row],[S3Dft]]</f>
        <v>29168</v>
      </c>
      <c r="Y330" s="134"/>
      <c r="Z330" s="120">
        <f>SUM(Prod[[#This Row],[S1Qty]],Prod[[#This Row],[S2Qty]],Prod[[#This Row],[S3Qty]])</f>
        <v>79120</v>
      </c>
      <c r="AA330" s="134"/>
      <c r="AB330" s="135"/>
      <c r="AC330" s="118"/>
      <c r="AD330" s="134"/>
      <c r="AE330" s="134"/>
      <c r="AF330" s="134"/>
      <c r="AG330" s="134"/>
      <c r="AH330" s="134"/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2">
        <f>IF(Prod[[#This Row],[S1Hrs]]=0,0,Prod[[#This Row],[S1Shot]]*Prod[[#This Row],[S1Cycle]]/(Prod[[#This Row],[S1Hrs]]*60*60))</f>
        <v>0.99698055555555554</v>
      </c>
      <c r="AT330" s="132">
        <f>IF(Prod[[#This Row],[S2Hrs]]=0,0,Prod[[#This Row],[S2Shot]]*Prod[[#This Row],[S2Cycle]]/(Prod[[#This Row],[S2Hrs]]*60*60))</f>
        <v>0.88688888888888884</v>
      </c>
      <c r="AU330" s="132">
        <f>IF(Prod[[#This Row],[S3Hrs]]=0,0,Prod[[#This Row],[S3Shot]]*Prod[[#This Row],[S3Cycle]]/(Prod[[#This Row],[S3Hrs]]*60*60))</f>
        <v>0.95834097222222225</v>
      </c>
      <c r="AV330" s="132">
        <f>IFERROR(AVERAGEIF(Prod[[#This Row],[S1%]:[S3%]], "&lt;&gt;0"),0)</f>
        <v>0.94740347222222221</v>
      </c>
      <c r="AW330" s="132">
        <v>0</v>
      </c>
      <c r="AX330" s="132">
        <v>0</v>
      </c>
      <c r="AY330" s="132">
        <v>0</v>
      </c>
      <c r="AZ330" s="175">
        <f>IF(Prod[[#This Row],[S1Cycle]]&lt;&gt;0,1,0)</f>
        <v>1</v>
      </c>
      <c r="BA330" s="175">
        <f>IF(Prod[[#This Row],[S2Cycle]]&lt;&gt;0,1,0)</f>
        <v>1</v>
      </c>
      <c r="BB330" s="175">
        <f>IF(Prod[[#This Row],[S3Cycle]]&lt;&gt;0,1,0)</f>
        <v>1</v>
      </c>
      <c r="BC330" s="175">
        <f>MAX(Prod[[#This Row],[S1Cavity]],Prod[[#This Row],[S2Cavity]],Prod[[#This Row],[S3Cavity]])</f>
        <v>16</v>
      </c>
      <c r="BD330" s="175" t="b">
        <f>RegExpMatch(Prod[[#This Row],[MoldNo]], "^DEO-(B|C)")</f>
        <v>0</v>
      </c>
      <c r="BE330" s="175" t="b">
        <f>RegExpMatch(Prod[[#This Row],[MoldNo]], "^JAC")</f>
        <v>0</v>
      </c>
    </row>
    <row r="331" spans="1:57" x14ac:dyDescent="0.2">
      <c r="A331" s="117">
        <v>45464</v>
      </c>
      <c r="B331" s="120" t="s">
        <v>190</v>
      </c>
      <c r="C331" s="119" t="s">
        <v>153</v>
      </c>
      <c r="D331" s="119">
        <v>27422</v>
      </c>
      <c r="E331" s="131" t="s">
        <v>199</v>
      </c>
      <c r="F331" s="119">
        <v>6331</v>
      </c>
      <c r="G331" s="249" t="str">
        <f>IF(OR(Prod[[#This Row],[S1Hrs]]&gt;0,Prod[[#This Row],[S2Hrs]]&gt;0,Prod[[#This Row],[S3Hrs]]&gt;0),"Running","Down")</f>
        <v>Running</v>
      </c>
      <c r="H331" s="250">
        <v>22.68</v>
      </c>
      <c r="I331" s="141">
        <v>8</v>
      </c>
      <c r="J331" s="120">
        <v>1332</v>
      </c>
      <c r="K331" s="130">
        <v>4</v>
      </c>
      <c r="L331" s="120">
        <f>Prod[[#This Row],[S1Shot]]*Prod[[#This Row],[S1Cavity]]-Prod[[#This Row],[S1Dft]]</f>
        <v>5321</v>
      </c>
      <c r="M331" s="136">
        <f>SUM(Prod[[#This Row],[S1Mold]],Prod[[#This Row],[S1Print]],Prod[[#This Row],[S1Ovlp]],Prod[[#This Row],[S1Seam]],Prod[[#This Row],[S1Dmg]])</f>
        <v>7</v>
      </c>
      <c r="N331" s="250">
        <v>22.69</v>
      </c>
      <c r="O331" s="141">
        <v>8</v>
      </c>
      <c r="P331" s="120">
        <v>1207</v>
      </c>
      <c r="Q331" s="130">
        <v>4</v>
      </c>
      <c r="R331" s="120">
        <f>Prod[[#This Row],[S2Shot]]*Prod[[#This Row],[S2Cavity]]-Prod[[#This Row],[S2Dft]]</f>
        <v>4821</v>
      </c>
      <c r="S331" s="136">
        <f>SUM(Prod[[#This Row],[S2Mold]],Prod[[#This Row],[S2Print]],Prod[[#This Row],[S2Ovlp]],Prod[[#This Row],[S2Seam]],Prod[[#This Row],[S2Dmg]])</f>
        <v>7</v>
      </c>
      <c r="T331" s="250">
        <v>22.66</v>
      </c>
      <c r="U331" s="141">
        <v>8</v>
      </c>
      <c r="V331" s="120">
        <v>1209</v>
      </c>
      <c r="W331" s="130">
        <v>4</v>
      </c>
      <c r="X331" s="120">
        <f>Prod[[#This Row],[S3Shot]]*Prod[[#This Row],[S3Cavity]]-Prod[[#This Row],[S3Dft]]</f>
        <v>4828</v>
      </c>
      <c r="Y331" s="120">
        <f>SUM(Prod[[#This Row],[S3Mold]],Prod[[#This Row],[S3Print]],Prod[[#This Row],[S3Ovlp]],Prod[[#This Row],[S3Seam]],Prod[[#This Row],[S3Dmg]])</f>
        <v>8</v>
      </c>
      <c r="Z331" s="120">
        <f>SUM(Prod[[#This Row],[S1Qty]],Prod[[#This Row],[S2Qty]],Prod[[#This Row],[S3Qty]])</f>
        <v>14970</v>
      </c>
      <c r="AA331" s="120">
        <f>SUM(Prod[[#This Row],[S1Dft]],Prod[[#This Row],[S2Dft]],Prod[[#This Row],[S3Dft]])</f>
        <v>22</v>
      </c>
      <c r="AB331" s="121">
        <f>IF(Prod[[#This Row],[Total]]=0,0,Prod[[#This Row],[TotalDft]]/Prod[[#This Row],[Total]])</f>
        <v>1.4696058784235137E-3</v>
      </c>
      <c r="AC331" s="118"/>
      <c r="AD331" s="120">
        <v>7</v>
      </c>
      <c r="AE331" s="120">
        <v>7</v>
      </c>
      <c r="AF331" s="120">
        <v>8</v>
      </c>
      <c r="AG331" s="120">
        <v>0</v>
      </c>
      <c r="AH331" s="120">
        <v>0</v>
      </c>
      <c r="AI331" s="120">
        <v>0</v>
      </c>
      <c r="AJ331" s="120">
        <v>0</v>
      </c>
      <c r="AK331" s="120">
        <v>0</v>
      </c>
      <c r="AL331" s="120">
        <v>0</v>
      </c>
      <c r="AM331" s="120">
        <v>0</v>
      </c>
      <c r="AN331" s="120">
        <v>0</v>
      </c>
      <c r="AO331" s="120">
        <v>0</v>
      </c>
      <c r="AP331" s="120">
        <v>0</v>
      </c>
      <c r="AQ331" s="120">
        <v>0</v>
      </c>
      <c r="AR331" s="120">
        <v>0</v>
      </c>
      <c r="AS331" s="132">
        <f>IF(Prod[[#This Row],[S1Hrs]]=0,0,Prod[[#This Row],[S1Shot]]*Prod[[#This Row],[S1Cycle]]/(Prod[[#This Row],[S1Hrs]]*60*60))</f>
        <v>1.04895</v>
      </c>
      <c r="AT331" s="132">
        <f>IF(Prod[[#This Row],[S2Hrs]]=0,0,Prod[[#This Row],[S2Shot]]*Prod[[#This Row],[S2Cycle]]/(Prod[[#This Row],[S2Hrs]]*60*60))</f>
        <v>0.95093159722222231</v>
      </c>
      <c r="AU331" s="132">
        <f>IF(Prod[[#This Row],[S3Hrs]]=0,0,Prod[[#This Row],[S3Shot]]*Prod[[#This Row],[S3Cycle]]/(Prod[[#This Row],[S3Hrs]]*60*60))</f>
        <v>0.95124791666666664</v>
      </c>
      <c r="AV331" s="132">
        <f>IFERROR(AVERAGEIF(Prod[[#This Row],[S1%]:[S3%]], "&lt;&gt;0"),0)</f>
        <v>0.98370983796296307</v>
      </c>
      <c r="AW331" s="132">
        <v>0</v>
      </c>
      <c r="AX331" s="132">
        <v>0</v>
      </c>
      <c r="AY331" s="132">
        <v>0</v>
      </c>
      <c r="AZ331" s="175">
        <f>IF(Prod[[#This Row],[S1Cycle]]&lt;&gt;0,1,0)</f>
        <v>1</v>
      </c>
      <c r="BA331" s="175">
        <f>IF(Prod[[#This Row],[S2Cycle]]&lt;&gt;0,1,0)</f>
        <v>1</v>
      </c>
      <c r="BB331" s="175">
        <f>IF(Prod[[#This Row],[S3Cycle]]&lt;&gt;0,1,0)</f>
        <v>1</v>
      </c>
      <c r="BC331" s="175">
        <f>MAX(Prod[[#This Row],[S1Cavity]],Prod[[#This Row],[S2Cavity]],Prod[[#This Row],[S3Cavity]])</f>
        <v>4</v>
      </c>
      <c r="BD331" s="175" t="b">
        <f>RegExpMatch(Prod[[#This Row],[MoldNo]], "^DEO-(B|C)")</f>
        <v>0</v>
      </c>
      <c r="BE331" s="175" t="b">
        <f>RegExpMatch(Prod[[#This Row],[MoldNo]], "^JAC")</f>
        <v>1</v>
      </c>
    </row>
    <row r="332" spans="1:57" x14ac:dyDescent="0.2">
      <c r="A332" s="117">
        <v>45464</v>
      </c>
      <c r="B332" s="130" t="s">
        <v>6</v>
      </c>
      <c r="C332" s="131" t="s">
        <v>8</v>
      </c>
      <c r="D332" s="119">
        <v>28210</v>
      </c>
      <c r="E332" s="131" t="s">
        <v>199</v>
      </c>
      <c r="F332" s="119">
        <v>6331</v>
      </c>
      <c r="G332" s="249" t="str">
        <f>IF(OR(Prod[[#This Row],[S1Hrs]]&gt;0,Prod[[#This Row],[S2Hrs]]&gt;0,Prod[[#This Row],[S3Hrs]]&gt;0),"Running","Down")</f>
        <v>Running</v>
      </c>
      <c r="H332" s="250">
        <v>22.2</v>
      </c>
      <c r="I332" s="141">
        <v>4</v>
      </c>
      <c r="J332" s="120">
        <v>487</v>
      </c>
      <c r="K332" s="130">
        <v>8</v>
      </c>
      <c r="L332" s="120">
        <f>Prod[[#This Row],[S1Shot]]*Prod[[#This Row],[S1Cavity]]-Prod[[#This Row],[S1Dft]]</f>
        <v>3836</v>
      </c>
      <c r="M332" s="136">
        <f>SUM(Prod[[#This Row],[S1Mold]],Prod[[#This Row],[S1Print]],Prod[[#This Row],[S1Ovlp]],Prod[[#This Row],[S1Seam]],Prod[[#This Row],[S1Dmg]])</f>
        <v>60</v>
      </c>
      <c r="N332" s="250">
        <v>21.82</v>
      </c>
      <c r="O332" s="141">
        <v>8</v>
      </c>
      <c r="P332" s="120">
        <v>1360</v>
      </c>
      <c r="Q332" s="130">
        <v>8</v>
      </c>
      <c r="R332" s="120">
        <f>Prod[[#This Row],[S2Shot]]*Prod[[#This Row],[S2Cavity]]-Prod[[#This Row],[S2Dft]]</f>
        <v>10760</v>
      </c>
      <c r="S332" s="136">
        <f>SUM(Prod[[#This Row],[S2Mold]],Prod[[#This Row],[S2Print]],Prod[[#This Row],[S2Ovlp]],Prod[[#This Row],[S2Seam]],Prod[[#This Row],[S2Dmg]])</f>
        <v>120</v>
      </c>
      <c r="T332" s="250">
        <v>0</v>
      </c>
      <c r="U332" s="141">
        <v>0</v>
      </c>
      <c r="V332" s="120">
        <v>0</v>
      </c>
      <c r="W332" s="130">
        <v>0</v>
      </c>
      <c r="X332" s="120">
        <f>Prod[[#This Row],[S3Shot]]*Prod[[#This Row],[S3Cavity]]-Prod[[#This Row],[S3Dft]]</f>
        <v>0</v>
      </c>
      <c r="Y332" s="120">
        <f>SUM(Prod[[#This Row],[S3Mold]],Prod[[#This Row],[S3Print]],Prod[[#This Row],[S3Ovlp]],Prod[[#This Row],[S3Seam]],Prod[[#This Row],[S3Dmg]])</f>
        <v>0</v>
      </c>
      <c r="Z332" s="120">
        <f>SUM(Prod[[#This Row],[S1Qty]],Prod[[#This Row],[S2Qty]],Prod[[#This Row],[S3Qty]])</f>
        <v>14596</v>
      </c>
      <c r="AA332" s="120">
        <f>SUM(Prod[[#This Row],[S1Dft]],Prod[[#This Row],[S2Dft]],Prod[[#This Row],[S3Dft]])</f>
        <v>180</v>
      </c>
      <c r="AB332" s="121">
        <f>IF(Prod[[#This Row],[Total]]=0,0,Prod[[#This Row],[TotalDft]]/Prod[[#This Row],[Total]])</f>
        <v>1.2332145793368046E-2</v>
      </c>
      <c r="AC332" s="131"/>
      <c r="AD332" s="120">
        <v>10</v>
      </c>
      <c r="AE332" s="120">
        <v>25</v>
      </c>
      <c r="AF332" s="120">
        <v>0</v>
      </c>
      <c r="AG332" s="120">
        <v>50</v>
      </c>
      <c r="AH332" s="120">
        <v>95</v>
      </c>
      <c r="AI332" s="120">
        <v>0</v>
      </c>
      <c r="AJ332" s="120">
        <v>0</v>
      </c>
      <c r="AK332" s="120">
        <v>0</v>
      </c>
      <c r="AL332" s="120">
        <v>0</v>
      </c>
      <c r="AM332" s="120">
        <v>0</v>
      </c>
      <c r="AN332" s="120">
        <v>0</v>
      </c>
      <c r="AO332" s="120">
        <v>0</v>
      </c>
      <c r="AP332" s="120">
        <v>0</v>
      </c>
      <c r="AQ332" s="120">
        <v>0</v>
      </c>
      <c r="AR332" s="120">
        <v>0</v>
      </c>
      <c r="AS332" s="132">
        <f>IF(Prod[[#This Row],[S1Hrs]]=0,0,Prod[[#This Row],[S1Shot]]*Prod[[#This Row],[S1Cycle]]/(Prod[[#This Row],[S1Hrs]]*60*60))</f>
        <v>0.75079166666666663</v>
      </c>
      <c r="AT332" s="132">
        <f>IF(Prod[[#This Row],[S2Hrs]]=0,0,Prod[[#This Row],[S2Shot]]*Prod[[#This Row],[S2Cycle]]/(Prod[[#This Row],[S2Hrs]]*60*60))</f>
        <v>1.030388888888889</v>
      </c>
      <c r="AU332" s="132">
        <f>IF(Prod[[#This Row],[S3Hrs]]=0,0,Prod[[#This Row],[S3Shot]]*Prod[[#This Row],[S3Cycle]]/(Prod[[#This Row],[S3Hrs]]*60*60))</f>
        <v>0</v>
      </c>
      <c r="AV332" s="132">
        <f>IFERROR(AVERAGEIF(Prod[[#This Row],[S1%]:[S3%]], "&lt;&gt;0"),0)</f>
        <v>0.89059027777777788</v>
      </c>
      <c r="AW332" s="132">
        <v>0</v>
      </c>
      <c r="AX332" s="132">
        <v>0</v>
      </c>
      <c r="AY332" s="132">
        <v>0</v>
      </c>
      <c r="AZ332" s="175">
        <f>IF(Prod[[#This Row],[S1Cycle]]&lt;&gt;0,1,0)</f>
        <v>1</v>
      </c>
      <c r="BA332" s="175">
        <f>IF(Prod[[#This Row],[S2Cycle]]&lt;&gt;0,1,0)</f>
        <v>1</v>
      </c>
      <c r="BB332" s="175">
        <f>IF(Prod[[#This Row],[S3Cycle]]&lt;&gt;0,1,0)</f>
        <v>0</v>
      </c>
      <c r="BC332" s="175">
        <f>MAX(Prod[[#This Row],[S1Cavity]],Prod[[#This Row],[S2Cavity]],Prod[[#This Row],[S3Cavity]])</f>
        <v>8</v>
      </c>
      <c r="BD332" s="175" t="b">
        <f>RegExpMatch(Prod[[#This Row],[MoldNo]], "^DEO-(B|C)")</f>
        <v>1</v>
      </c>
      <c r="BE332" s="175" t="b">
        <f>RegExpMatch(Prod[[#This Row],[MoldNo]], "^JAC")</f>
        <v>0</v>
      </c>
    </row>
    <row r="333" spans="1:57" x14ac:dyDescent="0.2">
      <c r="A333" s="117">
        <v>45464</v>
      </c>
      <c r="B333" s="130" t="s">
        <v>6</v>
      </c>
      <c r="C333" s="131" t="s">
        <v>8</v>
      </c>
      <c r="D333" s="119">
        <v>27706</v>
      </c>
      <c r="E333" s="131" t="s">
        <v>199</v>
      </c>
      <c r="F333" s="119">
        <v>6331</v>
      </c>
      <c r="G333" s="249" t="str">
        <f>IF(OR(Prod[[#This Row],[S1Hrs]]&gt;0,Prod[[#This Row],[S2Hrs]]&gt;0,Prod[[#This Row],[S3Hrs]]&gt;0),"Running","Down")</f>
        <v>Running</v>
      </c>
      <c r="H333" s="250">
        <v>22.2</v>
      </c>
      <c r="I333" s="141">
        <v>4</v>
      </c>
      <c r="J333" s="120">
        <v>633</v>
      </c>
      <c r="K333" s="130">
        <v>8</v>
      </c>
      <c r="L333" s="120">
        <f>Prod[[#This Row],[S1Shot]]*Prod[[#This Row],[S1Cavity]]-Prod[[#This Row],[S1Dft]]</f>
        <v>4999</v>
      </c>
      <c r="M333" s="136">
        <f>SUM(Prod[[#This Row],[S1Mold]],Prod[[#This Row],[S1Print]],Prod[[#This Row],[S1Ovlp]],Prod[[#This Row],[S1Seam]],Prod[[#This Row],[S1Dmg]])</f>
        <v>65</v>
      </c>
      <c r="N333" s="250">
        <v>0</v>
      </c>
      <c r="O333" s="141">
        <v>0</v>
      </c>
      <c r="P333" s="120">
        <v>0</v>
      </c>
      <c r="Q333" s="130">
        <v>0</v>
      </c>
      <c r="R333" s="120">
        <f>Prod[[#This Row],[S2Shot]]*Prod[[#This Row],[S2Cavity]]-Prod[[#This Row],[S2Dft]]</f>
        <v>0</v>
      </c>
      <c r="S333" s="136">
        <f>SUM(Prod[[#This Row],[S2Mold]],Prod[[#This Row],[S2Print]],Prod[[#This Row],[S2Ovlp]],Prod[[#This Row],[S2Seam]],Prod[[#This Row],[S2Dmg]])</f>
        <v>0</v>
      </c>
      <c r="T333" s="250">
        <v>21.89</v>
      </c>
      <c r="U333" s="141">
        <v>8</v>
      </c>
      <c r="V333" s="120">
        <v>1229</v>
      </c>
      <c r="W333" s="130">
        <v>8</v>
      </c>
      <c r="X333" s="120">
        <f>Prod[[#This Row],[S3Shot]]*Prod[[#This Row],[S3Cavity]]-Prod[[#This Row],[S3Dft]]</f>
        <v>9712</v>
      </c>
      <c r="Y333" s="120">
        <f>SUM(Prod[[#This Row],[S3Mold]],Prod[[#This Row],[S3Print]],Prod[[#This Row],[S3Ovlp]],Prod[[#This Row],[S3Seam]],Prod[[#This Row],[S3Dmg]])</f>
        <v>120</v>
      </c>
      <c r="Z333" s="120">
        <f>SUM(Prod[[#This Row],[S1Qty]],Prod[[#This Row],[S2Qty]],Prod[[#This Row],[S3Qty]])</f>
        <v>14711</v>
      </c>
      <c r="AA333" s="120">
        <f>SUM(Prod[[#This Row],[S1Dft]],Prod[[#This Row],[S2Dft]],Prod[[#This Row],[S3Dft]])</f>
        <v>185</v>
      </c>
      <c r="AB333" s="121">
        <f>IF(Prod[[#This Row],[Total]]=0,0,Prod[[#This Row],[TotalDft]]/Prod[[#This Row],[Total]])</f>
        <v>1.257562368295833E-2</v>
      </c>
      <c r="AC333" s="131"/>
      <c r="AD333" s="120">
        <v>10</v>
      </c>
      <c r="AE333" s="120">
        <v>0</v>
      </c>
      <c r="AF333" s="120">
        <v>20</v>
      </c>
      <c r="AG333" s="120">
        <v>55</v>
      </c>
      <c r="AH333" s="120"/>
      <c r="AI333" s="120">
        <v>100</v>
      </c>
      <c r="AJ333" s="120">
        <v>0</v>
      </c>
      <c r="AK333" s="120">
        <v>0</v>
      </c>
      <c r="AL333" s="120">
        <v>0</v>
      </c>
      <c r="AM333" s="120">
        <v>0</v>
      </c>
      <c r="AN333" s="120">
        <v>0</v>
      </c>
      <c r="AO333" s="120">
        <v>0</v>
      </c>
      <c r="AP333" s="120">
        <v>0</v>
      </c>
      <c r="AQ333" s="120">
        <v>0</v>
      </c>
      <c r="AR333" s="120">
        <v>0</v>
      </c>
      <c r="AS333" s="132">
        <f>IF(Prod[[#This Row],[S1Hrs]]=0,0,Prod[[#This Row],[S1Shot]]*Prod[[#This Row],[S1Cycle]]/(Prod[[#This Row],[S1Hrs]]*60*60))</f>
        <v>0.97587500000000005</v>
      </c>
      <c r="AT333" s="132">
        <f>IF(Prod[[#This Row],[S2Hrs]]=0,0,Prod[[#This Row],[S2Shot]]*Prod[[#This Row],[S2Cycle]]/(Prod[[#This Row],[S2Hrs]]*60*60))</f>
        <v>0</v>
      </c>
      <c r="AU333" s="132">
        <f>IF(Prod[[#This Row],[S3Hrs]]=0,0,Prod[[#This Row],[S3Shot]]*Prod[[#This Row],[S3Cycle]]/(Prod[[#This Row],[S3Hrs]]*60*60))</f>
        <v>0.93412534722222229</v>
      </c>
      <c r="AV333" s="132">
        <f>IFERROR(AVERAGEIF(Prod[[#This Row],[S1%]:[S3%]], "&lt;&gt;0"),0)</f>
        <v>0.95500017361111111</v>
      </c>
      <c r="AW333" s="132">
        <v>0</v>
      </c>
      <c r="AX333" s="132">
        <v>0</v>
      </c>
      <c r="AY333" s="132">
        <v>0</v>
      </c>
      <c r="AZ333" s="175">
        <f>IF(Prod[[#This Row],[S1Cycle]]&lt;&gt;0,1,0)</f>
        <v>1</v>
      </c>
      <c r="BA333" s="175">
        <f>IF(Prod[[#This Row],[S2Cycle]]&lt;&gt;0,1,0)</f>
        <v>0</v>
      </c>
      <c r="BB333" s="175">
        <f>IF(Prod[[#This Row],[S3Cycle]]&lt;&gt;0,1,0)</f>
        <v>1</v>
      </c>
      <c r="BC333" s="175">
        <f>MAX(Prod[[#This Row],[S1Cavity]],Prod[[#This Row],[S2Cavity]],Prod[[#This Row],[S3Cavity]])</f>
        <v>8</v>
      </c>
      <c r="BD333" s="175" t="b">
        <f>RegExpMatch(Prod[[#This Row],[MoldNo]], "^DEO-(B|C)")</f>
        <v>1</v>
      </c>
      <c r="BE333" s="175" t="b">
        <f>RegExpMatch(Prod[[#This Row],[MoldNo]], "^JAC")</f>
        <v>0</v>
      </c>
    </row>
    <row r="334" spans="1:57" x14ac:dyDescent="0.2">
      <c r="A334" s="117">
        <v>45464</v>
      </c>
      <c r="B334" s="120" t="s">
        <v>7</v>
      </c>
      <c r="C334" s="119" t="s">
        <v>172</v>
      </c>
      <c r="D334" s="119">
        <v>27706</v>
      </c>
      <c r="E334" s="131" t="s">
        <v>199</v>
      </c>
      <c r="F334" s="119">
        <v>6331</v>
      </c>
      <c r="G334" s="249" t="str">
        <f>IF(OR(Prod[[#This Row],[S1Hrs]]&gt;0,Prod[[#This Row],[S2Hrs]]&gt;0,Prod[[#This Row],[S3Hrs]]&gt;0),"Running","Down")</f>
        <v>Running</v>
      </c>
      <c r="H334" s="250">
        <v>20.8</v>
      </c>
      <c r="I334" s="141">
        <v>8</v>
      </c>
      <c r="J334" s="120">
        <v>1285</v>
      </c>
      <c r="K334" s="130">
        <v>8</v>
      </c>
      <c r="L334" s="120">
        <f>Prod[[#This Row],[S1Shot]]*Prod[[#This Row],[S1Cavity]]-Prod[[#This Row],[S1Dft]]</f>
        <v>10150</v>
      </c>
      <c r="M334" s="136">
        <f>SUM(Prod[[#This Row],[S1Mold]],Prod[[#This Row],[S1Print]],Prod[[#This Row],[S1Ovlp]],Prod[[#This Row],[S1Seam]],Prod[[#This Row],[S1Dmg]])</f>
        <v>130</v>
      </c>
      <c r="N334" s="250">
        <v>20.9</v>
      </c>
      <c r="O334" s="141">
        <v>8</v>
      </c>
      <c r="P334" s="120">
        <v>1422</v>
      </c>
      <c r="Q334" s="130">
        <v>8</v>
      </c>
      <c r="R334" s="120">
        <f>Prod[[#This Row],[S2Shot]]*Prod[[#This Row],[S2Cavity]]-Prod[[#This Row],[S2Dft]]</f>
        <v>11251</v>
      </c>
      <c r="S334" s="136">
        <f>SUM(Prod[[#This Row],[S2Mold]],Prod[[#This Row],[S2Print]],Prod[[#This Row],[S2Ovlp]],Prod[[#This Row],[S2Seam]],Prod[[#This Row],[S2Dmg]])</f>
        <v>125</v>
      </c>
      <c r="T334" s="250">
        <v>20.82</v>
      </c>
      <c r="U334" s="141">
        <v>8</v>
      </c>
      <c r="V334" s="120">
        <v>1267</v>
      </c>
      <c r="W334" s="130">
        <v>8</v>
      </c>
      <c r="X334" s="120">
        <f>Prod[[#This Row],[S3Shot]]*Prod[[#This Row],[S3Cavity]]-Prod[[#This Row],[S3Dft]]</f>
        <v>10011</v>
      </c>
      <c r="Y334" s="120">
        <f>SUM(Prod[[#This Row],[S3Mold]],Prod[[#This Row],[S3Print]],Prod[[#This Row],[S3Ovlp]],Prod[[#This Row],[S3Seam]],Prod[[#This Row],[S3Dmg]])</f>
        <v>125</v>
      </c>
      <c r="Z334" s="120">
        <f>SUM(Prod[[#This Row],[S1Qty]],Prod[[#This Row],[S2Qty]],Prod[[#This Row],[S3Qty]])</f>
        <v>31412</v>
      </c>
      <c r="AA334" s="120">
        <f>SUM(Prod[[#This Row],[S1Dft]],Prod[[#This Row],[S2Dft]],Prod[[#This Row],[S3Dft]])</f>
        <v>380</v>
      </c>
      <c r="AB334" s="121">
        <f>IF(Prod[[#This Row],[Total]]=0,0,Prod[[#This Row],[TotalDft]]/Prod[[#This Row],[Total]])</f>
        <v>1.2097287660766586E-2</v>
      </c>
      <c r="AC334" s="131"/>
      <c r="AD334" s="120">
        <v>25</v>
      </c>
      <c r="AE334" s="120">
        <v>25</v>
      </c>
      <c r="AF334" s="120">
        <v>20</v>
      </c>
      <c r="AG334" s="120">
        <v>105</v>
      </c>
      <c r="AH334" s="120">
        <v>100</v>
      </c>
      <c r="AI334" s="120">
        <v>105</v>
      </c>
      <c r="AJ334" s="120">
        <v>0</v>
      </c>
      <c r="AK334" s="120">
        <v>0</v>
      </c>
      <c r="AL334" s="120">
        <v>0</v>
      </c>
      <c r="AM334" s="120">
        <v>0</v>
      </c>
      <c r="AN334" s="120">
        <v>0</v>
      </c>
      <c r="AO334" s="120">
        <v>0</v>
      </c>
      <c r="AP334" s="120">
        <v>0</v>
      </c>
      <c r="AQ334" s="120">
        <v>0</v>
      </c>
      <c r="AR334" s="120">
        <v>0</v>
      </c>
      <c r="AS334" s="132">
        <f>IF(Prod[[#This Row],[S1Hrs]]=0,0,Prod[[#This Row],[S1Shot]]*Prod[[#This Row],[S1Cycle]]/(Prod[[#This Row],[S1Hrs]]*60*60))</f>
        <v>0.92805555555555552</v>
      </c>
      <c r="AT334" s="132">
        <f>IF(Prod[[#This Row],[S2Hrs]]=0,0,Prod[[#This Row],[S2Shot]]*Prod[[#This Row],[S2Cycle]]/(Prod[[#This Row],[S2Hrs]]*60*60))</f>
        <v>1.0319375</v>
      </c>
      <c r="AU334" s="132">
        <f>IF(Prod[[#This Row],[S3Hrs]]=0,0,Prod[[#This Row],[S3Shot]]*Prod[[#This Row],[S3Cycle]]/(Prod[[#This Row],[S3Hrs]]*60*60))</f>
        <v>0.91593541666666667</v>
      </c>
      <c r="AV334" s="132">
        <f>IFERROR(AVERAGEIF(Prod[[#This Row],[S1%]:[S3%]], "&lt;&gt;0"),0)</f>
        <v>0.95864282407407408</v>
      </c>
      <c r="AW334" s="132">
        <v>0</v>
      </c>
      <c r="AX334" s="132">
        <v>0</v>
      </c>
      <c r="AY334" s="132">
        <v>0</v>
      </c>
      <c r="AZ334" s="175">
        <f>IF(Prod[[#This Row],[S1Cycle]]&lt;&gt;0,1,0)</f>
        <v>1</v>
      </c>
      <c r="BA334" s="175">
        <f>IF(Prod[[#This Row],[S2Cycle]]&lt;&gt;0,1,0)</f>
        <v>1</v>
      </c>
      <c r="BB334" s="175">
        <f>IF(Prod[[#This Row],[S3Cycle]]&lt;&gt;0,1,0)</f>
        <v>1</v>
      </c>
      <c r="BC334" s="175">
        <f>MAX(Prod[[#This Row],[S1Cavity]],Prod[[#This Row],[S2Cavity]],Prod[[#This Row],[S3Cavity]])</f>
        <v>8</v>
      </c>
      <c r="BD334" s="175" t="b">
        <f>RegExpMatch(Prod[[#This Row],[MoldNo]], "^DEO-(B|C)")</f>
        <v>1</v>
      </c>
      <c r="BE334" s="175" t="b">
        <f>RegExpMatch(Prod[[#This Row],[MoldNo]], "^JAC")</f>
        <v>0</v>
      </c>
    </row>
    <row r="335" spans="1:57" x14ac:dyDescent="0.2">
      <c r="A335" s="117">
        <v>45464</v>
      </c>
      <c r="B335" s="120" t="s">
        <v>85</v>
      </c>
      <c r="C335" s="119" t="s">
        <v>165</v>
      </c>
      <c r="D335" s="119"/>
      <c r="E335" s="131"/>
      <c r="F335" s="119"/>
      <c r="G335" s="249" t="str">
        <f>IF(OR(Prod[[#This Row],[S1Hrs]]&gt;0,Prod[[#This Row],[S2Hrs]]&gt;0,Prod[[#This Row],[S3Hrs]]&gt;0),"Running","Down")</f>
        <v>Down</v>
      </c>
      <c r="H335" s="250">
        <v>0</v>
      </c>
      <c r="I335" s="141">
        <v>0</v>
      </c>
      <c r="J335" s="120">
        <v>0</v>
      </c>
      <c r="K335" s="130">
        <v>0</v>
      </c>
      <c r="L335" s="120">
        <f>Prod[[#This Row],[S1Shot]]*Prod[[#This Row],[S1Cavity]]-Prod[[#This Row],[S1Dft]]</f>
        <v>0</v>
      </c>
      <c r="M335" s="134"/>
      <c r="N335" s="250">
        <v>0</v>
      </c>
      <c r="O335" s="141">
        <v>0</v>
      </c>
      <c r="P335" s="120">
        <v>0</v>
      </c>
      <c r="Q335" s="130">
        <v>0</v>
      </c>
      <c r="R335" s="120">
        <f>Prod[[#This Row],[S2Shot]]*Prod[[#This Row],[S2Cavity]]-Prod[[#This Row],[S2Dft]]</f>
        <v>0</v>
      </c>
      <c r="S335" s="134"/>
      <c r="T335" s="250">
        <v>0</v>
      </c>
      <c r="U335" s="141">
        <v>0</v>
      </c>
      <c r="V335" s="120">
        <v>0</v>
      </c>
      <c r="W335" s="130">
        <v>0</v>
      </c>
      <c r="X335" s="120">
        <f>Prod[[#This Row],[S3Shot]]*Prod[[#This Row],[S3Cavity]]-Prod[[#This Row],[S3Dft]]</f>
        <v>0</v>
      </c>
      <c r="Y335" s="134"/>
      <c r="Z335" s="120">
        <f>SUM(Prod[[#This Row],[S1Qty]],Prod[[#This Row],[S2Qty]],Prod[[#This Row],[S3Qty]])</f>
        <v>0</v>
      </c>
      <c r="AA335" s="134"/>
      <c r="AB335" s="135"/>
      <c r="AC335" s="118"/>
      <c r="AD335" s="134"/>
      <c r="AE335" s="134"/>
      <c r="AF335" s="134"/>
      <c r="AG335" s="134"/>
      <c r="AH335" s="134"/>
      <c r="AI335" s="134"/>
      <c r="AJ335" s="134"/>
      <c r="AK335" s="134"/>
      <c r="AL335" s="134"/>
      <c r="AM335" s="134"/>
      <c r="AN335" s="134"/>
      <c r="AO335" s="134"/>
      <c r="AP335" s="134"/>
      <c r="AQ335" s="134"/>
      <c r="AR335" s="134"/>
      <c r="AS335" s="132">
        <f>IF(Prod[[#This Row],[S1Hrs]]=0,0,Prod[[#This Row],[S1Shot]]*Prod[[#This Row],[S1Cycle]]/(Prod[[#This Row],[S1Hrs]]*60*60))</f>
        <v>0</v>
      </c>
      <c r="AT335" s="132">
        <f>IF(Prod[[#This Row],[S2Hrs]]=0,0,Prod[[#This Row],[S2Shot]]*Prod[[#This Row],[S2Cycle]]/(Prod[[#This Row],[S2Hrs]]*60*60))</f>
        <v>0</v>
      </c>
      <c r="AU335" s="132">
        <f>IF(Prod[[#This Row],[S3Hrs]]=0,0,Prod[[#This Row],[S3Shot]]*Prod[[#This Row],[S3Cycle]]/(Prod[[#This Row],[S3Hrs]]*60*60))</f>
        <v>0</v>
      </c>
      <c r="AV335" s="132">
        <f>IFERROR(AVERAGEIF(Prod[[#This Row],[S1%]:[S3%]], "&lt;&gt;0"),0)</f>
        <v>0</v>
      </c>
      <c r="AW335" s="132">
        <v>0</v>
      </c>
      <c r="AX335" s="132">
        <v>0</v>
      </c>
      <c r="AY335" s="132">
        <v>0</v>
      </c>
      <c r="AZ335" s="175">
        <f>IF(Prod[[#This Row],[S1Cycle]]&lt;&gt;0,1,0)</f>
        <v>0</v>
      </c>
      <c r="BA335" s="175">
        <f>IF(Prod[[#This Row],[S2Cycle]]&lt;&gt;0,1,0)</f>
        <v>0</v>
      </c>
      <c r="BB335" s="175">
        <f>IF(Prod[[#This Row],[S3Cycle]]&lt;&gt;0,1,0)</f>
        <v>0</v>
      </c>
      <c r="BC335" s="175">
        <f>MAX(Prod[[#This Row],[S1Cavity]],Prod[[#This Row],[S2Cavity]],Prod[[#This Row],[S3Cavity]])</f>
        <v>0</v>
      </c>
      <c r="BD335" s="175" t="b">
        <f>RegExpMatch(Prod[[#This Row],[MoldNo]], "^DEO-(B|C)")</f>
        <v>0</v>
      </c>
      <c r="BE335" s="175" t="b">
        <f>RegExpMatch(Prod[[#This Row],[MoldNo]], "^JAC")</f>
        <v>0</v>
      </c>
    </row>
    <row r="336" spans="1:57" x14ac:dyDescent="0.2">
      <c r="A336" s="117">
        <v>45464</v>
      </c>
      <c r="B336" s="120" t="s">
        <v>196</v>
      </c>
      <c r="C336" s="119" t="s">
        <v>82</v>
      </c>
      <c r="D336" s="119"/>
      <c r="E336" s="131"/>
      <c r="F336" s="119"/>
      <c r="G336" s="249" t="str">
        <f>IF(OR(Prod[[#This Row],[S1Hrs]]&gt;0,Prod[[#This Row],[S2Hrs]]&gt;0,Prod[[#This Row],[S3Hrs]]&gt;0),"Running","Down")</f>
        <v>Down</v>
      </c>
      <c r="H336" s="250">
        <v>0</v>
      </c>
      <c r="I336" s="141">
        <v>0</v>
      </c>
      <c r="J336" s="120">
        <v>0</v>
      </c>
      <c r="K336" s="130">
        <v>0</v>
      </c>
      <c r="L336" s="120">
        <f>Prod[[#This Row],[S1Shot]]*Prod[[#This Row],[S1Cavity]]-Prod[[#This Row],[S1Dft]]</f>
        <v>0</v>
      </c>
      <c r="M336" s="134"/>
      <c r="N336" s="250">
        <v>0</v>
      </c>
      <c r="O336" s="141">
        <v>0</v>
      </c>
      <c r="P336" s="120">
        <v>0</v>
      </c>
      <c r="Q336" s="130">
        <v>0</v>
      </c>
      <c r="R336" s="120">
        <f>Prod[[#This Row],[S2Shot]]*Prod[[#This Row],[S2Cavity]]-Prod[[#This Row],[S2Dft]]</f>
        <v>0</v>
      </c>
      <c r="S336" s="134"/>
      <c r="T336" s="250">
        <v>0</v>
      </c>
      <c r="U336" s="141">
        <v>0</v>
      </c>
      <c r="V336" s="120">
        <v>0</v>
      </c>
      <c r="W336" s="130">
        <v>0</v>
      </c>
      <c r="X336" s="120">
        <f>Prod[[#This Row],[S3Shot]]*Prod[[#This Row],[S3Cavity]]-Prod[[#This Row],[S3Dft]]</f>
        <v>0</v>
      </c>
      <c r="Y336" s="134"/>
      <c r="Z336" s="120">
        <f>SUM(Prod[[#This Row],[S1Qty]],Prod[[#This Row],[S2Qty]],Prod[[#This Row],[S3Qty]])</f>
        <v>0</v>
      </c>
      <c r="AA336" s="134"/>
      <c r="AB336" s="135"/>
      <c r="AC336" s="118"/>
      <c r="AD336" s="134"/>
      <c r="AE336" s="134"/>
      <c r="AF336" s="134"/>
      <c r="AG336" s="134"/>
      <c r="AH336" s="134"/>
      <c r="AI336" s="134"/>
      <c r="AJ336" s="134"/>
      <c r="AK336" s="134"/>
      <c r="AL336" s="134"/>
      <c r="AM336" s="134"/>
      <c r="AN336" s="134"/>
      <c r="AO336" s="134"/>
      <c r="AP336" s="134"/>
      <c r="AQ336" s="134"/>
      <c r="AR336" s="134"/>
      <c r="AS336" s="132">
        <f>IF(Prod[[#This Row],[S1Hrs]]=0,0,Prod[[#This Row],[S1Shot]]*Prod[[#This Row],[S1Cycle]]/(Prod[[#This Row],[S1Hrs]]*60*60))</f>
        <v>0</v>
      </c>
      <c r="AT336" s="132">
        <f>IF(Prod[[#This Row],[S2Hrs]]=0,0,Prod[[#This Row],[S2Shot]]*Prod[[#This Row],[S2Cycle]]/(Prod[[#This Row],[S2Hrs]]*60*60))</f>
        <v>0</v>
      </c>
      <c r="AU336" s="132">
        <f>IF(Prod[[#This Row],[S3Hrs]]=0,0,Prod[[#This Row],[S3Shot]]*Prod[[#This Row],[S3Cycle]]/(Prod[[#This Row],[S3Hrs]]*60*60))</f>
        <v>0</v>
      </c>
      <c r="AV336" s="132">
        <f>IFERROR(AVERAGEIF(Prod[[#This Row],[S1%]:[S3%]], "&lt;&gt;0"),0)</f>
        <v>0</v>
      </c>
      <c r="AW336" s="132">
        <v>0</v>
      </c>
      <c r="AX336" s="132">
        <v>0</v>
      </c>
      <c r="AY336" s="132">
        <v>0</v>
      </c>
      <c r="AZ336" s="175">
        <f>IF(Prod[[#This Row],[S1Cycle]]&lt;&gt;0,1,0)</f>
        <v>0</v>
      </c>
      <c r="BA336" s="175">
        <f>IF(Prod[[#This Row],[S2Cycle]]&lt;&gt;0,1,0)</f>
        <v>0</v>
      </c>
      <c r="BB336" s="175">
        <f>IF(Prod[[#This Row],[S3Cycle]]&lt;&gt;0,1,0)</f>
        <v>0</v>
      </c>
      <c r="BC336" s="175">
        <f>MAX(Prod[[#This Row],[S1Cavity]],Prod[[#This Row],[S2Cavity]],Prod[[#This Row],[S3Cavity]])</f>
        <v>0</v>
      </c>
      <c r="BD336" s="175" t="b">
        <f>RegExpMatch(Prod[[#This Row],[MoldNo]], "^DEO-(B|C)")</f>
        <v>0</v>
      </c>
      <c r="BE336" s="175" t="b">
        <f>RegExpMatch(Prod[[#This Row],[MoldNo]], "^JAC")</f>
        <v>0</v>
      </c>
    </row>
    <row r="337" spans="1:57" x14ac:dyDescent="0.2">
      <c r="A337" s="117">
        <v>45464</v>
      </c>
      <c r="B337" s="120" t="s">
        <v>192</v>
      </c>
      <c r="C337" s="131" t="s">
        <v>193</v>
      </c>
      <c r="D337" s="119"/>
      <c r="E337" s="131"/>
      <c r="F337" s="119"/>
      <c r="G337" s="249" t="str">
        <f>IF(OR(Prod[[#This Row],[S1Hrs]]&gt;0,Prod[[#This Row],[S2Hrs]]&gt;0,Prod[[#This Row],[S3Hrs]]&gt;0),"Running","Down")</f>
        <v>Down</v>
      </c>
      <c r="H337" s="250">
        <v>0</v>
      </c>
      <c r="I337" s="141">
        <v>0</v>
      </c>
      <c r="J337" s="120">
        <v>0</v>
      </c>
      <c r="K337" s="130">
        <v>0</v>
      </c>
      <c r="L337" s="120">
        <f>Prod[[#This Row],[S1Shot]]*Prod[[#This Row],[S1Cavity]]-Prod[[#This Row],[S1Dft]]</f>
        <v>0</v>
      </c>
      <c r="M337" s="134"/>
      <c r="N337" s="250">
        <v>0</v>
      </c>
      <c r="O337" s="141">
        <v>0</v>
      </c>
      <c r="P337" s="120">
        <v>0</v>
      </c>
      <c r="Q337" s="130">
        <v>0</v>
      </c>
      <c r="R337" s="120">
        <f>Prod[[#This Row],[S2Shot]]*Prod[[#This Row],[S2Cavity]]-Prod[[#This Row],[S2Dft]]</f>
        <v>0</v>
      </c>
      <c r="S337" s="134"/>
      <c r="T337" s="250">
        <v>0</v>
      </c>
      <c r="U337" s="141">
        <v>0</v>
      </c>
      <c r="V337" s="120">
        <v>0</v>
      </c>
      <c r="W337" s="130">
        <v>0</v>
      </c>
      <c r="X337" s="120">
        <f>Prod[[#This Row],[S3Shot]]*Prod[[#This Row],[S3Cavity]]-Prod[[#This Row],[S3Dft]]</f>
        <v>0</v>
      </c>
      <c r="Y337" s="134"/>
      <c r="Z337" s="120">
        <f>SUM(Prod[[#This Row],[S1Qty]],Prod[[#This Row],[S2Qty]],Prod[[#This Row],[S3Qty]])</f>
        <v>0</v>
      </c>
      <c r="AA337" s="134"/>
      <c r="AB337" s="135"/>
      <c r="AC337" s="118"/>
      <c r="AD337" s="134"/>
      <c r="AE337" s="134"/>
      <c r="AF337" s="134"/>
      <c r="AG337" s="134"/>
      <c r="AH337" s="134"/>
      <c r="AI337" s="134"/>
      <c r="AJ337" s="134"/>
      <c r="AK337" s="134"/>
      <c r="AL337" s="134"/>
      <c r="AM337" s="134"/>
      <c r="AN337" s="134"/>
      <c r="AO337" s="134"/>
      <c r="AP337" s="134"/>
      <c r="AQ337" s="134"/>
      <c r="AR337" s="134"/>
      <c r="AS337" s="132">
        <f>IF(Prod[[#This Row],[S1Hrs]]=0,0,Prod[[#This Row],[S1Shot]]*Prod[[#This Row],[S1Cycle]]/(Prod[[#This Row],[S1Hrs]]*60*60))</f>
        <v>0</v>
      </c>
      <c r="AT337" s="132">
        <f>IF(Prod[[#This Row],[S2Hrs]]=0,0,Prod[[#This Row],[S2Shot]]*Prod[[#This Row],[S2Cycle]]/(Prod[[#This Row],[S2Hrs]]*60*60))</f>
        <v>0</v>
      </c>
      <c r="AU337" s="132">
        <f>IF(Prod[[#This Row],[S3Hrs]]=0,0,Prod[[#This Row],[S3Shot]]*Prod[[#This Row],[S3Cycle]]/(Prod[[#This Row],[S3Hrs]]*60*60))</f>
        <v>0</v>
      </c>
      <c r="AV337" s="132">
        <f>IFERROR(AVERAGEIF(Prod[[#This Row],[S1%]:[S3%]], "&lt;&gt;0"),0)</f>
        <v>0</v>
      </c>
      <c r="AW337" s="132">
        <v>0</v>
      </c>
      <c r="AX337" s="132">
        <v>0</v>
      </c>
      <c r="AY337" s="132">
        <v>0</v>
      </c>
      <c r="AZ337" s="175">
        <f>IF(Prod[[#This Row],[S1Cycle]]&lt;&gt;0,1,0)</f>
        <v>0</v>
      </c>
      <c r="BA337" s="175">
        <f>IF(Prod[[#This Row],[S2Cycle]]&lt;&gt;0,1,0)</f>
        <v>0</v>
      </c>
      <c r="BB337" s="175">
        <f>IF(Prod[[#This Row],[S3Cycle]]&lt;&gt;0,1,0)</f>
        <v>0</v>
      </c>
      <c r="BC337" s="175">
        <f>MAX(Prod[[#This Row],[S1Cavity]],Prod[[#This Row],[S2Cavity]],Prod[[#This Row],[S3Cavity]])</f>
        <v>0</v>
      </c>
      <c r="BD337" s="175" t="b">
        <f>RegExpMatch(Prod[[#This Row],[MoldNo]], "^DEO-(B|C)")</f>
        <v>0</v>
      </c>
      <c r="BE337" s="175" t="b">
        <f>RegExpMatch(Prod[[#This Row],[MoldNo]], "^JAC")</f>
        <v>0</v>
      </c>
    </row>
    <row r="338" spans="1:57" x14ac:dyDescent="0.2">
      <c r="A338" s="117">
        <v>45464</v>
      </c>
      <c r="B338" s="120" t="s">
        <v>168</v>
      </c>
      <c r="C338" s="119" t="s">
        <v>169</v>
      </c>
      <c r="D338" s="119"/>
      <c r="E338" s="131"/>
      <c r="F338" s="119"/>
      <c r="G338" s="249" t="str">
        <f>IF(OR(Prod[[#This Row],[S1Hrs]]&gt;0,Prod[[#This Row],[S2Hrs]]&gt;0,Prod[[#This Row],[S3Hrs]]&gt;0),"Running","Down")</f>
        <v>Down</v>
      </c>
      <c r="H338" s="250">
        <v>0</v>
      </c>
      <c r="I338" s="141">
        <v>0</v>
      </c>
      <c r="J338" s="120">
        <v>0</v>
      </c>
      <c r="K338" s="130">
        <v>0</v>
      </c>
      <c r="L338" s="120">
        <f>Prod[[#This Row],[S1Shot]]*Prod[[#This Row],[S1Cavity]]-Prod[[#This Row],[S1Dft]]</f>
        <v>0</v>
      </c>
      <c r="M338" s="134"/>
      <c r="N338" s="250">
        <v>0</v>
      </c>
      <c r="O338" s="141">
        <v>0</v>
      </c>
      <c r="P338" s="120">
        <v>0</v>
      </c>
      <c r="Q338" s="130">
        <v>0</v>
      </c>
      <c r="R338" s="120">
        <f>Prod[[#This Row],[S2Shot]]*Prod[[#This Row],[S2Cavity]]-Prod[[#This Row],[S2Dft]]</f>
        <v>0</v>
      </c>
      <c r="S338" s="134"/>
      <c r="T338" s="250">
        <v>0</v>
      </c>
      <c r="U338" s="141">
        <v>0</v>
      </c>
      <c r="V338" s="120">
        <v>0</v>
      </c>
      <c r="W338" s="130">
        <v>0</v>
      </c>
      <c r="X338" s="120">
        <f>Prod[[#This Row],[S3Shot]]*Prod[[#This Row],[S3Cavity]]-Prod[[#This Row],[S3Dft]]</f>
        <v>0</v>
      </c>
      <c r="Y338" s="134"/>
      <c r="Z338" s="120">
        <f>SUM(Prod[[#This Row],[S1Qty]],Prod[[#This Row],[S2Qty]],Prod[[#This Row],[S3Qty]])</f>
        <v>0</v>
      </c>
      <c r="AA338" s="134"/>
      <c r="AB338" s="135"/>
      <c r="AC338" s="118"/>
      <c r="AD338" s="134"/>
      <c r="AE338" s="134"/>
      <c r="AF338" s="134"/>
      <c r="AG338" s="134"/>
      <c r="AH338" s="134"/>
      <c r="AI338" s="134"/>
      <c r="AJ338" s="134"/>
      <c r="AK338" s="134"/>
      <c r="AL338" s="134"/>
      <c r="AM338" s="134"/>
      <c r="AN338" s="134"/>
      <c r="AO338" s="134"/>
      <c r="AP338" s="134"/>
      <c r="AQ338" s="134"/>
      <c r="AR338" s="134"/>
      <c r="AS338" s="132">
        <f>IF(Prod[[#This Row],[S1Hrs]]=0,0,Prod[[#This Row],[S1Shot]]*Prod[[#This Row],[S1Cycle]]/(Prod[[#This Row],[S1Hrs]]*60*60))</f>
        <v>0</v>
      </c>
      <c r="AT338" s="132">
        <f>IF(Prod[[#This Row],[S2Hrs]]=0,0,Prod[[#This Row],[S2Shot]]*Prod[[#This Row],[S2Cycle]]/(Prod[[#This Row],[S2Hrs]]*60*60))</f>
        <v>0</v>
      </c>
      <c r="AU338" s="132">
        <f>IF(Prod[[#This Row],[S3Hrs]]=0,0,Prod[[#This Row],[S3Shot]]*Prod[[#This Row],[S3Cycle]]/(Prod[[#This Row],[S3Hrs]]*60*60))</f>
        <v>0</v>
      </c>
      <c r="AV338" s="132">
        <f>IFERROR(AVERAGEIF(Prod[[#This Row],[S1%]:[S3%]], "&lt;&gt;0"),0)</f>
        <v>0</v>
      </c>
      <c r="AW338" s="132">
        <v>0</v>
      </c>
      <c r="AX338" s="132">
        <v>0</v>
      </c>
      <c r="AY338" s="132">
        <v>0</v>
      </c>
      <c r="AZ338" s="175">
        <f>IF(Prod[[#This Row],[S1Cycle]]&lt;&gt;0,1,0)</f>
        <v>0</v>
      </c>
      <c r="BA338" s="175">
        <f>IF(Prod[[#This Row],[S2Cycle]]&lt;&gt;0,1,0)</f>
        <v>0</v>
      </c>
      <c r="BB338" s="175">
        <f>IF(Prod[[#This Row],[S3Cycle]]&lt;&gt;0,1,0)</f>
        <v>0</v>
      </c>
      <c r="BC338" s="175">
        <f>MAX(Prod[[#This Row],[S1Cavity]],Prod[[#This Row],[S2Cavity]],Prod[[#This Row],[S3Cavity]])</f>
        <v>0</v>
      </c>
      <c r="BD338" s="175" t="b">
        <f>RegExpMatch(Prod[[#This Row],[MoldNo]], "^DEO-(B|C)")</f>
        <v>0</v>
      </c>
      <c r="BE338" s="175" t="b">
        <f>RegExpMatch(Prod[[#This Row],[MoldNo]], "^JAC")</f>
        <v>0</v>
      </c>
    </row>
    <row r="339" spans="1:57" x14ac:dyDescent="0.2">
      <c r="A339" s="117">
        <v>45464</v>
      </c>
      <c r="B339" s="120" t="s">
        <v>146</v>
      </c>
      <c r="C339" s="119" t="s">
        <v>84</v>
      </c>
      <c r="D339" s="119"/>
      <c r="E339" s="131"/>
      <c r="F339" s="119"/>
      <c r="G339" s="249" t="str">
        <f>IF(OR(Prod[[#This Row],[S1Hrs]]&gt;0,Prod[[#This Row],[S2Hrs]]&gt;0,Prod[[#This Row],[S3Hrs]]&gt;0),"Running","Down")</f>
        <v>Down</v>
      </c>
      <c r="H339" s="250">
        <v>0</v>
      </c>
      <c r="I339" s="141">
        <v>0</v>
      </c>
      <c r="J339" s="120">
        <v>0</v>
      </c>
      <c r="K339" s="130">
        <v>0</v>
      </c>
      <c r="L339" s="120">
        <f>Prod[[#This Row],[S1Shot]]*Prod[[#This Row],[S1Cavity]]-Prod[[#This Row],[S1Dft]]</f>
        <v>0</v>
      </c>
      <c r="M339" s="134"/>
      <c r="N339" s="250">
        <v>0</v>
      </c>
      <c r="O339" s="141">
        <v>0</v>
      </c>
      <c r="P339" s="120">
        <v>0</v>
      </c>
      <c r="Q339" s="130">
        <v>0</v>
      </c>
      <c r="R339" s="120">
        <f>Prod[[#This Row],[S2Shot]]*Prod[[#This Row],[S2Cavity]]-Prod[[#This Row],[S2Dft]]</f>
        <v>0</v>
      </c>
      <c r="S339" s="134"/>
      <c r="T339" s="250">
        <v>0</v>
      </c>
      <c r="U339" s="141">
        <v>0</v>
      </c>
      <c r="V339" s="120">
        <v>0</v>
      </c>
      <c r="W339" s="130">
        <v>0</v>
      </c>
      <c r="X339" s="120">
        <f>Prod[[#This Row],[S3Shot]]*Prod[[#This Row],[S3Cavity]]-Prod[[#This Row],[S3Dft]]</f>
        <v>0</v>
      </c>
      <c r="Y339" s="134"/>
      <c r="Z339" s="120">
        <f>SUM(Prod[[#This Row],[S1Qty]],Prod[[#This Row],[S2Qty]],Prod[[#This Row],[S3Qty]])</f>
        <v>0</v>
      </c>
      <c r="AA339" s="134"/>
      <c r="AB339" s="135"/>
      <c r="AC339" s="118"/>
      <c r="AD339" s="134"/>
      <c r="AE339" s="134"/>
      <c r="AF339" s="134"/>
      <c r="AG339" s="134"/>
      <c r="AH339" s="134"/>
      <c r="AI339" s="134"/>
      <c r="AJ339" s="134"/>
      <c r="AK339" s="134"/>
      <c r="AL339" s="134"/>
      <c r="AM339" s="134"/>
      <c r="AN339" s="134"/>
      <c r="AO339" s="134"/>
      <c r="AP339" s="134"/>
      <c r="AQ339" s="134"/>
      <c r="AR339" s="134"/>
      <c r="AS339" s="132">
        <f>IF(Prod[[#This Row],[S1Hrs]]=0,0,Prod[[#This Row],[S1Shot]]*Prod[[#This Row],[S1Cycle]]/(Prod[[#This Row],[S1Hrs]]*60*60))</f>
        <v>0</v>
      </c>
      <c r="AT339" s="132">
        <f>IF(Prod[[#This Row],[S2Hrs]]=0,0,Prod[[#This Row],[S2Shot]]*Prod[[#This Row],[S2Cycle]]/(Prod[[#This Row],[S2Hrs]]*60*60))</f>
        <v>0</v>
      </c>
      <c r="AU339" s="132">
        <f>IF(Prod[[#This Row],[S3Hrs]]=0,0,Prod[[#This Row],[S3Shot]]*Prod[[#This Row],[S3Cycle]]/(Prod[[#This Row],[S3Hrs]]*60*60))</f>
        <v>0</v>
      </c>
      <c r="AV339" s="132">
        <f>IFERROR(AVERAGEIF(Prod[[#This Row],[S1%]:[S3%]], "&lt;&gt;0"),0)</f>
        <v>0</v>
      </c>
      <c r="AW339" s="132">
        <v>0</v>
      </c>
      <c r="AX339" s="132">
        <v>0</v>
      </c>
      <c r="AY339" s="132">
        <v>0</v>
      </c>
      <c r="AZ339" s="175">
        <f>IF(Prod[[#This Row],[S1Cycle]]&lt;&gt;0,1,0)</f>
        <v>0</v>
      </c>
      <c r="BA339" s="175">
        <f>IF(Prod[[#This Row],[S2Cycle]]&lt;&gt;0,1,0)</f>
        <v>0</v>
      </c>
      <c r="BB339" s="175">
        <f>IF(Prod[[#This Row],[S3Cycle]]&lt;&gt;0,1,0)</f>
        <v>0</v>
      </c>
      <c r="BC339" s="175">
        <f>MAX(Prod[[#This Row],[S1Cavity]],Prod[[#This Row],[S2Cavity]],Prod[[#This Row],[S3Cavity]])</f>
        <v>0</v>
      </c>
      <c r="BD339" s="175" t="b">
        <f>RegExpMatch(Prod[[#This Row],[MoldNo]], "^DEO-(B|C)")</f>
        <v>0</v>
      </c>
      <c r="BE339" s="175" t="b">
        <f>RegExpMatch(Prod[[#This Row],[MoldNo]], "^JAC")</f>
        <v>0</v>
      </c>
    </row>
    <row r="340" spans="1:57" x14ac:dyDescent="0.2">
      <c r="A340" s="117">
        <v>45464</v>
      </c>
      <c r="B340" s="130" t="s">
        <v>164</v>
      </c>
      <c r="C340" s="131" t="s">
        <v>144</v>
      </c>
      <c r="D340" s="119"/>
      <c r="E340" s="131"/>
      <c r="F340" s="119"/>
      <c r="G340" s="249" t="str">
        <f>IF(OR(Prod[[#This Row],[S1Hrs]]&gt;0,Prod[[#This Row],[S2Hrs]]&gt;0,Prod[[#This Row],[S3Hrs]]&gt;0),"Running","Down")</f>
        <v>Down</v>
      </c>
      <c r="H340" s="250">
        <v>0</v>
      </c>
      <c r="I340" s="141">
        <v>0</v>
      </c>
      <c r="J340" s="120">
        <v>0</v>
      </c>
      <c r="K340" s="130">
        <v>0</v>
      </c>
      <c r="L340" s="120">
        <f>Prod[[#This Row],[S1Shot]]*Prod[[#This Row],[S1Cavity]]-Prod[[#This Row],[S1Dft]]</f>
        <v>0</v>
      </c>
      <c r="M340" s="136">
        <f>SUM(Prod[[#This Row],[S1Mold]],Prod[[#This Row],[S1Print]],Prod[[#This Row],[S1Ovlp]],Prod[[#This Row],[S1Seam]],Prod[[#This Row],[S1Dmg]])</f>
        <v>0</v>
      </c>
      <c r="N340" s="250">
        <v>0</v>
      </c>
      <c r="O340" s="141">
        <v>0</v>
      </c>
      <c r="P340" s="120">
        <v>0</v>
      </c>
      <c r="Q340" s="130">
        <v>0</v>
      </c>
      <c r="R340" s="120">
        <f>Prod[[#This Row],[S2Shot]]*Prod[[#This Row],[S2Cavity]]-Prod[[#This Row],[S2Dft]]</f>
        <v>0</v>
      </c>
      <c r="S340" s="136">
        <f>SUM(Prod[[#This Row],[S2Mold]],Prod[[#This Row],[S2Print]],Prod[[#This Row],[S2Ovlp]],Prod[[#This Row],[S2Seam]],Prod[[#This Row],[S2Dmg]])</f>
        <v>0</v>
      </c>
      <c r="T340" s="250">
        <v>0</v>
      </c>
      <c r="U340" s="141">
        <v>0</v>
      </c>
      <c r="V340" s="120">
        <v>0</v>
      </c>
      <c r="W340" s="130">
        <v>0</v>
      </c>
      <c r="X340" s="120">
        <f>Prod[[#This Row],[S3Shot]]*Prod[[#This Row],[S3Cavity]]-Prod[[#This Row],[S3Dft]]</f>
        <v>0</v>
      </c>
      <c r="Y340" s="120">
        <f>SUM(Prod[[#This Row],[S3Mold]],Prod[[#This Row],[S3Print]],Prod[[#This Row],[S3Ovlp]],Prod[[#This Row],[S3Seam]],Prod[[#This Row],[S3Dmg]])</f>
        <v>0</v>
      </c>
      <c r="Z340" s="120">
        <f>SUM(Prod[[#This Row],[S1Qty]],Prod[[#This Row],[S2Qty]],Prod[[#This Row],[S3Qty]])</f>
        <v>0</v>
      </c>
      <c r="AA340" s="120">
        <f>SUM(Prod[[#This Row],[S1Dft]],Prod[[#This Row],[S2Dft]],Prod[[#This Row],[S3Dft]])</f>
        <v>0</v>
      </c>
      <c r="AB340" s="121">
        <f>IF(Prod[[#This Row],[Total]]=0,0,Prod[[#This Row],[TotalDft]]/Prod[[#This Row],[Total]])</f>
        <v>0</v>
      </c>
      <c r="AC340" s="131"/>
      <c r="AD340" s="120">
        <v>0</v>
      </c>
      <c r="AE340" s="120">
        <v>0</v>
      </c>
      <c r="AF340" s="120">
        <v>0</v>
      </c>
      <c r="AG340" s="120">
        <v>0</v>
      </c>
      <c r="AH340" s="120">
        <v>0</v>
      </c>
      <c r="AI340" s="120">
        <v>0</v>
      </c>
      <c r="AJ340" s="120">
        <v>0</v>
      </c>
      <c r="AK340" s="120">
        <v>0</v>
      </c>
      <c r="AL340" s="120">
        <v>0</v>
      </c>
      <c r="AM340" s="120">
        <v>0</v>
      </c>
      <c r="AN340" s="120">
        <v>0</v>
      </c>
      <c r="AO340" s="120">
        <v>0</v>
      </c>
      <c r="AP340" s="120">
        <v>0</v>
      </c>
      <c r="AQ340" s="120">
        <v>0</v>
      </c>
      <c r="AR340" s="120">
        <v>0</v>
      </c>
      <c r="AS340" s="132">
        <f>IF(Prod[[#This Row],[S1Hrs]]=0,0,Prod[[#This Row],[S1Shot]]*Prod[[#This Row],[S1Cycle]]/(Prod[[#This Row],[S1Hrs]]*60*60))</f>
        <v>0</v>
      </c>
      <c r="AT340" s="132">
        <f>IF(Prod[[#This Row],[S2Hrs]]=0,0,Prod[[#This Row],[S2Shot]]*Prod[[#This Row],[S2Cycle]]/(Prod[[#This Row],[S2Hrs]]*60*60))</f>
        <v>0</v>
      </c>
      <c r="AU340" s="132">
        <f>IF(Prod[[#This Row],[S3Hrs]]=0,0,Prod[[#This Row],[S3Shot]]*Prod[[#This Row],[S3Cycle]]/(Prod[[#This Row],[S3Hrs]]*60*60))</f>
        <v>0</v>
      </c>
      <c r="AV340" s="132">
        <f>IFERROR(AVERAGEIF(Prod[[#This Row],[S1%]:[S3%]], "&lt;&gt;0"),0)</f>
        <v>0</v>
      </c>
      <c r="AW340" s="132">
        <v>0</v>
      </c>
      <c r="AX340" s="132">
        <v>0</v>
      </c>
      <c r="AY340" s="132">
        <v>0</v>
      </c>
      <c r="AZ340" s="175">
        <f>IF(Prod[[#This Row],[S1Cycle]]&lt;&gt;0,1,0)</f>
        <v>0</v>
      </c>
      <c r="BA340" s="175">
        <f>IF(Prod[[#This Row],[S2Cycle]]&lt;&gt;0,1,0)</f>
        <v>0</v>
      </c>
      <c r="BB340" s="175">
        <f>IF(Prod[[#This Row],[S3Cycle]]&lt;&gt;0,1,0)</f>
        <v>0</v>
      </c>
      <c r="BC340" s="175">
        <f>MAX(Prod[[#This Row],[S1Cavity]],Prod[[#This Row],[S2Cavity]],Prod[[#This Row],[S3Cavity]])</f>
        <v>0</v>
      </c>
      <c r="BD340" s="175" t="b">
        <f>RegExpMatch(Prod[[#This Row],[MoldNo]], "^DEO-(B|C)")</f>
        <v>1</v>
      </c>
      <c r="BE340" s="175" t="b">
        <f>RegExpMatch(Prod[[#This Row],[MoldNo]], "^JAC")</f>
        <v>0</v>
      </c>
    </row>
    <row r="341" spans="1:57" x14ac:dyDescent="0.2">
      <c r="A341" s="117">
        <v>45464</v>
      </c>
      <c r="B341" s="130" t="s">
        <v>162</v>
      </c>
      <c r="C341" s="131" t="s">
        <v>163</v>
      </c>
      <c r="D341" s="119"/>
      <c r="E341" s="131"/>
      <c r="F341" s="119"/>
      <c r="G341" s="249" t="str">
        <f>IF(OR(Prod[[#This Row],[S1Hrs]]&gt;0,Prod[[#This Row],[S2Hrs]]&gt;0,Prod[[#This Row],[S3Hrs]]&gt;0),"Running","Down")</f>
        <v>Down</v>
      </c>
      <c r="H341" s="250">
        <v>0</v>
      </c>
      <c r="I341" s="141">
        <v>0</v>
      </c>
      <c r="J341" s="120">
        <v>0</v>
      </c>
      <c r="K341" s="130">
        <v>0</v>
      </c>
      <c r="L341" s="120">
        <f>Prod[[#This Row],[S1Shot]]*Prod[[#This Row],[S1Cavity]]-Prod[[#This Row],[S1Dft]]</f>
        <v>0</v>
      </c>
      <c r="M341" s="136">
        <f>SUM(Prod[[#This Row],[S1Mold]],Prod[[#This Row],[S1Print]],Prod[[#This Row],[S1Ovlp]],Prod[[#This Row],[S1Seam]],Prod[[#This Row],[S1Dmg]])</f>
        <v>0</v>
      </c>
      <c r="N341" s="250">
        <v>0</v>
      </c>
      <c r="O341" s="141">
        <v>0</v>
      </c>
      <c r="P341" s="120">
        <v>0</v>
      </c>
      <c r="Q341" s="130">
        <v>0</v>
      </c>
      <c r="R341" s="120">
        <f>Prod[[#This Row],[S2Shot]]*Prod[[#This Row],[S2Cavity]]-Prod[[#This Row],[S2Dft]]</f>
        <v>0</v>
      </c>
      <c r="S341" s="136">
        <f>SUM(Prod[[#This Row],[S2Mold]],Prod[[#This Row],[S2Print]],Prod[[#This Row],[S2Ovlp]],Prod[[#This Row],[S2Seam]],Prod[[#This Row],[S2Dmg]])</f>
        <v>0</v>
      </c>
      <c r="T341" s="250">
        <v>0</v>
      </c>
      <c r="U341" s="141">
        <v>0</v>
      </c>
      <c r="V341" s="120">
        <v>0</v>
      </c>
      <c r="W341" s="130">
        <v>0</v>
      </c>
      <c r="X341" s="120">
        <f>Prod[[#This Row],[S3Shot]]*Prod[[#This Row],[S3Cavity]]-Prod[[#This Row],[S3Dft]]</f>
        <v>0</v>
      </c>
      <c r="Y341" s="120">
        <f>SUM(Prod[[#This Row],[S3Mold]],Prod[[#This Row],[S3Print]],Prod[[#This Row],[S3Ovlp]],Prod[[#This Row],[S3Seam]],Prod[[#This Row],[S3Dmg]])</f>
        <v>0</v>
      </c>
      <c r="Z341" s="120">
        <f>SUM(Prod[[#This Row],[S1Qty]],Prod[[#This Row],[S2Qty]],Prod[[#This Row],[S3Qty]])</f>
        <v>0</v>
      </c>
      <c r="AA341" s="120">
        <f>SUM(Prod[[#This Row],[S1Dft]],Prod[[#This Row],[S2Dft]],Prod[[#This Row],[S3Dft]])</f>
        <v>0</v>
      </c>
      <c r="AB341" s="121">
        <f>IF(Prod[[#This Row],[Total]]=0,0,Prod[[#This Row],[TotalDft]]/Prod[[#This Row],[Total]])</f>
        <v>0</v>
      </c>
      <c r="AC341" s="118"/>
      <c r="AD341" s="120">
        <v>0</v>
      </c>
      <c r="AE341" s="120">
        <v>0</v>
      </c>
      <c r="AF341" s="120">
        <v>0</v>
      </c>
      <c r="AG341" s="120">
        <v>0</v>
      </c>
      <c r="AH341" s="120">
        <v>0</v>
      </c>
      <c r="AI341" s="120">
        <v>0</v>
      </c>
      <c r="AJ341" s="120">
        <v>0</v>
      </c>
      <c r="AK341" s="120">
        <v>0</v>
      </c>
      <c r="AL341" s="120">
        <v>0</v>
      </c>
      <c r="AM341" s="120">
        <v>0</v>
      </c>
      <c r="AN341" s="120">
        <v>0</v>
      </c>
      <c r="AO341" s="120">
        <v>0</v>
      </c>
      <c r="AP341" s="120">
        <v>0</v>
      </c>
      <c r="AQ341" s="120">
        <v>0</v>
      </c>
      <c r="AR341" s="120">
        <v>0</v>
      </c>
      <c r="AS341" s="132">
        <f>IF(Prod[[#This Row],[S1Hrs]]=0,0,Prod[[#This Row],[S1Shot]]*Prod[[#This Row],[S1Cycle]]/(Prod[[#This Row],[S1Hrs]]*60*60))</f>
        <v>0</v>
      </c>
      <c r="AT341" s="132">
        <f>IF(Prod[[#This Row],[S2Hrs]]=0,0,Prod[[#This Row],[S2Shot]]*Prod[[#This Row],[S2Cycle]]/(Prod[[#This Row],[S2Hrs]]*60*60))</f>
        <v>0</v>
      </c>
      <c r="AU341" s="132">
        <f>IF(Prod[[#This Row],[S3Hrs]]=0,0,Prod[[#This Row],[S3Shot]]*Prod[[#This Row],[S3Cycle]]/(Prod[[#This Row],[S3Hrs]]*60*60))</f>
        <v>0</v>
      </c>
      <c r="AV341" s="132">
        <f>IFERROR(AVERAGEIF(Prod[[#This Row],[S1%]:[S3%]], "&lt;&gt;0"),0)</f>
        <v>0</v>
      </c>
      <c r="AW341" s="132">
        <v>0</v>
      </c>
      <c r="AX341" s="132">
        <v>0</v>
      </c>
      <c r="AY341" s="132">
        <v>0</v>
      </c>
      <c r="AZ341" s="175">
        <f>IF(Prod[[#This Row],[S1Cycle]]&lt;&gt;0,1,0)</f>
        <v>0</v>
      </c>
      <c r="BA341" s="175">
        <f>IF(Prod[[#This Row],[S2Cycle]]&lt;&gt;0,1,0)</f>
        <v>0</v>
      </c>
      <c r="BB341" s="175">
        <f>IF(Prod[[#This Row],[S3Cycle]]&lt;&gt;0,1,0)</f>
        <v>0</v>
      </c>
      <c r="BC341" s="175">
        <f>MAX(Prod[[#This Row],[S1Cavity]],Prod[[#This Row],[S2Cavity]],Prod[[#This Row],[S3Cavity]])</f>
        <v>0</v>
      </c>
      <c r="BD341" s="175" t="b">
        <f>RegExpMatch(Prod[[#This Row],[MoldNo]], "^DEO-(B|C)")</f>
        <v>1</v>
      </c>
      <c r="BE341" s="175" t="b">
        <f>RegExpMatch(Prod[[#This Row],[MoldNo]], "^JAC")</f>
        <v>0</v>
      </c>
    </row>
    <row r="342" spans="1:57" x14ac:dyDescent="0.2">
      <c r="A342" s="117">
        <v>45464</v>
      </c>
      <c r="B342" s="130" t="s">
        <v>254</v>
      </c>
      <c r="C342" s="131" t="s">
        <v>255</v>
      </c>
      <c r="D342" s="119">
        <v>27897</v>
      </c>
      <c r="E342" s="131" t="s">
        <v>292</v>
      </c>
      <c r="F342" s="119">
        <v>6331</v>
      </c>
      <c r="G342" s="249" t="str">
        <f>IF(OR(Prod[[#This Row],[S1Hrs]]&gt;0,Prod[[#This Row],[S2Hrs]]&gt;0,Prod[[#This Row],[S3Hrs]]&gt;0),"Running","Down")</f>
        <v>Running</v>
      </c>
      <c r="H342" s="250">
        <v>18.89</v>
      </c>
      <c r="I342" s="141">
        <v>8</v>
      </c>
      <c r="J342" s="120">
        <v>1507</v>
      </c>
      <c r="K342" s="130">
        <v>8</v>
      </c>
      <c r="L342" s="120">
        <f>Prod[[#This Row],[S1Shot]]*Prod[[#This Row],[S1Cavity]]-Prod[[#This Row],[S1Dft]]</f>
        <v>12047</v>
      </c>
      <c r="M342" s="136">
        <f>SUM(Prod[[#This Row],[S1Mold]],Prod[[#This Row],[S1Print]],Prod[[#This Row],[S1Ovlp]],Prod[[#This Row],[S1Seam]],Prod[[#This Row],[S1Dmg]])</f>
        <v>9</v>
      </c>
      <c r="N342" s="250">
        <v>18.89</v>
      </c>
      <c r="O342" s="141">
        <v>8</v>
      </c>
      <c r="P342" s="120">
        <v>1505</v>
      </c>
      <c r="Q342" s="130">
        <v>8</v>
      </c>
      <c r="R342" s="120">
        <f>Prod[[#This Row],[S2Shot]]*Prod[[#This Row],[S2Cavity]]-Prod[[#This Row],[S2Dft]]</f>
        <v>12032</v>
      </c>
      <c r="S342" s="136">
        <f>SUM(Prod[[#This Row],[S2Mold]],Prod[[#This Row],[S2Print]],Prod[[#This Row],[S2Ovlp]],Prod[[#This Row],[S2Seam]],Prod[[#This Row],[S2Dmg]])</f>
        <v>8</v>
      </c>
      <c r="T342" s="250">
        <v>18.88</v>
      </c>
      <c r="U342" s="141">
        <v>8</v>
      </c>
      <c r="V342" s="120">
        <v>1431</v>
      </c>
      <c r="W342" s="130">
        <v>8</v>
      </c>
      <c r="X342" s="120">
        <f>Prod[[#This Row],[S3Shot]]*Prod[[#This Row],[S3Cavity]]-Prod[[#This Row],[S3Dft]]</f>
        <v>11440</v>
      </c>
      <c r="Y342" s="120">
        <f>SUM(Prod[[#This Row],[S3Mold]],Prod[[#This Row],[S3Print]],Prod[[#This Row],[S3Ovlp]],Prod[[#This Row],[S3Seam]],Prod[[#This Row],[S3Dmg]])</f>
        <v>8</v>
      </c>
      <c r="Z342" s="120">
        <f>SUM(Prod[[#This Row],[S1Qty]],Prod[[#This Row],[S2Qty]],Prod[[#This Row],[S3Qty]])</f>
        <v>35519</v>
      </c>
      <c r="AA342" s="120">
        <f>SUM(Prod[[#This Row],[S1Dft]],Prod[[#This Row],[S2Dft]],Prod[[#This Row],[S3Dft]])</f>
        <v>25</v>
      </c>
      <c r="AB342" s="121">
        <f>IF(Prod[[#This Row],[Total]]=0,0,Prod[[#This Row],[TotalDft]]/Prod[[#This Row],[Total]])</f>
        <v>7.0384864438751088E-4</v>
      </c>
      <c r="AC342" s="131"/>
      <c r="AD342" s="120">
        <v>9</v>
      </c>
      <c r="AE342" s="120">
        <v>8</v>
      </c>
      <c r="AF342" s="120">
        <v>8</v>
      </c>
      <c r="AG342" s="120"/>
      <c r="AH342" s="120"/>
      <c r="AI342" s="120"/>
      <c r="AJ342" s="120">
        <v>0</v>
      </c>
      <c r="AK342" s="120">
        <v>0</v>
      </c>
      <c r="AL342" s="120">
        <v>0</v>
      </c>
      <c r="AM342" s="120">
        <v>0</v>
      </c>
      <c r="AN342" s="120">
        <v>0</v>
      </c>
      <c r="AO342" s="120">
        <v>0</v>
      </c>
      <c r="AP342" s="120">
        <v>0</v>
      </c>
      <c r="AQ342" s="120">
        <v>0</v>
      </c>
      <c r="AR342" s="120">
        <v>0</v>
      </c>
      <c r="AS342" s="132">
        <f>IF(Prod[[#This Row],[S1Hrs]]=0,0,Prod[[#This Row],[S1Shot]]*Prod[[#This Row],[S1Cycle]]/(Prod[[#This Row],[S1Hrs]]*60*60))</f>
        <v>0.98844548611111105</v>
      </c>
      <c r="AT342" s="132">
        <f>IF(Prod[[#This Row],[S2Hrs]]=0,0,Prod[[#This Row],[S2Shot]]*Prod[[#This Row],[S2Cycle]]/(Prod[[#This Row],[S2Hrs]]*60*60))</f>
        <v>0.98713368055555561</v>
      </c>
      <c r="AU342" s="132">
        <f>IF(Prod[[#This Row],[S3Hrs]]=0,0,Prod[[#This Row],[S3Shot]]*Prod[[#This Row],[S3Cycle]]/(Prod[[#This Row],[S3Hrs]]*60*60))</f>
        <v>0.93809999999999993</v>
      </c>
      <c r="AV342" s="132">
        <f>IFERROR(AVERAGEIF(Prod[[#This Row],[S1%]:[S3%]], "&lt;&gt;0"),0)</f>
        <v>0.97122638888888879</v>
      </c>
      <c r="AW342" s="132">
        <v>0</v>
      </c>
      <c r="AX342" s="132">
        <v>0</v>
      </c>
      <c r="AY342" s="132">
        <v>0</v>
      </c>
      <c r="AZ342" s="175">
        <f>IF(Prod[[#This Row],[S1Cycle]]&lt;&gt;0,1,0)</f>
        <v>1</v>
      </c>
      <c r="BA342" s="175">
        <f>IF(Prod[[#This Row],[S2Cycle]]&lt;&gt;0,1,0)</f>
        <v>1</v>
      </c>
      <c r="BB342" s="175">
        <f>IF(Prod[[#This Row],[S3Cycle]]&lt;&gt;0,1,0)</f>
        <v>1</v>
      </c>
      <c r="BC342" s="175">
        <f>MAX(Prod[[#This Row],[S1Cavity]],Prod[[#This Row],[S2Cavity]],Prod[[#This Row],[S3Cavity]])</f>
        <v>8</v>
      </c>
      <c r="BD342" s="175" t="b">
        <f>RegExpMatch(Prod[[#This Row],[MoldNo]], "^DEO-(B|C)")</f>
        <v>1</v>
      </c>
      <c r="BE342" s="175" t="b">
        <f>RegExpMatch(Prod[[#This Row],[MoldNo]], "^JAC")</f>
        <v>0</v>
      </c>
    </row>
    <row r="343" spans="1:57" x14ac:dyDescent="0.2">
      <c r="A343" s="117">
        <v>45464</v>
      </c>
      <c r="B343" s="130" t="s">
        <v>174</v>
      </c>
      <c r="C343" s="131" t="s">
        <v>175</v>
      </c>
      <c r="D343" s="119">
        <v>27579</v>
      </c>
      <c r="E343" s="131" t="s">
        <v>199</v>
      </c>
      <c r="F343" s="119">
        <v>814</v>
      </c>
      <c r="G343" s="249" t="str">
        <f>IF(OR(Prod[[#This Row],[S1Hrs]]&gt;0,Prod[[#This Row],[S2Hrs]]&gt;0,Prod[[#This Row],[S3Hrs]]&gt;0),"Running","Down")</f>
        <v>Running</v>
      </c>
      <c r="H343" s="250">
        <v>20.38</v>
      </c>
      <c r="I343" s="141">
        <v>8</v>
      </c>
      <c r="J343" s="120">
        <v>1424</v>
      </c>
      <c r="K343" s="130">
        <v>8</v>
      </c>
      <c r="L343" s="120">
        <f>Prod[[#This Row],[S1Shot]]*Prod[[#This Row],[S1Cavity]]-Prod[[#This Row],[S1Dft]]</f>
        <v>11257</v>
      </c>
      <c r="M343" s="136">
        <f>SUM(Prod[[#This Row],[S1Mold]],Prod[[#This Row],[S1Print]],Prod[[#This Row],[S1Ovlp]],Prod[[#This Row],[S1Seam]],Prod[[#This Row],[S1Dmg]])</f>
        <v>135</v>
      </c>
      <c r="N343" s="250">
        <v>20.38</v>
      </c>
      <c r="O343" s="141">
        <v>8</v>
      </c>
      <c r="P343" s="120">
        <v>1505</v>
      </c>
      <c r="Q343" s="130">
        <v>8</v>
      </c>
      <c r="R343" s="120">
        <f>Prod[[#This Row],[S2Shot]]*Prod[[#This Row],[S2Cavity]]-Prod[[#This Row],[S2Dft]]</f>
        <v>11915</v>
      </c>
      <c r="S343" s="136">
        <f>SUM(Prod[[#This Row],[S2Mold]],Prod[[#This Row],[S2Print]],Prod[[#This Row],[S2Ovlp]],Prod[[#This Row],[S2Seam]],Prod[[#This Row],[S2Dmg]])</f>
        <v>125</v>
      </c>
      <c r="T343" s="250">
        <v>20.49</v>
      </c>
      <c r="U343" s="141">
        <v>8</v>
      </c>
      <c r="V343" s="120">
        <v>1306</v>
      </c>
      <c r="W343" s="130">
        <v>8</v>
      </c>
      <c r="X343" s="120">
        <f>Prod[[#This Row],[S3Shot]]*Prod[[#This Row],[S3Cavity]]-Prod[[#This Row],[S3Dft]]</f>
        <v>10323</v>
      </c>
      <c r="Y343" s="120">
        <f>SUM(Prod[[#This Row],[S3Mold]],Prod[[#This Row],[S3Print]],Prod[[#This Row],[S3Ovlp]],Prod[[#This Row],[S3Seam]],Prod[[#This Row],[S3Dmg]])</f>
        <v>125</v>
      </c>
      <c r="Z343" s="120">
        <f>SUM(Prod[[#This Row],[S1Qty]],Prod[[#This Row],[S2Qty]],Prod[[#This Row],[S3Qty]])</f>
        <v>33495</v>
      </c>
      <c r="AA343" s="120">
        <f>SUM(Prod[[#This Row],[S1Dft]],Prod[[#This Row],[S2Dft]],Prod[[#This Row],[S3Dft]])</f>
        <v>385</v>
      </c>
      <c r="AB343" s="121">
        <f>IF(Prod[[#This Row],[Total]]=0,0,Prod[[#This Row],[TotalDft]]/Prod[[#This Row],[Total]])</f>
        <v>1.1494252873563218E-2</v>
      </c>
      <c r="AC343" s="131"/>
      <c r="AD343" s="120">
        <v>25</v>
      </c>
      <c r="AE343" s="120">
        <v>20</v>
      </c>
      <c r="AF343" s="120">
        <v>20</v>
      </c>
      <c r="AG343" s="120">
        <v>110</v>
      </c>
      <c r="AH343" s="120">
        <v>105</v>
      </c>
      <c r="AI343" s="120">
        <v>105</v>
      </c>
      <c r="AJ343" s="120">
        <v>0</v>
      </c>
      <c r="AK343" s="120">
        <v>0</v>
      </c>
      <c r="AL343" s="120">
        <v>0</v>
      </c>
      <c r="AM343" s="120">
        <v>0</v>
      </c>
      <c r="AN343" s="120">
        <v>0</v>
      </c>
      <c r="AO343" s="120">
        <v>0</v>
      </c>
      <c r="AP343" s="120">
        <v>0</v>
      </c>
      <c r="AQ343" s="120">
        <v>0</v>
      </c>
      <c r="AR343" s="120">
        <v>0</v>
      </c>
      <c r="AS343" s="132">
        <f>IF(Prod[[#This Row],[S1Hrs]]=0,0,Prod[[#This Row],[S1Shot]]*Prod[[#This Row],[S1Cycle]]/(Prod[[#This Row],[S1Hrs]]*60*60))</f>
        <v>1.0076777777777777</v>
      </c>
      <c r="AT343" s="132">
        <f>IF(Prod[[#This Row],[S2Hrs]]=0,0,Prod[[#This Row],[S2Shot]]*Prod[[#This Row],[S2Cycle]]/(Prod[[#This Row],[S2Hrs]]*60*60))</f>
        <v>1.0649965277777778</v>
      </c>
      <c r="AU343" s="132">
        <f>IF(Prod[[#This Row],[S3Hrs]]=0,0,Prod[[#This Row],[S3Shot]]*Prod[[#This Row],[S3Cycle]]/(Prod[[#This Row],[S3Hrs]]*60*60))</f>
        <v>0.92916458333333329</v>
      </c>
      <c r="AV343" s="132">
        <f>IFERROR(AVERAGEIF(Prod[[#This Row],[S1%]:[S3%]], "&lt;&gt;0"),0)</f>
        <v>1.0006129629629628</v>
      </c>
      <c r="AW343" s="132">
        <v>0</v>
      </c>
      <c r="AX343" s="132">
        <v>0</v>
      </c>
      <c r="AY343" s="132">
        <v>0</v>
      </c>
      <c r="AZ343" s="175">
        <f>IF(Prod[[#This Row],[S1Cycle]]&lt;&gt;0,1,0)</f>
        <v>1</v>
      </c>
      <c r="BA343" s="175">
        <f>IF(Prod[[#This Row],[S2Cycle]]&lt;&gt;0,1,0)</f>
        <v>1</v>
      </c>
      <c r="BB343" s="175">
        <f>IF(Prod[[#This Row],[S3Cycle]]&lt;&gt;0,1,0)</f>
        <v>1</v>
      </c>
      <c r="BC343" s="175">
        <f>MAX(Prod[[#This Row],[S1Cavity]],Prod[[#This Row],[S2Cavity]],Prod[[#This Row],[S3Cavity]])</f>
        <v>8</v>
      </c>
      <c r="BD343" s="175" t="b">
        <f>RegExpMatch(Prod[[#This Row],[MoldNo]], "^DEO-(B|C)")</f>
        <v>1</v>
      </c>
      <c r="BE343" s="175" t="b">
        <f>RegExpMatch(Prod[[#This Row],[MoldNo]], "^JAC")</f>
        <v>0</v>
      </c>
    </row>
    <row r="344" spans="1:57" x14ac:dyDescent="0.2">
      <c r="A344" s="117">
        <v>45464</v>
      </c>
      <c r="B344" s="130" t="s">
        <v>176</v>
      </c>
      <c r="C344" s="131" t="s">
        <v>81</v>
      </c>
      <c r="D344" s="119">
        <v>27577</v>
      </c>
      <c r="E344" s="119" t="s">
        <v>199</v>
      </c>
      <c r="F344" s="119">
        <v>814</v>
      </c>
      <c r="G344" s="249" t="str">
        <f>IF(OR(Prod[[#This Row],[S1Hrs]]&gt;0,Prod[[#This Row],[S2Hrs]]&gt;0,Prod[[#This Row],[S3Hrs]]&gt;0),"Running","Down")</f>
        <v>Running</v>
      </c>
      <c r="H344" s="250">
        <v>21.79</v>
      </c>
      <c r="I344" s="141">
        <v>8</v>
      </c>
      <c r="J344" s="120">
        <v>1285</v>
      </c>
      <c r="K344" s="130">
        <v>8</v>
      </c>
      <c r="L344" s="120">
        <f>Prod[[#This Row],[S1Shot]]*Prod[[#This Row],[S1Cavity]]-Prod[[#This Row],[S1Dft]]</f>
        <v>10160</v>
      </c>
      <c r="M344" s="136">
        <f>SUM(Prod[[#This Row],[S1Mold]],Prod[[#This Row],[S1Print]],Prod[[#This Row],[S1Ovlp]],Prod[[#This Row],[S1Seam]],Prod[[#This Row],[S1Dmg]])</f>
        <v>120</v>
      </c>
      <c r="N344" s="250">
        <v>21.88</v>
      </c>
      <c r="O344" s="141">
        <v>8</v>
      </c>
      <c r="P344" s="120">
        <v>1391</v>
      </c>
      <c r="Q344" s="130">
        <v>8</v>
      </c>
      <c r="R344" s="120">
        <f>Prod[[#This Row],[S2Shot]]*Prod[[#This Row],[S2Cavity]]-Prod[[#This Row],[S2Dft]]</f>
        <v>11013</v>
      </c>
      <c r="S344" s="136">
        <f>SUM(Prod[[#This Row],[S2Mold]],Prod[[#This Row],[S2Print]],Prod[[#This Row],[S2Ovlp]],Prod[[#This Row],[S2Seam]],Prod[[#This Row],[S2Dmg]])</f>
        <v>115</v>
      </c>
      <c r="T344" s="250">
        <v>21.83</v>
      </c>
      <c r="U344" s="141">
        <v>8</v>
      </c>
      <c r="V344" s="120">
        <v>1208</v>
      </c>
      <c r="W344" s="130">
        <v>8</v>
      </c>
      <c r="X344" s="120">
        <f>Prod[[#This Row],[S3Shot]]*Prod[[#This Row],[S3Cavity]]-Prod[[#This Row],[S3Dft]]</f>
        <v>9544</v>
      </c>
      <c r="Y344" s="120">
        <f>SUM(Prod[[#This Row],[S3Mold]],Prod[[#This Row],[S3Print]],Prod[[#This Row],[S3Ovlp]],Prod[[#This Row],[S3Seam]],Prod[[#This Row],[S3Dmg]])</f>
        <v>120</v>
      </c>
      <c r="Z344" s="120">
        <f>SUM(Prod[[#This Row],[S1Qty]],Prod[[#This Row],[S2Qty]],Prod[[#This Row],[S3Qty]])</f>
        <v>30717</v>
      </c>
      <c r="AA344" s="120">
        <f>SUM(Prod[[#This Row],[S1Dft]],Prod[[#This Row],[S2Dft]],Prod[[#This Row],[S3Dft]])</f>
        <v>355</v>
      </c>
      <c r="AB344" s="121">
        <f>IF(Prod[[#This Row],[Total]]=0,0,Prod[[#This Row],[TotalDft]]/Prod[[#This Row],[Total]])</f>
        <v>1.1557118208158348E-2</v>
      </c>
      <c r="AC344" s="131"/>
      <c r="AD344" s="120">
        <v>20</v>
      </c>
      <c r="AE344" s="120">
        <v>20</v>
      </c>
      <c r="AF344" s="120">
        <v>25</v>
      </c>
      <c r="AG344" s="120">
        <v>100</v>
      </c>
      <c r="AH344" s="120">
        <v>95</v>
      </c>
      <c r="AI344" s="120">
        <v>95</v>
      </c>
      <c r="AJ344" s="120">
        <v>0</v>
      </c>
      <c r="AK344" s="120">
        <v>0</v>
      </c>
      <c r="AL344" s="120">
        <v>0</v>
      </c>
      <c r="AM344" s="120">
        <v>0</v>
      </c>
      <c r="AN344" s="120">
        <v>0</v>
      </c>
      <c r="AO344" s="120">
        <v>0</v>
      </c>
      <c r="AP344" s="120">
        <v>0</v>
      </c>
      <c r="AQ344" s="120">
        <v>0</v>
      </c>
      <c r="AR344" s="120">
        <v>0</v>
      </c>
      <c r="AS344" s="132">
        <f>IF(Prod[[#This Row],[S1Hrs]]=0,0,Prod[[#This Row],[S1Shot]]*Prod[[#This Row],[S1Cycle]]/(Prod[[#This Row],[S1Hrs]]*60*60))</f>
        <v>0.97222743055555549</v>
      </c>
      <c r="AT344" s="132">
        <f>IF(Prod[[#This Row],[S2Hrs]]=0,0,Prod[[#This Row],[S2Shot]]*Prod[[#This Row],[S2Cycle]]/(Prod[[#This Row],[S2Hrs]]*60*60))</f>
        <v>1.056773611111111</v>
      </c>
      <c r="AU344" s="132">
        <f>IF(Prod[[#This Row],[S3Hrs]]=0,0,Prod[[#This Row],[S3Shot]]*Prod[[#This Row],[S3Cycle]]/(Prod[[#This Row],[S3Hrs]]*60*60))</f>
        <v>0.91564722222222217</v>
      </c>
      <c r="AV344" s="132">
        <f>IFERROR(AVERAGEIF(Prod[[#This Row],[S1%]:[S3%]], "&lt;&gt;0"),0)</f>
        <v>0.9815494212962963</v>
      </c>
      <c r="AW344" s="132">
        <v>0</v>
      </c>
      <c r="AX344" s="132">
        <v>0</v>
      </c>
      <c r="AY344" s="132">
        <v>0</v>
      </c>
      <c r="AZ344" s="175">
        <f>IF(Prod[[#This Row],[S1Cycle]]&lt;&gt;0,1,0)</f>
        <v>1</v>
      </c>
      <c r="BA344" s="175">
        <f>IF(Prod[[#This Row],[S2Cycle]]&lt;&gt;0,1,0)</f>
        <v>1</v>
      </c>
      <c r="BB344" s="175">
        <f>IF(Prod[[#This Row],[S3Cycle]]&lt;&gt;0,1,0)</f>
        <v>1</v>
      </c>
      <c r="BC344" s="175">
        <f>MAX(Prod[[#This Row],[S1Cavity]],Prod[[#This Row],[S2Cavity]],Prod[[#This Row],[S3Cavity]])</f>
        <v>8</v>
      </c>
      <c r="BD344" s="175" t="b">
        <f>RegExpMatch(Prod[[#This Row],[MoldNo]], "^DEO-(B|C)")</f>
        <v>1</v>
      </c>
      <c r="BE344" s="175" t="b">
        <f>RegExpMatch(Prod[[#This Row],[MoldNo]], "^JAC")</f>
        <v>0</v>
      </c>
    </row>
    <row r="345" spans="1:57" x14ac:dyDescent="0.2">
      <c r="A345" s="117">
        <v>45464</v>
      </c>
      <c r="B345" s="130" t="s">
        <v>253</v>
      </c>
      <c r="C345" s="131" t="s">
        <v>9</v>
      </c>
      <c r="D345" s="119">
        <v>27581</v>
      </c>
      <c r="E345" s="131" t="s">
        <v>199</v>
      </c>
      <c r="F345" s="119">
        <v>814</v>
      </c>
      <c r="G345" s="249" t="str">
        <f>IF(OR(Prod[[#This Row],[S1Hrs]]&gt;0,Prod[[#This Row],[S2Hrs]]&gt;0,Prod[[#This Row],[S3Hrs]]&gt;0),"Running","Down")</f>
        <v>Running</v>
      </c>
      <c r="H345" s="250">
        <v>15.12</v>
      </c>
      <c r="I345" s="141">
        <v>8</v>
      </c>
      <c r="J345" s="120">
        <v>1899</v>
      </c>
      <c r="K345" s="130">
        <v>7</v>
      </c>
      <c r="L345" s="120">
        <f>Prod[[#This Row],[S1Shot]]*Prod[[#This Row],[S1Cavity]]-Prod[[#This Row],[S1Dft]]</f>
        <v>13293</v>
      </c>
      <c r="M345" s="134"/>
      <c r="N345" s="250">
        <v>15.13</v>
      </c>
      <c r="O345" s="141">
        <v>8</v>
      </c>
      <c r="P345" s="120">
        <v>1912</v>
      </c>
      <c r="Q345" s="130">
        <v>7</v>
      </c>
      <c r="R345" s="120">
        <f>Prod[[#This Row],[S2Shot]]*Prod[[#This Row],[S2Cavity]]-Prod[[#This Row],[S2Dft]]</f>
        <v>13384</v>
      </c>
      <c r="S345" s="134"/>
      <c r="T345" s="250">
        <v>15.1</v>
      </c>
      <c r="U345" s="141">
        <v>6</v>
      </c>
      <c r="V345" s="120">
        <v>1218</v>
      </c>
      <c r="W345" s="130">
        <v>7</v>
      </c>
      <c r="X345" s="120">
        <f>Prod[[#This Row],[S3Shot]]*Prod[[#This Row],[S3Cavity]]-Prod[[#This Row],[S3Dft]]</f>
        <v>8526</v>
      </c>
      <c r="Y345" s="134"/>
      <c r="Z345" s="120">
        <f>SUM(Prod[[#This Row],[S1Qty]],Prod[[#This Row],[S2Qty]],Prod[[#This Row],[S3Qty]])</f>
        <v>35203</v>
      </c>
      <c r="AA345" s="134"/>
      <c r="AB345" s="135"/>
      <c r="AC345" s="118" t="s">
        <v>291</v>
      </c>
      <c r="AD345" s="134"/>
      <c r="AE345" s="134"/>
      <c r="AF345" s="134"/>
      <c r="AG345" s="134"/>
      <c r="AH345" s="134"/>
      <c r="AI345" s="134"/>
      <c r="AJ345" s="134"/>
      <c r="AK345" s="134"/>
      <c r="AL345" s="134"/>
      <c r="AM345" s="134"/>
      <c r="AN345" s="134"/>
      <c r="AO345" s="134"/>
      <c r="AP345" s="134"/>
      <c r="AQ345" s="134"/>
      <c r="AR345" s="134"/>
      <c r="AS345" s="132">
        <f>IF(Prod[[#This Row],[S1Hrs]]=0,0,Prod[[#This Row],[S1Shot]]*Prod[[#This Row],[S1Cycle]]/(Prod[[#This Row],[S1Hrs]]*60*60))</f>
        <v>0.99697499999999994</v>
      </c>
      <c r="AT345" s="132">
        <f>IF(Prod[[#This Row],[S2Hrs]]=0,0,Prod[[#This Row],[S2Shot]]*Prod[[#This Row],[S2Cycle]]/(Prod[[#This Row],[S2Hrs]]*60*60))</f>
        <v>1.004463888888889</v>
      </c>
      <c r="AU345" s="132">
        <f>IF(Prod[[#This Row],[S3Hrs]]=0,0,Prod[[#This Row],[S3Shot]]*Prod[[#This Row],[S3Cycle]]/(Prod[[#This Row],[S3Hrs]]*60*60))</f>
        <v>0.85147222222222219</v>
      </c>
      <c r="AV345" s="132">
        <f>IFERROR(AVERAGEIF(Prod[[#This Row],[S1%]:[S3%]], "&lt;&gt;0"),0)</f>
        <v>0.95097037037037035</v>
      </c>
      <c r="AW345" s="132">
        <v>0</v>
      </c>
      <c r="AX345" s="132">
        <v>0</v>
      </c>
      <c r="AY345" s="132">
        <v>0</v>
      </c>
      <c r="AZ345" s="175">
        <f>IF(Prod[[#This Row],[S1Cycle]]&lt;&gt;0,1,0)</f>
        <v>1</v>
      </c>
      <c r="BA345" s="175">
        <f>IF(Prod[[#This Row],[S2Cycle]]&lt;&gt;0,1,0)</f>
        <v>1</v>
      </c>
      <c r="BB345" s="175">
        <f>IF(Prod[[#This Row],[S3Cycle]]&lt;&gt;0,1,0)</f>
        <v>1</v>
      </c>
      <c r="BC345" s="175">
        <f>MAX(Prod[[#This Row],[S1Cavity]],Prod[[#This Row],[S2Cavity]],Prod[[#This Row],[S3Cavity]])</f>
        <v>7</v>
      </c>
      <c r="BD345" s="175" t="b">
        <f>RegExpMatch(Prod[[#This Row],[MoldNo]], "^DEO-(B|C)")</f>
        <v>0</v>
      </c>
      <c r="BE345" s="175" t="b">
        <f>RegExpMatch(Prod[[#This Row],[MoldNo]], "^JAC")</f>
        <v>0</v>
      </c>
    </row>
    <row r="346" spans="1:57" x14ac:dyDescent="0.2">
      <c r="A346" s="117">
        <v>45464</v>
      </c>
      <c r="B346" s="130" t="s">
        <v>259</v>
      </c>
      <c r="C346" s="119" t="s">
        <v>145</v>
      </c>
      <c r="D346" s="119">
        <v>28021</v>
      </c>
      <c r="E346" s="131" t="s">
        <v>199</v>
      </c>
      <c r="F346" s="119">
        <v>814</v>
      </c>
      <c r="G346" s="249" t="str">
        <f>IF(OR(Prod[[#This Row],[S1Hrs]]&gt;0,Prod[[#This Row],[S2Hrs]]&gt;0,Prod[[#This Row],[S3Hrs]]&gt;0),"Running","Down")</f>
        <v>Running</v>
      </c>
      <c r="H346" s="250">
        <v>15.15</v>
      </c>
      <c r="I346" s="141">
        <v>8</v>
      </c>
      <c r="J346" s="120">
        <v>1770</v>
      </c>
      <c r="K346" s="130">
        <v>16</v>
      </c>
      <c r="L346" s="120">
        <f>Prod[[#This Row],[S1Shot]]*Prod[[#This Row],[S1Cavity]]-Prod[[#This Row],[S1Dft]]</f>
        <v>28320</v>
      </c>
      <c r="M346" s="134"/>
      <c r="N346" s="250">
        <v>15.15</v>
      </c>
      <c r="O346" s="141">
        <v>8</v>
      </c>
      <c r="P346" s="120">
        <v>2073</v>
      </c>
      <c r="Q346" s="130">
        <v>16</v>
      </c>
      <c r="R346" s="120">
        <f>Prod[[#This Row],[S2Shot]]*Prod[[#This Row],[S2Cavity]]-Prod[[#This Row],[S2Dft]]</f>
        <v>33168</v>
      </c>
      <c r="S346" s="134"/>
      <c r="T346" s="250">
        <v>15.14</v>
      </c>
      <c r="U346" s="141">
        <v>8</v>
      </c>
      <c r="V346" s="120">
        <v>1877</v>
      </c>
      <c r="W346" s="130">
        <v>16</v>
      </c>
      <c r="X346" s="120">
        <f>Prod[[#This Row],[S3Shot]]*Prod[[#This Row],[S3Cavity]]-Prod[[#This Row],[S3Dft]]</f>
        <v>30032</v>
      </c>
      <c r="Y346" s="134"/>
      <c r="Z346" s="120">
        <f>SUM(Prod[[#This Row],[S1Qty]],Prod[[#This Row],[S2Qty]],Prod[[#This Row],[S3Qty]])</f>
        <v>91520</v>
      </c>
      <c r="AA346" s="134"/>
      <c r="AB346" s="135"/>
      <c r="AC346" s="118"/>
      <c r="AD346" s="134"/>
      <c r="AE346" s="134"/>
      <c r="AF346" s="134"/>
      <c r="AG346" s="134"/>
      <c r="AH346" s="134"/>
      <c r="AI346" s="134"/>
      <c r="AJ346" s="134"/>
      <c r="AK346" s="134"/>
      <c r="AL346" s="134"/>
      <c r="AM346" s="134"/>
      <c r="AN346" s="134"/>
      <c r="AO346" s="134"/>
      <c r="AP346" s="134"/>
      <c r="AQ346" s="134"/>
      <c r="AR346" s="134"/>
      <c r="AS346" s="132">
        <f>IF(Prod[[#This Row],[S1Hrs]]=0,0,Prod[[#This Row],[S1Shot]]*Prod[[#This Row],[S1Cycle]]/(Prod[[#This Row],[S1Hrs]]*60*60))</f>
        <v>0.93109375000000005</v>
      </c>
      <c r="AT346" s="132">
        <f>IF(Prod[[#This Row],[S2Hrs]]=0,0,Prod[[#This Row],[S2Shot]]*Prod[[#This Row],[S2Cycle]]/(Prod[[#This Row],[S2Hrs]]*60*60))</f>
        <v>1.090484375</v>
      </c>
      <c r="AU346" s="132">
        <f>IF(Prod[[#This Row],[S3Hrs]]=0,0,Prod[[#This Row],[S3Shot]]*Prod[[#This Row],[S3Cycle]]/(Prod[[#This Row],[S3Hrs]]*60*60))</f>
        <v>0.98672847222222226</v>
      </c>
      <c r="AV346" s="132">
        <f>IFERROR(AVERAGEIF(Prod[[#This Row],[S1%]:[S3%]], "&lt;&gt;0"),0)</f>
        <v>1.0027688657407408</v>
      </c>
      <c r="AW346" s="132">
        <v>0</v>
      </c>
      <c r="AX346" s="132">
        <v>0</v>
      </c>
      <c r="AY346" s="132">
        <v>0</v>
      </c>
      <c r="AZ346" s="175">
        <f>IF(Prod[[#This Row],[S1Cycle]]&lt;&gt;0,1,0)</f>
        <v>1</v>
      </c>
      <c r="BA346" s="175">
        <f>IF(Prod[[#This Row],[S2Cycle]]&lt;&gt;0,1,0)</f>
        <v>1</v>
      </c>
      <c r="BB346" s="175">
        <f>IF(Prod[[#This Row],[S3Cycle]]&lt;&gt;0,1,0)</f>
        <v>1</v>
      </c>
      <c r="BC346" s="175">
        <f>MAX(Prod[[#This Row],[S1Cavity]],Prod[[#This Row],[S2Cavity]],Prod[[#This Row],[S3Cavity]])</f>
        <v>16</v>
      </c>
      <c r="BD346" s="175" t="b">
        <f>RegExpMatch(Prod[[#This Row],[MoldNo]], "^DEO-(B|C)")</f>
        <v>0</v>
      </c>
      <c r="BE346" s="175" t="b">
        <f>RegExpMatch(Prod[[#This Row],[MoldNo]], "^JAC")</f>
        <v>0</v>
      </c>
    </row>
    <row r="347" spans="1:57" hidden="1" x14ac:dyDescent="0.2">
      <c r="A347" s="117">
        <v>45465</v>
      </c>
      <c r="B347" s="120" t="s">
        <v>190</v>
      </c>
      <c r="C347" s="119" t="s">
        <v>153</v>
      </c>
      <c r="D347" s="119"/>
      <c r="E347" s="131"/>
      <c r="F347" s="119"/>
      <c r="G347" s="249" t="str">
        <f>IF(OR(Prod[[#This Row],[S1Hrs]]&gt;0,Prod[[#This Row],[S2Hrs]]&gt;0,Prod[[#This Row],[S3Hrs]]&gt;0),"Running","Down")</f>
        <v>Down</v>
      </c>
      <c r="H347" s="250">
        <v>0</v>
      </c>
      <c r="I347" s="141">
        <v>0</v>
      </c>
      <c r="J347" s="120">
        <v>0</v>
      </c>
      <c r="K347" s="130">
        <v>0</v>
      </c>
      <c r="L347" s="120">
        <f>Prod[[#This Row],[S1Shot]]*Prod[[#This Row],[S1Cavity]]-Prod[[#This Row],[S1Dft]]</f>
        <v>0</v>
      </c>
      <c r="M347" s="136">
        <f>SUM(Prod[[#This Row],[S1Mold]],Prod[[#This Row],[S1Print]],Prod[[#This Row],[S1Ovlp]],Prod[[#This Row],[S1Seam]],Prod[[#This Row],[S1Dmg]])</f>
        <v>0</v>
      </c>
      <c r="N347" s="250">
        <v>0</v>
      </c>
      <c r="O347" s="141">
        <v>0</v>
      </c>
      <c r="P347" s="120">
        <v>0</v>
      </c>
      <c r="Q347" s="130">
        <v>0</v>
      </c>
      <c r="R347" s="120">
        <f>Prod[[#This Row],[S2Shot]]*Prod[[#This Row],[S2Cavity]]-Prod[[#This Row],[S2Dft]]</f>
        <v>0</v>
      </c>
      <c r="S347" s="136">
        <f>SUM(Prod[[#This Row],[S2Mold]],Prod[[#This Row],[S2Print]],Prod[[#This Row],[S2Ovlp]],Prod[[#This Row],[S2Seam]],Prod[[#This Row],[S2Dmg]])</f>
        <v>0</v>
      </c>
      <c r="T347" s="250">
        <v>0</v>
      </c>
      <c r="U347" s="141">
        <v>0</v>
      </c>
      <c r="V347" s="120">
        <v>0</v>
      </c>
      <c r="W347" s="130">
        <v>0</v>
      </c>
      <c r="X347" s="120">
        <f>Prod[[#This Row],[S3Shot]]*Prod[[#This Row],[S3Cavity]]-Prod[[#This Row],[S3Dft]]</f>
        <v>0</v>
      </c>
      <c r="Y347" s="120">
        <f>SUM(Prod[[#This Row],[S3Mold]],Prod[[#This Row],[S3Print]],Prod[[#This Row],[S3Ovlp]],Prod[[#This Row],[S3Seam]],Prod[[#This Row],[S3Dmg]])</f>
        <v>0</v>
      </c>
      <c r="Z347" s="120">
        <f>SUM(Prod[[#This Row],[S1Qty]],Prod[[#This Row],[S2Qty]],Prod[[#This Row],[S3Qty]])</f>
        <v>0</v>
      </c>
      <c r="AA347" s="120">
        <f>SUM(Prod[[#This Row],[S1Dft]],Prod[[#This Row],[S2Dft]],Prod[[#This Row],[S3Dft]])</f>
        <v>0</v>
      </c>
      <c r="AB347" s="121">
        <f>IF(Prod[[#This Row],[Total]]=0,0,Prod[[#This Row],[TotalDft]]/Prod[[#This Row],[Total]])</f>
        <v>0</v>
      </c>
      <c r="AC347" s="118"/>
      <c r="AD347" s="120">
        <v>0</v>
      </c>
      <c r="AE347" s="120">
        <v>0</v>
      </c>
      <c r="AF347" s="120">
        <v>0</v>
      </c>
      <c r="AG347" s="120">
        <v>0</v>
      </c>
      <c r="AH347" s="120">
        <v>0</v>
      </c>
      <c r="AI347" s="120">
        <v>0</v>
      </c>
      <c r="AJ347" s="120">
        <v>0</v>
      </c>
      <c r="AK347" s="120">
        <v>0</v>
      </c>
      <c r="AL347" s="120">
        <v>0</v>
      </c>
      <c r="AM347" s="120">
        <v>0</v>
      </c>
      <c r="AN347" s="120">
        <v>0</v>
      </c>
      <c r="AO347" s="120">
        <v>0</v>
      </c>
      <c r="AP347" s="120">
        <v>0</v>
      </c>
      <c r="AQ347" s="120">
        <v>0</v>
      </c>
      <c r="AR347" s="120">
        <v>0</v>
      </c>
      <c r="AS347" s="132">
        <f>IF(Prod[[#This Row],[S1Hrs]]=0,0,Prod[[#This Row],[S1Shot]]*Prod[[#This Row],[S1Cycle]]/(Prod[[#This Row],[S1Hrs]]*60*60))</f>
        <v>0</v>
      </c>
      <c r="AT347" s="132">
        <f>IF(Prod[[#This Row],[S2Hrs]]=0,0,Prod[[#This Row],[S2Shot]]*Prod[[#This Row],[S2Cycle]]/(Prod[[#This Row],[S2Hrs]]*60*60))</f>
        <v>0</v>
      </c>
      <c r="AU347" s="132">
        <f>IF(Prod[[#This Row],[S3Hrs]]=0,0,Prod[[#This Row],[S3Shot]]*Prod[[#This Row],[S3Cycle]]/(Prod[[#This Row],[S3Hrs]]*60*60))</f>
        <v>0</v>
      </c>
      <c r="AV347" s="132">
        <f>IFERROR(AVERAGEIF(Prod[[#This Row],[S1%]:[S3%]], "&lt;&gt;0"),0)</f>
        <v>0</v>
      </c>
      <c r="AW347" s="132">
        <v>0</v>
      </c>
      <c r="AX347" s="132">
        <v>0</v>
      </c>
      <c r="AY347" s="132">
        <v>0</v>
      </c>
      <c r="AZ347" s="175">
        <f>IF(Prod[[#This Row],[S1Cycle]]&lt;&gt;0,1,0)</f>
        <v>0</v>
      </c>
      <c r="BA347" s="175">
        <f>IF(Prod[[#This Row],[S2Cycle]]&lt;&gt;0,1,0)</f>
        <v>0</v>
      </c>
      <c r="BB347" s="175">
        <f>IF(Prod[[#This Row],[S3Cycle]]&lt;&gt;0,1,0)</f>
        <v>0</v>
      </c>
      <c r="BC347" s="175">
        <f>MAX(Prod[[#This Row],[S1Cavity]],Prod[[#This Row],[S2Cavity]],Prod[[#This Row],[S3Cavity]])</f>
        <v>0</v>
      </c>
      <c r="BD347" s="175" t="b">
        <f>RegExpMatch(Prod[[#This Row],[MoldNo]], "^DEO-(B|C)")</f>
        <v>0</v>
      </c>
      <c r="BE347" s="175" t="b">
        <f>RegExpMatch(Prod[[#This Row],[MoldNo]], "^JAC")</f>
        <v>1</v>
      </c>
    </row>
    <row r="348" spans="1:57" hidden="1" x14ac:dyDescent="0.2">
      <c r="A348" s="117">
        <v>45465</v>
      </c>
      <c r="B348" s="130" t="s">
        <v>6</v>
      </c>
      <c r="C348" s="131" t="s">
        <v>8</v>
      </c>
      <c r="D348" s="119"/>
      <c r="E348" s="131"/>
      <c r="F348" s="119"/>
      <c r="G348" s="249" t="str">
        <f>IF(OR(Prod[[#This Row],[S1Hrs]]&gt;0,Prod[[#This Row],[S2Hrs]]&gt;0,Prod[[#This Row],[S3Hrs]]&gt;0),"Running","Down")</f>
        <v>Down</v>
      </c>
      <c r="H348" s="250">
        <v>0</v>
      </c>
      <c r="I348" s="141">
        <v>0</v>
      </c>
      <c r="J348" s="120">
        <v>0</v>
      </c>
      <c r="K348" s="130">
        <v>0</v>
      </c>
      <c r="L348" s="120">
        <f>Prod[[#This Row],[S1Shot]]*Prod[[#This Row],[S1Cavity]]-Prod[[#This Row],[S1Dft]]</f>
        <v>0</v>
      </c>
      <c r="M348" s="136">
        <f>SUM(Prod[[#This Row],[S1Mold]],Prod[[#This Row],[S1Print]],Prod[[#This Row],[S1Ovlp]],Prod[[#This Row],[S1Seam]],Prod[[#This Row],[S1Dmg]])</f>
        <v>0</v>
      </c>
      <c r="N348" s="250">
        <v>0</v>
      </c>
      <c r="O348" s="141">
        <v>0</v>
      </c>
      <c r="P348" s="120">
        <v>0</v>
      </c>
      <c r="Q348" s="130">
        <v>0</v>
      </c>
      <c r="R348" s="120">
        <f>Prod[[#This Row],[S2Shot]]*Prod[[#This Row],[S2Cavity]]-Prod[[#This Row],[S2Dft]]</f>
        <v>0</v>
      </c>
      <c r="S348" s="136">
        <f>SUM(Prod[[#This Row],[S2Mold]],Prod[[#This Row],[S2Print]],Prod[[#This Row],[S2Ovlp]],Prod[[#This Row],[S2Seam]],Prod[[#This Row],[S2Dmg]])</f>
        <v>0</v>
      </c>
      <c r="T348" s="250">
        <v>0</v>
      </c>
      <c r="U348" s="141">
        <v>0</v>
      </c>
      <c r="V348" s="120">
        <v>0</v>
      </c>
      <c r="W348" s="130">
        <v>0</v>
      </c>
      <c r="X348" s="120">
        <f>Prod[[#This Row],[S3Shot]]*Prod[[#This Row],[S3Cavity]]-Prod[[#This Row],[S3Dft]]</f>
        <v>0</v>
      </c>
      <c r="Y348" s="120">
        <f>SUM(Prod[[#This Row],[S3Mold]],Prod[[#This Row],[S3Print]],Prod[[#This Row],[S3Ovlp]],Prod[[#This Row],[S3Seam]],Prod[[#This Row],[S3Dmg]])</f>
        <v>0</v>
      </c>
      <c r="Z348" s="120">
        <f>SUM(Prod[[#This Row],[S1Qty]],Prod[[#This Row],[S2Qty]],Prod[[#This Row],[S3Qty]])</f>
        <v>0</v>
      </c>
      <c r="AA348" s="120">
        <f>SUM(Prod[[#This Row],[S1Dft]],Prod[[#This Row],[S2Dft]],Prod[[#This Row],[S3Dft]])</f>
        <v>0</v>
      </c>
      <c r="AB348" s="121">
        <f>IF(Prod[[#This Row],[Total]]=0,0,Prod[[#This Row],[TotalDft]]/Prod[[#This Row],[Total]])</f>
        <v>0</v>
      </c>
      <c r="AC348" s="131"/>
      <c r="AD348" s="120">
        <v>0</v>
      </c>
      <c r="AE348" s="120">
        <v>0</v>
      </c>
      <c r="AF348" s="120">
        <v>0</v>
      </c>
      <c r="AG348" s="120">
        <v>0</v>
      </c>
      <c r="AH348" s="120">
        <v>0</v>
      </c>
      <c r="AI348" s="120">
        <v>0</v>
      </c>
      <c r="AJ348" s="120">
        <v>0</v>
      </c>
      <c r="AK348" s="120">
        <v>0</v>
      </c>
      <c r="AL348" s="120">
        <v>0</v>
      </c>
      <c r="AM348" s="120">
        <v>0</v>
      </c>
      <c r="AN348" s="120">
        <v>0</v>
      </c>
      <c r="AO348" s="120">
        <v>0</v>
      </c>
      <c r="AP348" s="120">
        <v>0</v>
      </c>
      <c r="AQ348" s="120">
        <v>0</v>
      </c>
      <c r="AR348" s="120">
        <v>0</v>
      </c>
      <c r="AS348" s="132">
        <f>IF(Prod[[#This Row],[S1Hrs]]=0,0,Prod[[#This Row],[S1Shot]]*Prod[[#This Row],[S1Cycle]]/(Prod[[#This Row],[S1Hrs]]*60*60))</f>
        <v>0</v>
      </c>
      <c r="AT348" s="132">
        <f>IF(Prod[[#This Row],[S2Hrs]]=0,0,Prod[[#This Row],[S2Shot]]*Prod[[#This Row],[S2Cycle]]/(Prod[[#This Row],[S2Hrs]]*60*60))</f>
        <v>0</v>
      </c>
      <c r="AU348" s="132">
        <f>IF(Prod[[#This Row],[S3Hrs]]=0,0,Prod[[#This Row],[S3Shot]]*Prod[[#This Row],[S3Cycle]]/(Prod[[#This Row],[S3Hrs]]*60*60))</f>
        <v>0</v>
      </c>
      <c r="AV348" s="132">
        <f>IFERROR(AVERAGEIF(Prod[[#This Row],[S1%]:[S3%]], "&lt;&gt;0"),0)</f>
        <v>0</v>
      </c>
      <c r="AW348" s="132">
        <v>0</v>
      </c>
      <c r="AX348" s="132">
        <v>0</v>
      </c>
      <c r="AY348" s="132">
        <v>0</v>
      </c>
      <c r="AZ348" s="175">
        <f>IF(Prod[[#This Row],[S1Cycle]]&lt;&gt;0,1,0)</f>
        <v>0</v>
      </c>
      <c r="BA348" s="175">
        <f>IF(Prod[[#This Row],[S2Cycle]]&lt;&gt;0,1,0)</f>
        <v>0</v>
      </c>
      <c r="BB348" s="175">
        <f>IF(Prod[[#This Row],[S3Cycle]]&lt;&gt;0,1,0)</f>
        <v>0</v>
      </c>
      <c r="BC348" s="175">
        <f>MAX(Prod[[#This Row],[S1Cavity]],Prod[[#This Row],[S2Cavity]],Prod[[#This Row],[S3Cavity]])</f>
        <v>0</v>
      </c>
      <c r="BD348" s="175" t="b">
        <f>RegExpMatch(Prod[[#This Row],[MoldNo]], "^DEO-(B|C)")</f>
        <v>1</v>
      </c>
      <c r="BE348" s="175" t="b">
        <f>RegExpMatch(Prod[[#This Row],[MoldNo]], "^JAC")</f>
        <v>0</v>
      </c>
    </row>
    <row r="349" spans="1:57" hidden="1" x14ac:dyDescent="0.2">
      <c r="A349" s="117">
        <v>45465</v>
      </c>
      <c r="B349" s="120" t="s">
        <v>7</v>
      </c>
      <c r="C349" s="119" t="s">
        <v>172</v>
      </c>
      <c r="D349" s="119"/>
      <c r="E349" s="131"/>
      <c r="F349" s="119"/>
      <c r="G349" s="249" t="str">
        <f>IF(OR(Prod[[#This Row],[S1Hrs]]&gt;0,Prod[[#This Row],[S2Hrs]]&gt;0,Prod[[#This Row],[S3Hrs]]&gt;0),"Running","Down")</f>
        <v>Down</v>
      </c>
      <c r="H349" s="250">
        <v>0</v>
      </c>
      <c r="I349" s="141">
        <v>0</v>
      </c>
      <c r="J349" s="120">
        <v>0</v>
      </c>
      <c r="K349" s="130">
        <v>0</v>
      </c>
      <c r="L349" s="120">
        <f>Prod[[#This Row],[S1Shot]]*Prod[[#This Row],[S1Cavity]]-Prod[[#This Row],[S1Dft]]</f>
        <v>0</v>
      </c>
      <c r="M349" s="136">
        <f>SUM(Prod[[#This Row],[S1Mold]],Prod[[#This Row],[S1Print]],Prod[[#This Row],[S1Ovlp]],Prod[[#This Row],[S1Seam]],Prod[[#This Row],[S1Dmg]])</f>
        <v>0</v>
      </c>
      <c r="N349" s="250">
        <v>0</v>
      </c>
      <c r="O349" s="141">
        <v>0</v>
      </c>
      <c r="P349" s="120">
        <v>0</v>
      </c>
      <c r="Q349" s="130">
        <v>0</v>
      </c>
      <c r="R349" s="120">
        <f>Prod[[#This Row],[S2Shot]]*Prod[[#This Row],[S2Cavity]]-Prod[[#This Row],[S2Dft]]</f>
        <v>0</v>
      </c>
      <c r="S349" s="136">
        <f>SUM(Prod[[#This Row],[S2Mold]],Prod[[#This Row],[S2Print]],Prod[[#This Row],[S2Ovlp]],Prod[[#This Row],[S2Seam]],Prod[[#This Row],[S2Dmg]])</f>
        <v>0</v>
      </c>
      <c r="T349" s="250">
        <v>0</v>
      </c>
      <c r="U349" s="141">
        <v>0</v>
      </c>
      <c r="V349" s="120">
        <v>0</v>
      </c>
      <c r="W349" s="130">
        <v>0</v>
      </c>
      <c r="X349" s="120">
        <f>Prod[[#This Row],[S3Shot]]*Prod[[#This Row],[S3Cavity]]-Prod[[#This Row],[S3Dft]]</f>
        <v>0</v>
      </c>
      <c r="Y349" s="120">
        <f>SUM(Prod[[#This Row],[S3Mold]],Prod[[#This Row],[S3Print]],Prod[[#This Row],[S3Ovlp]],Prod[[#This Row],[S3Seam]],Prod[[#This Row],[S3Dmg]])</f>
        <v>0</v>
      </c>
      <c r="Z349" s="120">
        <f>SUM(Prod[[#This Row],[S1Qty]],Prod[[#This Row],[S2Qty]],Prod[[#This Row],[S3Qty]])</f>
        <v>0</v>
      </c>
      <c r="AA349" s="120">
        <f>SUM(Prod[[#This Row],[S1Dft]],Prod[[#This Row],[S2Dft]],Prod[[#This Row],[S3Dft]])</f>
        <v>0</v>
      </c>
      <c r="AB349" s="121">
        <f>IF(Prod[[#This Row],[Total]]=0,0,Prod[[#This Row],[TotalDft]]/Prod[[#This Row],[Total]])</f>
        <v>0</v>
      </c>
      <c r="AC349" s="131"/>
      <c r="AD349" s="120">
        <v>0</v>
      </c>
      <c r="AE349" s="120">
        <v>0</v>
      </c>
      <c r="AF349" s="120">
        <v>0</v>
      </c>
      <c r="AG349" s="120">
        <v>0</v>
      </c>
      <c r="AH349" s="120">
        <v>0</v>
      </c>
      <c r="AI349" s="120">
        <v>0</v>
      </c>
      <c r="AJ349" s="120">
        <v>0</v>
      </c>
      <c r="AK349" s="120">
        <v>0</v>
      </c>
      <c r="AL349" s="120">
        <v>0</v>
      </c>
      <c r="AM349" s="120">
        <v>0</v>
      </c>
      <c r="AN349" s="120">
        <v>0</v>
      </c>
      <c r="AO349" s="120">
        <v>0</v>
      </c>
      <c r="AP349" s="120">
        <v>0</v>
      </c>
      <c r="AQ349" s="120">
        <v>0</v>
      </c>
      <c r="AR349" s="120">
        <v>0</v>
      </c>
      <c r="AS349" s="132">
        <f>IF(Prod[[#This Row],[S1Hrs]]=0,0,Prod[[#This Row],[S1Shot]]*Prod[[#This Row],[S1Cycle]]/(Prod[[#This Row],[S1Hrs]]*60*60))</f>
        <v>0</v>
      </c>
      <c r="AT349" s="132">
        <f>IF(Prod[[#This Row],[S2Hrs]]=0,0,Prod[[#This Row],[S2Shot]]*Prod[[#This Row],[S2Cycle]]/(Prod[[#This Row],[S2Hrs]]*60*60))</f>
        <v>0</v>
      </c>
      <c r="AU349" s="132">
        <f>IF(Prod[[#This Row],[S3Hrs]]=0,0,Prod[[#This Row],[S3Shot]]*Prod[[#This Row],[S3Cycle]]/(Prod[[#This Row],[S3Hrs]]*60*60))</f>
        <v>0</v>
      </c>
      <c r="AV349" s="132">
        <f>IFERROR(AVERAGEIF(Prod[[#This Row],[S1%]:[S3%]], "&lt;&gt;0"),0)</f>
        <v>0</v>
      </c>
      <c r="AW349" s="132"/>
      <c r="AX349" s="132">
        <v>0</v>
      </c>
      <c r="AY349" s="132">
        <v>0</v>
      </c>
      <c r="AZ349" s="175">
        <f>IF(Prod[[#This Row],[S1Cycle]]&lt;&gt;0,1,0)</f>
        <v>0</v>
      </c>
      <c r="BA349" s="175">
        <f>IF(Prod[[#This Row],[S2Cycle]]&lt;&gt;0,1,0)</f>
        <v>0</v>
      </c>
      <c r="BB349" s="175">
        <f>IF(Prod[[#This Row],[S3Cycle]]&lt;&gt;0,1,0)</f>
        <v>0</v>
      </c>
      <c r="BC349" s="175">
        <f>MAX(Prod[[#This Row],[S1Cavity]],Prod[[#This Row],[S2Cavity]],Prod[[#This Row],[S3Cavity]])</f>
        <v>0</v>
      </c>
      <c r="BD349" s="175" t="b">
        <f>RegExpMatch(Prod[[#This Row],[MoldNo]], "^DEO-(B|C)")</f>
        <v>1</v>
      </c>
      <c r="BE349" s="175" t="b">
        <f>RegExpMatch(Prod[[#This Row],[MoldNo]], "^JAC")</f>
        <v>0</v>
      </c>
    </row>
    <row r="350" spans="1:57" hidden="1" x14ac:dyDescent="0.2">
      <c r="A350" s="117">
        <v>45465</v>
      </c>
      <c r="B350" s="120" t="s">
        <v>85</v>
      </c>
      <c r="C350" s="119" t="s">
        <v>165</v>
      </c>
      <c r="D350" s="119"/>
      <c r="E350" s="131"/>
      <c r="F350" s="119"/>
      <c r="G350" s="249" t="str">
        <f>IF(OR(Prod[[#This Row],[S1Hrs]]&gt;0,Prod[[#This Row],[S2Hrs]]&gt;0,Prod[[#This Row],[S3Hrs]]&gt;0),"Running","Down")</f>
        <v>Down</v>
      </c>
      <c r="H350" s="250">
        <v>0</v>
      </c>
      <c r="I350" s="141">
        <v>0</v>
      </c>
      <c r="J350" s="120">
        <v>0</v>
      </c>
      <c r="K350" s="130">
        <v>0</v>
      </c>
      <c r="L350" s="120">
        <f>Prod[[#This Row],[S1Shot]]*Prod[[#This Row],[S1Cavity]]-Prod[[#This Row],[S1Dft]]</f>
        <v>0</v>
      </c>
      <c r="M350" s="134"/>
      <c r="N350" s="250">
        <v>0</v>
      </c>
      <c r="O350" s="141">
        <v>0</v>
      </c>
      <c r="P350" s="120">
        <v>0</v>
      </c>
      <c r="Q350" s="130">
        <v>0</v>
      </c>
      <c r="R350" s="120">
        <f>Prod[[#This Row],[S2Shot]]*Prod[[#This Row],[S2Cavity]]-Prod[[#This Row],[S2Dft]]</f>
        <v>0</v>
      </c>
      <c r="S350" s="134"/>
      <c r="T350" s="250">
        <v>0</v>
      </c>
      <c r="U350" s="141">
        <v>0</v>
      </c>
      <c r="V350" s="120">
        <v>0</v>
      </c>
      <c r="W350" s="130">
        <v>0</v>
      </c>
      <c r="X350" s="120">
        <f>Prod[[#This Row],[S3Shot]]*Prod[[#This Row],[S3Cavity]]-Prod[[#This Row],[S3Dft]]</f>
        <v>0</v>
      </c>
      <c r="Y350" s="134"/>
      <c r="Z350" s="120">
        <f>SUM(Prod[[#This Row],[S1Qty]],Prod[[#This Row],[S2Qty]],Prod[[#This Row],[S3Qty]])</f>
        <v>0</v>
      </c>
      <c r="AA350" s="134"/>
      <c r="AB350" s="135"/>
      <c r="AC350" s="118"/>
      <c r="AD350" s="134"/>
      <c r="AE350" s="134"/>
      <c r="AF350" s="134"/>
      <c r="AG350" s="134"/>
      <c r="AH350" s="134"/>
      <c r="AI350" s="134"/>
      <c r="AJ350" s="134"/>
      <c r="AK350" s="134"/>
      <c r="AL350" s="134"/>
      <c r="AM350" s="134"/>
      <c r="AN350" s="134"/>
      <c r="AO350" s="134"/>
      <c r="AP350" s="134"/>
      <c r="AQ350" s="134"/>
      <c r="AR350" s="134"/>
      <c r="AS350" s="132">
        <f>IF(Prod[[#This Row],[S1Hrs]]=0,0,Prod[[#This Row],[S1Shot]]*Prod[[#This Row],[S1Cycle]]/(Prod[[#This Row],[S1Hrs]]*60*60))</f>
        <v>0</v>
      </c>
      <c r="AT350" s="132">
        <f>IF(Prod[[#This Row],[S2Hrs]]=0,0,Prod[[#This Row],[S2Shot]]*Prod[[#This Row],[S2Cycle]]/(Prod[[#This Row],[S2Hrs]]*60*60))</f>
        <v>0</v>
      </c>
      <c r="AU350" s="132">
        <f>IF(Prod[[#This Row],[S3Hrs]]=0,0,Prod[[#This Row],[S3Shot]]*Prod[[#This Row],[S3Cycle]]/(Prod[[#This Row],[S3Hrs]]*60*60))</f>
        <v>0</v>
      </c>
      <c r="AV350" s="132">
        <f>IFERROR(AVERAGEIF(Prod[[#This Row],[S1%]:[S3%]], "&lt;&gt;0"),0)</f>
        <v>0</v>
      </c>
      <c r="AW350" s="132">
        <v>0</v>
      </c>
      <c r="AX350" s="132">
        <v>0</v>
      </c>
      <c r="AY350" s="132">
        <v>0</v>
      </c>
      <c r="AZ350" s="175">
        <f>IF(Prod[[#This Row],[S1Cycle]]&lt;&gt;0,1,0)</f>
        <v>0</v>
      </c>
      <c r="BA350" s="175">
        <f>IF(Prod[[#This Row],[S2Cycle]]&lt;&gt;0,1,0)</f>
        <v>0</v>
      </c>
      <c r="BB350" s="175">
        <f>IF(Prod[[#This Row],[S3Cycle]]&lt;&gt;0,1,0)</f>
        <v>0</v>
      </c>
      <c r="BC350" s="175">
        <f>MAX(Prod[[#This Row],[S1Cavity]],Prod[[#This Row],[S2Cavity]],Prod[[#This Row],[S3Cavity]])</f>
        <v>0</v>
      </c>
      <c r="BD350" s="175" t="b">
        <f>RegExpMatch(Prod[[#This Row],[MoldNo]], "^DEO-(B|C)")</f>
        <v>0</v>
      </c>
      <c r="BE350" s="175" t="b">
        <f>RegExpMatch(Prod[[#This Row],[MoldNo]], "^JAC")</f>
        <v>0</v>
      </c>
    </row>
    <row r="351" spans="1:57" hidden="1" x14ac:dyDescent="0.2">
      <c r="A351" s="117">
        <v>45465</v>
      </c>
      <c r="B351" s="120" t="s">
        <v>196</v>
      </c>
      <c r="C351" s="119" t="s">
        <v>82</v>
      </c>
      <c r="D351" s="119"/>
      <c r="E351" s="131"/>
      <c r="F351" s="119"/>
      <c r="G351" s="249" t="str">
        <f>IF(OR(Prod[[#This Row],[S1Hrs]]&gt;0,Prod[[#This Row],[S2Hrs]]&gt;0,Prod[[#This Row],[S3Hrs]]&gt;0),"Running","Down")</f>
        <v>Down</v>
      </c>
      <c r="H351" s="250">
        <v>0</v>
      </c>
      <c r="I351" s="141">
        <v>0</v>
      </c>
      <c r="J351" s="120">
        <v>0</v>
      </c>
      <c r="K351" s="130">
        <v>0</v>
      </c>
      <c r="L351" s="120">
        <f>Prod[[#This Row],[S1Shot]]*Prod[[#This Row],[S1Cavity]]-Prod[[#This Row],[S1Dft]]</f>
        <v>0</v>
      </c>
      <c r="M351" s="134"/>
      <c r="N351" s="250">
        <v>0</v>
      </c>
      <c r="O351" s="141">
        <v>0</v>
      </c>
      <c r="P351" s="120">
        <v>0</v>
      </c>
      <c r="Q351" s="130">
        <v>0</v>
      </c>
      <c r="R351" s="120">
        <f>Prod[[#This Row],[S2Shot]]*Prod[[#This Row],[S2Cavity]]-Prod[[#This Row],[S2Dft]]</f>
        <v>0</v>
      </c>
      <c r="S351" s="134"/>
      <c r="T351" s="250">
        <v>0</v>
      </c>
      <c r="U351" s="141">
        <v>0</v>
      </c>
      <c r="V351" s="120">
        <v>0</v>
      </c>
      <c r="W351" s="130">
        <v>0</v>
      </c>
      <c r="X351" s="120">
        <f>Prod[[#This Row],[S3Shot]]*Prod[[#This Row],[S3Cavity]]-Prod[[#This Row],[S3Dft]]</f>
        <v>0</v>
      </c>
      <c r="Y351" s="134"/>
      <c r="Z351" s="120">
        <f>SUM(Prod[[#This Row],[S1Qty]],Prod[[#This Row],[S2Qty]],Prod[[#This Row],[S3Qty]])</f>
        <v>0</v>
      </c>
      <c r="AA351" s="134"/>
      <c r="AB351" s="135"/>
      <c r="AC351" s="118"/>
      <c r="AD351" s="134"/>
      <c r="AE351" s="134"/>
      <c r="AF351" s="134"/>
      <c r="AG351" s="134"/>
      <c r="AH351" s="134"/>
      <c r="AI351" s="134"/>
      <c r="AJ351" s="134"/>
      <c r="AK351" s="134"/>
      <c r="AL351" s="134"/>
      <c r="AM351" s="134"/>
      <c r="AN351" s="134"/>
      <c r="AO351" s="134"/>
      <c r="AP351" s="134"/>
      <c r="AQ351" s="134"/>
      <c r="AR351" s="134"/>
      <c r="AS351" s="132">
        <f>IF(Prod[[#This Row],[S1Hrs]]=0,0,Prod[[#This Row],[S1Shot]]*Prod[[#This Row],[S1Cycle]]/(Prod[[#This Row],[S1Hrs]]*60*60))</f>
        <v>0</v>
      </c>
      <c r="AT351" s="132">
        <f>IF(Prod[[#This Row],[S2Hrs]]=0,0,Prod[[#This Row],[S2Shot]]*Prod[[#This Row],[S2Cycle]]/(Prod[[#This Row],[S2Hrs]]*60*60))</f>
        <v>0</v>
      </c>
      <c r="AU351" s="132">
        <f>IF(Prod[[#This Row],[S3Hrs]]=0,0,Prod[[#This Row],[S3Shot]]*Prod[[#This Row],[S3Cycle]]/(Prod[[#This Row],[S3Hrs]]*60*60))</f>
        <v>0</v>
      </c>
      <c r="AV351" s="132">
        <f>IFERROR(AVERAGEIF(Prod[[#This Row],[S1%]:[S3%]], "&lt;&gt;0"),0)</f>
        <v>0</v>
      </c>
      <c r="AW351" s="132">
        <v>0</v>
      </c>
      <c r="AX351" s="132">
        <v>0</v>
      </c>
      <c r="AY351" s="132">
        <v>0</v>
      </c>
      <c r="AZ351" s="175">
        <f>IF(Prod[[#This Row],[S1Cycle]]&lt;&gt;0,1,0)</f>
        <v>0</v>
      </c>
      <c r="BA351" s="175">
        <f>IF(Prod[[#This Row],[S2Cycle]]&lt;&gt;0,1,0)</f>
        <v>0</v>
      </c>
      <c r="BB351" s="175">
        <f>IF(Prod[[#This Row],[S3Cycle]]&lt;&gt;0,1,0)</f>
        <v>0</v>
      </c>
      <c r="BC351" s="175">
        <f>MAX(Prod[[#This Row],[S1Cavity]],Prod[[#This Row],[S2Cavity]],Prod[[#This Row],[S3Cavity]])</f>
        <v>0</v>
      </c>
      <c r="BD351" s="175" t="b">
        <f>RegExpMatch(Prod[[#This Row],[MoldNo]], "^DEO-(B|C)")</f>
        <v>0</v>
      </c>
      <c r="BE351" s="175" t="b">
        <f>RegExpMatch(Prod[[#This Row],[MoldNo]], "^JAC")</f>
        <v>0</v>
      </c>
    </row>
    <row r="352" spans="1:57" hidden="1" x14ac:dyDescent="0.2">
      <c r="A352" s="117">
        <v>45465</v>
      </c>
      <c r="B352" s="120" t="s">
        <v>192</v>
      </c>
      <c r="C352" s="131" t="s">
        <v>193</v>
      </c>
      <c r="D352" s="119"/>
      <c r="E352" s="131"/>
      <c r="F352" s="119"/>
      <c r="G352" s="249" t="str">
        <f>IF(OR(Prod[[#This Row],[S1Hrs]]&gt;0,Prod[[#This Row],[S2Hrs]]&gt;0,Prod[[#This Row],[S3Hrs]]&gt;0),"Running","Down")</f>
        <v>Down</v>
      </c>
      <c r="H352" s="250">
        <v>0</v>
      </c>
      <c r="I352" s="141">
        <v>0</v>
      </c>
      <c r="J352" s="120">
        <v>0</v>
      </c>
      <c r="K352" s="130">
        <v>0</v>
      </c>
      <c r="L352" s="120">
        <f>Prod[[#This Row],[S1Shot]]*Prod[[#This Row],[S1Cavity]]-Prod[[#This Row],[S1Dft]]</f>
        <v>0</v>
      </c>
      <c r="M352" s="134"/>
      <c r="N352" s="250">
        <v>0</v>
      </c>
      <c r="O352" s="141">
        <v>0</v>
      </c>
      <c r="P352" s="120">
        <v>0</v>
      </c>
      <c r="Q352" s="130">
        <v>0</v>
      </c>
      <c r="R352" s="120">
        <f>Prod[[#This Row],[S2Shot]]*Prod[[#This Row],[S2Cavity]]-Prod[[#This Row],[S2Dft]]</f>
        <v>0</v>
      </c>
      <c r="S352" s="134"/>
      <c r="T352" s="250">
        <v>0</v>
      </c>
      <c r="U352" s="141">
        <v>0</v>
      </c>
      <c r="V352" s="120">
        <v>0</v>
      </c>
      <c r="W352" s="130">
        <v>0</v>
      </c>
      <c r="X352" s="120">
        <f>Prod[[#This Row],[S3Shot]]*Prod[[#This Row],[S3Cavity]]-Prod[[#This Row],[S3Dft]]</f>
        <v>0</v>
      </c>
      <c r="Y352" s="134"/>
      <c r="Z352" s="120">
        <f>SUM(Prod[[#This Row],[S1Qty]],Prod[[#This Row],[S2Qty]],Prod[[#This Row],[S3Qty]])</f>
        <v>0</v>
      </c>
      <c r="AA352" s="134"/>
      <c r="AB352" s="135"/>
      <c r="AC352" s="118"/>
      <c r="AD352" s="134"/>
      <c r="AE352" s="134"/>
      <c r="AF352" s="134"/>
      <c r="AG352" s="134"/>
      <c r="AH352" s="134"/>
      <c r="AI352" s="134"/>
      <c r="AJ352" s="134"/>
      <c r="AK352" s="134"/>
      <c r="AL352" s="134"/>
      <c r="AM352" s="134"/>
      <c r="AN352" s="134"/>
      <c r="AO352" s="134"/>
      <c r="AP352" s="134"/>
      <c r="AQ352" s="134"/>
      <c r="AR352" s="134"/>
      <c r="AS352" s="132">
        <f>IF(Prod[[#This Row],[S1Hrs]]=0,0,Prod[[#This Row],[S1Shot]]*Prod[[#This Row],[S1Cycle]]/(Prod[[#This Row],[S1Hrs]]*60*60))</f>
        <v>0</v>
      </c>
      <c r="AT352" s="132">
        <f>IF(Prod[[#This Row],[S2Hrs]]=0,0,Prod[[#This Row],[S2Shot]]*Prod[[#This Row],[S2Cycle]]/(Prod[[#This Row],[S2Hrs]]*60*60))</f>
        <v>0</v>
      </c>
      <c r="AU352" s="132">
        <f>IF(Prod[[#This Row],[S3Hrs]]=0,0,Prod[[#This Row],[S3Shot]]*Prod[[#This Row],[S3Cycle]]/(Prod[[#This Row],[S3Hrs]]*60*60))</f>
        <v>0</v>
      </c>
      <c r="AV352" s="132">
        <f>IFERROR(AVERAGEIF(Prod[[#This Row],[S1%]:[S3%]], "&lt;&gt;0"),0)</f>
        <v>0</v>
      </c>
      <c r="AW352" s="132">
        <v>0</v>
      </c>
      <c r="AX352" s="132">
        <v>0</v>
      </c>
      <c r="AY352" s="132">
        <v>0</v>
      </c>
      <c r="AZ352" s="175">
        <f>IF(Prod[[#This Row],[S1Cycle]]&lt;&gt;0,1,0)</f>
        <v>0</v>
      </c>
      <c r="BA352" s="175">
        <f>IF(Prod[[#This Row],[S2Cycle]]&lt;&gt;0,1,0)</f>
        <v>0</v>
      </c>
      <c r="BB352" s="175">
        <f>IF(Prod[[#This Row],[S3Cycle]]&lt;&gt;0,1,0)</f>
        <v>0</v>
      </c>
      <c r="BC352" s="175">
        <f>MAX(Prod[[#This Row],[S1Cavity]],Prod[[#This Row],[S2Cavity]],Prod[[#This Row],[S3Cavity]])</f>
        <v>0</v>
      </c>
      <c r="BD352" s="175" t="b">
        <f>RegExpMatch(Prod[[#This Row],[MoldNo]], "^DEO-(B|C)")</f>
        <v>0</v>
      </c>
      <c r="BE352" s="175" t="b">
        <f>RegExpMatch(Prod[[#This Row],[MoldNo]], "^JAC")</f>
        <v>0</v>
      </c>
    </row>
    <row r="353" spans="1:57" hidden="1" x14ac:dyDescent="0.2">
      <c r="A353" s="117">
        <v>45465</v>
      </c>
      <c r="B353" s="120" t="s">
        <v>168</v>
      </c>
      <c r="C353" s="119" t="s">
        <v>169</v>
      </c>
      <c r="D353" s="119"/>
      <c r="E353" s="131"/>
      <c r="F353" s="119"/>
      <c r="G353" s="249" t="str">
        <f>IF(OR(Prod[[#This Row],[S1Hrs]]&gt;0,Prod[[#This Row],[S2Hrs]]&gt;0,Prod[[#This Row],[S3Hrs]]&gt;0),"Running","Down")</f>
        <v>Down</v>
      </c>
      <c r="H353" s="250">
        <v>0</v>
      </c>
      <c r="I353" s="141">
        <v>0</v>
      </c>
      <c r="J353" s="120">
        <v>0</v>
      </c>
      <c r="K353" s="130">
        <v>0</v>
      </c>
      <c r="L353" s="120">
        <f>Prod[[#This Row],[S1Shot]]*Prod[[#This Row],[S1Cavity]]-Prod[[#This Row],[S1Dft]]</f>
        <v>0</v>
      </c>
      <c r="M353" s="134"/>
      <c r="N353" s="250">
        <v>0</v>
      </c>
      <c r="O353" s="141">
        <v>0</v>
      </c>
      <c r="P353" s="120">
        <v>0</v>
      </c>
      <c r="Q353" s="130">
        <v>0</v>
      </c>
      <c r="R353" s="120">
        <f>Prod[[#This Row],[S2Shot]]*Prod[[#This Row],[S2Cavity]]-Prod[[#This Row],[S2Dft]]</f>
        <v>0</v>
      </c>
      <c r="S353" s="134"/>
      <c r="T353" s="250">
        <v>0</v>
      </c>
      <c r="U353" s="141">
        <v>0</v>
      </c>
      <c r="V353" s="120">
        <v>0</v>
      </c>
      <c r="W353" s="130">
        <v>0</v>
      </c>
      <c r="X353" s="120">
        <f>Prod[[#This Row],[S3Shot]]*Prod[[#This Row],[S3Cavity]]-Prod[[#This Row],[S3Dft]]</f>
        <v>0</v>
      </c>
      <c r="Y353" s="134"/>
      <c r="Z353" s="120">
        <f>SUM(Prod[[#This Row],[S1Qty]],Prod[[#This Row],[S2Qty]],Prod[[#This Row],[S3Qty]])</f>
        <v>0</v>
      </c>
      <c r="AA353" s="134"/>
      <c r="AB353" s="135"/>
      <c r="AC353" s="118"/>
      <c r="AD353" s="134"/>
      <c r="AE353" s="134"/>
      <c r="AF353" s="134"/>
      <c r="AG353" s="134"/>
      <c r="AH353" s="134"/>
      <c r="AI353" s="134"/>
      <c r="AJ353" s="134"/>
      <c r="AK353" s="134"/>
      <c r="AL353" s="134"/>
      <c r="AM353" s="134"/>
      <c r="AN353" s="134"/>
      <c r="AO353" s="134"/>
      <c r="AP353" s="134"/>
      <c r="AQ353" s="134"/>
      <c r="AR353" s="134"/>
      <c r="AS353" s="132">
        <f>IF(Prod[[#This Row],[S1Hrs]]=0,0,Prod[[#This Row],[S1Shot]]*Prod[[#This Row],[S1Cycle]]/(Prod[[#This Row],[S1Hrs]]*60*60))</f>
        <v>0</v>
      </c>
      <c r="AT353" s="132">
        <f>IF(Prod[[#This Row],[S2Hrs]]=0,0,Prod[[#This Row],[S2Shot]]*Prod[[#This Row],[S2Cycle]]/(Prod[[#This Row],[S2Hrs]]*60*60))</f>
        <v>0</v>
      </c>
      <c r="AU353" s="132">
        <f>IF(Prod[[#This Row],[S3Hrs]]=0,0,Prod[[#This Row],[S3Shot]]*Prod[[#This Row],[S3Cycle]]/(Prod[[#This Row],[S3Hrs]]*60*60))</f>
        <v>0</v>
      </c>
      <c r="AV353" s="132">
        <f>IFERROR(AVERAGEIF(Prod[[#This Row],[S1%]:[S3%]], "&lt;&gt;0"),0)</f>
        <v>0</v>
      </c>
      <c r="AW353" s="132">
        <v>0</v>
      </c>
      <c r="AX353" s="132">
        <v>0</v>
      </c>
      <c r="AY353" s="132">
        <v>0</v>
      </c>
      <c r="AZ353" s="175">
        <f>IF(Prod[[#This Row],[S1Cycle]]&lt;&gt;0,1,0)</f>
        <v>0</v>
      </c>
      <c r="BA353" s="175">
        <f>IF(Prod[[#This Row],[S2Cycle]]&lt;&gt;0,1,0)</f>
        <v>0</v>
      </c>
      <c r="BB353" s="175">
        <f>IF(Prod[[#This Row],[S3Cycle]]&lt;&gt;0,1,0)</f>
        <v>0</v>
      </c>
      <c r="BC353" s="175">
        <f>MAX(Prod[[#This Row],[S1Cavity]],Prod[[#This Row],[S2Cavity]],Prod[[#This Row],[S3Cavity]])</f>
        <v>0</v>
      </c>
      <c r="BD353" s="175" t="b">
        <f>RegExpMatch(Prod[[#This Row],[MoldNo]], "^DEO-(B|C)")</f>
        <v>0</v>
      </c>
      <c r="BE353" s="175" t="b">
        <f>RegExpMatch(Prod[[#This Row],[MoldNo]], "^JAC")</f>
        <v>0</v>
      </c>
    </row>
    <row r="354" spans="1:57" hidden="1" x14ac:dyDescent="0.2">
      <c r="A354" s="117">
        <v>45465</v>
      </c>
      <c r="B354" s="120" t="s">
        <v>146</v>
      </c>
      <c r="C354" s="119" t="s">
        <v>84</v>
      </c>
      <c r="D354" s="119"/>
      <c r="E354" s="131"/>
      <c r="F354" s="119"/>
      <c r="G354" s="249" t="str">
        <f>IF(OR(Prod[[#This Row],[S1Hrs]]&gt;0,Prod[[#This Row],[S2Hrs]]&gt;0,Prod[[#This Row],[S3Hrs]]&gt;0),"Running","Down")</f>
        <v>Down</v>
      </c>
      <c r="H354" s="250">
        <v>0</v>
      </c>
      <c r="I354" s="141">
        <v>0</v>
      </c>
      <c r="J354" s="120">
        <v>0</v>
      </c>
      <c r="K354" s="130">
        <v>0</v>
      </c>
      <c r="L354" s="120">
        <f>Prod[[#This Row],[S1Shot]]*Prod[[#This Row],[S1Cavity]]-Prod[[#This Row],[S1Dft]]</f>
        <v>0</v>
      </c>
      <c r="M354" s="134"/>
      <c r="N354" s="250">
        <v>0</v>
      </c>
      <c r="O354" s="141">
        <v>0</v>
      </c>
      <c r="P354" s="120">
        <v>0</v>
      </c>
      <c r="Q354" s="130">
        <v>0</v>
      </c>
      <c r="R354" s="120">
        <f>Prod[[#This Row],[S2Shot]]*Prod[[#This Row],[S2Cavity]]-Prod[[#This Row],[S2Dft]]</f>
        <v>0</v>
      </c>
      <c r="S354" s="134"/>
      <c r="T354" s="250">
        <v>0</v>
      </c>
      <c r="U354" s="141">
        <v>0</v>
      </c>
      <c r="V354" s="120">
        <v>0</v>
      </c>
      <c r="W354" s="130">
        <v>0</v>
      </c>
      <c r="X354" s="120">
        <f>Prod[[#This Row],[S3Shot]]*Prod[[#This Row],[S3Cavity]]-Prod[[#This Row],[S3Dft]]</f>
        <v>0</v>
      </c>
      <c r="Y354" s="134"/>
      <c r="Z354" s="120">
        <f>SUM(Prod[[#This Row],[S1Qty]],Prod[[#This Row],[S2Qty]],Prod[[#This Row],[S3Qty]])</f>
        <v>0</v>
      </c>
      <c r="AA354" s="134"/>
      <c r="AB354" s="135"/>
      <c r="AC354" s="118"/>
      <c r="AD354" s="134"/>
      <c r="AE354" s="134"/>
      <c r="AF354" s="134"/>
      <c r="AG354" s="134"/>
      <c r="AH354" s="134"/>
      <c r="AI354" s="134"/>
      <c r="AJ354" s="134"/>
      <c r="AK354" s="134"/>
      <c r="AL354" s="134"/>
      <c r="AM354" s="134"/>
      <c r="AN354" s="134"/>
      <c r="AO354" s="134"/>
      <c r="AP354" s="134"/>
      <c r="AQ354" s="134"/>
      <c r="AR354" s="134"/>
      <c r="AS354" s="132">
        <f>IF(Prod[[#This Row],[S1Hrs]]=0,0,Prod[[#This Row],[S1Shot]]*Prod[[#This Row],[S1Cycle]]/(Prod[[#This Row],[S1Hrs]]*60*60))</f>
        <v>0</v>
      </c>
      <c r="AT354" s="132">
        <f>IF(Prod[[#This Row],[S2Hrs]]=0,0,Prod[[#This Row],[S2Shot]]*Prod[[#This Row],[S2Cycle]]/(Prod[[#This Row],[S2Hrs]]*60*60))</f>
        <v>0</v>
      </c>
      <c r="AU354" s="132">
        <f>IF(Prod[[#This Row],[S3Hrs]]=0,0,Prod[[#This Row],[S3Shot]]*Prod[[#This Row],[S3Cycle]]/(Prod[[#This Row],[S3Hrs]]*60*60))</f>
        <v>0</v>
      </c>
      <c r="AV354" s="132">
        <f>IFERROR(AVERAGEIF(Prod[[#This Row],[S1%]:[S3%]], "&lt;&gt;0"),0)</f>
        <v>0</v>
      </c>
      <c r="AW354" s="132">
        <v>0</v>
      </c>
      <c r="AX354" s="132">
        <v>0</v>
      </c>
      <c r="AY354" s="132">
        <v>0</v>
      </c>
      <c r="AZ354" s="175">
        <f>IF(Prod[[#This Row],[S1Cycle]]&lt;&gt;0,1,0)</f>
        <v>0</v>
      </c>
      <c r="BA354" s="175">
        <f>IF(Prod[[#This Row],[S2Cycle]]&lt;&gt;0,1,0)</f>
        <v>0</v>
      </c>
      <c r="BB354" s="175">
        <f>IF(Prod[[#This Row],[S3Cycle]]&lt;&gt;0,1,0)</f>
        <v>0</v>
      </c>
      <c r="BC354" s="175">
        <f>MAX(Prod[[#This Row],[S1Cavity]],Prod[[#This Row],[S2Cavity]],Prod[[#This Row],[S3Cavity]])</f>
        <v>0</v>
      </c>
      <c r="BD354" s="175" t="b">
        <f>RegExpMatch(Prod[[#This Row],[MoldNo]], "^DEO-(B|C)")</f>
        <v>0</v>
      </c>
      <c r="BE354" s="175" t="b">
        <f>RegExpMatch(Prod[[#This Row],[MoldNo]], "^JAC")</f>
        <v>0</v>
      </c>
    </row>
    <row r="355" spans="1:57" hidden="1" x14ac:dyDescent="0.2">
      <c r="A355" s="117">
        <v>45465</v>
      </c>
      <c r="B355" s="130" t="s">
        <v>164</v>
      </c>
      <c r="C355" s="131" t="s">
        <v>144</v>
      </c>
      <c r="D355" s="119"/>
      <c r="E355" s="131"/>
      <c r="F355" s="119"/>
      <c r="G355" s="249" t="str">
        <f>IF(OR(Prod[[#This Row],[S1Hrs]]&gt;0,Prod[[#This Row],[S2Hrs]]&gt;0,Prod[[#This Row],[S3Hrs]]&gt;0),"Running","Down")</f>
        <v>Down</v>
      </c>
      <c r="H355" s="250">
        <v>0</v>
      </c>
      <c r="I355" s="141">
        <v>0</v>
      </c>
      <c r="J355" s="120">
        <v>0</v>
      </c>
      <c r="K355" s="130">
        <v>0</v>
      </c>
      <c r="L355" s="120">
        <f>Prod[[#This Row],[S1Shot]]*Prod[[#This Row],[S1Cavity]]-Prod[[#This Row],[S1Dft]]</f>
        <v>0</v>
      </c>
      <c r="M355" s="136">
        <f>SUM(Prod[[#This Row],[S1Mold]],Prod[[#This Row],[S1Print]],Prod[[#This Row],[S1Ovlp]],Prod[[#This Row],[S1Seam]],Prod[[#This Row],[S1Dmg]])</f>
        <v>0</v>
      </c>
      <c r="N355" s="250">
        <v>0</v>
      </c>
      <c r="O355" s="141">
        <v>0</v>
      </c>
      <c r="P355" s="120">
        <v>0</v>
      </c>
      <c r="Q355" s="130">
        <v>0</v>
      </c>
      <c r="R355" s="120">
        <f>Prod[[#This Row],[S2Shot]]*Prod[[#This Row],[S2Cavity]]-Prod[[#This Row],[S2Dft]]</f>
        <v>0</v>
      </c>
      <c r="S355" s="136">
        <f>SUM(Prod[[#This Row],[S2Mold]],Prod[[#This Row],[S2Print]],Prod[[#This Row],[S2Ovlp]],Prod[[#This Row],[S2Seam]],Prod[[#This Row],[S2Dmg]])</f>
        <v>0</v>
      </c>
      <c r="T355" s="250">
        <v>0</v>
      </c>
      <c r="U355" s="141">
        <v>0</v>
      </c>
      <c r="V355" s="120">
        <v>0</v>
      </c>
      <c r="W355" s="130">
        <v>0</v>
      </c>
      <c r="X355" s="120">
        <f>Prod[[#This Row],[S3Shot]]*Prod[[#This Row],[S3Cavity]]-Prod[[#This Row],[S3Dft]]</f>
        <v>0</v>
      </c>
      <c r="Y355" s="120">
        <f>SUM(Prod[[#This Row],[S3Mold]],Prod[[#This Row],[S3Print]],Prod[[#This Row],[S3Ovlp]],Prod[[#This Row],[S3Seam]],Prod[[#This Row],[S3Dmg]])</f>
        <v>0</v>
      </c>
      <c r="Z355" s="120">
        <f>SUM(Prod[[#This Row],[S1Qty]],Prod[[#This Row],[S2Qty]],Prod[[#This Row],[S3Qty]])</f>
        <v>0</v>
      </c>
      <c r="AA355" s="120">
        <f>SUM(Prod[[#This Row],[S1Dft]],Prod[[#This Row],[S2Dft]],Prod[[#This Row],[S3Dft]])</f>
        <v>0</v>
      </c>
      <c r="AB355" s="121">
        <f>IF(Prod[[#This Row],[Total]]=0,0,Prod[[#This Row],[TotalDft]]/Prod[[#This Row],[Total]])</f>
        <v>0</v>
      </c>
      <c r="AC355" s="131"/>
      <c r="AD355" s="120">
        <v>0</v>
      </c>
      <c r="AE355" s="120">
        <v>0</v>
      </c>
      <c r="AF355" s="120">
        <v>0</v>
      </c>
      <c r="AG355" s="120">
        <v>0</v>
      </c>
      <c r="AH355" s="120">
        <v>0</v>
      </c>
      <c r="AI355" s="120">
        <v>0</v>
      </c>
      <c r="AJ355" s="120">
        <v>0</v>
      </c>
      <c r="AK355" s="120">
        <v>0</v>
      </c>
      <c r="AL355" s="120">
        <v>0</v>
      </c>
      <c r="AM355" s="120">
        <v>0</v>
      </c>
      <c r="AN355" s="120">
        <v>0</v>
      </c>
      <c r="AO355" s="120">
        <v>0</v>
      </c>
      <c r="AP355" s="120">
        <v>0</v>
      </c>
      <c r="AQ355" s="120">
        <v>0</v>
      </c>
      <c r="AR355" s="120">
        <v>0</v>
      </c>
      <c r="AS355" s="132">
        <f>IF(Prod[[#This Row],[S1Hrs]]=0,0,Prod[[#This Row],[S1Shot]]*Prod[[#This Row],[S1Cycle]]/(Prod[[#This Row],[S1Hrs]]*60*60))</f>
        <v>0</v>
      </c>
      <c r="AT355" s="132">
        <f>IF(Prod[[#This Row],[S2Hrs]]=0,0,Prod[[#This Row],[S2Shot]]*Prod[[#This Row],[S2Cycle]]/(Prod[[#This Row],[S2Hrs]]*60*60))</f>
        <v>0</v>
      </c>
      <c r="AU355" s="132">
        <f>IF(Prod[[#This Row],[S3Hrs]]=0,0,Prod[[#This Row],[S3Shot]]*Prod[[#This Row],[S3Cycle]]/(Prod[[#This Row],[S3Hrs]]*60*60))</f>
        <v>0</v>
      </c>
      <c r="AV355" s="132">
        <f>IFERROR(AVERAGEIF(Prod[[#This Row],[S1%]:[S3%]], "&lt;&gt;0"),0)</f>
        <v>0</v>
      </c>
      <c r="AW355" s="132">
        <v>0</v>
      </c>
      <c r="AX355" s="132">
        <v>0</v>
      </c>
      <c r="AY355" s="132">
        <v>0</v>
      </c>
      <c r="AZ355" s="175">
        <f>IF(Prod[[#This Row],[S1Cycle]]&lt;&gt;0,1,0)</f>
        <v>0</v>
      </c>
      <c r="BA355" s="175">
        <f>IF(Prod[[#This Row],[S2Cycle]]&lt;&gt;0,1,0)</f>
        <v>0</v>
      </c>
      <c r="BB355" s="175">
        <f>IF(Prod[[#This Row],[S3Cycle]]&lt;&gt;0,1,0)</f>
        <v>0</v>
      </c>
      <c r="BC355" s="175">
        <f>MAX(Prod[[#This Row],[S1Cavity]],Prod[[#This Row],[S2Cavity]],Prod[[#This Row],[S3Cavity]])</f>
        <v>0</v>
      </c>
      <c r="BD355" s="175" t="b">
        <f>RegExpMatch(Prod[[#This Row],[MoldNo]], "^DEO-(B|C)")</f>
        <v>1</v>
      </c>
      <c r="BE355" s="175" t="b">
        <f>RegExpMatch(Prod[[#This Row],[MoldNo]], "^JAC")</f>
        <v>0</v>
      </c>
    </row>
    <row r="356" spans="1:57" hidden="1" x14ac:dyDescent="0.2">
      <c r="A356" s="117">
        <v>45465</v>
      </c>
      <c r="B356" s="130" t="s">
        <v>162</v>
      </c>
      <c r="C356" s="131" t="s">
        <v>163</v>
      </c>
      <c r="D356" s="119"/>
      <c r="E356" s="131"/>
      <c r="F356" s="119"/>
      <c r="G356" s="249" t="str">
        <f>IF(OR(Prod[[#This Row],[S1Hrs]]&gt;0,Prod[[#This Row],[S2Hrs]]&gt;0,Prod[[#This Row],[S3Hrs]]&gt;0),"Running","Down")</f>
        <v>Down</v>
      </c>
      <c r="H356" s="250">
        <v>0</v>
      </c>
      <c r="I356" s="141">
        <v>0</v>
      </c>
      <c r="J356" s="120">
        <v>0</v>
      </c>
      <c r="K356" s="130">
        <v>0</v>
      </c>
      <c r="L356" s="120">
        <f>Prod[[#This Row],[S1Shot]]*Prod[[#This Row],[S1Cavity]]-Prod[[#This Row],[S1Dft]]</f>
        <v>0</v>
      </c>
      <c r="M356" s="136">
        <f>SUM(Prod[[#This Row],[S1Mold]],Prod[[#This Row],[S1Print]],Prod[[#This Row],[S1Ovlp]],Prod[[#This Row],[S1Seam]],Prod[[#This Row],[S1Dmg]])</f>
        <v>0</v>
      </c>
      <c r="N356" s="250">
        <v>0</v>
      </c>
      <c r="O356" s="141">
        <v>0</v>
      </c>
      <c r="P356" s="120">
        <v>0</v>
      </c>
      <c r="Q356" s="130">
        <v>0</v>
      </c>
      <c r="R356" s="120">
        <f>Prod[[#This Row],[S2Shot]]*Prod[[#This Row],[S2Cavity]]-Prod[[#This Row],[S2Dft]]</f>
        <v>0</v>
      </c>
      <c r="S356" s="136">
        <f>SUM(Prod[[#This Row],[S2Mold]],Prod[[#This Row],[S2Print]],Prod[[#This Row],[S2Ovlp]],Prod[[#This Row],[S2Seam]],Prod[[#This Row],[S2Dmg]])</f>
        <v>0</v>
      </c>
      <c r="T356" s="250">
        <v>0</v>
      </c>
      <c r="U356" s="141">
        <v>0</v>
      </c>
      <c r="V356" s="120">
        <v>0</v>
      </c>
      <c r="W356" s="130">
        <v>0</v>
      </c>
      <c r="X356" s="120">
        <f>Prod[[#This Row],[S3Shot]]*Prod[[#This Row],[S3Cavity]]-Prod[[#This Row],[S3Dft]]</f>
        <v>0</v>
      </c>
      <c r="Y356" s="120">
        <f>SUM(Prod[[#This Row],[S3Mold]],Prod[[#This Row],[S3Print]],Prod[[#This Row],[S3Ovlp]],Prod[[#This Row],[S3Seam]],Prod[[#This Row],[S3Dmg]])</f>
        <v>0</v>
      </c>
      <c r="Z356" s="120">
        <f>SUM(Prod[[#This Row],[S1Qty]],Prod[[#This Row],[S2Qty]],Prod[[#This Row],[S3Qty]])</f>
        <v>0</v>
      </c>
      <c r="AA356" s="120">
        <f>SUM(Prod[[#This Row],[S1Dft]],Prod[[#This Row],[S2Dft]],Prod[[#This Row],[S3Dft]])</f>
        <v>0</v>
      </c>
      <c r="AB356" s="121">
        <f>IF(Prod[[#This Row],[Total]]=0,0,Prod[[#This Row],[TotalDft]]/Prod[[#This Row],[Total]])</f>
        <v>0</v>
      </c>
      <c r="AC356" s="118"/>
      <c r="AD356" s="120">
        <v>0</v>
      </c>
      <c r="AE356" s="120">
        <v>0</v>
      </c>
      <c r="AF356" s="120">
        <v>0</v>
      </c>
      <c r="AG356" s="120">
        <v>0</v>
      </c>
      <c r="AH356" s="120">
        <v>0</v>
      </c>
      <c r="AI356" s="120">
        <v>0</v>
      </c>
      <c r="AJ356" s="120">
        <v>0</v>
      </c>
      <c r="AK356" s="120">
        <v>0</v>
      </c>
      <c r="AL356" s="120">
        <v>0</v>
      </c>
      <c r="AM356" s="120">
        <v>0</v>
      </c>
      <c r="AN356" s="120">
        <v>0</v>
      </c>
      <c r="AO356" s="120">
        <v>0</v>
      </c>
      <c r="AP356" s="120">
        <v>0</v>
      </c>
      <c r="AQ356" s="120">
        <v>0</v>
      </c>
      <c r="AR356" s="120">
        <v>0</v>
      </c>
      <c r="AS356" s="132">
        <f>IF(Prod[[#This Row],[S1Hrs]]=0,0,Prod[[#This Row],[S1Shot]]*Prod[[#This Row],[S1Cycle]]/(Prod[[#This Row],[S1Hrs]]*60*60))</f>
        <v>0</v>
      </c>
      <c r="AT356" s="132">
        <f>IF(Prod[[#This Row],[S2Hrs]]=0,0,Prod[[#This Row],[S2Shot]]*Prod[[#This Row],[S2Cycle]]/(Prod[[#This Row],[S2Hrs]]*60*60))</f>
        <v>0</v>
      </c>
      <c r="AU356" s="132">
        <f>IF(Prod[[#This Row],[S3Hrs]]=0,0,Prod[[#This Row],[S3Shot]]*Prod[[#This Row],[S3Cycle]]/(Prod[[#This Row],[S3Hrs]]*60*60))</f>
        <v>0</v>
      </c>
      <c r="AV356" s="132">
        <f>IFERROR(AVERAGEIF(Prod[[#This Row],[S1%]:[S3%]], "&lt;&gt;0"),0)</f>
        <v>0</v>
      </c>
      <c r="AW356" s="132">
        <v>0</v>
      </c>
      <c r="AX356" s="132">
        <v>0</v>
      </c>
      <c r="AY356" s="132">
        <v>0</v>
      </c>
      <c r="AZ356" s="175">
        <f>IF(Prod[[#This Row],[S1Cycle]]&lt;&gt;0,1,0)</f>
        <v>0</v>
      </c>
      <c r="BA356" s="175">
        <f>IF(Prod[[#This Row],[S2Cycle]]&lt;&gt;0,1,0)</f>
        <v>0</v>
      </c>
      <c r="BB356" s="175">
        <f>IF(Prod[[#This Row],[S3Cycle]]&lt;&gt;0,1,0)</f>
        <v>0</v>
      </c>
      <c r="BC356" s="175">
        <f>MAX(Prod[[#This Row],[S1Cavity]],Prod[[#This Row],[S2Cavity]],Prod[[#This Row],[S3Cavity]])</f>
        <v>0</v>
      </c>
      <c r="BD356" s="175" t="b">
        <f>RegExpMatch(Prod[[#This Row],[MoldNo]], "^DEO-(B|C)")</f>
        <v>1</v>
      </c>
      <c r="BE356" s="175" t="b">
        <f>RegExpMatch(Prod[[#This Row],[MoldNo]], "^JAC")</f>
        <v>0</v>
      </c>
    </row>
    <row r="357" spans="1:57" hidden="1" x14ac:dyDescent="0.2">
      <c r="A357" s="117">
        <v>45465</v>
      </c>
      <c r="B357" s="130" t="s">
        <v>254</v>
      </c>
      <c r="C357" s="131" t="s">
        <v>255</v>
      </c>
      <c r="D357" s="119"/>
      <c r="E357" s="131"/>
      <c r="F357" s="119"/>
      <c r="G357" s="249" t="str">
        <f>IF(OR(Prod[[#This Row],[S1Hrs]]&gt;0,Prod[[#This Row],[S2Hrs]]&gt;0,Prod[[#This Row],[S3Hrs]]&gt;0),"Running","Down")</f>
        <v>Down</v>
      </c>
      <c r="H357" s="250">
        <v>0</v>
      </c>
      <c r="I357" s="141">
        <v>0</v>
      </c>
      <c r="J357" s="120">
        <v>0</v>
      </c>
      <c r="K357" s="130">
        <v>0</v>
      </c>
      <c r="L357" s="120">
        <f>Prod[[#This Row],[S1Shot]]*Prod[[#This Row],[S1Cavity]]-Prod[[#This Row],[S1Dft]]</f>
        <v>0</v>
      </c>
      <c r="M357" s="136">
        <f>SUM(Prod[[#This Row],[S1Mold]],Prod[[#This Row],[S1Print]],Prod[[#This Row],[S1Ovlp]],Prod[[#This Row],[S1Seam]],Prod[[#This Row],[S1Dmg]])</f>
        <v>0</v>
      </c>
      <c r="N357" s="250">
        <v>0</v>
      </c>
      <c r="O357" s="141">
        <v>0</v>
      </c>
      <c r="P357" s="120">
        <v>0</v>
      </c>
      <c r="Q357" s="130">
        <v>0</v>
      </c>
      <c r="R357" s="120">
        <f>Prod[[#This Row],[S2Shot]]*Prod[[#This Row],[S2Cavity]]-Prod[[#This Row],[S2Dft]]</f>
        <v>0</v>
      </c>
      <c r="S357" s="136">
        <f>SUM(Prod[[#This Row],[S2Mold]],Prod[[#This Row],[S2Print]],Prod[[#This Row],[S2Ovlp]],Prod[[#This Row],[S2Seam]],Prod[[#This Row],[S2Dmg]])</f>
        <v>0</v>
      </c>
      <c r="T357" s="250">
        <v>0</v>
      </c>
      <c r="U357" s="141">
        <v>0</v>
      </c>
      <c r="V357" s="120">
        <v>0</v>
      </c>
      <c r="W357" s="130">
        <v>0</v>
      </c>
      <c r="X357" s="120">
        <f>Prod[[#This Row],[S3Shot]]*Prod[[#This Row],[S3Cavity]]-Prod[[#This Row],[S3Dft]]</f>
        <v>0</v>
      </c>
      <c r="Y357" s="120">
        <f>SUM(Prod[[#This Row],[S3Mold]],Prod[[#This Row],[S3Print]],Prod[[#This Row],[S3Ovlp]],Prod[[#This Row],[S3Seam]],Prod[[#This Row],[S3Dmg]])</f>
        <v>0</v>
      </c>
      <c r="Z357" s="120">
        <f>SUM(Prod[[#This Row],[S1Qty]],Prod[[#This Row],[S2Qty]],Prod[[#This Row],[S3Qty]])</f>
        <v>0</v>
      </c>
      <c r="AA357" s="120">
        <f>SUM(Prod[[#This Row],[S1Dft]],Prod[[#This Row],[S2Dft]],Prod[[#This Row],[S3Dft]])</f>
        <v>0</v>
      </c>
      <c r="AB357" s="121">
        <f>IF(Prod[[#This Row],[Total]]=0,0,Prod[[#This Row],[TotalDft]]/Prod[[#This Row],[Total]])</f>
        <v>0</v>
      </c>
      <c r="AC357" s="131"/>
      <c r="AD357" s="120">
        <v>0</v>
      </c>
      <c r="AE357" s="120">
        <v>0</v>
      </c>
      <c r="AF357" s="120">
        <v>0</v>
      </c>
      <c r="AG357" s="120">
        <v>0</v>
      </c>
      <c r="AH357" s="120">
        <v>0</v>
      </c>
      <c r="AI357" s="120">
        <v>0</v>
      </c>
      <c r="AJ357" s="120">
        <v>0</v>
      </c>
      <c r="AK357" s="120">
        <v>0</v>
      </c>
      <c r="AL357" s="120">
        <v>0</v>
      </c>
      <c r="AM357" s="120">
        <v>0</v>
      </c>
      <c r="AN357" s="120">
        <v>0</v>
      </c>
      <c r="AO357" s="120">
        <v>0</v>
      </c>
      <c r="AP357" s="120">
        <v>0</v>
      </c>
      <c r="AQ357" s="120">
        <v>0</v>
      </c>
      <c r="AR357" s="120">
        <v>0</v>
      </c>
      <c r="AS357" s="132">
        <f>IF(Prod[[#This Row],[S1Hrs]]=0,0,Prod[[#This Row],[S1Shot]]*Prod[[#This Row],[S1Cycle]]/(Prod[[#This Row],[S1Hrs]]*60*60))</f>
        <v>0</v>
      </c>
      <c r="AT357" s="132">
        <f>IF(Prod[[#This Row],[S2Hrs]]=0,0,Prod[[#This Row],[S2Shot]]*Prod[[#This Row],[S2Cycle]]/(Prod[[#This Row],[S2Hrs]]*60*60))</f>
        <v>0</v>
      </c>
      <c r="AU357" s="132">
        <f>IF(Prod[[#This Row],[S3Hrs]]=0,0,Prod[[#This Row],[S3Shot]]*Prod[[#This Row],[S3Cycle]]/(Prod[[#This Row],[S3Hrs]]*60*60))</f>
        <v>0</v>
      </c>
      <c r="AV357" s="132">
        <f>IFERROR(AVERAGEIF(Prod[[#This Row],[S1%]:[S3%]], "&lt;&gt;0"),0)</f>
        <v>0</v>
      </c>
      <c r="AW357" s="132">
        <v>0</v>
      </c>
      <c r="AX357" s="132">
        <v>0</v>
      </c>
      <c r="AY357" s="132">
        <v>0</v>
      </c>
      <c r="AZ357" s="175">
        <f>IF(Prod[[#This Row],[S1Cycle]]&lt;&gt;0,1,0)</f>
        <v>0</v>
      </c>
      <c r="BA357" s="175">
        <f>IF(Prod[[#This Row],[S2Cycle]]&lt;&gt;0,1,0)</f>
        <v>0</v>
      </c>
      <c r="BB357" s="175">
        <f>IF(Prod[[#This Row],[S3Cycle]]&lt;&gt;0,1,0)</f>
        <v>0</v>
      </c>
      <c r="BC357" s="175">
        <f>MAX(Prod[[#This Row],[S1Cavity]],Prod[[#This Row],[S2Cavity]],Prod[[#This Row],[S3Cavity]])</f>
        <v>0</v>
      </c>
      <c r="BD357" s="175" t="b">
        <f>RegExpMatch(Prod[[#This Row],[MoldNo]], "^DEO-(B|C)")</f>
        <v>1</v>
      </c>
      <c r="BE357" s="175" t="b">
        <f>RegExpMatch(Prod[[#This Row],[MoldNo]], "^JAC")</f>
        <v>0</v>
      </c>
    </row>
    <row r="358" spans="1:57" hidden="1" x14ac:dyDescent="0.2">
      <c r="A358" s="117">
        <v>45465</v>
      </c>
      <c r="B358" s="130" t="s">
        <v>174</v>
      </c>
      <c r="C358" s="131" t="s">
        <v>175</v>
      </c>
      <c r="D358" s="119"/>
      <c r="E358" s="131"/>
      <c r="F358" s="119"/>
      <c r="G358" s="249" t="str">
        <f>IF(OR(Prod[[#This Row],[S1Hrs]]&gt;0,Prod[[#This Row],[S2Hrs]]&gt;0,Prod[[#This Row],[S3Hrs]]&gt;0),"Running","Down")</f>
        <v>Down</v>
      </c>
      <c r="H358" s="250">
        <v>0</v>
      </c>
      <c r="I358" s="141">
        <v>0</v>
      </c>
      <c r="J358" s="120">
        <v>0</v>
      </c>
      <c r="K358" s="130">
        <v>0</v>
      </c>
      <c r="L358" s="120">
        <f>Prod[[#This Row],[S1Shot]]*Prod[[#This Row],[S1Cavity]]-Prod[[#This Row],[S1Dft]]</f>
        <v>0</v>
      </c>
      <c r="M358" s="136">
        <f>SUM(Prod[[#This Row],[S1Mold]],Prod[[#This Row],[S1Print]],Prod[[#This Row],[S1Ovlp]],Prod[[#This Row],[S1Seam]],Prod[[#This Row],[S1Dmg]])</f>
        <v>0</v>
      </c>
      <c r="N358" s="250">
        <v>0</v>
      </c>
      <c r="O358" s="141">
        <v>0</v>
      </c>
      <c r="P358" s="120">
        <v>0</v>
      </c>
      <c r="Q358" s="130">
        <v>0</v>
      </c>
      <c r="R358" s="120">
        <f>Prod[[#This Row],[S2Shot]]*Prod[[#This Row],[S2Cavity]]-Prod[[#This Row],[S2Dft]]</f>
        <v>0</v>
      </c>
      <c r="S358" s="136">
        <f>SUM(Prod[[#This Row],[S2Mold]],Prod[[#This Row],[S2Print]],Prod[[#This Row],[S2Ovlp]],Prod[[#This Row],[S2Seam]],Prod[[#This Row],[S2Dmg]])</f>
        <v>0</v>
      </c>
      <c r="T358" s="250">
        <v>0</v>
      </c>
      <c r="U358" s="141">
        <v>0</v>
      </c>
      <c r="V358" s="120">
        <v>0</v>
      </c>
      <c r="W358" s="130">
        <v>0</v>
      </c>
      <c r="X358" s="120">
        <f>Prod[[#This Row],[S3Shot]]*Prod[[#This Row],[S3Cavity]]-Prod[[#This Row],[S3Dft]]</f>
        <v>0</v>
      </c>
      <c r="Y358" s="120">
        <f>SUM(Prod[[#This Row],[S3Mold]],Prod[[#This Row],[S3Print]],Prod[[#This Row],[S3Ovlp]],Prod[[#This Row],[S3Seam]],Prod[[#This Row],[S3Dmg]])</f>
        <v>0</v>
      </c>
      <c r="Z358" s="120">
        <f>SUM(Prod[[#This Row],[S1Qty]],Prod[[#This Row],[S2Qty]],Prod[[#This Row],[S3Qty]])</f>
        <v>0</v>
      </c>
      <c r="AA358" s="120">
        <f>SUM(Prod[[#This Row],[S1Dft]],Prod[[#This Row],[S2Dft]],Prod[[#This Row],[S3Dft]])</f>
        <v>0</v>
      </c>
      <c r="AB358" s="121">
        <f>IF(Prod[[#This Row],[Total]]=0,0,Prod[[#This Row],[TotalDft]]/Prod[[#This Row],[Total]])</f>
        <v>0</v>
      </c>
      <c r="AC358" s="131"/>
      <c r="AD358" s="120">
        <v>0</v>
      </c>
      <c r="AE358" s="120">
        <v>0</v>
      </c>
      <c r="AF358" s="120">
        <v>0</v>
      </c>
      <c r="AG358" s="120">
        <v>0</v>
      </c>
      <c r="AH358" s="120">
        <v>0</v>
      </c>
      <c r="AI358" s="120">
        <v>0</v>
      </c>
      <c r="AJ358" s="120">
        <v>0</v>
      </c>
      <c r="AK358" s="120">
        <v>0</v>
      </c>
      <c r="AL358" s="120">
        <v>0</v>
      </c>
      <c r="AM358" s="120">
        <v>0</v>
      </c>
      <c r="AN358" s="120">
        <v>0</v>
      </c>
      <c r="AO358" s="120">
        <v>0</v>
      </c>
      <c r="AP358" s="120">
        <v>0</v>
      </c>
      <c r="AQ358" s="120">
        <v>0</v>
      </c>
      <c r="AR358" s="120">
        <v>0</v>
      </c>
      <c r="AS358" s="132">
        <f>IF(Prod[[#This Row],[S1Hrs]]=0,0,Prod[[#This Row],[S1Shot]]*Prod[[#This Row],[S1Cycle]]/(Prod[[#This Row],[S1Hrs]]*60*60))</f>
        <v>0</v>
      </c>
      <c r="AT358" s="132">
        <f>IF(Prod[[#This Row],[S2Hrs]]=0,0,Prod[[#This Row],[S2Shot]]*Prod[[#This Row],[S2Cycle]]/(Prod[[#This Row],[S2Hrs]]*60*60))</f>
        <v>0</v>
      </c>
      <c r="AU358" s="132">
        <f>IF(Prod[[#This Row],[S3Hrs]]=0,0,Prod[[#This Row],[S3Shot]]*Prod[[#This Row],[S3Cycle]]/(Prod[[#This Row],[S3Hrs]]*60*60))</f>
        <v>0</v>
      </c>
      <c r="AV358" s="132">
        <f>IFERROR(AVERAGEIF(Prod[[#This Row],[S1%]:[S3%]], "&lt;&gt;0"),0)</f>
        <v>0</v>
      </c>
      <c r="AW358" s="132">
        <v>0</v>
      </c>
      <c r="AX358" s="132">
        <v>0</v>
      </c>
      <c r="AY358" s="132">
        <v>0</v>
      </c>
      <c r="AZ358" s="175">
        <f>IF(Prod[[#This Row],[S1Cycle]]&lt;&gt;0,1,0)</f>
        <v>0</v>
      </c>
      <c r="BA358" s="175">
        <f>IF(Prod[[#This Row],[S2Cycle]]&lt;&gt;0,1,0)</f>
        <v>0</v>
      </c>
      <c r="BB358" s="175">
        <f>IF(Prod[[#This Row],[S3Cycle]]&lt;&gt;0,1,0)</f>
        <v>0</v>
      </c>
      <c r="BC358" s="175">
        <f>MAX(Prod[[#This Row],[S1Cavity]],Prod[[#This Row],[S2Cavity]],Prod[[#This Row],[S3Cavity]])</f>
        <v>0</v>
      </c>
      <c r="BD358" s="175" t="b">
        <f>RegExpMatch(Prod[[#This Row],[MoldNo]], "^DEO-(B|C)")</f>
        <v>1</v>
      </c>
      <c r="BE358" s="175" t="b">
        <f>RegExpMatch(Prod[[#This Row],[MoldNo]], "^JAC")</f>
        <v>0</v>
      </c>
    </row>
    <row r="359" spans="1:57" hidden="1" x14ac:dyDescent="0.2">
      <c r="A359" s="117">
        <v>45465</v>
      </c>
      <c r="B359" s="130" t="s">
        <v>176</v>
      </c>
      <c r="C359" s="131" t="s">
        <v>81</v>
      </c>
      <c r="D359" s="119"/>
      <c r="E359" s="119"/>
      <c r="F359" s="119"/>
      <c r="G359" s="249" t="str">
        <f>IF(OR(Prod[[#This Row],[S1Hrs]]&gt;0,Prod[[#This Row],[S2Hrs]]&gt;0,Prod[[#This Row],[S3Hrs]]&gt;0),"Running","Down")</f>
        <v>Down</v>
      </c>
      <c r="H359" s="250">
        <v>0</v>
      </c>
      <c r="I359" s="141">
        <v>0</v>
      </c>
      <c r="J359" s="120">
        <v>0</v>
      </c>
      <c r="K359" s="130">
        <v>0</v>
      </c>
      <c r="L359" s="120">
        <f>Prod[[#This Row],[S1Shot]]*Prod[[#This Row],[S1Cavity]]-Prod[[#This Row],[S1Dft]]</f>
        <v>0</v>
      </c>
      <c r="M359" s="136">
        <f>SUM(Prod[[#This Row],[S1Mold]],Prod[[#This Row],[S1Print]],Prod[[#This Row],[S1Ovlp]],Prod[[#This Row],[S1Seam]],Prod[[#This Row],[S1Dmg]])</f>
        <v>0</v>
      </c>
      <c r="N359" s="250">
        <v>0</v>
      </c>
      <c r="O359" s="141">
        <v>0</v>
      </c>
      <c r="P359" s="120">
        <v>0</v>
      </c>
      <c r="Q359" s="130">
        <v>0</v>
      </c>
      <c r="R359" s="120">
        <f>Prod[[#This Row],[S2Shot]]*Prod[[#This Row],[S2Cavity]]-Prod[[#This Row],[S2Dft]]</f>
        <v>0</v>
      </c>
      <c r="S359" s="136">
        <f>SUM(Prod[[#This Row],[S2Mold]],Prod[[#This Row],[S2Print]],Prod[[#This Row],[S2Ovlp]],Prod[[#This Row],[S2Seam]],Prod[[#This Row],[S2Dmg]])</f>
        <v>0</v>
      </c>
      <c r="T359" s="250">
        <v>0</v>
      </c>
      <c r="U359" s="141">
        <v>0</v>
      </c>
      <c r="V359" s="120">
        <v>0</v>
      </c>
      <c r="W359" s="130">
        <v>0</v>
      </c>
      <c r="X359" s="120">
        <f>Prod[[#This Row],[S3Shot]]*Prod[[#This Row],[S3Cavity]]-Prod[[#This Row],[S3Dft]]</f>
        <v>0</v>
      </c>
      <c r="Y359" s="120">
        <f>SUM(Prod[[#This Row],[S3Mold]],Prod[[#This Row],[S3Print]],Prod[[#This Row],[S3Ovlp]],Prod[[#This Row],[S3Seam]],Prod[[#This Row],[S3Dmg]])</f>
        <v>0</v>
      </c>
      <c r="Z359" s="120">
        <f>SUM(Prod[[#This Row],[S1Qty]],Prod[[#This Row],[S2Qty]],Prod[[#This Row],[S3Qty]])</f>
        <v>0</v>
      </c>
      <c r="AA359" s="120">
        <f>SUM(Prod[[#This Row],[S1Dft]],Prod[[#This Row],[S2Dft]],Prod[[#This Row],[S3Dft]])</f>
        <v>0</v>
      </c>
      <c r="AB359" s="121">
        <f>IF(Prod[[#This Row],[Total]]=0,0,Prod[[#This Row],[TotalDft]]/Prod[[#This Row],[Total]])</f>
        <v>0</v>
      </c>
      <c r="AC359" s="131"/>
      <c r="AD359" s="120">
        <v>0</v>
      </c>
      <c r="AE359" s="120">
        <v>0</v>
      </c>
      <c r="AF359" s="120">
        <v>0</v>
      </c>
      <c r="AG359" s="120">
        <v>0</v>
      </c>
      <c r="AH359" s="120">
        <v>0</v>
      </c>
      <c r="AI359" s="120">
        <v>0</v>
      </c>
      <c r="AJ359" s="120">
        <v>0</v>
      </c>
      <c r="AK359" s="120">
        <v>0</v>
      </c>
      <c r="AL359" s="120">
        <v>0</v>
      </c>
      <c r="AM359" s="120">
        <v>0</v>
      </c>
      <c r="AN359" s="120">
        <v>0</v>
      </c>
      <c r="AO359" s="120">
        <v>0</v>
      </c>
      <c r="AP359" s="120">
        <v>0</v>
      </c>
      <c r="AQ359" s="120">
        <v>0</v>
      </c>
      <c r="AR359" s="120">
        <v>0</v>
      </c>
      <c r="AS359" s="132">
        <f>IF(Prod[[#This Row],[S1Hrs]]=0,0,Prod[[#This Row],[S1Shot]]*Prod[[#This Row],[S1Cycle]]/(Prod[[#This Row],[S1Hrs]]*60*60))</f>
        <v>0</v>
      </c>
      <c r="AT359" s="132">
        <f>IF(Prod[[#This Row],[S2Hrs]]=0,0,Prod[[#This Row],[S2Shot]]*Prod[[#This Row],[S2Cycle]]/(Prod[[#This Row],[S2Hrs]]*60*60))</f>
        <v>0</v>
      </c>
      <c r="AU359" s="132">
        <f>IF(Prod[[#This Row],[S3Hrs]]=0,0,Prod[[#This Row],[S3Shot]]*Prod[[#This Row],[S3Cycle]]/(Prod[[#This Row],[S3Hrs]]*60*60))</f>
        <v>0</v>
      </c>
      <c r="AV359" s="132">
        <f>IFERROR(AVERAGEIF(Prod[[#This Row],[S1%]:[S3%]], "&lt;&gt;0"),0)</f>
        <v>0</v>
      </c>
      <c r="AW359" s="132">
        <v>0</v>
      </c>
      <c r="AX359" s="132">
        <v>0</v>
      </c>
      <c r="AY359" s="132">
        <v>0</v>
      </c>
      <c r="AZ359" s="175">
        <f>IF(Prod[[#This Row],[S1Cycle]]&lt;&gt;0,1,0)</f>
        <v>0</v>
      </c>
      <c r="BA359" s="175">
        <f>IF(Prod[[#This Row],[S2Cycle]]&lt;&gt;0,1,0)</f>
        <v>0</v>
      </c>
      <c r="BB359" s="175">
        <f>IF(Prod[[#This Row],[S3Cycle]]&lt;&gt;0,1,0)</f>
        <v>0</v>
      </c>
      <c r="BC359" s="175">
        <f>MAX(Prod[[#This Row],[S1Cavity]],Prod[[#This Row],[S2Cavity]],Prod[[#This Row],[S3Cavity]])</f>
        <v>0</v>
      </c>
      <c r="BD359" s="175" t="b">
        <f>RegExpMatch(Prod[[#This Row],[MoldNo]], "^DEO-(B|C)")</f>
        <v>1</v>
      </c>
      <c r="BE359" s="175" t="b">
        <f>RegExpMatch(Prod[[#This Row],[MoldNo]], "^JAC")</f>
        <v>0</v>
      </c>
    </row>
    <row r="360" spans="1:57" hidden="1" x14ac:dyDescent="0.2">
      <c r="A360" s="117">
        <v>45465</v>
      </c>
      <c r="B360" s="130" t="s">
        <v>253</v>
      </c>
      <c r="C360" s="131" t="s">
        <v>9</v>
      </c>
      <c r="D360" s="119"/>
      <c r="E360" s="131"/>
      <c r="F360" s="119"/>
      <c r="G360" s="249" t="str">
        <f>IF(OR(Prod[[#This Row],[S1Hrs]]&gt;0,Prod[[#This Row],[S2Hrs]]&gt;0,Prod[[#This Row],[S3Hrs]]&gt;0),"Running","Down")</f>
        <v>Down</v>
      </c>
      <c r="H360" s="250">
        <v>0</v>
      </c>
      <c r="I360" s="141">
        <v>0</v>
      </c>
      <c r="J360" s="120">
        <v>0</v>
      </c>
      <c r="K360" s="130">
        <v>0</v>
      </c>
      <c r="L360" s="120">
        <f>Prod[[#This Row],[S1Shot]]*Prod[[#This Row],[S1Cavity]]-Prod[[#This Row],[S1Dft]]</f>
        <v>0</v>
      </c>
      <c r="M360" s="134"/>
      <c r="N360" s="250">
        <v>0</v>
      </c>
      <c r="O360" s="141">
        <v>0</v>
      </c>
      <c r="P360" s="120">
        <v>0</v>
      </c>
      <c r="Q360" s="130">
        <v>0</v>
      </c>
      <c r="R360" s="120">
        <f>Prod[[#This Row],[S2Shot]]*Prod[[#This Row],[S2Cavity]]-Prod[[#This Row],[S2Dft]]</f>
        <v>0</v>
      </c>
      <c r="S360" s="134"/>
      <c r="T360" s="250">
        <v>0</v>
      </c>
      <c r="U360" s="141">
        <v>0</v>
      </c>
      <c r="V360" s="120">
        <v>0</v>
      </c>
      <c r="W360" s="130">
        <v>0</v>
      </c>
      <c r="X360" s="120">
        <f>Prod[[#This Row],[S3Shot]]*Prod[[#This Row],[S3Cavity]]-Prod[[#This Row],[S3Dft]]</f>
        <v>0</v>
      </c>
      <c r="Y360" s="134"/>
      <c r="Z360" s="120">
        <f>SUM(Prod[[#This Row],[S1Qty]],Prod[[#This Row],[S2Qty]],Prod[[#This Row],[S3Qty]])</f>
        <v>0</v>
      </c>
      <c r="AA360" s="134"/>
      <c r="AB360" s="135"/>
      <c r="AC360" s="118"/>
      <c r="AD360" s="134"/>
      <c r="AE360" s="134"/>
      <c r="AF360" s="134"/>
      <c r="AG360" s="134"/>
      <c r="AH360" s="134"/>
      <c r="AI360" s="134"/>
      <c r="AJ360" s="134"/>
      <c r="AK360" s="134"/>
      <c r="AL360" s="134"/>
      <c r="AM360" s="134"/>
      <c r="AN360" s="134"/>
      <c r="AO360" s="134"/>
      <c r="AP360" s="134"/>
      <c r="AQ360" s="134"/>
      <c r="AR360" s="134"/>
      <c r="AS360" s="132">
        <f>IF(Prod[[#This Row],[S1Hrs]]=0,0,Prod[[#This Row],[S1Shot]]*Prod[[#This Row],[S1Cycle]]/(Prod[[#This Row],[S1Hrs]]*60*60))</f>
        <v>0</v>
      </c>
      <c r="AT360" s="132">
        <f>IF(Prod[[#This Row],[S2Hrs]]=0,0,Prod[[#This Row],[S2Shot]]*Prod[[#This Row],[S2Cycle]]/(Prod[[#This Row],[S2Hrs]]*60*60))</f>
        <v>0</v>
      </c>
      <c r="AU360" s="132">
        <f>IF(Prod[[#This Row],[S3Hrs]]=0,0,Prod[[#This Row],[S3Shot]]*Prod[[#This Row],[S3Cycle]]/(Prod[[#This Row],[S3Hrs]]*60*60))</f>
        <v>0</v>
      </c>
      <c r="AV360" s="132">
        <f>IFERROR(AVERAGEIF(Prod[[#This Row],[S1%]:[S3%]], "&lt;&gt;0"),0)</f>
        <v>0</v>
      </c>
      <c r="AW360" s="132">
        <v>0</v>
      </c>
      <c r="AX360" s="132">
        <v>0</v>
      </c>
      <c r="AY360" s="132">
        <v>0</v>
      </c>
      <c r="AZ360" s="175">
        <f>IF(Prod[[#This Row],[S1Cycle]]&lt;&gt;0,1,0)</f>
        <v>0</v>
      </c>
      <c r="BA360" s="175">
        <f>IF(Prod[[#This Row],[S2Cycle]]&lt;&gt;0,1,0)</f>
        <v>0</v>
      </c>
      <c r="BB360" s="175">
        <f>IF(Prod[[#This Row],[S3Cycle]]&lt;&gt;0,1,0)</f>
        <v>0</v>
      </c>
      <c r="BC360" s="175">
        <f>MAX(Prod[[#This Row],[S1Cavity]],Prod[[#This Row],[S2Cavity]],Prod[[#This Row],[S3Cavity]])</f>
        <v>0</v>
      </c>
      <c r="BD360" s="175" t="b">
        <f>RegExpMatch(Prod[[#This Row],[MoldNo]], "^DEO-(B|C)")</f>
        <v>0</v>
      </c>
      <c r="BE360" s="175" t="b">
        <f>RegExpMatch(Prod[[#This Row],[MoldNo]], "^JAC")</f>
        <v>0</v>
      </c>
    </row>
    <row r="361" spans="1:57" hidden="1" x14ac:dyDescent="0.2">
      <c r="A361" s="117">
        <v>45465</v>
      </c>
      <c r="B361" s="130" t="s">
        <v>259</v>
      </c>
      <c r="C361" s="119" t="s">
        <v>145</v>
      </c>
      <c r="D361" s="119"/>
      <c r="E361" s="131"/>
      <c r="F361" s="119"/>
      <c r="G361" s="249" t="str">
        <f>IF(OR(Prod[[#This Row],[S1Hrs]]&gt;0,Prod[[#This Row],[S2Hrs]]&gt;0,Prod[[#This Row],[S3Hrs]]&gt;0),"Running","Down")</f>
        <v>Down</v>
      </c>
      <c r="H361" s="250">
        <v>0</v>
      </c>
      <c r="I361" s="141">
        <v>0</v>
      </c>
      <c r="J361" s="120">
        <v>0</v>
      </c>
      <c r="K361" s="130">
        <v>0</v>
      </c>
      <c r="L361" s="120">
        <f>Prod[[#This Row],[S1Shot]]*Prod[[#This Row],[S1Cavity]]-Prod[[#This Row],[S1Dft]]</f>
        <v>0</v>
      </c>
      <c r="M361" s="134"/>
      <c r="N361" s="250">
        <v>0</v>
      </c>
      <c r="O361" s="141">
        <v>0</v>
      </c>
      <c r="P361" s="120">
        <v>0</v>
      </c>
      <c r="Q361" s="130">
        <v>0</v>
      </c>
      <c r="R361" s="120">
        <f>Prod[[#This Row],[S2Shot]]*Prod[[#This Row],[S2Cavity]]-Prod[[#This Row],[S2Dft]]</f>
        <v>0</v>
      </c>
      <c r="S361" s="134"/>
      <c r="T361" s="250">
        <v>0</v>
      </c>
      <c r="U361" s="141">
        <v>0</v>
      </c>
      <c r="V361" s="120">
        <v>0</v>
      </c>
      <c r="W361" s="130">
        <v>0</v>
      </c>
      <c r="X361" s="120">
        <f>Prod[[#This Row],[S3Shot]]*Prod[[#This Row],[S3Cavity]]-Prod[[#This Row],[S3Dft]]</f>
        <v>0</v>
      </c>
      <c r="Y361" s="134"/>
      <c r="Z361" s="120">
        <f>SUM(Prod[[#This Row],[S1Qty]],Prod[[#This Row],[S2Qty]],Prod[[#This Row],[S3Qty]])</f>
        <v>0</v>
      </c>
      <c r="AA361" s="134"/>
      <c r="AB361" s="135"/>
      <c r="AC361" s="118"/>
      <c r="AD361" s="134"/>
      <c r="AE361" s="134"/>
      <c r="AF361" s="134"/>
      <c r="AG361" s="134"/>
      <c r="AH361" s="134"/>
      <c r="AI361" s="134"/>
      <c r="AJ361" s="134"/>
      <c r="AK361" s="134"/>
      <c r="AL361" s="134"/>
      <c r="AM361" s="134"/>
      <c r="AN361" s="134"/>
      <c r="AO361" s="134"/>
      <c r="AP361" s="134"/>
      <c r="AQ361" s="134"/>
      <c r="AR361" s="134"/>
      <c r="AS361" s="132">
        <f>IF(Prod[[#This Row],[S1Hrs]]=0,0,Prod[[#This Row],[S1Shot]]*Prod[[#This Row],[S1Cycle]]/(Prod[[#This Row],[S1Hrs]]*60*60))</f>
        <v>0</v>
      </c>
      <c r="AT361" s="132">
        <f>IF(Prod[[#This Row],[S2Hrs]]=0,0,Prod[[#This Row],[S2Shot]]*Prod[[#This Row],[S2Cycle]]/(Prod[[#This Row],[S2Hrs]]*60*60))</f>
        <v>0</v>
      </c>
      <c r="AU361" s="132">
        <f>IF(Prod[[#This Row],[S3Hrs]]=0,0,Prod[[#This Row],[S3Shot]]*Prod[[#This Row],[S3Cycle]]/(Prod[[#This Row],[S3Hrs]]*60*60))</f>
        <v>0</v>
      </c>
      <c r="AV361" s="132">
        <f>IFERROR(AVERAGEIF(Prod[[#This Row],[S1%]:[S3%]], "&lt;&gt;0"),0)</f>
        <v>0</v>
      </c>
      <c r="AW361" s="132">
        <v>0</v>
      </c>
      <c r="AX361" s="132">
        <v>0</v>
      </c>
      <c r="AY361" s="132">
        <v>0</v>
      </c>
      <c r="AZ361" s="175">
        <f>IF(Prod[[#This Row],[S1Cycle]]&lt;&gt;0,1,0)</f>
        <v>0</v>
      </c>
      <c r="BA361" s="175">
        <f>IF(Prod[[#This Row],[S2Cycle]]&lt;&gt;0,1,0)</f>
        <v>0</v>
      </c>
      <c r="BB361" s="175">
        <f>IF(Prod[[#This Row],[S3Cycle]]&lt;&gt;0,1,0)</f>
        <v>0</v>
      </c>
      <c r="BC361" s="175">
        <f>MAX(Prod[[#This Row],[S1Cavity]],Prod[[#This Row],[S2Cavity]],Prod[[#This Row],[S3Cavity]])</f>
        <v>0</v>
      </c>
      <c r="BD361" s="175" t="b">
        <f>RegExpMatch(Prod[[#This Row],[MoldNo]], "^DEO-(B|C)")</f>
        <v>0</v>
      </c>
      <c r="BE361" s="175" t="b">
        <f>RegExpMatch(Prod[[#This Row],[MoldNo]], "^JAC")</f>
        <v>0</v>
      </c>
    </row>
    <row r="369" spans="26:26" x14ac:dyDescent="0.2">
      <c r="Z369" s="186"/>
    </row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</sheetData>
  <mergeCells count="2">
    <mergeCell ref="M2:R2"/>
    <mergeCell ref="A2:H2"/>
  </mergeCells>
  <phoneticPr fontId="8" type="noConversion"/>
  <conditionalFormatting sqref="A5:BE361">
    <cfRule type="expression" dxfId="105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325"/>
  <sheetViews>
    <sheetView workbookViewId="0">
      <pane ySplit="5" topLeftCell="A186" activePane="bottomLeft" state="frozen"/>
      <selection pane="bottomLeft" activeCell="J211" sqref="J211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8" width="8" bestFit="1" customWidth="1"/>
    <col min="9" max="9" width="10.7109375" bestFit="1" customWidth="1"/>
    <col min="10" max="10" width="60.85546875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29">
        <f>$A$6</f>
        <v>45444</v>
      </c>
      <c r="K2" s="329"/>
      <c r="L2" s="329"/>
      <c r="M2" s="329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5" customFormat="1" ht="12.75" customHeight="1" x14ac:dyDescent="0.2">
      <c r="A5" s="125" t="s">
        <v>107</v>
      </c>
      <c r="B5" s="126" t="s">
        <v>108</v>
      </c>
      <c r="C5" s="125" t="s">
        <v>25</v>
      </c>
      <c r="D5" s="125" t="s">
        <v>28</v>
      </c>
      <c r="E5" s="127" t="s">
        <v>12</v>
      </c>
      <c r="F5" s="122" t="s">
        <v>113</v>
      </c>
      <c r="G5" s="122" t="s">
        <v>119</v>
      </c>
      <c r="H5" s="122" t="s">
        <v>125</v>
      </c>
      <c r="I5" s="128" t="s">
        <v>59</v>
      </c>
      <c r="J5" s="128" t="s">
        <v>147</v>
      </c>
    </row>
    <row r="6" spans="1:27" x14ac:dyDescent="0.2">
      <c r="A6" s="129">
        <v>45444</v>
      </c>
      <c r="B6" s="188" t="s">
        <v>17</v>
      </c>
      <c r="C6" s="189"/>
      <c r="D6" s="189"/>
      <c r="E6" s="190" t="str">
        <f>IF(Assem[[#This Row],[Total]]&gt;0,"Running","Down")</f>
        <v>Down</v>
      </c>
      <c r="F6" s="191">
        <v>0</v>
      </c>
      <c r="G6" s="191">
        <v>0</v>
      </c>
      <c r="H6" s="191">
        <v>0</v>
      </c>
      <c r="I6" s="191">
        <f>SUM(Assem[[#This Row],[S1Qty]],Assem[[#This Row],[S2Qty]],Assem[[#This Row],[S3Qty]])</f>
        <v>0</v>
      </c>
      <c r="J6" s="193" t="s">
        <v>202</v>
      </c>
    </row>
    <row r="7" spans="1:27" x14ac:dyDescent="0.2">
      <c r="A7" s="129">
        <v>45444</v>
      </c>
      <c r="B7" s="188" t="s">
        <v>18</v>
      </c>
      <c r="C7" s="189"/>
      <c r="D7" s="189"/>
      <c r="E7" s="190" t="str">
        <f>IF(Assem[[#This Row],[Total]]&gt;0,"Running","Down")</f>
        <v>Down</v>
      </c>
      <c r="F7" s="191">
        <v>0</v>
      </c>
      <c r="G7" s="191">
        <v>0</v>
      </c>
      <c r="H7" s="191">
        <v>0</v>
      </c>
      <c r="I7" s="191">
        <f>SUM(Assem[[#This Row],[S1Qty]],Assem[[#This Row],[S2Qty]],Assem[[#This Row],[S3Qty]])</f>
        <v>0</v>
      </c>
      <c r="J7" s="193"/>
    </row>
    <row r="8" spans="1:27" x14ac:dyDescent="0.2">
      <c r="A8" s="129">
        <v>45444</v>
      </c>
      <c r="B8" s="188" t="s">
        <v>19</v>
      </c>
      <c r="C8" s="189"/>
      <c r="D8" s="189"/>
      <c r="E8" s="190" t="str">
        <f>IF(Assem[[#This Row],[Total]]&gt;0,"Running","Down")</f>
        <v>Down</v>
      </c>
      <c r="F8" s="191">
        <v>0</v>
      </c>
      <c r="G8" s="191">
        <v>0</v>
      </c>
      <c r="H8" s="191">
        <v>0</v>
      </c>
      <c r="I8" s="191">
        <f>SUM(Assem[[#This Row],[S1Qty]],Assem[[#This Row],[S2Qty]],Assem[[#This Row],[S3Qty]])</f>
        <v>0</v>
      </c>
      <c r="J8" s="193"/>
    </row>
    <row r="9" spans="1:27" x14ac:dyDescent="0.2">
      <c r="A9" s="129">
        <v>45444</v>
      </c>
      <c r="B9" s="188" t="s">
        <v>20</v>
      </c>
      <c r="C9" s="189"/>
      <c r="D9" s="189"/>
      <c r="E9" s="190" t="str">
        <f>IF(Assem[[#This Row],[Total]]&gt;0,"Running","Down")</f>
        <v>Down</v>
      </c>
      <c r="F9" s="191">
        <v>0</v>
      </c>
      <c r="G9" s="191">
        <v>0</v>
      </c>
      <c r="H9" s="191">
        <v>0</v>
      </c>
      <c r="I9" s="191">
        <f>SUM(Assem[[#This Row],[S1Qty]],Assem[[#This Row],[S2Qty]],Assem[[#This Row],[S3Qty]])</f>
        <v>0</v>
      </c>
      <c r="J9" s="193"/>
    </row>
    <row r="10" spans="1:27" x14ac:dyDescent="0.2">
      <c r="A10" s="129">
        <v>45444</v>
      </c>
      <c r="B10" s="188" t="s">
        <v>21</v>
      </c>
      <c r="C10" s="189"/>
      <c r="D10" s="189"/>
      <c r="E10" s="190" t="str">
        <f>IF(Assem[[#This Row],[Total]]&gt;0,"Running","Down")</f>
        <v>Down</v>
      </c>
      <c r="F10" s="191">
        <v>0</v>
      </c>
      <c r="G10" s="191">
        <v>0</v>
      </c>
      <c r="H10" s="191">
        <v>0</v>
      </c>
      <c r="I10" s="191">
        <f>SUM(Assem[[#This Row],[S1Qty]],Assem[[#This Row],[S2Qty]],Assem[[#This Row],[S3Qty]])</f>
        <v>0</v>
      </c>
      <c r="J10" s="193"/>
    </row>
    <row r="11" spans="1:27" x14ac:dyDescent="0.2">
      <c r="A11" s="129">
        <v>45444</v>
      </c>
      <c r="B11" s="188" t="s">
        <v>22</v>
      </c>
      <c r="C11" s="189"/>
      <c r="D11" s="189"/>
      <c r="E11" s="190" t="str">
        <f>IF(Assem[[#This Row],[Total]]&gt;0,"Running","Down")</f>
        <v>Down</v>
      </c>
      <c r="F11" s="191">
        <v>0</v>
      </c>
      <c r="G11" s="191">
        <v>0</v>
      </c>
      <c r="H11" s="191">
        <v>0</v>
      </c>
      <c r="I11" s="191">
        <f>SUM(Assem[[#This Row],[S1Qty]],Assem[[#This Row],[S2Qty]],Assem[[#This Row],[S3Qty]])</f>
        <v>0</v>
      </c>
      <c r="J11" s="193"/>
    </row>
    <row r="12" spans="1:27" x14ac:dyDescent="0.2">
      <c r="A12" s="129">
        <v>45444</v>
      </c>
      <c r="B12" s="188" t="s">
        <v>161</v>
      </c>
      <c r="C12" s="189"/>
      <c r="D12" s="189"/>
      <c r="E12" s="190" t="str">
        <f>IF(Assem[[#This Row],[Total]]&gt;0,"Running","Down")</f>
        <v>Down</v>
      </c>
      <c r="F12" s="192">
        <v>0</v>
      </c>
      <c r="G12" s="192">
        <v>0</v>
      </c>
      <c r="H12" s="192">
        <v>0</v>
      </c>
      <c r="I12" s="192">
        <f>SUM(Assem[[#This Row],[S1Qty]],Assem[[#This Row],[S2Qty]],Assem[[#This Row],[S3Qty]])</f>
        <v>0</v>
      </c>
      <c r="J12" s="193"/>
    </row>
    <row r="13" spans="1:27" x14ac:dyDescent="0.2">
      <c r="A13" s="129">
        <v>45444</v>
      </c>
      <c r="B13" s="188" t="s">
        <v>170</v>
      </c>
      <c r="C13" s="189"/>
      <c r="D13" s="189"/>
      <c r="E13" s="190" t="str">
        <f>IF(Assem[[#This Row],[Total]]&gt;0,"Running","Down")</f>
        <v>Down</v>
      </c>
      <c r="F13" s="192">
        <v>0</v>
      </c>
      <c r="G13" s="192">
        <v>0</v>
      </c>
      <c r="H13" s="192">
        <v>0</v>
      </c>
      <c r="I13" s="192">
        <f>SUM(Assem[[#This Row],[S1Qty]],Assem[[#This Row],[S2Qty]],Assem[[#This Row],[S3Qty]])</f>
        <v>0</v>
      </c>
      <c r="J13" s="193"/>
    </row>
    <row r="14" spans="1:27" x14ac:dyDescent="0.2">
      <c r="A14" s="129">
        <v>45444</v>
      </c>
      <c r="B14" s="188" t="s">
        <v>171</v>
      </c>
      <c r="C14" s="189"/>
      <c r="D14" s="189"/>
      <c r="E14" s="190" t="str">
        <f>IF(Assem[[#This Row],[Total]]&gt;0,"Running","Down")</f>
        <v>Down</v>
      </c>
      <c r="F14" s="192">
        <v>0</v>
      </c>
      <c r="G14" s="192">
        <v>0</v>
      </c>
      <c r="H14" s="192">
        <v>0</v>
      </c>
      <c r="I14" s="192">
        <f>SUM(Assem[[#This Row],[S1Qty]],Assem[[#This Row],[S2Qty]],Assem[[#This Row],[S3Qty]])</f>
        <v>0</v>
      </c>
      <c r="J14" s="193"/>
    </row>
    <row r="15" spans="1:27" x14ac:dyDescent="0.2">
      <c r="A15" s="129">
        <v>45444</v>
      </c>
      <c r="B15" s="188" t="s">
        <v>191</v>
      </c>
      <c r="C15" s="189"/>
      <c r="D15" s="189"/>
      <c r="E15" s="190" t="str">
        <f>IF(Assem[[#This Row],[Total]]&gt;0,"Running","Down")</f>
        <v>Down</v>
      </c>
      <c r="F15" s="192">
        <v>0</v>
      </c>
      <c r="G15" s="192">
        <v>0</v>
      </c>
      <c r="H15" s="192">
        <v>0</v>
      </c>
      <c r="I15" s="192">
        <f>SUM(Assem[[#This Row],[S1Qty]],Assem[[#This Row],[S2Qty]],Assem[[#This Row],[S3Qty]])</f>
        <v>0</v>
      </c>
      <c r="J15" s="193"/>
    </row>
    <row r="16" spans="1:27" x14ac:dyDescent="0.2">
      <c r="A16" s="129">
        <v>45445</v>
      </c>
      <c r="B16" s="142" t="s">
        <v>17</v>
      </c>
      <c r="C16" s="123"/>
      <c r="D16" s="123"/>
      <c r="E16" s="143" t="str">
        <f>IF(Assem[[#This Row],[Total]]&gt;0,"Running","Down")</f>
        <v>Down</v>
      </c>
      <c r="F16" s="144">
        <v>0</v>
      </c>
      <c r="G16" s="144">
        <v>0</v>
      </c>
      <c r="H16" s="144">
        <v>0</v>
      </c>
      <c r="I16" s="144">
        <f>SUM(Assem[[#This Row],[S1Qty]],Assem[[#This Row],[S2Qty]],Assem[[#This Row],[S3Qty]])</f>
        <v>0</v>
      </c>
      <c r="J16" s="193" t="s">
        <v>207</v>
      </c>
    </row>
    <row r="17" spans="1:10" x14ac:dyDescent="0.2">
      <c r="A17" s="129">
        <v>45445</v>
      </c>
      <c r="B17" s="142" t="s">
        <v>18</v>
      </c>
      <c r="C17" s="123"/>
      <c r="D17" s="123"/>
      <c r="E17" s="143" t="str">
        <f>IF(Assem[[#This Row],[Total]]&gt;0,"Running","Down")</f>
        <v>Down</v>
      </c>
      <c r="F17" s="144">
        <v>0</v>
      </c>
      <c r="G17" s="144">
        <v>0</v>
      </c>
      <c r="H17" s="144">
        <v>0</v>
      </c>
      <c r="I17" s="144">
        <f>SUM(Assem[[#This Row],[S1Qty]],Assem[[#This Row],[S2Qty]],Assem[[#This Row],[S3Qty]])</f>
        <v>0</v>
      </c>
      <c r="J17" s="145"/>
    </row>
    <row r="18" spans="1:10" x14ac:dyDescent="0.2">
      <c r="A18" s="129">
        <v>45445</v>
      </c>
      <c r="B18" s="142" t="s">
        <v>19</v>
      </c>
      <c r="C18" s="123"/>
      <c r="D18" s="123"/>
      <c r="E18" s="143" t="str">
        <f>IF(Assem[[#This Row],[Total]]&gt;0,"Running","Down")</f>
        <v>Down</v>
      </c>
      <c r="F18" s="144">
        <v>0</v>
      </c>
      <c r="G18" s="144">
        <v>0</v>
      </c>
      <c r="H18" s="144">
        <v>0</v>
      </c>
      <c r="I18" s="144">
        <f>SUM(Assem[[#This Row],[S1Qty]],Assem[[#This Row],[S2Qty]],Assem[[#This Row],[S3Qty]])</f>
        <v>0</v>
      </c>
      <c r="J18" s="145"/>
    </row>
    <row r="19" spans="1:10" x14ac:dyDescent="0.2">
      <c r="A19" s="129">
        <v>45445</v>
      </c>
      <c r="B19" s="142" t="s">
        <v>20</v>
      </c>
      <c r="C19" s="123"/>
      <c r="D19" s="123"/>
      <c r="E19" s="143" t="str">
        <f>IF(Assem[[#This Row],[Total]]&gt;0,"Running","Down")</f>
        <v>Down</v>
      </c>
      <c r="F19" s="144">
        <v>0</v>
      </c>
      <c r="G19" s="144">
        <v>0</v>
      </c>
      <c r="H19" s="144">
        <v>0</v>
      </c>
      <c r="I19" s="144">
        <f>SUM(Assem[[#This Row],[S1Qty]],Assem[[#This Row],[S2Qty]],Assem[[#This Row],[S3Qty]])</f>
        <v>0</v>
      </c>
      <c r="J19" s="145"/>
    </row>
    <row r="20" spans="1:10" x14ac:dyDescent="0.2">
      <c r="A20" s="129">
        <v>45445</v>
      </c>
      <c r="B20" s="142" t="s">
        <v>21</v>
      </c>
      <c r="C20" s="123"/>
      <c r="D20" s="123"/>
      <c r="E20" s="143" t="str">
        <f>IF(Assem[[#This Row],[Total]]&gt;0,"Running","Down")</f>
        <v>Down</v>
      </c>
      <c r="F20" s="144">
        <v>0</v>
      </c>
      <c r="G20" s="144">
        <v>0</v>
      </c>
      <c r="H20" s="144">
        <v>0</v>
      </c>
      <c r="I20" s="144">
        <f>SUM(Assem[[#This Row],[S1Qty]],Assem[[#This Row],[S2Qty]],Assem[[#This Row],[S3Qty]])</f>
        <v>0</v>
      </c>
      <c r="J20" s="145"/>
    </row>
    <row r="21" spans="1:10" x14ac:dyDescent="0.2">
      <c r="A21" s="129">
        <v>45445</v>
      </c>
      <c r="B21" s="142" t="s">
        <v>22</v>
      </c>
      <c r="C21" s="123"/>
      <c r="D21" s="123"/>
      <c r="E21" s="143" t="str">
        <f>IF(Assem[[#This Row],[Total]]&gt;0,"Running","Down")</f>
        <v>Down</v>
      </c>
      <c r="F21" s="144">
        <v>0</v>
      </c>
      <c r="G21" s="144">
        <v>0</v>
      </c>
      <c r="H21" s="144">
        <v>0</v>
      </c>
      <c r="I21" s="144">
        <f>SUM(Assem[[#This Row],[S1Qty]],Assem[[#This Row],[S2Qty]],Assem[[#This Row],[S3Qty]])</f>
        <v>0</v>
      </c>
      <c r="J21" s="145"/>
    </row>
    <row r="22" spans="1:10" x14ac:dyDescent="0.2">
      <c r="A22" s="129">
        <v>45445</v>
      </c>
      <c r="B22" s="142" t="s">
        <v>161</v>
      </c>
      <c r="C22" s="123"/>
      <c r="D22" s="123"/>
      <c r="E22" s="143" t="str">
        <f>IF(Assem[[#This Row],[Total]]&gt;0,"Running","Down")</f>
        <v>Down</v>
      </c>
      <c r="F22" s="124">
        <v>0</v>
      </c>
      <c r="G22" s="124">
        <v>0</v>
      </c>
      <c r="H22" s="124">
        <v>0</v>
      </c>
      <c r="I22" s="124">
        <f>SUM(Assem[[#This Row],[S1Qty]],Assem[[#This Row],[S2Qty]],Assem[[#This Row],[S3Qty]])</f>
        <v>0</v>
      </c>
      <c r="J22" s="145"/>
    </row>
    <row r="23" spans="1:10" x14ac:dyDescent="0.2">
      <c r="A23" s="129">
        <v>45445</v>
      </c>
      <c r="B23" s="142" t="s">
        <v>170</v>
      </c>
      <c r="C23" s="123"/>
      <c r="D23" s="123"/>
      <c r="E23" s="143" t="str">
        <f>IF(Assem[[#This Row],[Total]]&gt;0,"Running","Down")</f>
        <v>Down</v>
      </c>
      <c r="F23" s="124">
        <v>0</v>
      </c>
      <c r="G23" s="124">
        <v>0</v>
      </c>
      <c r="H23" s="124">
        <v>0</v>
      </c>
      <c r="I23" s="124">
        <f>SUM(Assem[[#This Row],[S1Qty]],Assem[[#This Row],[S2Qty]],Assem[[#This Row],[S3Qty]])</f>
        <v>0</v>
      </c>
      <c r="J23" s="145"/>
    </row>
    <row r="24" spans="1:10" x14ac:dyDescent="0.2">
      <c r="A24" s="129">
        <v>45445</v>
      </c>
      <c r="B24" s="142" t="s">
        <v>171</v>
      </c>
      <c r="C24" s="123"/>
      <c r="D24" s="123"/>
      <c r="E24" s="143" t="str">
        <f>IF(Assem[[#This Row],[Total]]&gt;0,"Running","Down")</f>
        <v>Down</v>
      </c>
      <c r="F24" s="124">
        <v>0</v>
      </c>
      <c r="G24" s="124">
        <v>0</v>
      </c>
      <c r="H24" s="124">
        <v>0</v>
      </c>
      <c r="I24" s="124">
        <f>SUM(Assem[[#This Row],[S1Qty]],Assem[[#This Row],[S2Qty]],Assem[[#This Row],[S3Qty]])</f>
        <v>0</v>
      </c>
      <c r="J24" s="145"/>
    </row>
    <row r="25" spans="1:10" x14ac:dyDescent="0.2">
      <c r="A25" s="129">
        <v>45445</v>
      </c>
      <c r="B25" s="142" t="s">
        <v>191</v>
      </c>
      <c r="C25" s="123"/>
      <c r="D25" s="123"/>
      <c r="E25" s="143" t="str">
        <f>IF(Assem[[#This Row],[Total]]&gt;0,"Running","Down")</f>
        <v>Down</v>
      </c>
      <c r="F25" s="124">
        <v>0</v>
      </c>
      <c r="G25" s="124">
        <v>0</v>
      </c>
      <c r="H25" s="124">
        <v>0</v>
      </c>
      <c r="I25" s="124">
        <f>SUM(Assem[[#This Row],[S1Qty]],Assem[[#This Row],[S2Qty]],Assem[[#This Row],[S3Qty]])</f>
        <v>0</v>
      </c>
      <c r="J25" s="145"/>
    </row>
    <row r="26" spans="1:10" x14ac:dyDescent="0.2">
      <c r="A26" s="129">
        <v>45446</v>
      </c>
      <c r="B26" s="188" t="s">
        <v>17</v>
      </c>
      <c r="C26" s="189"/>
      <c r="D26" s="189"/>
      <c r="E26" s="190" t="str">
        <f>IF(Assem[[#This Row],[Total]]&gt;0,"Running","Down")</f>
        <v>Down</v>
      </c>
      <c r="F26" s="191">
        <v>0</v>
      </c>
      <c r="G26" s="191">
        <v>0</v>
      </c>
      <c r="H26" s="191">
        <v>0</v>
      </c>
      <c r="I26" s="191">
        <f>SUM(Assem[[#This Row],[S1Qty]],Assem[[#This Row],[S2Qty]],Assem[[#This Row],[S3Qty]])</f>
        <v>0</v>
      </c>
      <c r="J26" s="193" t="s">
        <v>211</v>
      </c>
    </row>
    <row r="27" spans="1:10" x14ac:dyDescent="0.2">
      <c r="A27" s="129">
        <v>45446</v>
      </c>
      <c r="B27" s="188" t="s">
        <v>18</v>
      </c>
      <c r="C27" s="189"/>
      <c r="D27" s="189"/>
      <c r="E27" s="190" t="str">
        <f>IF(Assem[[#This Row],[Total]]&gt;0,"Running","Down")</f>
        <v>Down</v>
      </c>
      <c r="F27" s="191">
        <v>0</v>
      </c>
      <c r="G27" s="191">
        <v>0</v>
      </c>
      <c r="H27" s="191">
        <v>0</v>
      </c>
      <c r="I27" s="191">
        <f>SUM(Assem[[#This Row],[S1Qty]],Assem[[#This Row],[S2Qty]],Assem[[#This Row],[S3Qty]])</f>
        <v>0</v>
      </c>
      <c r="J27" s="193"/>
    </row>
    <row r="28" spans="1:10" x14ac:dyDescent="0.2">
      <c r="A28" s="129">
        <v>45446</v>
      </c>
      <c r="B28" s="188" t="s">
        <v>19</v>
      </c>
      <c r="C28" s="189"/>
      <c r="D28" s="189"/>
      <c r="E28" s="190" t="str">
        <f>IF(Assem[[#This Row],[Total]]&gt;0,"Running","Down")</f>
        <v>Down</v>
      </c>
      <c r="F28" s="191">
        <v>0</v>
      </c>
      <c r="G28" s="191">
        <v>0</v>
      </c>
      <c r="H28" s="191">
        <v>0</v>
      </c>
      <c r="I28" s="191">
        <f>SUM(Assem[[#This Row],[S1Qty]],Assem[[#This Row],[S2Qty]],Assem[[#This Row],[S3Qty]])</f>
        <v>0</v>
      </c>
      <c r="J28" s="193"/>
    </row>
    <row r="29" spans="1:10" x14ac:dyDescent="0.2">
      <c r="A29" s="129">
        <v>45446</v>
      </c>
      <c r="B29" s="188" t="s">
        <v>20</v>
      </c>
      <c r="C29" s="189"/>
      <c r="D29" s="189"/>
      <c r="E29" s="190" t="str">
        <f>IF(Assem[[#This Row],[Total]]&gt;0,"Running","Down")</f>
        <v>Down</v>
      </c>
      <c r="F29" s="191">
        <v>0</v>
      </c>
      <c r="G29" s="191">
        <v>0</v>
      </c>
      <c r="H29" s="191">
        <v>0</v>
      </c>
      <c r="I29" s="191">
        <f>SUM(Assem[[#This Row],[S1Qty]],Assem[[#This Row],[S2Qty]],Assem[[#This Row],[S3Qty]])</f>
        <v>0</v>
      </c>
      <c r="J29" s="193"/>
    </row>
    <row r="30" spans="1:10" x14ac:dyDescent="0.2">
      <c r="A30" s="129">
        <v>45446</v>
      </c>
      <c r="B30" s="188" t="s">
        <v>21</v>
      </c>
      <c r="C30" s="189"/>
      <c r="D30" s="189"/>
      <c r="E30" s="190" t="str">
        <f>IF(Assem[[#This Row],[Total]]&gt;0,"Running","Down")</f>
        <v>Down</v>
      </c>
      <c r="F30" s="191">
        <v>0</v>
      </c>
      <c r="G30" s="191">
        <v>0</v>
      </c>
      <c r="H30" s="191">
        <v>0</v>
      </c>
      <c r="I30" s="191">
        <f>SUM(Assem[[#This Row],[S1Qty]],Assem[[#This Row],[S2Qty]],Assem[[#This Row],[S3Qty]])</f>
        <v>0</v>
      </c>
      <c r="J30" s="193"/>
    </row>
    <row r="31" spans="1:10" x14ac:dyDescent="0.2">
      <c r="A31" s="129">
        <v>45446</v>
      </c>
      <c r="B31" s="188" t="s">
        <v>22</v>
      </c>
      <c r="C31" s="189"/>
      <c r="D31" s="189"/>
      <c r="E31" s="190" t="str">
        <f>IF(Assem[[#This Row],[Total]]&gt;0,"Running","Down")</f>
        <v>Down</v>
      </c>
      <c r="F31" s="191">
        <v>0</v>
      </c>
      <c r="G31" s="191">
        <v>0</v>
      </c>
      <c r="H31" s="191">
        <v>0</v>
      </c>
      <c r="I31" s="191">
        <f>SUM(Assem[[#This Row],[S1Qty]],Assem[[#This Row],[S2Qty]],Assem[[#This Row],[S3Qty]])</f>
        <v>0</v>
      </c>
      <c r="J31" s="193"/>
    </row>
    <row r="32" spans="1:10" x14ac:dyDescent="0.2">
      <c r="A32" s="129">
        <v>45446</v>
      </c>
      <c r="B32" s="188" t="s">
        <v>161</v>
      </c>
      <c r="C32" s="189"/>
      <c r="D32" s="189"/>
      <c r="E32" s="190" t="str">
        <f>IF(Assem[[#This Row],[Total]]&gt;0,"Running","Down")</f>
        <v>Down</v>
      </c>
      <c r="F32" s="192">
        <v>0</v>
      </c>
      <c r="G32" s="192">
        <v>0</v>
      </c>
      <c r="H32" s="192">
        <v>0</v>
      </c>
      <c r="I32" s="192">
        <f>SUM(Assem[[#This Row],[S1Qty]],Assem[[#This Row],[S2Qty]],Assem[[#This Row],[S3Qty]])</f>
        <v>0</v>
      </c>
      <c r="J32" s="193"/>
    </row>
    <row r="33" spans="1:10" x14ac:dyDescent="0.2">
      <c r="A33" s="129">
        <v>45446</v>
      </c>
      <c r="B33" s="188" t="s">
        <v>170</v>
      </c>
      <c r="C33" s="189"/>
      <c r="D33" s="189"/>
      <c r="E33" s="190" t="str">
        <f>IF(Assem[[#This Row],[Total]]&gt;0,"Running","Down")</f>
        <v>Down</v>
      </c>
      <c r="F33" s="192">
        <v>0</v>
      </c>
      <c r="G33" s="192">
        <v>0</v>
      </c>
      <c r="H33" s="192">
        <v>0</v>
      </c>
      <c r="I33" s="192">
        <f>SUM(Assem[[#This Row],[S1Qty]],Assem[[#This Row],[S2Qty]],Assem[[#This Row],[S3Qty]])</f>
        <v>0</v>
      </c>
      <c r="J33" s="193"/>
    </row>
    <row r="34" spans="1:10" x14ac:dyDescent="0.2">
      <c r="A34" s="129">
        <v>45446</v>
      </c>
      <c r="B34" s="188" t="s">
        <v>171</v>
      </c>
      <c r="C34" s="189"/>
      <c r="D34" s="189"/>
      <c r="E34" s="190" t="str">
        <f>IF(Assem[[#This Row],[Total]]&gt;0,"Running","Down")</f>
        <v>Down</v>
      </c>
      <c r="F34" s="192">
        <v>0</v>
      </c>
      <c r="G34" s="192">
        <v>0</v>
      </c>
      <c r="H34" s="192">
        <v>0</v>
      </c>
      <c r="I34" s="192">
        <f>SUM(Assem[[#This Row],[S1Qty]],Assem[[#This Row],[S2Qty]],Assem[[#This Row],[S3Qty]])</f>
        <v>0</v>
      </c>
      <c r="J34" s="193"/>
    </row>
    <row r="35" spans="1:10" x14ac:dyDescent="0.2">
      <c r="A35" s="129">
        <v>45446</v>
      </c>
      <c r="B35" s="188" t="s">
        <v>191</v>
      </c>
      <c r="C35" s="189"/>
      <c r="D35" s="189"/>
      <c r="E35" s="190" t="str">
        <f>IF(Assem[[#This Row],[Total]]&gt;0,"Running","Down")</f>
        <v>Down</v>
      </c>
      <c r="F35" s="192">
        <v>0</v>
      </c>
      <c r="G35" s="192">
        <v>0</v>
      </c>
      <c r="H35" s="192">
        <v>0</v>
      </c>
      <c r="I35" s="192">
        <f>SUM(Assem[[#This Row],[S1Qty]],Assem[[#This Row],[S2Qty]],Assem[[#This Row],[S3Qty]])</f>
        <v>0</v>
      </c>
      <c r="J35" s="193"/>
    </row>
    <row r="36" spans="1:10" x14ac:dyDescent="0.2">
      <c r="A36" s="129">
        <v>45447</v>
      </c>
      <c r="B36" s="188" t="s">
        <v>17</v>
      </c>
      <c r="C36" s="189"/>
      <c r="D36" s="189"/>
      <c r="E36" s="190" t="str">
        <f>IF(Assem[[#This Row],[Total]]&gt;0,"Running","Down")</f>
        <v>Down</v>
      </c>
      <c r="F36" s="191">
        <v>0</v>
      </c>
      <c r="G36" s="191">
        <v>0</v>
      </c>
      <c r="H36" s="191">
        <v>0</v>
      </c>
      <c r="I36" s="191">
        <f>SUM(Assem[[#This Row],[S1Qty]],Assem[[#This Row],[S2Qty]],Assem[[#This Row],[S3Qty]])</f>
        <v>0</v>
      </c>
      <c r="J36" s="145" t="s">
        <v>213</v>
      </c>
    </row>
    <row r="37" spans="1:10" x14ac:dyDescent="0.2">
      <c r="A37" s="129">
        <v>45447</v>
      </c>
      <c r="B37" s="188" t="s">
        <v>18</v>
      </c>
      <c r="C37" s="189"/>
      <c r="D37" s="189"/>
      <c r="E37" s="190" t="str">
        <f>IF(Assem[[#This Row],[Total]]&gt;0,"Running","Down")</f>
        <v>Down</v>
      </c>
      <c r="F37" s="191">
        <v>0</v>
      </c>
      <c r="G37" s="191">
        <v>0</v>
      </c>
      <c r="H37" s="191">
        <v>0</v>
      </c>
      <c r="I37" s="191">
        <f>SUM(Assem[[#This Row],[S1Qty]],Assem[[#This Row],[S2Qty]],Assem[[#This Row],[S3Qty]])</f>
        <v>0</v>
      </c>
      <c r="J37" s="193"/>
    </row>
    <row r="38" spans="1:10" x14ac:dyDescent="0.2">
      <c r="A38" s="129">
        <v>45447</v>
      </c>
      <c r="B38" s="188" t="s">
        <v>19</v>
      </c>
      <c r="C38" s="189"/>
      <c r="D38" s="189"/>
      <c r="E38" s="190" t="str">
        <f>IF(Assem[[#This Row],[Total]]&gt;0,"Running","Down")</f>
        <v>Down</v>
      </c>
      <c r="F38" s="191">
        <v>0</v>
      </c>
      <c r="G38" s="191">
        <v>0</v>
      </c>
      <c r="H38" s="191">
        <v>0</v>
      </c>
      <c r="I38" s="191">
        <f>SUM(Assem[[#This Row],[S1Qty]],Assem[[#This Row],[S2Qty]],Assem[[#This Row],[S3Qty]])</f>
        <v>0</v>
      </c>
      <c r="J38" s="193"/>
    </row>
    <row r="39" spans="1:10" x14ac:dyDescent="0.2">
      <c r="A39" s="129">
        <v>45447</v>
      </c>
      <c r="B39" s="188" t="s">
        <v>20</v>
      </c>
      <c r="C39" s="189"/>
      <c r="D39" s="189"/>
      <c r="E39" s="190" t="str">
        <f>IF(Assem[[#This Row],[Total]]&gt;0,"Running","Down")</f>
        <v>Down</v>
      </c>
      <c r="F39" s="191">
        <v>0</v>
      </c>
      <c r="G39" s="191">
        <v>0</v>
      </c>
      <c r="H39" s="191">
        <v>0</v>
      </c>
      <c r="I39" s="191">
        <f>SUM(Assem[[#This Row],[S1Qty]],Assem[[#This Row],[S2Qty]],Assem[[#This Row],[S3Qty]])</f>
        <v>0</v>
      </c>
      <c r="J39" s="193"/>
    </row>
    <row r="40" spans="1:10" x14ac:dyDescent="0.2">
      <c r="A40" s="129">
        <v>45447</v>
      </c>
      <c r="B40" s="188" t="s">
        <v>21</v>
      </c>
      <c r="C40" s="189"/>
      <c r="D40" s="189"/>
      <c r="E40" s="190" t="str">
        <f>IF(Assem[[#This Row],[Total]]&gt;0,"Running","Down")</f>
        <v>Down</v>
      </c>
      <c r="F40" s="191">
        <v>0</v>
      </c>
      <c r="G40" s="191">
        <v>0</v>
      </c>
      <c r="H40" s="191">
        <v>0</v>
      </c>
      <c r="I40" s="191">
        <f>SUM(Assem[[#This Row],[S1Qty]],Assem[[#This Row],[S2Qty]],Assem[[#This Row],[S3Qty]])</f>
        <v>0</v>
      </c>
      <c r="J40" s="193"/>
    </row>
    <row r="41" spans="1:10" x14ac:dyDescent="0.2">
      <c r="A41" s="129">
        <v>45447</v>
      </c>
      <c r="B41" s="188" t="s">
        <v>22</v>
      </c>
      <c r="C41" s="189"/>
      <c r="D41" s="189"/>
      <c r="E41" s="190" t="str">
        <f>IF(Assem[[#This Row],[Total]]&gt;0,"Running","Down")</f>
        <v>Down</v>
      </c>
      <c r="F41" s="191">
        <v>0</v>
      </c>
      <c r="G41" s="191">
        <v>0</v>
      </c>
      <c r="H41" s="191">
        <v>0</v>
      </c>
      <c r="I41" s="191">
        <f>SUM(Assem[[#This Row],[S1Qty]],Assem[[#This Row],[S2Qty]],Assem[[#This Row],[S3Qty]])</f>
        <v>0</v>
      </c>
      <c r="J41" s="193"/>
    </row>
    <row r="42" spans="1:10" x14ac:dyDescent="0.2">
      <c r="A42" s="129">
        <v>45447</v>
      </c>
      <c r="B42" s="188" t="s">
        <v>161</v>
      </c>
      <c r="C42" s="189"/>
      <c r="D42" s="189"/>
      <c r="E42" s="190" t="str">
        <f>IF(Assem[[#This Row],[Total]]&gt;0,"Running","Down")</f>
        <v>Down</v>
      </c>
      <c r="F42" s="192">
        <v>0</v>
      </c>
      <c r="G42" s="192">
        <v>0</v>
      </c>
      <c r="H42" s="192">
        <v>0</v>
      </c>
      <c r="I42" s="192">
        <f>SUM(Assem[[#This Row],[S1Qty]],Assem[[#This Row],[S2Qty]],Assem[[#This Row],[S3Qty]])</f>
        <v>0</v>
      </c>
      <c r="J42" s="193"/>
    </row>
    <row r="43" spans="1:10" x14ac:dyDescent="0.2">
      <c r="A43" s="129">
        <v>45447</v>
      </c>
      <c r="B43" s="188" t="s">
        <v>170</v>
      </c>
      <c r="C43" s="189"/>
      <c r="D43" s="189"/>
      <c r="E43" s="190" t="str">
        <f>IF(Assem[[#This Row],[Total]]&gt;0,"Running","Down")</f>
        <v>Down</v>
      </c>
      <c r="F43" s="192">
        <v>0</v>
      </c>
      <c r="G43" s="192">
        <v>0</v>
      </c>
      <c r="H43" s="192">
        <v>0</v>
      </c>
      <c r="I43" s="192">
        <f>SUM(Assem[[#This Row],[S1Qty]],Assem[[#This Row],[S2Qty]],Assem[[#This Row],[S3Qty]])</f>
        <v>0</v>
      </c>
      <c r="J43" s="193"/>
    </row>
    <row r="44" spans="1:10" x14ac:dyDescent="0.2">
      <c r="A44" s="129">
        <v>45447</v>
      </c>
      <c r="B44" s="188" t="s">
        <v>171</v>
      </c>
      <c r="C44" s="189"/>
      <c r="D44" s="189"/>
      <c r="E44" s="190" t="str">
        <f>IF(Assem[[#This Row],[Total]]&gt;0,"Running","Down")</f>
        <v>Down</v>
      </c>
      <c r="F44" s="192">
        <v>0</v>
      </c>
      <c r="G44" s="192">
        <v>0</v>
      </c>
      <c r="H44" s="192">
        <v>0</v>
      </c>
      <c r="I44" s="192">
        <f>SUM(Assem[[#This Row],[S1Qty]],Assem[[#This Row],[S2Qty]],Assem[[#This Row],[S3Qty]])</f>
        <v>0</v>
      </c>
      <c r="J44" s="193"/>
    </row>
    <row r="45" spans="1:10" x14ac:dyDescent="0.2">
      <c r="A45" s="129">
        <v>45447</v>
      </c>
      <c r="B45" s="188" t="s">
        <v>191</v>
      </c>
      <c r="C45" s="189"/>
      <c r="D45" s="189"/>
      <c r="E45" s="190" t="str">
        <f>IF(Assem[[#This Row],[Total]]&gt;0,"Running","Down")</f>
        <v>Down</v>
      </c>
      <c r="F45" s="192">
        <v>0</v>
      </c>
      <c r="G45" s="192">
        <v>0</v>
      </c>
      <c r="H45" s="192">
        <v>0</v>
      </c>
      <c r="I45" s="192">
        <f>SUM(Assem[[#This Row],[S1Qty]],Assem[[#This Row],[S2Qty]],Assem[[#This Row],[S3Qty]])</f>
        <v>0</v>
      </c>
      <c r="J45" s="193"/>
    </row>
    <row r="46" spans="1:10" x14ac:dyDescent="0.2">
      <c r="A46" s="129">
        <v>45448</v>
      </c>
      <c r="B46" s="142" t="s">
        <v>17</v>
      </c>
      <c r="C46" s="123"/>
      <c r="D46" s="123"/>
      <c r="E46" s="143" t="str">
        <f>IF(Assem[[#This Row],[Total]]&gt;0,"Running","Down")</f>
        <v>Down</v>
      </c>
      <c r="F46" s="144">
        <v>0</v>
      </c>
      <c r="G46" s="144">
        <v>0</v>
      </c>
      <c r="H46" s="144">
        <v>0</v>
      </c>
      <c r="I46" s="144">
        <f>SUM(Assem[[#This Row],[S1Qty]],Assem[[#This Row],[S2Qty]],Assem[[#This Row],[S3Qty]])</f>
        <v>0</v>
      </c>
      <c r="J46" s="145" t="s">
        <v>219</v>
      </c>
    </row>
    <row r="47" spans="1:10" x14ac:dyDescent="0.2">
      <c r="A47" s="129">
        <v>45448</v>
      </c>
      <c r="B47" s="142" t="s">
        <v>18</v>
      </c>
      <c r="C47" s="123"/>
      <c r="D47" s="123"/>
      <c r="E47" s="143" t="str">
        <f>IF(Assem[[#This Row],[Total]]&gt;0,"Running","Down")</f>
        <v>Down</v>
      </c>
      <c r="F47" s="144">
        <v>0</v>
      </c>
      <c r="G47" s="144">
        <v>0</v>
      </c>
      <c r="H47" s="144">
        <v>0</v>
      </c>
      <c r="I47" s="144">
        <f>SUM(Assem[[#This Row],[S1Qty]],Assem[[#This Row],[S2Qty]],Assem[[#This Row],[S3Qty]])</f>
        <v>0</v>
      </c>
      <c r="J47" s="145"/>
    </row>
    <row r="48" spans="1:10" x14ac:dyDescent="0.2">
      <c r="A48" s="129">
        <v>45448</v>
      </c>
      <c r="B48" s="142" t="s">
        <v>19</v>
      </c>
      <c r="C48" s="123"/>
      <c r="D48" s="123"/>
      <c r="E48" s="143" t="str">
        <f>IF(Assem[[#This Row],[Total]]&gt;0,"Running","Down")</f>
        <v>Down</v>
      </c>
      <c r="F48" s="144">
        <v>0</v>
      </c>
      <c r="G48" s="144">
        <v>0</v>
      </c>
      <c r="H48" s="144">
        <v>0</v>
      </c>
      <c r="I48" s="144">
        <f>SUM(Assem[[#This Row],[S1Qty]],Assem[[#This Row],[S2Qty]],Assem[[#This Row],[S3Qty]])</f>
        <v>0</v>
      </c>
      <c r="J48" s="145"/>
    </row>
    <row r="49" spans="1:10" x14ac:dyDescent="0.2">
      <c r="A49" s="129">
        <v>45448</v>
      </c>
      <c r="B49" s="142" t="s">
        <v>20</v>
      </c>
      <c r="C49" s="123"/>
      <c r="D49" s="123"/>
      <c r="E49" s="143" t="str">
        <f>IF(Assem[[#This Row],[Total]]&gt;0,"Running","Down")</f>
        <v>Down</v>
      </c>
      <c r="F49" s="144">
        <v>0</v>
      </c>
      <c r="G49" s="144">
        <v>0</v>
      </c>
      <c r="H49" s="144">
        <v>0</v>
      </c>
      <c r="I49" s="144">
        <f>SUM(Assem[[#This Row],[S1Qty]],Assem[[#This Row],[S2Qty]],Assem[[#This Row],[S3Qty]])</f>
        <v>0</v>
      </c>
      <c r="J49" s="145"/>
    </row>
    <row r="50" spans="1:10" x14ac:dyDescent="0.2">
      <c r="A50" s="129">
        <v>45448</v>
      </c>
      <c r="B50" s="142" t="s">
        <v>21</v>
      </c>
      <c r="C50" s="123"/>
      <c r="D50" s="123"/>
      <c r="E50" s="143" t="str">
        <f>IF(Assem[[#This Row],[Total]]&gt;0,"Running","Down")</f>
        <v>Down</v>
      </c>
      <c r="F50" s="144">
        <v>0</v>
      </c>
      <c r="G50" s="144">
        <v>0</v>
      </c>
      <c r="H50" s="144">
        <v>0</v>
      </c>
      <c r="I50" s="144">
        <f>SUM(Assem[[#This Row],[S1Qty]],Assem[[#This Row],[S2Qty]],Assem[[#This Row],[S3Qty]])</f>
        <v>0</v>
      </c>
      <c r="J50" s="145"/>
    </row>
    <row r="51" spans="1:10" x14ac:dyDescent="0.2">
      <c r="A51" s="129">
        <v>45448</v>
      </c>
      <c r="B51" s="142" t="s">
        <v>22</v>
      </c>
      <c r="C51" s="123"/>
      <c r="D51" s="123"/>
      <c r="E51" s="143" t="str">
        <f>IF(Assem[[#This Row],[Total]]&gt;0,"Running","Down")</f>
        <v>Down</v>
      </c>
      <c r="F51" s="144">
        <v>0</v>
      </c>
      <c r="G51" s="144">
        <v>0</v>
      </c>
      <c r="H51" s="144">
        <v>0</v>
      </c>
      <c r="I51" s="144">
        <f>SUM(Assem[[#This Row],[S1Qty]],Assem[[#This Row],[S2Qty]],Assem[[#This Row],[S3Qty]])</f>
        <v>0</v>
      </c>
      <c r="J51" s="145"/>
    </row>
    <row r="52" spans="1:10" x14ac:dyDescent="0.2">
      <c r="A52" s="129">
        <v>45448</v>
      </c>
      <c r="B52" s="142" t="s">
        <v>161</v>
      </c>
      <c r="C52" s="123"/>
      <c r="D52" s="123"/>
      <c r="E52" s="143" t="str">
        <f>IF(Assem[[#This Row],[Total]]&gt;0,"Running","Down")</f>
        <v>Down</v>
      </c>
      <c r="F52" s="124">
        <v>0</v>
      </c>
      <c r="G52" s="124">
        <v>0</v>
      </c>
      <c r="H52" s="124">
        <v>0</v>
      </c>
      <c r="I52" s="124">
        <f>SUM(Assem[[#This Row],[S1Qty]],Assem[[#This Row],[S2Qty]],Assem[[#This Row],[S3Qty]])</f>
        <v>0</v>
      </c>
      <c r="J52" s="145"/>
    </row>
    <row r="53" spans="1:10" x14ac:dyDescent="0.2">
      <c r="A53" s="129">
        <v>45448</v>
      </c>
      <c r="B53" s="142" t="s">
        <v>170</v>
      </c>
      <c r="C53" s="123"/>
      <c r="D53" s="123"/>
      <c r="E53" s="143" t="str">
        <f>IF(Assem[[#This Row],[Total]]&gt;0,"Running","Down")</f>
        <v>Down</v>
      </c>
      <c r="F53" s="124">
        <v>0</v>
      </c>
      <c r="G53" s="124">
        <v>0</v>
      </c>
      <c r="H53" s="124">
        <v>0</v>
      </c>
      <c r="I53" s="124">
        <f>SUM(Assem[[#This Row],[S1Qty]],Assem[[#This Row],[S2Qty]],Assem[[#This Row],[S3Qty]])</f>
        <v>0</v>
      </c>
      <c r="J53" s="145"/>
    </row>
    <row r="54" spans="1:10" x14ac:dyDescent="0.2">
      <c r="A54" s="129">
        <v>45448</v>
      </c>
      <c r="B54" s="142" t="s">
        <v>171</v>
      </c>
      <c r="C54" s="123"/>
      <c r="D54" s="123"/>
      <c r="E54" s="143" t="str">
        <f>IF(Assem[[#This Row],[Total]]&gt;0,"Running","Down")</f>
        <v>Down</v>
      </c>
      <c r="F54" s="124">
        <v>0</v>
      </c>
      <c r="G54" s="124">
        <v>0</v>
      </c>
      <c r="H54" s="124">
        <v>0</v>
      </c>
      <c r="I54" s="124">
        <f>SUM(Assem[[#This Row],[S1Qty]],Assem[[#This Row],[S2Qty]],Assem[[#This Row],[S3Qty]])</f>
        <v>0</v>
      </c>
      <c r="J54" s="145"/>
    </row>
    <row r="55" spans="1:10" x14ac:dyDescent="0.2">
      <c r="A55" s="129">
        <v>45448</v>
      </c>
      <c r="B55" s="142" t="s">
        <v>191</v>
      </c>
      <c r="C55" s="123"/>
      <c r="D55" s="123"/>
      <c r="E55" s="143" t="str">
        <f>IF(Assem[[#This Row],[Total]]&gt;0,"Running","Down")</f>
        <v>Down</v>
      </c>
      <c r="F55" s="124">
        <v>0</v>
      </c>
      <c r="G55" s="124">
        <v>0</v>
      </c>
      <c r="H55" s="124">
        <v>0</v>
      </c>
      <c r="I55" s="124">
        <f>SUM(Assem[[#This Row],[S1Qty]],Assem[[#This Row],[S2Qty]],Assem[[#This Row],[S3Qty]])</f>
        <v>0</v>
      </c>
      <c r="J55" s="145"/>
    </row>
    <row r="56" spans="1:10" x14ac:dyDescent="0.2">
      <c r="A56" s="129">
        <v>45449</v>
      </c>
      <c r="B56" s="142" t="s">
        <v>17</v>
      </c>
      <c r="C56" s="123"/>
      <c r="D56" s="123"/>
      <c r="E56" s="143" t="str">
        <f>IF(Assem[[#This Row],[Total]]&gt;0,"Running","Down")</f>
        <v>Down</v>
      </c>
      <c r="F56" s="144">
        <v>0</v>
      </c>
      <c r="G56" s="144">
        <v>0</v>
      </c>
      <c r="H56" s="144">
        <v>0</v>
      </c>
      <c r="I56" s="144">
        <f>SUM(Assem[[#This Row],[S1Qty]],Assem[[#This Row],[S2Qty]],Assem[[#This Row],[S3Qty]])</f>
        <v>0</v>
      </c>
      <c r="J56" s="145" t="s">
        <v>224</v>
      </c>
    </row>
    <row r="57" spans="1:10" x14ac:dyDescent="0.2">
      <c r="A57" s="129">
        <v>45449</v>
      </c>
      <c r="B57" s="142" t="s">
        <v>18</v>
      </c>
      <c r="C57" s="123"/>
      <c r="D57" s="123"/>
      <c r="E57" s="143" t="str">
        <f>IF(Assem[[#This Row],[Total]]&gt;0,"Running","Down")</f>
        <v>Down</v>
      </c>
      <c r="F57" s="144">
        <v>0</v>
      </c>
      <c r="G57" s="144">
        <v>0</v>
      </c>
      <c r="H57" s="144">
        <v>0</v>
      </c>
      <c r="I57" s="144">
        <f>SUM(Assem[[#This Row],[S1Qty]],Assem[[#This Row],[S2Qty]],Assem[[#This Row],[S3Qty]])</f>
        <v>0</v>
      </c>
      <c r="J57" s="145"/>
    </row>
    <row r="58" spans="1:10" x14ac:dyDescent="0.2">
      <c r="A58" s="129">
        <v>45449</v>
      </c>
      <c r="B58" s="142" t="s">
        <v>19</v>
      </c>
      <c r="C58" s="123"/>
      <c r="D58" s="123"/>
      <c r="E58" s="143" t="str">
        <f>IF(Assem[[#This Row],[Total]]&gt;0,"Running","Down")</f>
        <v>Down</v>
      </c>
      <c r="F58" s="144">
        <v>0</v>
      </c>
      <c r="G58" s="144">
        <v>0</v>
      </c>
      <c r="H58" s="144">
        <v>0</v>
      </c>
      <c r="I58" s="144">
        <f>SUM(Assem[[#This Row],[S1Qty]],Assem[[#This Row],[S2Qty]],Assem[[#This Row],[S3Qty]])</f>
        <v>0</v>
      </c>
      <c r="J58" s="145"/>
    </row>
    <row r="59" spans="1:10" x14ac:dyDescent="0.2">
      <c r="A59" s="129">
        <v>45449</v>
      </c>
      <c r="B59" s="142" t="s">
        <v>20</v>
      </c>
      <c r="C59" s="123"/>
      <c r="D59" s="123"/>
      <c r="E59" s="143" t="str">
        <f>IF(Assem[[#This Row],[Total]]&gt;0,"Running","Down")</f>
        <v>Down</v>
      </c>
      <c r="F59" s="144">
        <v>0</v>
      </c>
      <c r="G59" s="144">
        <v>0</v>
      </c>
      <c r="H59" s="144">
        <v>0</v>
      </c>
      <c r="I59" s="144">
        <f>SUM(Assem[[#This Row],[S1Qty]],Assem[[#This Row],[S2Qty]],Assem[[#This Row],[S3Qty]])</f>
        <v>0</v>
      </c>
      <c r="J59" s="145"/>
    </row>
    <row r="60" spans="1:10" x14ac:dyDescent="0.2">
      <c r="A60" s="129">
        <v>45449</v>
      </c>
      <c r="B60" s="142" t="s">
        <v>21</v>
      </c>
      <c r="C60" s="123"/>
      <c r="D60" s="123"/>
      <c r="E60" s="143" t="str">
        <f>IF(Assem[[#This Row],[Total]]&gt;0,"Running","Down")</f>
        <v>Down</v>
      </c>
      <c r="F60" s="144">
        <v>0</v>
      </c>
      <c r="G60" s="144">
        <v>0</v>
      </c>
      <c r="H60" s="144">
        <v>0</v>
      </c>
      <c r="I60" s="144">
        <f>SUM(Assem[[#This Row],[S1Qty]],Assem[[#This Row],[S2Qty]],Assem[[#This Row],[S3Qty]])</f>
        <v>0</v>
      </c>
      <c r="J60" s="145"/>
    </row>
    <row r="61" spans="1:10" x14ac:dyDescent="0.2">
      <c r="A61" s="129">
        <v>45449</v>
      </c>
      <c r="B61" s="142" t="s">
        <v>22</v>
      </c>
      <c r="C61" s="123"/>
      <c r="D61" s="123"/>
      <c r="E61" s="143" t="str">
        <f>IF(Assem[[#This Row],[Total]]&gt;0,"Running","Down")</f>
        <v>Down</v>
      </c>
      <c r="F61" s="144">
        <v>0</v>
      </c>
      <c r="G61" s="144">
        <v>0</v>
      </c>
      <c r="H61" s="144">
        <v>0</v>
      </c>
      <c r="I61" s="144">
        <f>SUM(Assem[[#This Row],[S1Qty]],Assem[[#This Row],[S2Qty]],Assem[[#This Row],[S3Qty]])</f>
        <v>0</v>
      </c>
      <c r="J61" s="145"/>
    </row>
    <row r="62" spans="1:10" x14ac:dyDescent="0.2">
      <c r="A62" s="129">
        <v>45449</v>
      </c>
      <c r="B62" s="142" t="s">
        <v>161</v>
      </c>
      <c r="C62" s="123"/>
      <c r="D62" s="123"/>
      <c r="E62" s="143" t="str">
        <f>IF(Assem[[#This Row],[Total]]&gt;0,"Running","Down")</f>
        <v>Down</v>
      </c>
      <c r="F62" s="124">
        <v>0</v>
      </c>
      <c r="G62" s="124">
        <v>0</v>
      </c>
      <c r="H62" s="124">
        <v>0</v>
      </c>
      <c r="I62" s="124">
        <f>SUM(Assem[[#This Row],[S1Qty]],Assem[[#This Row],[S2Qty]],Assem[[#This Row],[S3Qty]])</f>
        <v>0</v>
      </c>
      <c r="J62" s="145"/>
    </row>
    <row r="63" spans="1:10" x14ac:dyDescent="0.2">
      <c r="A63" s="129">
        <v>45449</v>
      </c>
      <c r="B63" s="142" t="s">
        <v>170</v>
      </c>
      <c r="C63" s="123"/>
      <c r="D63" s="123"/>
      <c r="E63" s="143" t="str">
        <f>IF(Assem[[#This Row],[Total]]&gt;0,"Running","Down")</f>
        <v>Down</v>
      </c>
      <c r="F63" s="124">
        <v>0</v>
      </c>
      <c r="G63" s="124">
        <v>0</v>
      </c>
      <c r="H63" s="124">
        <v>0</v>
      </c>
      <c r="I63" s="124">
        <f>SUM(Assem[[#This Row],[S1Qty]],Assem[[#This Row],[S2Qty]],Assem[[#This Row],[S3Qty]])</f>
        <v>0</v>
      </c>
      <c r="J63" s="145"/>
    </row>
    <row r="64" spans="1:10" x14ac:dyDescent="0.2">
      <c r="A64" s="129">
        <v>45449</v>
      </c>
      <c r="B64" s="142" t="s">
        <v>171</v>
      </c>
      <c r="C64" s="123"/>
      <c r="D64" s="123"/>
      <c r="E64" s="143" t="str">
        <f>IF(Assem[[#This Row],[Total]]&gt;0,"Running","Down")</f>
        <v>Down</v>
      </c>
      <c r="F64" s="124">
        <v>0</v>
      </c>
      <c r="G64" s="124">
        <v>0</v>
      </c>
      <c r="H64" s="124">
        <v>0</v>
      </c>
      <c r="I64" s="124">
        <f>SUM(Assem[[#This Row],[S1Qty]],Assem[[#This Row],[S2Qty]],Assem[[#This Row],[S3Qty]])</f>
        <v>0</v>
      </c>
      <c r="J64" s="145"/>
    </row>
    <row r="65" spans="1:10" x14ac:dyDescent="0.2">
      <c r="A65" s="129">
        <v>45449</v>
      </c>
      <c r="B65" s="142" t="s">
        <v>191</v>
      </c>
      <c r="C65" s="123"/>
      <c r="D65" s="123"/>
      <c r="E65" s="143" t="str">
        <f>IF(Assem[[#This Row],[Total]]&gt;0,"Running","Down")</f>
        <v>Down</v>
      </c>
      <c r="F65" s="124">
        <v>0</v>
      </c>
      <c r="G65" s="124">
        <v>0</v>
      </c>
      <c r="H65" s="124">
        <v>0</v>
      </c>
      <c r="I65" s="124">
        <f>SUM(Assem[[#This Row],[S1Qty]],Assem[[#This Row],[S2Qty]],Assem[[#This Row],[S3Qty]])</f>
        <v>0</v>
      </c>
      <c r="J65" s="145"/>
    </row>
    <row r="66" spans="1:10" x14ac:dyDescent="0.2">
      <c r="A66" s="129">
        <v>45450</v>
      </c>
      <c r="B66" s="211" t="s">
        <v>17</v>
      </c>
      <c r="C66" s="212"/>
      <c r="D66" s="212"/>
      <c r="E66" s="213" t="str">
        <f>IF(Assem[[#This Row],[Total]]&gt;0,"Running","Down")</f>
        <v>Down</v>
      </c>
      <c r="F66" s="214">
        <v>0</v>
      </c>
      <c r="G66" s="214">
        <v>0</v>
      </c>
      <c r="H66" s="214">
        <v>0</v>
      </c>
      <c r="I66" s="214">
        <f>SUM(Assem[[#This Row],[S1Qty]],Assem[[#This Row],[S2Qty]],Assem[[#This Row],[S3Qty]])</f>
        <v>0</v>
      </c>
      <c r="J66" s="145" t="s">
        <v>229</v>
      </c>
    </row>
    <row r="67" spans="1:10" x14ac:dyDescent="0.2">
      <c r="A67" s="129">
        <v>45450</v>
      </c>
      <c r="B67" s="211" t="s">
        <v>18</v>
      </c>
      <c r="C67" s="212"/>
      <c r="D67" s="212"/>
      <c r="E67" s="213" t="str">
        <f>IF(Assem[[#This Row],[Total]]&gt;0,"Running","Down")</f>
        <v>Down</v>
      </c>
      <c r="F67" s="214">
        <v>0</v>
      </c>
      <c r="G67" s="214">
        <v>0</v>
      </c>
      <c r="H67" s="214">
        <v>0</v>
      </c>
      <c r="I67" s="214">
        <f>SUM(Assem[[#This Row],[S1Qty]],Assem[[#This Row],[S2Qty]],Assem[[#This Row],[S3Qty]])</f>
        <v>0</v>
      </c>
      <c r="J67" s="216"/>
    </row>
    <row r="68" spans="1:10" x14ac:dyDescent="0.2">
      <c r="A68" s="129">
        <v>45450</v>
      </c>
      <c r="B68" s="211" t="s">
        <v>19</v>
      </c>
      <c r="C68" s="212"/>
      <c r="D68" s="212"/>
      <c r="E68" s="213" t="str">
        <f>IF(Assem[[#This Row],[Total]]&gt;0,"Running","Down")</f>
        <v>Down</v>
      </c>
      <c r="F68" s="214">
        <v>0</v>
      </c>
      <c r="G68" s="214">
        <v>0</v>
      </c>
      <c r="H68" s="214">
        <v>0</v>
      </c>
      <c r="I68" s="214">
        <f>SUM(Assem[[#This Row],[S1Qty]],Assem[[#This Row],[S2Qty]],Assem[[#This Row],[S3Qty]])</f>
        <v>0</v>
      </c>
      <c r="J68" s="216"/>
    </row>
    <row r="69" spans="1:10" x14ac:dyDescent="0.2">
      <c r="A69" s="129">
        <v>45450</v>
      </c>
      <c r="B69" s="211" t="s">
        <v>20</v>
      </c>
      <c r="C69" s="212"/>
      <c r="D69" s="212"/>
      <c r="E69" s="213" t="str">
        <f>IF(Assem[[#This Row],[Total]]&gt;0,"Running","Down")</f>
        <v>Down</v>
      </c>
      <c r="F69" s="214">
        <v>0</v>
      </c>
      <c r="G69" s="214">
        <v>0</v>
      </c>
      <c r="H69" s="214">
        <v>0</v>
      </c>
      <c r="I69" s="214">
        <f>SUM(Assem[[#This Row],[S1Qty]],Assem[[#This Row],[S2Qty]],Assem[[#This Row],[S3Qty]])</f>
        <v>0</v>
      </c>
      <c r="J69" s="216"/>
    </row>
    <row r="70" spans="1:10" x14ac:dyDescent="0.2">
      <c r="A70" s="129">
        <v>45450</v>
      </c>
      <c r="B70" s="211" t="s">
        <v>21</v>
      </c>
      <c r="C70" s="212"/>
      <c r="D70" s="212"/>
      <c r="E70" s="213" t="str">
        <f>IF(Assem[[#This Row],[Total]]&gt;0,"Running","Down")</f>
        <v>Down</v>
      </c>
      <c r="F70" s="214">
        <v>0</v>
      </c>
      <c r="G70" s="214">
        <v>0</v>
      </c>
      <c r="H70" s="214">
        <v>0</v>
      </c>
      <c r="I70" s="214">
        <f>SUM(Assem[[#This Row],[S1Qty]],Assem[[#This Row],[S2Qty]],Assem[[#This Row],[S3Qty]])</f>
        <v>0</v>
      </c>
      <c r="J70" s="216"/>
    </row>
    <row r="71" spans="1:10" x14ac:dyDescent="0.2">
      <c r="A71" s="129">
        <v>45450</v>
      </c>
      <c r="B71" s="211" t="s">
        <v>22</v>
      </c>
      <c r="C71" s="212"/>
      <c r="D71" s="212"/>
      <c r="E71" s="213" t="str">
        <f>IF(Assem[[#This Row],[Total]]&gt;0,"Running","Down")</f>
        <v>Down</v>
      </c>
      <c r="F71" s="214">
        <v>0</v>
      </c>
      <c r="G71" s="214">
        <v>0</v>
      </c>
      <c r="H71" s="214">
        <v>0</v>
      </c>
      <c r="I71" s="214">
        <f>SUM(Assem[[#This Row],[S1Qty]],Assem[[#This Row],[S2Qty]],Assem[[#This Row],[S3Qty]])</f>
        <v>0</v>
      </c>
      <c r="J71" s="216"/>
    </row>
    <row r="72" spans="1:10" x14ac:dyDescent="0.2">
      <c r="A72" s="129">
        <v>45450</v>
      </c>
      <c r="B72" s="211" t="s">
        <v>161</v>
      </c>
      <c r="C72" s="212"/>
      <c r="D72" s="212"/>
      <c r="E72" s="213" t="str">
        <f>IF(Assem[[#This Row],[Total]]&gt;0,"Running","Down")</f>
        <v>Down</v>
      </c>
      <c r="F72" s="215">
        <v>0</v>
      </c>
      <c r="G72" s="215">
        <v>0</v>
      </c>
      <c r="H72" s="215">
        <v>0</v>
      </c>
      <c r="I72" s="215">
        <f>SUM(Assem[[#This Row],[S1Qty]],Assem[[#This Row],[S2Qty]],Assem[[#This Row],[S3Qty]])</f>
        <v>0</v>
      </c>
      <c r="J72" s="216"/>
    </row>
    <row r="73" spans="1:10" x14ac:dyDescent="0.2">
      <c r="A73" s="129">
        <v>45450</v>
      </c>
      <c r="B73" s="211" t="s">
        <v>170</v>
      </c>
      <c r="C73" s="212"/>
      <c r="D73" s="212"/>
      <c r="E73" s="213" t="str">
        <f>IF(Assem[[#This Row],[Total]]&gt;0,"Running","Down")</f>
        <v>Down</v>
      </c>
      <c r="F73" s="215">
        <v>0</v>
      </c>
      <c r="G73" s="215">
        <v>0</v>
      </c>
      <c r="H73" s="215">
        <v>0</v>
      </c>
      <c r="I73" s="215">
        <f>SUM(Assem[[#This Row],[S1Qty]],Assem[[#This Row],[S2Qty]],Assem[[#This Row],[S3Qty]])</f>
        <v>0</v>
      </c>
      <c r="J73" s="216"/>
    </row>
    <row r="74" spans="1:10" x14ac:dyDescent="0.2">
      <c r="A74" s="129">
        <v>45450</v>
      </c>
      <c r="B74" s="211" t="s">
        <v>171</v>
      </c>
      <c r="C74" s="212"/>
      <c r="D74" s="212"/>
      <c r="E74" s="213" t="str">
        <f>IF(Assem[[#This Row],[Total]]&gt;0,"Running","Down")</f>
        <v>Down</v>
      </c>
      <c r="F74" s="215">
        <v>0</v>
      </c>
      <c r="G74" s="215">
        <v>0</v>
      </c>
      <c r="H74" s="215">
        <v>0</v>
      </c>
      <c r="I74" s="215">
        <f>SUM(Assem[[#This Row],[S1Qty]],Assem[[#This Row],[S2Qty]],Assem[[#This Row],[S3Qty]])</f>
        <v>0</v>
      </c>
      <c r="J74" s="216"/>
    </row>
    <row r="75" spans="1:10" x14ac:dyDescent="0.2">
      <c r="A75" s="129">
        <v>45450</v>
      </c>
      <c r="B75" s="211" t="s">
        <v>191</v>
      </c>
      <c r="C75" s="212"/>
      <c r="D75" s="212"/>
      <c r="E75" s="213" t="str">
        <f>IF(Assem[[#This Row],[Total]]&gt;0,"Running","Down")</f>
        <v>Down</v>
      </c>
      <c r="F75" s="215">
        <v>0</v>
      </c>
      <c r="G75" s="215">
        <v>0</v>
      </c>
      <c r="H75" s="215">
        <v>0</v>
      </c>
      <c r="I75" s="215">
        <f>SUM(Assem[[#This Row],[S1Qty]],Assem[[#This Row],[S2Qty]],Assem[[#This Row],[S3Qty]])</f>
        <v>0</v>
      </c>
      <c r="J75" s="216"/>
    </row>
    <row r="76" spans="1:10" x14ac:dyDescent="0.2">
      <c r="A76" s="129">
        <v>45451</v>
      </c>
      <c r="B76" s="211" t="s">
        <v>17</v>
      </c>
      <c r="C76" s="212"/>
      <c r="D76" s="212"/>
      <c r="E76" s="213" t="str">
        <f>IF(Assem[[#This Row],[Total]]&gt;0,"Running","Down")</f>
        <v>Down</v>
      </c>
      <c r="F76" s="214">
        <v>0</v>
      </c>
      <c r="G76" s="214">
        <v>0</v>
      </c>
      <c r="H76" s="214">
        <v>0</v>
      </c>
      <c r="I76" s="214">
        <f>SUM(Assem[[#This Row],[S1Qty]],Assem[[#This Row],[S2Qty]],Assem[[#This Row],[S3Qty]])</f>
        <v>0</v>
      </c>
      <c r="J76" s="145" t="s">
        <v>232</v>
      </c>
    </row>
    <row r="77" spans="1:10" x14ac:dyDescent="0.2">
      <c r="A77" s="129">
        <v>45451</v>
      </c>
      <c r="B77" s="211" t="s">
        <v>18</v>
      </c>
      <c r="C77" s="212"/>
      <c r="D77" s="212"/>
      <c r="E77" s="213" t="str">
        <f>IF(Assem[[#This Row],[Total]]&gt;0,"Running","Down")</f>
        <v>Down</v>
      </c>
      <c r="F77" s="214">
        <v>0</v>
      </c>
      <c r="G77" s="214">
        <v>0</v>
      </c>
      <c r="H77" s="214">
        <v>0</v>
      </c>
      <c r="I77" s="214">
        <f>SUM(Assem[[#This Row],[S1Qty]],Assem[[#This Row],[S2Qty]],Assem[[#This Row],[S3Qty]])</f>
        <v>0</v>
      </c>
      <c r="J77" s="216"/>
    </row>
    <row r="78" spans="1:10" x14ac:dyDescent="0.2">
      <c r="A78" s="129">
        <v>45451</v>
      </c>
      <c r="B78" s="211" t="s">
        <v>19</v>
      </c>
      <c r="C78" s="212"/>
      <c r="D78" s="212"/>
      <c r="E78" s="213" t="str">
        <f>IF(Assem[[#This Row],[Total]]&gt;0,"Running","Down")</f>
        <v>Down</v>
      </c>
      <c r="F78" s="214">
        <v>0</v>
      </c>
      <c r="G78" s="214">
        <v>0</v>
      </c>
      <c r="H78" s="214">
        <v>0</v>
      </c>
      <c r="I78" s="214">
        <f>SUM(Assem[[#This Row],[S1Qty]],Assem[[#This Row],[S2Qty]],Assem[[#This Row],[S3Qty]])</f>
        <v>0</v>
      </c>
      <c r="J78" s="216"/>
    </row>
    <row r="79" spans="1:10" x14ac:dyDescent="0.2">
      <c r="A79" s="129">
        <v>45451</v>
      </c>
      <c r="B79" s="211" t="s">
        <v>20</v>
      </c>
      <c r="C79" s="212"/>
      <c r="D79" s="212"/>
      <c r="E79" s="213" t="str">
        <f>IF(Assem[[#This Row],[Total]]&gt;0,"Running","Down")</f>
        <v>Down</v>
      </c>
      <c r="F79" s="214">
        <v>0</v>
      </c>
      <c r="G79" s="214">
        <v>0</v>
      </c>
      <c r="H79" s="214">
        <v>0</v>
      </c>
      <c r="I79" s="214">
        <f>SUM(Assem[[#This Row],[S1Qty]],Assem[[#This Row],[S2Qty]],Assem[[#This Row],[S3Qty]])</f>
        <v>0</v>
      </c>
      <c r="J79" s="216"/>
    </row>
    <row r="80" spans="1:10" x14ac:dyDescent="0.2">
      <c r="A80" s="129">
        <v>45451</v>
      </c>
      <c r="B80" s="211" t="s">
        <v>21</v>
      </c>
      <c r="C80" s="212"/>
      <c r="D80" s="212"/>
      <c r="E80" s="213" t="str">
        <f>IF(Assem[[#This Row],[Total]]&gt;0,"Running","Down")</f>
        <v>Down</v>
      </c>
      <c r="F80" s="214">
        <v>0</v>
      </c>
      <c r="G80" s="214">
        <v>0</v>
      </c>
      <c r="H80" s="214">
        <v>0</v>
      </c>
      <c r="I80" s="214">
        <f>SUM(Assem[[#This Row],[S1Qty]],Assem[[#This Row],[S2Qty]],Assem[[#This Row],[S3Qty]])</f>
        <v>0</v>
      </c>
      <c r="J80" s="216"/>
    </row>
    <row r="81" spans="1:10" x14ac:dyDescent="0.2">
      <c r="A81" s="129">
        <v>45451</v>
      </c>
      <c r="B81" s="211" t="s">
        <v>22</v>
      </c>
      <c r="C81" s="212"/>
      <c r="D81" s="212"/>
      <c r="E81" s="213" t="str">
        <f>IF(Assem[[#This Row],[Total]]&gt;0,"Running","Down")</f>
        <v>Down</v>
      </c>
      <c r="F81" s="214">
        <v>0</v>
      </c>
      <c r="G81" s="214">
        <v>0</v>
      </c>
      <c r="H81" s="214">
        <v>0</v>
      </c>
      <c r="I81" s="214">
        <f>SUM(Assem[[#This Row],[S1Qty]],Assem[[#This Row],[S2Qty]],Assem[[#This Row],[S3Qty]])</f>
        <v>0</v>
      </c>
      <c r="J81" s="216"/>
    </row>
    <row r="82" spans="1:10" x14ac:dyDescent="0.2">
      <c r="A82" s="129">
        <v>45451</v>
      </c>
      <c r="B82" s="211" t="s">
        <v>161</v>
      </c>
      <c r="C82" s="212"/>
      <c r="D82" s="212"/>
      <c r="E82" s="213" t="str">
        <f>IF(Assem[[#This Row],[Total]]&gt;0,"Running","Down")</f>
        <v>Down</v>
      </c>
      <c r="F82" s="215">
        <v>0</v>
      </c>
      <c r="G82" s="215">
        <v>0</v>
      </c>
      <c r="H82" s="215">
        <v>0</v>
      </c>
      <c r="I82" s="215">
        <f>SUM(Assem[[#This Row],[S1Qty]],Assem[[#This Row],[S2Qty]],Assem[[#This Row],[S3Qty]])</f>
        <v>0</v>
      </c>
      <c r="J82" s="216"/>
    </row>
    <row r="83" spans="1:10" x14ac:dyDescent="0.2">
      <c r="A83" s="129">
        <v>45451</v>
      </c>
      <c r="B83" s="211" t="s">
        <v>170</v>
      </c>
      <c r="C83" s="212"/>
      <c r="D83" s="212"/>
      <c r="E83" s="213" t="str">
        <f>IF(Assem[[#This Row],[Total]]&gt;0,"Running","Down")</f>
        <v>Down</v>
      </c>
      <c r="F83" s="215">
        <v>0</v>
      </c>
      <c r="G83" s="215">
        <v>0</v>
      </c>
      <c r="H83" s="215">
        <v>0</v>
      </c>
      <c r="I83" s="215">
        <f>SUM(Assem[[#This Row],[S1Qty]],Assem[[#This Row],[S2Qty]],Assem[[#This Row],[S3Qty]])</f>
        <v>0</v>
      </c>
      <c r="J83" s="216"/>
    </row>
    <row r="84" spans="1:10" x14ac:dyDescent="0.2">
      <c r="A84" s="129">
        <v>45451</v>
      </c>
      <c r="B84" s="211" t="s">
        <v>171</v>
      </c>
      <c r="C84" s="212"/>
      <c r="D84" s="212"/>
      <c r="E84" s="213" t="str">
        <f>IF(Assem[[#This Row],[Total]]&gt;0,"Running","Down")</f>
        <v>Down</v>
      </c>
      <c r="F84" s="215">
        <v>0</v>
      </c>
      <c r="G84" s="215">
        <v>0</v>
      </c>
      <c r="H84" s="215">
        <v>0</v>
      </c>
      <c r="I84" s="215">
        <f>SUM(Assem[[#This Row],[S1Qty]],Assem[[#This Row],[S2Qty]],Assem[[#This Row],[S3Qty]])</f>
        <v>0</v>
      </c>
      <c r="J84" s="216"/>
    </row>
    <row r="85" spans="1:10" x14ac:dyDescent="0.2">
      <c r="A85" s="129">
        <v>45451</v>
      </c>
      <c r="B85" s="211" t="s">
        <v>191</v>
      </c>
      <c r="C85" s="212"/>
      <c r="D85" s="212"/>
      <c r="E85" s="213" t="str">
        <f>IF(Assem[[#This Row],[Total]]&gt;0,"Running","Down")</f>
        <v>Down</v>
      </c>
      <c r="F85" s="215">
        <v>0</v>
      </c>
      <c r="G85" s="215">
        <v>0</v>
      </c>
      <c r="H85" s="215">
        <v>0</v>
      </c>
      <c r="I85" s="215">
        <f>SUM(Assem[[#This Row],[S1Qty]],Assem[[#This Row],[S2Qty]],Assem[[#This Row],[S3Qty]])</f>
        <v>0</v>
      </c>
      <c r="J85" s="216"/>
    </row>
    <row r="86" spans="1:10" x14ac:dyDescent="0.2">
      <c r="A86" s="129">
        <v>45452</v>
      </c>
      <c r="B86" s="211" t="s">
        <v>17</v>
      </c>
      <c r="C86" s="212"/>
      <c r="D86" s="212"/>
      <c r="E86" s="213" t="str">
        <f>IF(Assem[[#This Row],[Total]]&gt;0,"Running","Down")</f>
        <v>Down</v>
      </c>
      <c r="F86" s="214">
        <v>0</v>
      </c>
      <c r="G86" s="214">
        <v>0</v>
      </c>
      <c r="H86" s="214">
        <v>0</v>
      </c>
      <c r="I86" s="214">
        <f>SUM(Assem[[#This Row],[S1Qty]],Assem[[#This Row],[S2Qty]],Assem[[#This Row],[S3Qty]])</f>
        <v>0</v>
      </c>
      <c r="J86" s="145" t="s">
        <v>234</v>
      </c>
    </row>
    <row r="87" spans="1:10" x14ac:dyDescent="0.2">
      <c r="A87" s="129">
        <v>45452</v>
      </c>
      <c r="B87" s="211" t="s">
        <v>18</v>
      </c>
      <c r="C87" s="212"/>
      <c r="D87" s="212"/>
      <c r="E87" s="213" t="str">
        <f>IF(Assem[[#This Row],[Total]]&gt;0,"Running","Down")</f>
        <v>Down</v>
      </c>
      <c r="F87" s="214">
        <v>0</v>
      </c>
      <c r="G87" s="214">
        <v>0</v>
      </c>
      <c r="H87" s="214">
        <v>0</v>
      </c>
      <c r="I87" s="214">
        <f>SUM(Assem[[#This Row],[S1Qty]],Assem[[#This Row],[S2Qty]],Assem[[#This Row],[S3Qty]])</f>
        <v>0</v>
      </c>
      <c r="J87" s="216"/>
    </row>
    <row r="88" spans="1:10" x14ac:dyDescent="0.2">
      <c r="A88" s="129">
        <v>45452</v>
      </c>
      <c r="B88" s="211" t="s">
        <v>19</v>
      </c>
      <c r="C88" s="212"/>
      <c r="D88" s="212"/>
      <c r="E88" s="213" t="str">
        <f>IF(Assem[[#This Row],[Total]]&gt;0,"Running","Down")</f>
        <v>Down</v>
      </c>
      <c r="F88" s="214">
        <v>0</v>
      </c>
      <c r="G88" s="214">
        <v>0</v>
      </c>
      <c r="H88" s="214">
        <v>0</v>
      </c>
      <c r="I88" s="214">
        <f>SUM(Assem[[#This Row],[S1Qty]],Assem[[#This Row],[S2Qty]],Assem[[#This Row],[S3Qty]])</f>
        <v>0</v>
      </c>
      <c r="J88" s="216"/>
    </row>
    <row r="89" spans="1:10" x14ac:dyDescent="0.2">
      <c r="A89" s="129">
        <v>45452</v>
      </c>
      <c r="B89" s="211" t="s">
        <v>20</v>
      </c>
      <c r="C89" s="212"/>
      <c r="D89" s="212"/>
      <c r="E89" s="213" t="str">
        <f>IF(Assem[[#This Row],[Total]]&gt;0,"Running","Down")</f>
        <v>Down</v>
      </c>
      <c r="F89" s="214">
        <v>0</v>
      </c>
      <c r="G89" s="214">
        <v>0</v>
      </c>
      <c r="H89" s="214">
        <v>0</v>
      </c>
      <c r="I89" s="214">
        <f>SUM(Assem[[#This Row],[S1Qty]],Assem[[#This Row],[S2Qty]],Assem[[#This Row],[S3Qty]])</f>
        <v>0</v>
      </c>
      <c r="J89" s="216"/>
    </row>
    <row r="90" spans="1:10" x14ac:dyDescent="0.2">
      <c r="A90" s="129">
        <v>45452</v>
      </c>
      <c r="B90" s="211" t="s">
        <v>21</v>
      </c>
      <c r="C90" s="212"/>
      <c r="D90" s="212"/>
      <c r="E90" s="213" t="str">
        <f>IF(Assem[[#This Row],[Total]]&gt;0,"Running","Down")</f>
        <v>Down</v>
      </c>
      <c r="F90" s="214">
        <v>0</v>
      </c>
      <c r="G90" s="214">
        <v>0</v>
      </c>
      <c r="H90" s="214">
        <v>0</v>
      </c>
      <c r="I90" s="214">
        <f>SUM(Assem[[#This Row],[S1Qty]],Assem[[#This Row],[S2Qty]],Assem[[#This Row],[S3Qty]])</f>
        <v>0</v>
      </c>
      <c r="J90" s="216"/>
    </row>
    <row r="91" spans="1:10" x14ac:dyDescent="0.2">
      <c r="A91" s="129">
        <v>45452</v>
      </c>
      <c r="B91" s="211" t="s">
        <v>22</v>
      </c>
      <c r="C91" s="212"/>
      <c r="D91" s="212"/>
      <c r="E91" s="213" t="str">
        <f>IF(Assem[[#This Row],[Total]]&gt;0,"Running","Down")</f>
        <v>Down</v>
      </c>
      <c r="F91" s="214">
        <v>0</v>
      </c>
      <c r="G91" s="214">
        <v>0</v>
      </c>
      <c r="H91" s="214">
        <v>0</v>
      </c>
      <c r="I91" s="214">
        <f>SUM(Assem[[#This Row],[S1Qty]],Assem[[#This Row],[S2Qty]],Assem[[#This Row],[S3Qty]])</f>
        <v>0</v>
      </c>
      <c r="J91" s="216"/>
    </row>
    <row r="92" spans="1:10" x14ac:dyDescent="0.2">
      <c r="A92" s="129">
        <v>45452</v>
      </c>
      <c r="B92" s="211" t="s">
        <v>161</v>
      </c>
      <c r="C92" s="212"/>
      <c r="D92" s="212"/>
      <c r="E92" s="213" t="str">
        <f>IF(Assem[[#This Row],[Total]]&gt;0,"Running","Down")</f>
        <v>Down</v>
      </c>
      <c r="F92" s="215">
        <v>0</v>
      </c>
      <c r="G92" s="215">
        <v>0</v>
      </c>
      <c r="H92" s="215">
        <v>0</v>
      </c>
      <c r="I92" s="215">
        <f>SUM(Assem[[#This Row],[S1Qty]],Assem[[#This Row],[S2Qty]],Assem[[#This Row],[S3Qty]])</f>
        <v>0</v>
      </c>
      <c r="J92" s="216"/>
    </row>
    <row r="93" spans="1:10" x14ac:dyDescent="0.2">
      <c r="A93" s="129">
        <v>45452</v>
      </c>
      <c r="B93" s="211" t="s">
        <v>170</v>
      </c>
      <c r="C93" s="212"/>
      <c r="D93" s="212"/>
      <c r="E93" s="213" t="str">
        <f>IF(Assem[[#This Row],[Total]]&gt;0,"Running","Down")</f>
        <v>Down</v>
      </c>
      <c r="F93" s="215">
        <v>0</v>
      </c>
      <c r="G93" s="215">
        <v>0</v>
      </c>
      <c r="H93" s="215">
        <v>0</v>
      </c>
      <c r="I93" s="215">
        <f>SUM(Assem[[#This Row],[S1Qty]],Assem[[#This Row],[S2Qty]],Assem[[#This Row],[S3Qty]])</f>
        <v>0</v>
      </c>
      <c r="J93" s="216"/>
    </row>
    <row r="94" spans="1:10" x14ac:dyDescent="0.2">
      <c r="A94" s="129">
        <v>45452</v>
      </c>
      <c r="B94" s="211" t="s">
        <v>171</v>
      </c>
      <c r="C94" s="212"/>
      <c r="D94" s="212"/>
      <c r="E94" s="213" t="str">
        <f>IF(Assem[[#This Row],[Total]]&gt;0,"Running","Down")</f>
        <v>Down</v>
      </c>
      <c r="F94" s="215">
        <v>0</v>
      </c>
      <c r="G94" s="215">
        <v>0</v>
      </c>
      <c r="H94" s="215">
        <v>0</v>
      </c>
      <c r="I94" s="215">
        <f>SUM(Assem[[#This Row],[S1Qty]],Assem[[#This Row],[S2Qty]],Assem[[#This Row],[S3Qty]])</f>
        <v>0</v>
      </c>
      <c r="J94" s="216"/>
    </row>
    <row r="95" spans="1:10" x14ac:dyDescent="0.2">
      <c r="A95" s="129">
        <v>45452</v>
      </c>
      <c r="B95" s="211" t="s">
        <v>191</v>
      </c>
      <c r="C95" s="212"/>
      <c r="D95" s="212"/>
      <c r="E95" s="213" t="str">
        <f>IF(Assem[[#This Row],[Total]]&gt;0,"Running","Down")</f>
        <v>Down</v>
      </c>
      <c r="F95" s="215">
        <v>0</v>
      </c>
      <c r="G95" s="215">
        <v>0</v>
      </c>
      <c r="H95" s="215">
        <v>0</v>
      </c>
      <c r="I95" s="215">
        <f>SUM(Assem[[#This Row],[S1Qty]],Assem[[#This Row],[S2Qty]],Assem[[#This Row],[S3Qty]])</f>
        <v>0</v>
      </c>
      <c r="J95" s="216"/>
    </row>
    <row r="96" spans="1:10" x14ac:dyDescent="0.2">
      <c r="A96" s="129">
        <v>45453</v>
      </c>
      <c r="B96" s="142" t="s">
        <v>17</v>
      </c>
      <c r="C96" s="123"/>
      <c r="D96" s="123"/>
      <c r="E96" s="143" t="str">
        <f>IF(Assem[[#This Row],[Total]]&gt;0,"Running","Down")</f>
        <v>Down</v>
      </c>
      <c r="F96" s="144">
        <v>0</v>
      </c>
      <c r="G96" s="144">
        <v>0</v>
      </c>
      <c r="H96" s="144">
        <v>0</v>
      </c>
      <c r="I96" s="144">
        <f>SUM(Assem[[#This Row],[S1Qty]],Assem[[#This Row],[S2Qty]],Assem[[#This Row],[S3Qty]])</f>
        <v>0</v>
      </c>
      <c r="J96" s="145" t="s">
        <v>234</v>
      </c>
    </row>
    <row r="97" spans="1:10" x14ac:dyDescent="0.2">
      <c r="A97" s="129">
        <v>45453</v>
      </c>
      <c r="B97" s="142" t="s">
        <v>18</v>
      </c>
      <c r="C97" s="123"/>
      <c r="D97" s="123"/>
      <c r="E97" s="143" t="str">
        <f>IF(Assem[[#This Row],[Total]]&gt;0,"Running","Down")</f>
        <v>Down</v>
      </c>
      <c r="F97" s="144">
        <v>0</v>
      </c>
      <c r="G97" s="144">
        <v>0</v>
      </c>
      <c r="H97" s="144">
        <v>0</v>
      </c>
      <c r="I97" s="144">
        <f>SUM(Assem[[#This Row],[S1Qty]],Assem[[#This Row],[S2Qty]],Assem[[#This Row],[S3Qty]])</f>
        <v>0</v>
      </c>
      <c r="J97" s="145"/>
    </row>
    <row r="98" spans="1:10" x14ac:dyDescent="0.2">
      <c r="A98" s="129">
        <v>45453</v>
      </c>
      <c r="B98" s="142" t="s">
        <v>19</v>
      </c>
      <c r="C98" s="123"/>
      <c r="D98" s="123"/>
      <c r="E98" s="143" t="str">
        <f>IF(Assem[[#This Row],[Total]]&gt;0,"Running","Down")</f>
        <v>Down</v>
      </c>
      <c r="F98" s="144">
        <v>0</v>
      </c>
      <c r="G98" s="144">
        <v>0</v>
      </c>
      <c r="H98" s="144">
        <v>0</v>
      </c>
      <c r="I98" s="144">
        <f>SUM(Assem[[#This Row],[S1Qty]],Assem[[#This Row],[S2Qty]],Assem[[#This Row],[S3Qty]])</f>
        <v>0</v>
      </c>
      <c r="J98" s="145"/>
    </row>
    <row r="99" spans="1:10" x14ac:dyDescent="0.2">
      <c r="A99" s="129">
        <v>45453</v>
      </c>
      <c r="B99" s="142" t="s">
        <v>20</v>
      </c>
      <c r="C99" s="123"/>
      <c r="D99" s="123"/>
      <c r="E99" s="143" t="str">
        <f>IF(Assem[[#This Row],[Total]]&gt;0,"Running","Down")</f>
        <v>Down</v>
      </c>
      <c r="F99" s="144">
        <v>0</v>
      </c>
      <c r="G99" s="144">
        <v>0</v>
      </c>
      <c r="H99" s="144">
        <v>0</v>
      </c>
      <c r="I99" s="144">
        <f>SUM(Assem[[#This Row],[S1Qty]],Assem[[#This Row],[S2Qty]],Assem[[#This Row],[S3Qty]])</f>
        <v>0</v>
      </c>
      <c r="J99" s="145"/>
    </row>
    <row r="100" spans="1:10" x14ac:dyDescent="0.2">
      <c r="A100" s="129">
        <v>45453</v>
      </c>
      <c r="B100" s="142" t="s">
        <v>21</v>
      </c>
      <c r="C100" s="123"/>
      <c r="D100" s="123"/>
      <c r="E100" s="143" t="str">
        <f>IF(Assem[[#This Row],[Total]]&gt;0,"Running","Down")</f>
        <v>Down</v>
      </c>
      <c r="F100" s="144">
        <v>0</v>
      </c>
      <c r="G100" s="144">
        <v>0</v>
      </c>
      <c r="H100" s="144">
        <v>0</v>
      </c>
      <c r="I100" s="144">
        <f>SUM(Assem[[#This Row],[S1Qty]],Assem[[#This Row],[S2Qty]],Assem[[#This Row],[S3Qty]])</f>
        <v>0</v>
      </c>
      <c r="J100" s="145"/>
    </row>
    <row r="101" spans="1:10" x14ac:dyDescent="0.2">
      <c r="A101" s="129">
        <v>45453</v>
      </c>
      <c r="B101" s="142" t="s">
        <v>22</v>
      </c>
      <c r="C101" s="123"/>
      <c r="D101" s="123"/>
      <c r="E101" s="143" t="str">
        <f>IF(Assem[[#This Row],[Total]]&gt;0,"Running","Down")</f>
        <v>Down</v>
      </c>
      <c r="F101" s="144">
        <v>0</v>
      </c>
      <c r="G101" s="144">
        <v>0</v>
      </c>
      <c r="H101" s="144">
        <v>0</v>
      </c>
      <c r="I101" s="144">
        <f>SUM(Assem[[#This Row],[S1Qty]],Assem[[#This Row],[S2Qty]],Assem[[#This Row],[S3Qty]])</f>
        <v>0</v>
      </c>
      <c r="J101" s="145"/>
    </row>
    <row r="102" spans="1:10" x14ac:dyDescent="0.2">
      <c r="A102" s="129">
        <v>45453</v>
      </c>
      <c r="B102" s="142" t="s">
        <v>161</v>
      </c>
      <c r="C102" s="123"/>
      <c r="D102" s="123"/>
      <c r="E102" s="143" t="str">
        <f>IF(Assem[[#This Row],[Total]]&gt;0,"Running","Down")</f>
        <v>Down</v>
      </c>
      <c r="F102" s="124">
        <v>0</v>
      </c>
      <c r="G102" s="124">
        <v>0</v>
      </c>
      <c r="H102" s="124">
        <v>0</v>
      </c>
      <c r="I102" s="124">
        <f>SUM(Assem[[#This Row],[S1Qty]],Assem[[#This Row],[S2Qty]],Assem[[#This Row],[S3Qty]])</f>
        <v>0</v>
      </c>
      <c r="J102" s="145"/>
    </row>
    <row r="103" spans="1:10" x14ac:dyDescent="0.2">
      <c r="A103" s="129">
        <v>45453</v>
      </c>
      <c r="B103" s="142" t="s">
        <v>170</v>
      </c>
      <c r="C103" s="123"/>
      <c r="D103" s="123"/>
      <c r="E103" s="143" t="str">
        <f>IF(Assem[[#This Row],[Total]]&gt;0,"Running","Down")</f>
        <v>Down</v>
      </c>
      <c r="F103" s="124">
        <v>0</v>
      </c>
      <c r="G103" s="124">
        <v>0</v>
      </c>
      <c r="H103" s="124">
        <v>0</v>
      </c>
      <c r="I103" s="124">
        <f>SUM(Assem[[#This Row],[S1Qty]],Assem[[#This Row],[S2Qty]],Assem[[#This Row],[S3Qty]])</f>
        <v>0</v>
      </c>
      <c r="J103" s="145"/>
    </row>
    <row r="104" spans="1:10" x14ac:dyDescent="0.2">
      <c r="A104" s="129">
        <v>45453</v>
      </c>
      <c r="B104" s="142" t="s">
        <v>171</v>
      </c>
      <c r="C104" s="123"/>
      <c r="D104" s="123"/>
      <c r="E104" s="143" t="str">
        <f>IF(Assem[[#This Row],[Total]]&gt;0,"Running","Down")</f>
        <v>Down</v>
      </c>
      <c r="F104" s="124">
        <v>0</v>
      </c>
      <c r="G104" s="124">
        <v>0</v>
      </c>
      <c r="H104" s="124">
        <v>0</v>
      </c>
      <c r="I104" s="124">
        <f>SUM(Assem[[#This Row],[S1Qty]],Assem[[#This Row],[S2Qty]],Assem[[#This Row],[S3Qty]])</f>
        <v>0</v>
      </c>
      <c r="J104" s="145"/>
    </row>
    <row r="105" spans="1:10" x14ac:dyDescent="0.2">
      <c r="A105" s="129">
        <v>45453</v>
      </c>
      <c r="B105" s="142" t="s">
        <v>191</v>
      </c>
      <c r="C105" s="123"/>
      <c r="D105" s="123"/>
      <c r="E105" s="143" t="str">
        <f>IF(Assem[[#This Row],[Total]]&gt;0,"Running","Down")</f>
        <v>Down</v>
      </c>
      <c r="F105" s="124">
        <v>0</v>
      </c>
      <c r="G105" s="124">
        <v>0</v>
      </c>
      <c r="H105" s="124">
        <v>0</v>
      </c>
      <c r="I105" s="124">
        <f>SUM(Assem[[#This Row],[S1Qty]],Assem[[#This Row],[S2Qty]],Assem[[#This Row],[S3Qty]])</f>
        <v>0</v>
      </c>
      <c r="J105" s="145"/>
    </row>
    <row r="106" spans="1:10" x14ac:dyDescent="0.2">
      <c r="A106" s="129">
        <v>45454</v>
      </c>
      <c r="B106" s="217" t="s">
        <v>17</v>
      </c>
      <c r="C106" s="218"/>
      <c r="D106" s="218"/>
      <c r="E106" s="219" t="str">
        <f>IF(Assem[[#This Row],[Total]]&gt;0,"Running","Down")</f>
        <v>Down</v>
      </c>
      <c r="F106" s="220">
        <v>0</v>
      </c>
      <c r="G106" s="220">
        <v>0</v>
      </c>
      <c r="H106" s="220">
        <v>0</v>
      </c>
      <c r="I106" s="220">
        <f>SUM(Assem[[#This Row],[S1Qty]],Assem[[#This Row],[S2Qty]],Assem[[#This Row],[S3Qty]])</f>
        <v>0</v>
      </c>
      <c r="J106" s="145" t="s">
        <v>241</v>
      </c>
    </row>
    <row r="107" spans="1:10" x14ac:dyDescent="0.2">
      <c r="A107" s="129">
        <v>45454</v>
      </c>
      <c r="B107" s="217" t="s">
        <v>18</v>
      </c>
      <c r="C107" s="218"/>
      <c r="D107" s="218"/>
      <c r="E107" s="219" t="str">
        <f>IF(Assem[[#This Row],[Total]]&gt;0,"Running","Down")</f>
        <v>Down</v>
      </c>
      <c r="F107" s="220">
        <v>0</v>
      </c>
      <c r="G107" s="220">
        <v>0</v>
      </c>
      <c r="H107" s="220">
        <v>0</v>
      </c>
      <c r="I107" s="220">
        <f>SUM(Assem[[#This Row],[S1Qty]],Assem[[#This Row],[S2Qty]],Assem[[#This Row],[S3Qty]])</f>
        <v>0</v>
      </c>
      <c r="J107" s="222"/>
    </row>
    <row r="108" spans="1:10" x14ac:dyDescent="0.2">
      <c r="A108" s="129">
        <v>45454</v>
      </c>
      <c r="B108" s="217" t="s">
        <v>19</v>
      </c>
      <c r="C108" s="218"/>
      <c r="D108" s="218"/>
      <c r="E108" s="219" t="str">
        <f>IF(Assem[[#This Row],[Total]]&gt;0,"Running","Down")</f>
        <v>Down</v>
      </c>
      <c r="F108" s="220">
        <v>0</v>
      </c>
      <c r="G108" s="220">
        <v>0</v>
      </c>
      <c r="H108" s="220">
        <v>0</v>
      </c>
      <c r="I108" s="220">
        <f>SUM(Assem[[#This Row],[S1Qty]],Assem[[#This Row],[S2Qty]],Assem[[#This Row],[S3Qty]])</f>
        <v>0</v>
      </c>
      <c r="J108" s="222"/>
    </row>
    <row r="109" spans="1:10" x14ac:dyDescent="0.2">
      <c r="A109" s="129">
        <v>45454</v>
      </c>
      <c r="B109" s="217" t="s">
        <v>20</v>
      </c>
      <c r="C109" s="218"/>
      <c r="D109" s="218"/>
      <c r="E109" s="219" t="str">
        <f>IF(Assem[[#This Row],[Total]]&gt;0,"Running","Down")</f>
        <v>Down</v>
      </c>
      <c r="F109" s="220">
        <v>0</v>
      </c>
      <c r="G109" s="220">
        <v>0</v>
      </c>
      <c r="H109" s="220">
        <v>0</v>
      </c>
      <c r="I109" s="220">
        <f>SUM(Assem[[#This Row],[S1Qty]],Assem[[#This Row],[S2Qty]],Assem[[#This Row],[S3Qty]])</f>
        <v>0</v>
      </c>
      <c r="J109" s="222"/>
    </row>
    <row r="110" spans="1:10" x14ac:dyDescent="0.2">
      <c r="A110" s="129">
        <v>45454</v>
      </c>
      <c r="B110" s="217" t="s">
        <v>21</v>
      </c>
      <c r="C110" s="218"/>
      <c r="D110" s="218"/>
      <c r="E110" s="219" t="str">
        <f>IF(Assem[[#This Row],[Total]]&gt;0,"Running","Down")</f>
        <v>Down</v>
      </c>
      <c r="F110" s="220">
        <v>0</v>
      </c>
      <c r="G110" s="220">
        <v>0</v>
      </c>
      <c r="H110" s="220">
        <v>0</v>
      </c>
      <c r="I110" s="220">
        <f>SUM(Assem[[#This Row],[S1Qty]],Assem[[#This Row],[S2Qty]],Assem[[#This Row],[S3Qty]])</f>
        <v>0</v>
      </c>
      <c r="J110" s="222"/>
    </row>
    <row r="111" spans="1:10" x14ac:dyDescent="0.2">
      <c r="A111" s="129">
        <v>45454</v>
      </c>
      <c r="B111" s="217" t="s">
        <v>22</v>
      </c>
      <c r="C111" s="218"/>
      <c r="D111" s="218"/>
      <c r="E111" s="219" t="str">
        <f>IF(Assem[[#This Row],[Total]]&gt;0,"Running","Down")</f>
        <v>Down</v>
      </c>
      <c r="F111" s="220">
        <v>0</v>
      </c>
      <c r="G111" s="220">
        <v>0</v>
      </c>
      <c r="H111" s="220">
        <v>0</v>
      </c>
      <c r="I111" s="220">
        <f>SUM(Assem[[#This Row],[S1Qty]],Assem[[#This Row],[S2Qty]],Assem[[#This Row],[S3Qty]])</f>
        <v>0</v>
      </c>
      <c r="J111" s="222"/>
    </row>
    <row r="112" spans="1:10" x14ac:dyDescent="0.2">
      <c r="A112" s="129">
        <v>45454</v>
      </c>
      <c r="B112" s="217" t="s">
        <v>161</v>
      </c>
      <c r="C112" s="218"/>
      <c r="D112" s="218"/>
      <c r="E112" s="219" t="str">
        <f>IF(Assem[[#This Row],[Total]]&gt;0,"Running","Down")</f>
        <v>Down</v>
      </c>
      <c r="F112" s="221">
        <v>0</v>
      </c>
      <c r="G112" s="221">
        <v>0</v>
      </c>
      <c r="H112" s="221">
        <v>0</v>
      </c>
      <c r="I112" s="221">
        <f>SUM(Assem[[#This Row],[S1Qty]],Assem[[#This Row],[S2Qty]],Assem[[#This Row],[S3Qty]])</f>
        <v>0</v>
      </c>
      <c r="J112" s="222"/>
    </row>
    <row r="113" spans="1:10" x14ac:dyDescent="0.2">
      <c r="A113" s="129">
        <v>45454</v>
      </c>
      <c r="B113" s="217" t="s">
        <v>170</v>
      </c>
      <c r="C113" s="218"/>
      <c r="D113" s="218"/>
      <c r="E113" s="219" t="str">
        <f>IF(Assem[[#This Row],[Total]]&gt;0,"Running","Down")</f>
        <v>Down</v>
      </c>
      <c r="F113" s="221">
        <v>0</v>
      </c>
      <c r="G113" s="221">
        <v>0</v>
      </c>
      <c r="H113" s="221">
        <v>0</v>
      </c>
      <c r="I113" s="221">
        <f>SUM(Assem[[#This Row],[S1Qty]],Assem[[#This Row],[S2Qty]],Assem[[#This Row],[S3Qty]])</f>
        <v>0</v>
      </c>
      <c r="J113" s="222"/>
    </row>
    <row r="114" spans="1:10" x14ac:dyDescent="0.2">
      <c r="A114" s="129">
        <v>45454</v>
      </c>
      <c r="B114" s="217" t="s">
        <v>171</v>
      </c>
      <c r="C114" s="218"/>
      <c r="D114" s="218"/>
      <c r="E114" s="219" t="str">
        <f>IF(Assem[[#This Row],[Total]]&gt;0,"Running","Down")</f>
        <v>Down</v>
      </c>
      <c r="F114" s="221">
        <v>0</v>
      </c>
      <c r="G114" s="221">
        <v>0</v>
      </c>
      <c r="H114" s="221">
        <v>0</v>
      </c>
      <c r="I114" s="221">
        <f>SUM(Assem[[#This Row],[S1Qty]],Assem[[#This Row],[S2Qty]],Assem[[#This Row],[S3Qty]])</f>
        <v>0</v>
      </c>
      <c r="J114" s="222"/>
    </row>
    <row r="115" spans="1:10" x14ac:dyDescent="0.2">
      <c r="A115" s="129">
        <v>45454</v>
      </c>
      <c r="B115" s="217" t="s">
        <v>191</v>
      </c>
      <c r="C115" s="218"/>
      <c r="D115" s="218"/>
      <c r="E115" s="219" t="str">
        <f>IF(Assem[[#This Row],[Total]]&gt;0,"Running","Down")</f>
        <v>Down</v>
      </c>
      <c r="F115" s="221">
        <v>0</v>
      </c>
      <c r="G115" s="221">
        <v>0</v>
      </c>
      <c r="H115" s="221">
        <v>0</v>
      </c>
      <c r="I115" s="221">
        <f>SUM(Assem[[#This Row],[S1Qty]],Assem[[#This Row],[S2Qty]],Assem[[#This Row],[S3Qty]])</f>
        <v>0</v>
      </c>
      <c r="J115" s="222"/>
    </row>
    <row r="116" spans="1:10" x14ac:dyDescent="0.2">
      <c r="A116" s="129">
        <v>45455</v>
      </c>
      <c r="B116" s="142" t="s">
        <v>17</v>
      </c>
      <c r="C116" s="123"/>
      <c r="D116" s="123"/>
      <c r="E116" s="143" t="str">
        <f>IF(Assem[[#This Row],[Total]]&gt;0,"Running","Down")</f>
        <v>Down</v>
      </c>
      <c r="F116" s="144">
        <v>0</v>
      </c>
      <c r="G116" s="144">
        <v>0</v>
      </c>
      <c r="H116" s="144">
        <v>0</v>
      </c>
      <c r="I116" s="144">
        <f>SUM(Assem[[#This Row],[S1Qty]],Assem[[#This Row],[S2Qty]],Assem[[#This Row],[S3Qty]])</f>
        <v>0</v>
      </c>
      <c r="J116" s="145" t="s">
        <v>248</v>
      </c>
    </row>
    <row r="117" spans="1:10" x14ac:dyDescent="0.2">
      <c r="A117" s="129">
        <v>45455</v>
      </c>
      <c r="B117" s="142" t="s">
        <v>18</v>
      </c>
      <c r="C117" s="123"/>
      <c r="D117" s="123"/>
      <c r="E117" s="143" t="str">
        <f>IF(Assem[[#This Row],[Total]]&gt;0,"Running","Down")</f>
        <v>Down</v>
      </c>
      <c r="F117" s="144">
        <v>0</v>
      </c>
      <c r="G117" s="144">
        <v>0</v>
      </c>
      <c r="H117" s="144">
        <v>0</v>
      </c>
      <c r="I117" s="144">
        <f>SUM(Assem[[#This Row],[S1Qty]],Assem[[#This Row],[S2Qty]],Assem[[#This Row],[S3Qty]])</f>
        <v>0</v>
      </c>
      <c r="J117" s="145"/>
    </row>
    <row r="118" spans="1:10" x14ac:dyDescent="0.2">
      <c r="A118" s="129">
        <v>45455</v>
      </c>
      <c r="B118" s="142" t="s">
        <v>19</v>
      </c>
      <c r="C118" s="123"/>
      <c r="D118" s="123"/>
      <c r="E118" s="143" t="str">
        <f>IF(Assem[[#This Row],[Total]]&gt;0,"Running","Down")</f>
        <v>Down</v>
      </c>
      <c r="F118" s="144">
        <v>0</v>
      </c>
      <c r="G118" s="144">
        <v>0</v>
      </c>
      <c r="H118" s="144">
        <v>0</v>
      </c>
      <c r="I118" s="144">
        <f>SUM(Assem[[#This Row],[S1Qty]],Assem[[#This Row],[S2Qty]],Assem[[#This Row],[S3Qty]])</f>
        <v>0</v>
      </c>
      <c r="J118" s="145"/>
    </row>
    <row r="119" spans="1:10" x14ac:dyDescent="0.2">
      <c r="A119" s="129">
        <v>45455</v>
      </c>
      <c r="B119" s="142" t="s">
        <v>20</v>
      </c>
      <c r="C119" s="123"/>
      <c r="D119" s="123"/>
      <c r="E119" s="143" t="str">
        <f>IF(Assem[[#This Row],[Total]]&gt;0,"Running","Down")</f>
        <v>Down</v>
      </c>
      <c r="F119" s="144">
        <v>0</v>
      </c>
      <c r="G119" s="144">
        <v>0</v>
      </c>
      <c r="H119" s="144">
        <v>0</v>
      </c>
      <c r="I119" s="144">
        <f>SUM(Assem[[#This Row],[S1Qty]],Assem[[#This Row],[S2Qty]],Assem[[#This Row],[S3Qty]])</f>
        <v>0</v>
      </c>
      <c r="J119" s="145"/>
    </row>
    <row r="120" spans="1:10" x14ac:dyDescent="0.2">
      <c r="A120" s="129">
        <v>45455</v>
      </c>
      <c r="B120" s="142" t="s">
        <v>21</v>
      </c>
      <c r="C120" s="123"/>
      <c r="D120" s="123"/>
      <c r="E120" s="143" t="str">
        <f>IF(Assem[[#This Row],[Total]]&gt;0,"Running","Down")</f>
        <v>Down</v>
      </c>
      <c r="F120" s="144">
        <v>0</v>
      </c>
      <c r="G120" s="144">
        <v>0</v>
      </c>
      <c r="H120" s="144">
        <v>0</v>
      </c>
      <c r="I120" s="144">
        <f>SUM(Assem[[#This Row],[S1Qty]],Assem[[#This Row],[S2Qty]],Assem[[#This Row],[S3Qty]])</f>
        <v>0</v>
      </c>
      <c r="J120" s="145"/>
    </row>
    <row r="121" spans="1:10" x14ac:dyDescent="0.2">
      <c r="A121" s="129">
        <v>45455</v>
      </c>
      <c r="B121" s="142" t="s">
        <v>22</v>
      </c>
      <c r="C121" s="123"/>
      <c r="D121" s="123"/>
      <c r="E121" s="143" t="str">
        <f>IF(Assem[[#This Row],[Total]]&gt;0,"Running","Down")</f>
        <v>Down</v>
      </c>
      <c r="F121" s="144">
        <v>0</v>
      </c>
      <c r="G121" s="144">
        <v>0</v>
      </c>
      <c r="H121" s="144">
        <v>0</v>
      </c>
      <c r="I121" s="144">
        <f>SUM(Assem[[#This Row],[S1Qty]],Assem[[#This Row],[S2Qty]],Assem[[#This Row],[S3Qty]])</f>
        <v>0</v>
      </c>
      <c r="J121" s="145"/>
    </row>
    <row r="122" spans="1:10" x14ac:dyDescent="0.2">
      <c r="A122" s="129">
        <v>45455</v>
      </c>
      <c r="B122" s="142" t="s">
        <v>161</v>
      </c>
      <c r="C122" s="123"/>
      <c r="D122" s="123"/>
      <c r="E122" s="143" t="str">
        <f>IF(Assem[[#This Row],[Total]]&gt;0,"Running","Down")</f>
        <v>Down</v>
      </c>
      <c r="F122" s="124">
        <v>0</v>
      </c>
      <c r="G122" s="124">
        <v>0</v>
      </c>
      <c r="H122" s="124">
        <v>0</v>
      </c>
      <c r="I122" s="124">
        <f>SUM(Assem[[#This Row],[S1Qty]],Assem[[#This Row],[S2Qty]],Assem[[#This Row],[S3Qty]])</f>
        <v>0</v>
      </c>
      <c r="J122" s="145"/>
    </row>
    <row r="123" spans="1:10" x14ac:dyDescent="0.2">
      <c r="A123" s="129">
        <v>45455</v>
      </c>
      <c r="B123" s="142" t="s">
        <v>170</v>
      </c>
      <c r="C123" s="123"/>
      <c r="D123" s="123"/>
      <c r="E123" s="143" t="str">
        <f>IF(Assem[[#This Row],[Total]]&gt;0,"Running","Down")</f>
        <v>Down</v>
      </c>
      <c r="F123" s="124">
        <v>0</v>
      </c>
      <c r="G123" s="124">
        <v>0</v>
      </c>
      <c r="H123" s="124">
        <v>0</v>
      </c>
      <c r="I123" s="124">
        <f>SUM(Assem[[#This Row],[S1Qty]],Assem[[#This Row],[S2Qty]],Assem[[#This Row],[S3Qty]])</f>
        <v>0</v>
      </c>
      <c r="J123" s="145"/>
    </row>
    <row r="124" spans="1:10" x14ac:dyDescent="0.2">
      <c r="A124" s="129">
        <v>45455</v>
      </c>
      <c r="B124" s="142" t="s">
        <v>171</v>
      </c>
      <c r="C124" s="123"/>
      <c r="D124" s="123"/>
      <c r="E124" s="143" t="str">
        <f>IF(Assem[[#This Row],[Total]]&gt;0,"Running","Down")</f>
        <v>Down</v>
      </c>
      <c r="F124" s="124">
        <v>0</v>
      </c>
      <c r="G124" s="124">
        <v>0</v>
      </c>
      <c r="H124" s="124">
        <v>0</v>
      </c>
      <c r="I124" s="124">
        <f>SUM(Assem[[#This Row],[S1Qty]],Assem[[#This Row],[S2Qty]],Assem[[#This Row],[S3Qty]])</f>
        <v>0</v>
      </c>
      <c r="J124" s="145"/>
    </row>
    <row r="125" spans="1:10" x14ac:dyDescent="0.2">
      <c r="A125" s="129">
        <v>45455</v>
      </c>
      <c r="B125" s="142" t="s">
        <v>191</v>
      </c>
      <c r="C125" s="123"/>
      <c r="D125" s="123"/>
      <c r="E125" s="143" t="str">
        <f>IF(Assem[[#This Row],[Total]]&gt;0,"Running","Down")</f>
        <v>Down</v>
      </c>
      <c r="F125" s="124">
        <v>0</v>
      </c>
      <c r="G125" s="124">
        <v>0</v>
      </c>
      <c r="H125" s="124">
        <v>0</v>
      </c>
      <c r="I125" s="124">
        <f>SUM(Assem[[#This Row],[S1Qty]],Assem[[#This Row],[S2Qty]],Assem[[#This Row],[S3Qty]])</f>
        <v>0</v>
      </c>
      <c r="J125" s="145"/>
    </row>
    <row r="126" spans="1:10" x14ac:dyDescent="0.2">
      <c r="A126" s="129">
        <v>45456</v>
      </c>
      <c r="B126" s="142" t="s">
        <v>17</v>
      </c>
      <c r="C126" s="123"/>
      <c r="D126" s="123"/>
      <c r="E126" s="143" t="str">
        <f>IF(Assem[[#This Row],[Total]]&gt;0,"Running","Down")</f>
        <v>Down</v>
      </c>
      <c r="F126" s="144">
        <v>0</v>
      </c>
      <c r="G126" s="144">
        <v>0</v>
      </c>
      <c r="H126" s="144">
        <v>0</v>
      </c>
      <c r="I126" s="144">
        <f>SUM(Assem[[#This Row],[S1Qty]],Assem[[#This Row],[S2Qty]],Assem[[#This Row],[S3Qty]])</f>
        <v>0</v>
      </c>
      <c r="J126" s="145" t="s">
        <v>256</v>
      </c>
    </row>
    <row r="127" spans="1:10" x14ac:dyDescent="0.2">
      <c r="A127" s="129">
        <v>45456</v>
      </c>
      <c r="B127" s="142" t="s">
        <v>18</v>
      </c>
      <c r="C127" s="123"/>
      <c r="D127" s="123"/>
      <c r="E127" s="143" t="str">
        <f>IF(Assem[[#This Row],[Total]]&gt;0,"Running","Down")</f>
        <v>Down</v>
      </c>
      <c r="F127" s="144">
        <v>0</v>
      </c>
      <c r="G127" s="144">
        <v>0</v>
      </c>
      <c r="H127" s="144">
        <v>0</v>
      </c>
      <c r="I127" s="144">
        <f>SUM(Assem[[#This Row],[S1Qty]],Assem[[#This Row],[S2Qty]],Assem[[#This Row],[S3Qty]])</f>
        <v>0</v>
      </c>
      <c r="J127" s="145"/>
    </row>
    <row r="128" spans="1:10" x14ac:dyDescent="0.2">
      <c r="A128" s="129">
        <v>45456</v>
      </c>
      <c r="B128" s="142" t="s">
        <v>19</v>
      </c>
      <c r="C128" s="123"/>
      <c r="D128" s="123"/>
      <c r="E128" s="143" t="str">
        <f>IF(Assem[[#This Row],[Total]]&gt;0,"Running","Down")</f>
        <v>Down</v>
      </c>
      <c r="F128" s="144">
        <v>0</v>
      </c>
      <c r="G128" s="144">
        <v>0</v>
      </c>
      <c r="H128" s="144">
        <v>0</v>
      </c>
      <c r="I128" s="144">
        <f>SUM(Assem[[#This Row],[S1Qty]],Assem[[#This Row],[S2Qty]],Assem[[#This Row],[S3Qty]])</f>
        <v>0</v>
      </c>
      <c r="J128" s="145"/>
    </row>
    <row r="129" spans="1:10" x14ac:dyDescent="0.2">
      <c r="A129" s="129">
        <v>45456</v>
      </c>
      <c r="B129" s="142" t="s">
        <v>20</v>
      </c>
      <c r="C129" s="123"/>
      <c r="D129" s="123"/>
      <c r="E129" s="143" t="str">
        <f>IF(Assem[[#This Row],[Total]]&gt;0,"Running","Down")</f>
        <v>Down</v>
      </c>
      <c r="F129" s="144">
        <v>0</v>
      </c>
      <c r="G129" s="144">
        <v>0</v>
      </c>
      <c r="H129" s="144">
        <v>0</v>
      </c>
      <c r="I129" s="144">
        <f>SUM(Assem[[#This Row],[S1Qty]],Assem[[#This Row],[S2Qty]],Assem[[#This Row],[S3Qty]])</f>
        <v>0</v>
      </c>
      <c r="J129" s="145"/>
    </row>
    <row r="130" spans="1:10" x14ac:dyDescent="0.2">
      <c r="A130" s="129">
        <v>45456</v>
      </c>
      <c r="B130" s="142" t="s">
        <v>21</v>
      </c>
      <c r="C130" s="123"/>
      <c r="D130" s="123"/>
      <c r="E130" s="143" t="str">
        <f>IF(Assem[[#This Row],[Total]]&gt;0,"Running","Down")</f>
        <v>Down</v>
      </c>
      <c r="F130" s="144">
        <v>0</v>
      </c>
      <c r="G130" s="144">
        <v>0</v>
      </c>
      <c r="H130" s="144">
        <v>0</v>
      </c>
      <c r="I130" s="144">
        <f>SUM(Assem[[#This Row],[S1Qty]],Assem[[#This Row],[S2Qty]],Assem[[#This Row],[S3Qty]])</f>
        <v>0</v>
      </c>
      <c r="J130" s="145"/>
    </row>
    <row r="131" spans="1:10" x14ac:dyDescent="0.2">
      <c r="A131" s="129">
        <v>45456</v>
      </c>
      <c r="B131" s="142" t="s">
        <v>22</v>
      </c>
      <c r="C131" s="123"/>
      <c r="D131" s="123"/>
      <c r="E131" s="143" t="str">
        <f>IF(Assem[[#This Row],[Total]]&gt;0,"Running","Down")</f>
        <v>Down</v>
      </c>
      <c r="F131" s="144">
        <v>0</v>
      </c>
      <c r="G131" s="144">
        <v>0</v>
      </c>
      <c r="H131" s="144">
        <v>0</v>
      </c>
      <c r="I131" s="144">
        <f>SUM(Assem[[#This Row],[S1Qty]],Assem[[#This Row],[S2Qty]],Assem[[#This Row],[S3Qty]])</f>
        <v>0</v>
      </c>
      <c r="J131" s="145"/>
    </row>
    <row r="132" spans="1:10" x14ac:dyDescent="0.2">
      <c r="A132" s="129">
        <v>45456</v>
      </c>
      <c r="B132" s="142" t="s">
        <v>161</v>
      </c>
      <c r="C132" s="123"/>
      <c r="D132" s="123"/>
      <c r="E132" s="143" t="str">
        <f>IF(Assem[[#This Row],[Total]]&gt;0,"Running","Down")</f>
        <v>Down</v>
      </c>
      <c r="F132" s="124">
        <v>0</v>
      </c>
      <c r="G132" s="124">
        <v>0</v>
      </c>
      <c r="H132" s="124">
        <v>0</v>
      </c>
      <c r="I132" s="124">
        <f>SUM(Assem[[#This Row],[S1Qty]],Assem[[#This Row],[S2Qty]],Assem[[#This Row],[S3Qty]])</f>
        <v>0</v>
      </c>
      <c r="J132" s="145"/>
    </row>
    <row r="133" spans="1:10" x14ac:dyDescent="0.2">
      <c r="A133" s="129">
        <v>45456</v>
      </c>
      <c r="B133" s="142" t="s">
        <v>170</v>
      </c>
      <c r="C133" s="123"/>
      <c r="D133" s="123"/>
      <c r="E133" s="143" t="str">
        <f>IF(Assem[[#This Row],[Total]]&gt;0,"Running","Down")</f>
        <v>Down</v>
      </c>
      <c r="F133" s="124">
        <v>0</v>
      </c>
      <c r="G133" s="124">
        <v>0</v>
      </c>
      <c r="H133" s="124">
        <v>0</v>
      </c>
      <c r="I133" s="124">
        <f>SUM(Assem[[#This Row],[S1Qty]],Assem[[#This Row],[S2Qty]],Assem[[#This Row],[S3Qty]])</f>
        <v>0</v>
      </c>
      <c r="J133" s="145"/>
    </row>
    <row r="134" spans="1:10" x14ac:dyDescent="0.2">
      <c r="A134" s="129">
        <v>45456</v>
      </c>
      <c r="B134" s="142" t="s">
        <v>171</v>
      </c>
      <c r="C134" s="123"/>
      <c r="D134" s="123"/>
      <c r="E134" s="143" t="str">
        <f>IF(Assem[[#This Row],[Total]]&gt;0,"Running","Down")</f>
        <v>Down</v>
      </c>
      <c r="F134" s="124">
        <v>0</v>
      </c>
      <c r="G134" s="124">
        <v>0</v>
      </c>
      <c r="H134" s="124">
        <v>0</v>
      </c>
      <c r="I134" s="124">
        <f>SUM(Assem[[#This Row],[S1Qty]],Assem[[#This Row],[S2Qty]],Assem[[#This Row],[S3Qty]])</f>
        <v>0</v>
      </c>
      <c r="J134" s="145"/>
    </row>
    <row r="135" spans="1:10" x14ac:dyDescent="0.2">
      <c r="A135" s="129">
        <v>45456</v>
      </c>
      <c r="B135" s="142" t="s">
        <v>191</v>
      </c>
      <c r="C135" s="123"/>
      <c r="D135" s="123"/>
      <c r="E135" s="143" t="str">
        <f>IF(Assem[[#This Row],[Total]]&gt;0,"Running","Down")</f>
        <v>Down</v>
      </c>
      <c r="F135" s="124">
        <v>0</v>
      </c>
      <c r="G135" s="124">
        <v>0</v>
      </c>
      <c r="H135" s="124">
        <v>0</v>
      </c>
      <c r="I135" s="124">
        <f>SUM(Assem[[#This Row],[S1Qty]],Assem[[#This Row],[S2Qty]],Assem[[#This Row],[S3Qty]])</f>
        <v>0</v>
      </c>
      <c r="J135" s="145"/>
    </row>
    <row r="136" spans="1:10" x14ac:dyDescent="0.2">
      <c r="A136" s="129">
        <v>45457</v>
      </c>
      <c r="B136" s="223" t="s">
        <v>17</v>
      </c>
      <c r="C136" s="224"/>
      <c r="D136" s="224"/>
      <c r="E136" s="225" t="str">
        <f>IF(Assem[[#This Row],[Total]]&gt;0,"Running","Down")</f>
        <v>Down</v>
      </c>
      <c r="F136" s="226">
        <v>0</v>
      </c>
      <c r="G136" s="226">
        <v>0</v>
      </c>
      <c r="H136" s="226">
        <v>0</v>
      </c>
      <c r="I136" s="226">
        <f>SUM(Assem[[#This Row],[S1Qty]],Assem[[#This Row],[S2Qty]],Assem[[#This Row],[S3Qty]])</f>
        <v>0</v>
      </c>
      <c r="J136" s="145" t="s">
        <v>260</v>
      </c>
    </row>
    <row r="137" spans="1:10" x14ac:dyDescent="0.2">
      <c r="A137" s="129">
        <v>45457</v>
      </c>
      <c r="B137" s="223" t="s">
        <v>18</v>
      </c>
      <c r="C137" s="224"/>
      <c r="D137" s="224"/>
      <c r="E137" s="225" t="str">
        <f>IF(Assem[[#This Row],[Total]]&gt;0,"Running","Down")</f>
        <v>Down</v>
      </c>
      <c r="F137" s="226">
        <v>0</v>
      </c>
      <c r="G137" s="226">
        <v>0</v>
      </c>
      <c r="H137" s="226">
        <v>0</v>
      </c>
      <c r="I137" s="226">
        <f>SUM(Assem[[#This Row],[S1Qty]],Assem[[#This Row],[S2Qty]],Assem[[#This Row],[S3Qty]])</f>
        <v>0</v>
      </c>
      <c r="J137" s="228"/>
    </row>
    <row r="138" spans="1:10" x14ac:dyDescent="0.2">
      <c r="A138" s="129">
        <v>45457</v>
      </c>
      <c r="B138" s="223" t="s">
        <v>19</v>
      </c>
      <c r="C138" s="224"/>
      <c r="D138" s="224"/>
      <c r="E138" s="225" t="str">
        <f>IF(Assem[[#This Row],[Total]]&gt;0,"Running","Down")</f>
        <v>Down</v>
      </c>
      <c r="F138" s="226">
        <v>0</v>
      </c>
      <c r="G138" s="226">
        <v>0</v>
      </c>
      <c r="H138" s="226">
        <v>0</v>
      </c>
      <c r="I138" s="226">
        <f>SUM(Assem[[#This Row],[S1Qty]],Assem[[#This Row],[S2Qty]],Assem[[#This Row],[S3Qty]])</f>
        <v>0</v>
      </c>
      <c r="J138" s="228"/>
    </row>
    <row r="139" spans="1:10" x14ac:dyDescent="0.2">
      <c r="A139" s="129">
        <v>45457</v>
      </c>
      <c r="B139" s="223" t="s">
        <v>20</v>
      </c>
      <c r="C139" s="224"/>
      <c r="D139" s="224"/>
      <c r="E139" s="225" t="str">
        <f>IF(Assem[[#This Row],[Total]]&gt;0,"Running","Down")</f>
        <v>Down</v>
      </c>
      <c r="F139" s="226">
        <v>0</v>
      </c>
      <c r="G139" s="226">
        <v>0</v>
      </c>
      <c r="H139" s="226">
        <v>0</v>
      </c>
      <c r="I139" s="226">
        <f>SUM(Assem[[#This Row],[S1Qty]],Assem[[#This Row],[S2Qty]],Assem[[#This Row],[S3Qty]])</f>
        <v>0</v>
      </c>
      <c r="J139" s="228"/>
    </row>
    <row r="140" spans="1:10" x14ac:dyDescent="0.2">
      <c r="A140" s="129">
        <v>45457</v>
      </c>
      <c r="B140" s="223" t="s">
        <v>21</v>
      </c>
      <c r="C140" s="224"/>
      <c r="D140" s="224"/>
      <c r="E140" s="225" t="str">
        <f>IF(Assem[[#This Row],[Total]]&gt;0,"Running","Down")</f>
        <v>Down</v>
      </c>
      <c r="F140" s="226">
        <v>0</v>
      </c>
      <c r="G140" s="226">
        <v>0</v>
      </c>
      <c r="H140" s="226">
        <v>0</v>
      </c>
      <c r="I140" s="226">
        <f>SUM(Assem[[#This Row],[S1Qty]],Assem[[#This Row],[S2Qty]],Assem[[#This Row],[S3Qty]])</f>
        <v>0</v>
      </c>
      <c r="J140" s="228"/>
    </row>
    <row r="141" spans="1:10" x14ac:dyDescent="0.2">
      <c r="A141" s="129">
        <v>45457</v>
      </c>
      <c r="B141" s="223" t="s">
        <v>22</v>
      </c>
      <c r="C141" s="224"/>
      <c r="D141" s="224"/>
      <c r="E141" s="225" t="str">
        <f>IF(Assem[[#This Row],[Total]]&gt;0,"Running","Down")</f>
        <v>Down</v>
      </c>
      <c r="F141" s="226">
        <v>0</v>
      </c>
      <c r="G141" s="226">
        <v>0</v>
      </c>
      <c r="H141" s="226">
        <v>0</v>
      </c>
      <c r="I141" s="226">
        <f>SUM(Assem[[#This Row],[S1Qty]],Assem[[#This Row],[S2Qty]],Assem[[#This Row],[S3Qty]])</f>
        <v>0</v>
      </c>
      <c r="J141" s="228"/>
    </row>
    <row r="142" spans="1:10" x14ac:dyDescent="0.2">
      <c r="A142" s="129">
        <v>45457</v>
      </c>
      <c r="B142" s="223" t="s">
        <v>161</v>
      </c>
      <c r="C142" s="224"/>
      <c r="D142" s="224"/>
      <c r="E142" s="225" t="str">
        <f>IF(Assem[[#This Row],[Total]]&gt;0,"Running","Down")</f>
        <v>Down</v>
      </c>
      <c r="F142" s="227">
        <v>0</v>
      </c>
      <c r="G142" s="227">
        <v>0</v>
      </c>
      <c r="H142" s="227">
        <v>0</v>
      </c>
      <c r="I142" s="227">
        <f>SUM(Assem[[#This Row],[S1Qty]],Assem[[#This Row],[S2Qty]],Assem[[#This Row],[S3Qty]])</f>
        <v>0</v>
      </c>
      <c r="J142" s="228"/>
    </row>
    <row r="143" spans="1:10" x14ac:dyDescent="0.2">
      <c r="A143" s="129">
        <v>45457</v>
      </c>
      <c r="B143" s="223" t="s">
        <v>170</v>
      </c>
      <c r="C143" s="224"/>
      <c r="D143" s="224"/>
      <c r="E143" s="225" t="str">
        <f>IF(Assem[[#This Row],[Total]]&gt;0,"Running","Down")</f>
        <v>Down</v>
      </c>
      <c r="F143" s="227">
        <v>0</v>
      </c>
      <c r="G143" s="227">
        <v>0</v>
      </c>
      <c r="H143" s="227">
        <v>0</v>
      </c>
      <c r="I143" s="227">
        <f>SUM(Assem[[#This Row],[S1Qty]],Assem[[#This Row],[S2Qty]],Assem[[#This Row],[S3Qty]])</f>
        <v>0</v>
      </c>
      <c r="J143" s="228"/>
    </row>
    <row r="144" spans="1:10" x14ac:dyDescent="0.2">
      <c r="A144" s="129">
        <v>45457</v>
      </c>
      <c r="B144" s="223" t="s">
        <v>171</v>
      </c>
      <c r="C144" s="224"/>
      <c r="D144" s="224"/>
      <c r="E144" s="225" t="str">
        <f>IF(Assem[[#This Row],[Total]]&gt;0,"Running","Down")</f>
        <v>Down</v>
      </c>
      <c r="F144" s="227">
        <v>0</v>
      </c>
      <c r="G144" s="227">
        <v>0</v>
      </c>
      <c r="H144" s="227">
        <v>0</v>
      </c>
      <c r="I144" s="227">
        <f>SUM(Assem[[#This Row],[S1Qty]],Assem[[#This Row],[S2Qty]],Assem[[#This Row],[S3Qty]])</f>
        <v>0</v>
      </c>
      <c r="J144" s="228"/>
    </row>
    <row r="145" spans="1:10" x14ac:dyDescent="0.2">
      <c r="A145" s="129">
        <v>45457</v>
      </c>
      <c r="B145" s="223" t="s">
        <v>191</v>
      </c>
      <c r="C145" s="224"/>
      <c r="D145" s="224"/>
      <c r="E145" s="225" t="str">
        <f>IF(Assem[[#This Row],[Total]]&gt;0,"Running","Down")</f>
        <v>Down</v>
      </c>
      <c r="F145" s="227">
        <v>0</v>
      </c>
      <c r="G145" s="227">
        <v>0</v>
      </c>
      <c r="H145" s="227">
        <v>0</v>
      </c>
      <c r="I145" s="227">
        <f>SUM(Assem[[#This Row],[S1Qty]],Assem[[#This Row],[S2Qty]],Assem[[#This Row],[S3Qty]])</f>
        <v>0</v>
      </c>
      <c r="J145" s="228"/>
    </row>
    <row r="146" spans="1:10" x14ac:dyDescent="0.2">
      <c r="A146" s="129">
        <v>45458</v>
      </c>
      <c r="B146" s="223" t="s">
        <v>17</v>
      </c>
      <c r="C146" s="224"/>
      <c r="D146" s="224"/>
      <c r="E146" s="225" t="str">
        <f>IF(Assem[[#This Row],[Total]]&gt;0,"Running","Down")</f>
        <v>Down</v>
      </c>
      <c r="F146" s="226">
        <v>0</v>
      </c>
      <c r="G146" s="226">
        <v>0</v>
      </c>
      <c r="H146" s="226">
        <v>0</v>
      </c>
      <c r="I146" s="226">
        <f>SUM(Assem[[#This Row],[S1Qty]],Assem[[#This Row],[S2Qty]],Assem[[#This Row],[S3Qty]])</f>
        <v>0</v>
      </c>
      <c r="J146" s="145" t="s">
        <v>263</v>
      </c>
    </row>
    <row r="147" spans="1:10" x14ac:dyDescent="0.2">
      <c r="A147" s="129">
        <v>45458</v>
      </c>
      <c r="B147" s="223" t="s">
        <v>18</v>
      </c>
      <c r="C147" s="224"/>
      <c r="D147" s="224"/>
      <c r="E147" s="225" t="str">
        <f>IF(Assem[[#This Row],[Total]]&gt;0,"Running","Down")</f>
        <v>Down</v>
      </c>
      <c r="F147" s="226">
        <v>0</v>
      </c>
      <c r="G147" s="226">
        <v>0</v>
      </c>
      <c r="H147" s="226">
        <v>0</v>
      </c>
      <c r="I147" s="226">
        <f>SUM(Assem[[#This Row],[S1Qty]],Assem[[#This Row],[S2Qty]],Assem[[#This Row],[S3Qty]])</f>
        <v>0</v>
      </c>
      <c r="J147" s="228"/>
    </row>
    <row r="148" spans="1:10" x14ac:dyDescent="0.2">
      <c r="A148" s="129">
        <v>45458</v>
      </c>
      <c r="B148" s="223" t="s">
        <v>19</v>
      </c>
      <c r="C148" s="224"/>
      <c r="D148" s="224"/>
      <c r="E148" s="225" t="str">
        <f>IF(Assem[[#This Row],[Total]]&gt;0,"Running","Down")</f>
        <v>Down</v>
      </c>
      <c r="F148" s="226">
        <v>0</v>
      </c>
      <c r="G148" s="226">
        <v>0</v>
      </c>
      <c r="H148" s="226">
        <v>0</v>
      </c>
      <c r="I148" s="226">
        <f>SUM(Assem[[#This Row],[S1Qty]],Assem[[#This Row],[S2Qty]],Assem[[#This Row],[S3Qty]])</f>
        <v>0</v>
      </c>
      <c r="J148" s="228"/>
    </row>
    <row r="149" spans="1:10" x14ac:dyDescent="0.2">
      <c r="A149" s="129">
        <v>45458</v>
      </c>
      <c r="B149" s="223" t="s">
        <v>20</v>
      </c>
      <c r="C149" s="224"/>
      <c r="D149" s="224"/>
      <c r="E149" s="225" t="str">
        <f>IF(Assem[[#This Row],[Total]]&gt;0,"Running","Down")</f>
        <v>Down</v>
      </c>
      <c r="F149" s="226">
        <v>0</v>
      </c>
      <c r="G149" s="226">
        <v>0</v>
      </c>
      <c r="H149" s="226">
        <v>0</v>
      </c>
      <c r="I149" s="226">
        <f>SUM(Assem[[#This Row],[S1Qty]],Assem[[#This Row],[S2Qty]],Assem[[#This Row],[S3Qty]])</f>
        <v>0</v>
      </c>
      <c r="J149" s="228"/>
    </row>
    <row r="150" spans="1:10" x14ac:dyDescent="0.2">
      <c r="A150" s="129">
        <v>45458</v>
      </c>
      <c r="B150" s="223" t="s">
        <v>21</v>
      </c>
      <c r="C150" s="224"/>
      <c r="D150" s="224"/>
      <c r="E150" s="225" t="str">
        <f>IF(Assem[[#This Row],[Total]]&gt;0,"Running","Down")</f>
        <v>Down</v>
      </c>
      <c r="F150" s="226">
        <v>0</v>
      </c>
      <c r="G150" s="226">
        <v>0</v>
      </c>
      <c r="H150" s="226">
        <v>0</v>
      </c>
      <c r="I150" s="226">
        <f>SUM(Assem[[#This Row],[S1Qty]],Assem[[#This Row],[S2Qty]],Assem[[#This Row],[S3Qty]])</f>
        <v>0</v>
      </c>
      <c r="J150" s="228"/>
    </row>
    <row r="151" spans="1:10" x14ac:dyDescent="0.2">
      <c r="A151" s="129">
        <v>45458</v>
      </c>
      <c r="B151" s="223" t="s">
        <v>22</v>
      </c>
      <c r="C151" s="224"/>
      <c r="D151" s="224"/>
      <c r="E151" s="225" t="str">
        <f>IF(Assem[[#This Row],[Total]]&gt;0,"Running","Down")</f>
        <v>Down</v>
      </c>
      <c r="F151" s="226">
        <v>0</v>
      </c>
      <c r="G151" s="226">
        <v>0</v>
      </c>
      <c r="H151" s="226">
        <v>0</v>
      </c>
      <c r="I151" s="226">
        <f>SUM(Assem[[#This Row],[S1Qty]],Assem[[#This Row],[S2Qty]],Assem[[#This Row],[S3Qty]])</f>
        <v>0</v>
      </c>
      <c r="J151" s="228"/>
    </row>
    <row r="152" spans="1:10" x14ac:dyDescent="0.2">
      <c r="A152" s="129">
        <v>45458</v>
      </c>
      <c r="B152" s="223" t="s">
        <v>161</v>
      </c>
      <c r="C152" s="224"/>
      <c r="D152" s="224"/>
      <c r="E152" s="225" t="str">
        <f>IF(Assem[[#This Row],[Total]]&gt;0,"Running","Down")</f>
        <v>Down</v>
      </c>
      <c r="F152" s="227">
        <v>0</v>
      </c>
      <c r="G152" s="227">
        <v>0</v>
      </c>
      <c r="H152" s="227">
        <v>0</v>
      </c>
      <c r="I152" s="227">
        <f>SUM(Assem[[#This Row],[S1Qty]],Assem[[#This Row],[S2Qty]],Assem[[#This Row],[S3Qty]])</f>
        <v>0</v>
      </c>
      <c r="J152" s="228"/>
    </row>
    <row r="153" spans="1:10" x14ac:dyDescent="0.2">
      <c r="A153" s="129">
        <v>45458</v>
      </c>
      <c r="B153" s="223" t="s">
        <v>170</v>
      </c>
      <c r="C153" s="224"/>
      <c r="D153" s="224"/>
      <c r="E153" s="225" t="str">
        <f>IF(Assem[[#This Row],[Total]]&gt;0,"Running","Down")</f>
        <v>Down</v>
      </c>
      <c r="F153" s="227">
        <v>0</v>
      </c>
      <c r="G153" s="227">
        <v>0</v>
      </c>
      <c r="H153" s="227">
        <v>0</v>
      </c>
      <c r="I153" s="227">
        <f>SUM(Assem[[#This Row],[S1Qty]],Assem[[#This Row],[S2Qty]],Assem[[#This Row],[S3Qty]])</f>
        <v>0</v>
      </c>
      <c r="J153" s="228"/>
    </row>
    <row r="154" spans="1:10" x14ac:dyDescent="0.2">
      <c r="A154" s="129">
        <v>45458</v>
      </c>
      <c r="B154" s="223" t="s">
        <v>171</v>
      </c>
      <c r="C154" s="224"/>
      <c r="D154" s="224"/>
      <c r="E154" s="225" t="str">
        <f>IF(Assem[[#This Row],[Total]]&gt;0,"Running","Down")</f>
        <v>Down</v>
      </c>
      <c r="F154" s="227">
        <v>0</v>
      </c>
      <c r="G154" s="227">
        <v>0</v>
      </c>
      <c r="H154" s="227">
        <v>0</v>
      </c>
      <c r="I154" s="227">
        <f>SUM(Assem[[#This Row],[S1Qty]],Assem[[#This Row],[S2Qty]],Assem[[#This Row],[S3Qty]])</f>
        <v>0</v>
      </c>
      <c r="J154" s="228"/>
    </row>
    <row r="155" spans="1:10" x14ac:dyDescent="0.2">
      <c r="A155" s="129">
        <v>45458</v>
      </c>
      <c r="B155" s="223" t="s">
        <v>191</v>
      </c>
      <c r="C155" s="224"/>
      <c r="D155" s="224"/>
      <c r="E155" s="225" t="str">
        <f>IF(Assem[[#This Row],[Total]]&gt;0,"Running","Down")</f>
        <v>Down</v>
      </c>
      <c r="F155" s="227">
        <v>0</v>
      </c>
      <c r="G155" s="227">
        <v>0</v>
      </c>
      <c r="H155" s="227">
        <v>0</v>
      </c>
      <c r="I155" s="227">
        <f>SUM(Assem[[#This Row],[S1Qty]],Assem[[#This Row],[S2Qty]],Assem[[#This Row],[S3Qty]])</f>
        <v>0</v>
      </c>
      <c r="J155" s="228"/>
    </row>
    <row r="156" spans="1:10" x14ac:dyDescent="0.2">
      <c r="A156" s="129">
        <v>45459</v>
      </c>
      <c r="B156" s="223" t="s">
        <v>17</v>
      </c>
      <c r="C156" s="224"/>
      <c r="D156" s="224"/>
      <c r="E156" s="225" t="str">
        <f>IF(Assem[[#This Row],[Total]]&gt;0,"Running","Down")</f>
        <v>Down</v>
      </c>
      <c r="F156" s="226">
        <v>0</v>
      </c>
      <c r="G156" s="226">
        <v>0</v>
      </c>
      <c r="H156" s="226">
        <v>0</v>
      </c>
      <c r="I156" s="226">
        <f>SUM(Assem[[#This Row],[S1Qty]],Assem[[#This Row],[S2Qty]],Assem[[#This Row],[S3Qty]])</f>
        <v>0</v>
      </c>
      <c r="J156" s="145" t="s">
        <v>265</v>
      </c>
    </row>
    <row r="157" spans="1:10" x14ac:dyDescent="0.2">
      <c r="A157" s="129">
        <v>45459</v>
      </c>
      <c r="B157" s="223" t="s">
        <v>18</v>
      </c>
      <c r="C157" s="224"/>
      <c r="D157" s="224"/>
      <c r="E157" s="225" t="str">
        <f>IF(Assem[[#This Row],[Total]]&gt;0,"Running","Down")</f>
        <v>Down</v>
      </c>
      <c r="F157" s="226">
        <v>0</v>
      </c>
      <c r="G157" s="226">
        <v>0</v>
      </c>
      <c r="H157" s="226">
        <v>0</v>
      </c>
      <c r="I157" s="226">
        <f>SUM(Assem[[#This Row],[S1Qty]],Assem[[#This Row],[S2Qty]],Assem[[#This Row],[S3Qty]])</f>
        <v>0</v>
      </c>
      <c r="J157" s="228"/>
    </row>
    <row r="158" spans="1:10" x14ac:dyDescent="0.2">
      <c r="A158" s="129">
        <v>45459</v>
      </c>
      <c r="B158" s="223" t="s">
        <v>19</v>
      </c>
      <c r="C158" s="224"/>
      <c r="D158" s="224"/>
      <c r="E158" s="225" t="str">
        <f>IF(Assem[[#This Row],[Total]]&gt;0,"Running","Down")</f>
        <v>Down</v>
      </c>
      <c r="F158" s="226">
        <v>0</v>
      </c>
      <c r="G158" s="226">
        <v>0</v>
      </c>
      <c r="H158" s="226">
        <v>0</v>
      </c>
      <c r="I158" s="226">
        <f>SUM(Assem[[#This Row],[S1Qty]],Assem[[#This Row],[S2Qty]],Assem[[#This Row],[S3Qty]])</f>
        <v>0</v>
      </c>
      <c r="J158" s="228"/>
    </row>
    <row r="159" spans="1:10" x14ac:dyDescent="0.2">
      <c r="A159" s="129">
        <v>45459</v>
      </c>
      <c r="B159" s="223" t="s">
        <v>20</v>
      </c>
      <c r="C159" s="224"/>
      <c r="D159" s="224"/>
      <c r="E159" s="225" t="str">
        <f>IF(Assem[[#This Row],[Total]]&gt;0,"Running","Down")</f>
        <v>Down</v>
      </c>
      <c r="F159" s="226">
        <v>0</v>
      </c>
      <c r="G159" s="226">
        <v>0</v>
      </c>
      <c r="H159" s="226">
        <v>0</v>
      </c>
      <c r="I159" s="226">
        <f>SUM(Assem[[#This Row],[S1Qty]],Assem[[#This Row],[S2Qty]],Assem[[#This Row],[S3Qty]])</f>
        <v>0</v>
      </c>
      <c r="J159" s="228"/>
    </row>
    <row r="160" spans="1:10" x14ac:dyDescent="0.2">
      <c r="A160" s="129">
        <v>45459</v>
      </c>
      <c r="B160" s="223" t="s">
        <v>21</v>
      </c>
      <c r="C160" s="224"/>
      <c r="D160" s="224"/>
      <c r="E160" s="225" t="str">
        <f>IF(Assem[[#This Row],[Total]]&gt;0,"Running","Down")</f>
        <v>Down</v>
      </c>
      <c r="F160" s="226">
        <v>0</v>
      </c>
      <c r="G160" s="226">
        <v>0</v>
      </c>
      <c r="H160" s="226">
        <v>0</v>
      </c>
      <c r="I160" s="226">
        <f>SUM(Assem[[#This Row],[S1Qty]],Assem[[#This Row],[S2Qty]],Assem[[#This Row],[S3Qty]])</f>
        <v>0</v>
      </c>
      <c r="J160" s="228"/>
    </row>
    <row r="161" spans="1:10" x14ac:dyDescent="0.2">
      <c r="A161" s="129">
        <v>45459</v>
      </c>
      <c r="B161" s="223" t="s">
        <v>22</v>
      </c>
      <c r="C161" s="224"/>
      <c r="D161" s="224"/>
      <c r="E161" s="225" t="str">
        <f>IF(Assem[[#This Row],[Total]]&gt;0,"Running","Down")</f>
        <v>Down</v>
      </c>
      <c r="F161" s="226">
        <v>0</v>
      </c>
      <c r="G161" s="226">
        <v>0</v>
      </c>
      <c r="H161" s="226">
        <v>0</v>
      </c>
      <c r="I161" s="226">
        <f>SUM(Assem[[#This Row],[S1Qty]],Assem[[#This Row],[S2Qty]],Assem[[#This Row],[S3Qty]])</f>
        <v>0</v>
      </c>
      <c r="J161" s="228"/>
    </row>
    <row r="162" spans="1:10" x14ac:dyDescent="0.2">
      <c r="A162" s="129">
        <v>45459</v>
      </c>
      <c r="B162" s="223" t="s">
        <v>161</v>
      </c>
      <c r="C162" s="224"/>
      <c r="D162" s="224"/>
      <c r="E162" s="225" t="str">
        <f>IF(Assem[[#This Row],[Total]]&gt;0,"Running","Down")</f>
        <v>Down</v>
      </c>
      <c r="F162" s="227">
        <v>0</v>
      </c>
      <c r="G162" s="227">
        <v>0</v>
      </c>
      <c r="H162" s="227">
        <v>0</v>
      </c>
      <c r="I162" s="227">
        <f>SUM(Assem[[#This Row],[S1Qty]],Assem[[#This Row],[S2Qty]],Assem[[#This Row],[S3Qty]])</f>
        <v>0</v>
      </c>
      <c r="J162" s="228"/>
    </row>
    <row r="163" spans="1:10" x14ac:dyDescent="0.2">
      <c r="A163" s="129">
        <v>45459</v>
      </c>
      <c r="B163" s="223" t="s">
        <v>170</v>
      </c>
      <c r="C163" s="224"/>
      <c r="D163" s="224"/>
      <c r="E163" s="225" t="str">
        <f>IF(Assem[[#This Row],[Total]]&gt;0,"Running","Down")</f>
        <v>Down</v>
      </c>
      <c r="F163" s="227">
        <v>0</v>
      </c>
      <c r="G163" s="227">
        <v>0</v>
      </c>
      <c r="H163" s="227">
        <v>0</v>
      </c>
      <c r="I163" s="227">
        <f>SUM(Assem[[#This Row],[S1Qty]],Assem[[#This Row],[S2Qty]],Assem[[#This Row],[S3Qty]])</f>
        <v>0</v>
      </c>
      <c r="J163" s="228"/>
    </row>
    <row r="164" spans="1:10" x14ac:dyDescent="0.2">
      <c r="A164" s="129">
        <v>45459</v>
      </c>
      <c r="B164" s="223" t="s">
        <v>171</v>
      </c>
      <c r="C164" s="224"/>
      <c r="D164" s="224"/>
      <c r="E164" s="225" t="str">
        <f>IF(Assem[[#This Row],[Total]]&gt;0,"Running","Down")</f>
        <v>Down</v>
      </c>
      <c r="F164" s="227">
        <v>0</v>
      </c>
      <c r="G164" s="227">
        <v>0</v>
      </c>
      <c r="H164" s="227">
        <v>0</v>
      </c>
      <c r="I164" s="227">
        <f>SUM(Assem[[#This Row],[S1Qty]],Assem[[#This Row],[S2Qty]],Assem[[#This Row],[S3Qty]])</f>
        <v>0</v>
      </c>
      <c r="J164" s="228"/>
    </row>
    <row r="165" spans="1:10" x14ac:dyDescent="0.2">
      <c r="A165" s="129">
        <v>45459</v>
      </c>
      <c r="B165" s="223" t="s">
        <v>191</v>
      </c>
      <c r="C165" s="224"/>
      <c r="D165" s="224"/>
      <c r="E165" s="225" t="str">
        <f>IF(Assem[[#This Row],[Total]]&gt;0,"Running","Down")</f>
        <v>Down</v>
      </c>
      <c r="F165" s="227">
        <v>0</v>
      </c>
      <c r="G165" s="227">
        <v>0</v>
      </c>
      <c r="H165" s="227">
        <v>0</v>
      </c>
      <c r="I165" s="227">
        <f>SUM(Assem[[#This Row],[S1Qty]],Assem[[#This Row],[S2Qty]],Assem[[#This Row],[S3Qty]])</f>
        <v>0</v>
      </c>
      <c r="J165" s="228"/>
    </row>
    <row r="166" spans="1:10" x14ac:dyDescent="0.2">
      <c r="A166" s="129">
        <v>45460</v>
      </c>
      <c r="B166" s="142" t="s">
        <v>17</v>
      </c>
      <c r="C166" s="123"/>
      <c r="D166" s="123"/>
      <c r="E166" s="143" t="str">
        <f>IF(Assem[[#This Row],[Total]]&gt;0,"Running","Down")</f>
        <v>Down</v>
      </c>
      <c r="F166" s="144">
        <v>0</v>
      </c>
      <c r="G166" s="144">
        <v>0</v>
      </c>
      <c r="H166" s="144">
        <v>0</v>
      </c>
      <c r="I166" s="144">
        <f>SUM(Assem[[#This Row],[S1Qty]],Assem[[#This Row],[S2Qty]],Assem[[#This Row],[S3Qty]])</f>
        <v>0</v>
      </c>
      <c r="J166" s="145" t="s">
        <v>268</v>
      </c>
    </row>
    <row r="167" spans="1:10" x14ac:dyDescent="0.2">
      <c r="A167" s="129">
        <v>45460</v>
      </c>
      <c r="B167" s="142" t="s">
        <v>18</v>
      </c>
      <c r="C167" s="123"/>
      <c r="D167" s="123"/>
      <c r="E167" s="143" t="str">
        <f>IF(Assem[[#This Row],[Total]]&gt;0,"Running","Down")</f>
        <v>Down</v>
      </c>
      <c r="F167" s="144">
        <v>0</v>
      </c>
      <c r="G167" s="144">
        <v>0</v>
      </c>
      <c r="H167" s="144">
        <v>0</v>
      </c>
      <c r="I167" s="144">
        <f>SUM(Assem[[#This Row],[S1Qty]],Assem[[#This Row],[S2Qty]],Assem[[#This Row],[S3Qty]])</f>
        <v>0</v>
      </c>
      <c r="J167" s="145"/>
    </row>
    <row r="168" spans="1:10" x14ac:dyDescent="0.2">
      <c r="A168" s="129">
        <v>45460</v>
      </c>
      <c r="B168" s="142" t="s">
        <v>19</v>
      </c>
      <c r="C168" s="123"/>
      <c r="D168" s="123"/>
      <c r="E168" s="143" t="str">
        <f>IF(Assem[[#This Row],[Total]]&gt;0,"Running","Down")</f>
        <v>Down</v>
      </c>
      <c r="F168" s="144">
        <v>0</v>
      </c>
      <c r="G168" s="144">
        <v>0</v>
      </c>
      <c r="H168" s="144">
        <v>0</v>
      </c>
      <c r="I168" s="144">
        <f>SUM(Assem[[#This Row],[S1Qty]],Assem[[#This Row],[S2Qty]],Assem[[#This Row],[S3Qty]])</f>
        <v>0</v>
      </c>
      <c r="J168" s="145"/>
    </row>
    <row r="169" spans="1:10" x14ac:dyDescent="0.2">
      <c r="A169" s="129">
        <v>45460</v>
      </c>
      <c r="B169" s="142" t="s">
        <v>20</v>
      </c>
      <c r="C169" s="123"/>
      <c r="D169" s="123"/>
      <c r="E169" s="143" t="str">
        <f>IF(Assem[[#This Row],[Total]]&gt;0,"Running","Down")</f>
        <v>Down</v>
      </c>
      <c r="F169" s="144">
        <v>0</v>
      </c>
      <c r="G169" s="144">
        <v>0</v>
      </c>
      <c r="H169" s="144">
        <v>0</v>
      </c>
      <c r="I169" s="144">
        <f>SUM(Assem[[#This Row],[S1Qty]],Assem[[#This Row],[S2Qty]],Assem[[#This Row],[S3Qty]])</f>
        <v>0</v>
      </c>
      <c r="J169" s="145"/>
    </row>
    <row r="170" spans="1:10" x14ac:dyDescent="0.2">
      <c r="A170" s="129">
        <v>45460</v>
      </c>
      <c r="B170" s="142" t="s">
        <v>21</v>
      </c>
      <c r="C170" s="123"/>
      <c r="D170" s="123"/>
      <c r="E170" s="143" t="str">
        <f>IF(Assem[[#This Row],[Total]]&gt;0,"Running","Down")</f>
        <v>Down</v>
      </c>
      <c r="F170" s="144">
        <v>0</v>
      </c>
      <c r="G170" s="144">
        <v>0</v>
      </c>
      <c r="H170" s="144">
        <v>0</v>
      </c>
      <c r="I170" s="144">
        <f>SUM(Assem[[#This Row],[S1Qty]],Assem[[#This Row],[S2Qty]],Assem[[#This Row],[S3Qty]])</f>
        <v>0</v>
      </c>
      <c r="J170" s="145"/>
    </row>
    <row r="171" spans="1:10" x14ac:dyDescent="0.2">
      <c r="A171" s="129">
        <v>45460</v>
      </c>
      <c r="B171" s="142" t="s">
        <v>22</v>
      </c>
      <c r="C171" s="123"/>
      <c r="D171" s="123"/>
      <c r="E171" s="143" t="str">
        <f>IF(Assem[[#This Row],[Total]]&gt;0,"Running","Down")</f>
        <v>Down</v>
      </c>
      <c r="F171" s="144">
        <v>0</v>
      </c>
      <c r="G171" s="144">
        <v>0</v>
      </c>
      <c r="H171" s="144">
        <v>0</v>
      </c>
      <c r="I171" s="144">
        <f>SUM(Assem[[#This Row],[S1Qty]],Assem[[#This Row],[S2Qty]],Assem[[#This Row],[S3Qty]])</f>
        <v>0</v>
      </c>
      <c r="J171" s="145"/>
    </row>
    <row r="172" spans="1:10" x14ac:dyDescent="0.2">
      <c r="A172" s="129">
        <v>45460</v>
      </c>
      <c r="B172" s="142" t="s">
        <v>161</v>
      </c>
      <c r="C172" s="123"/>
      <c r="D172" s="123"/>
      <c r="E172" s="143" t="str">
        <f>IF(Assem[[#This Row],[Total]]&gt;0,"Running","Down")</f>
        <v>Down</v>
      </c>
      <c r="F172" s="124">
        <v>0</v>
      </c>
      <c r="G172" s="124">
        <v>0</v>
      </c>
      <c r="H172" s="124">
        <v>0</v>
      </c>
      <c r="I172" s="124">
        <f>SUM(Assem[[#This Row],[S1Qty]],Assem[[#This Row],[S2Qty]],Assem[[#This Row],[S3Qty]])</f>
        <v>0</v>
      </c>
      <c r="J172" s="145"/>
    </row>
    <row r="173" spans="1:10" x14ac:dyDescent="0.2">
      <c r="A173" s="129">
        <v>45460</v>
      </c>
      <c r="B173" s="142" t="s">
        <v>170</v>
      </c>
      <c r="C173" s="123"/>
      <c r="D173" s="123"/>
      <c r="E173" s="143" t="str">
        <f>IF(Assem[[#This Row],[Total]]&gt;0,"Running","Down")</f>
        <v>Down</v>
      </c>
      <c r="F173" s="124">
        <v>0</v>
      </c>
      <c r="G173" s="124">
        <v>0</v>
      </c>
      <c r="H173" s="124">
        <v>0</v>
      </c>
      <c r="I173" s="124">
        <f>SUM(Assem[[#This Row],[S1Qty]],Assem[[#This Row],[S2Qty]],Assem[[#This Row],[S3Qty]])</f>
        <v>0</v>
      </c>
      <c r="J173" s="145"/>
    </row>
    <row r="174" spans="1:10" x14ac:dyDescent="0.2">
      <c r="A174" s="129">
        <v>45460</v>
      </c>
      <c r="B174" s="142" t="s">
        <v>171</v>
      </c>
      <c r="C174" s="123"/>
      <c r="D174" s="123"/>
      <c r="E174" s="143" t="str">
        <f>IF(Assem[[#This Row],[Total]]&gt;0,"Running","Down")</f>
        <v>Down</v>
      </c>
      <c r="F174" s="124">
        <v>0</v>
      </c>
      <c r="G174" s="124">
        <v>0</v>
      </c>
      <c r="H174" s="124">
        <v>0</v>
      </c>
      <c r="I174" s="124">
        <f>SUM(Assem[[#This Row],[S1Qty]],Assem[[#This Row],[S2Qty]],Assem[[#This Row],[S3Qty]])</f>
        <v>0</v>
      </c>
      <c r="J174" s="145"/>
    </row>
    <row r="175" spans="1:10" x14ac:dyDescent="0.2">
      <c r="A175" s="129">
        <v>45460</v>
      </c>
      <c r="B175" s="142" t="s">
        <v>191</v>
      </c>
      <c r="C175" s="123"/>
      <c r="D175" s="123"/>
      <c r="E175" s="143" t="str">
        <f>IF(Assem[[#This Row],[Total]]&gt;0,"Running","Down")</f>
        <v>Down</v>
      </c>
      <c r="F175" s="124">
        <v>0</v>
      </c>
      <c r="G175" s="124">
        <v>0</v>
      </c>
      <c r="H175" s="124">
        <v>0</v>
      </c>
      <c r="I175" s="124">
        <f>SUM(Assem[[#This Row],[S1Qty]],Assem[[#This Row],[S2Qty]],Assem[[#This Row],[S3Qty]])</f>
        <v>0</v>
      </c>
      <c r="J175" s="145"/>
    </row>
    <row r="176" spans="1:10" x14ac:dyDescent="0.2">
      <c r="A176" s="129">
        <v>45461</v>
      </c>
      <c r="B176" s="229" t="s">
        <v>17</v>
      </c>
      <c r="C176" s="230"/>
      <c r="D176" s="230"/>
      <c r="E176" s="231" t="str">
        <f>IF(Assem[[#This Row],[Total]]&gt;0,"Running","Down")</f>
        <v>Down</v>
      </c>
      <c r="F176" s="232">
        <v>0</v>
      </c>
      <c r="G176" s="232">
        <v>0</v>
      </c>
      <c r="H176" s="232">
        <v>0</v>
      </c>
      <c r="I176" s="232">
        <f>SUM(Assem[[#This Row],[S1Qty]],Assem[[#This Row],[S2Qty]],Assem[[#This Row],[S3Qty]])</f>
        <v>0</v>
      </c>
      <c r="J176" s="145" t="s">
        <v>276</v>
      </c>
    </row>
    <row r="177" spans="1:10" x14ac:dyDescent="0.2">
      <c r="A177" s="129">
        <v>45461</v>
      </c>
      <c r="B177" s="229" t="s">
        <v>18</v>
      </c>
      <c r="C177" s="230"/>
      <c r="D177" s="230"/>
      <c r="E177" s="231" t="str">
        <f>IF(Assem[[#This Row],[Total]]&gt;0,"Running","Down")</f>
        <v>Down</v>
      </c>
      <c r="F177" s="232">
        <v>0</v>
      </c>
      <c r="G177" s="232">
        <v>0</v>
      </c>
      <c r="H177" s="232">
        <v>0</v>
      </c>
      <c r="I177" s="232">
        <f>SUM(Assem[[#This Row],[S1Qty]],Assem[[#This Row],[S2Qty]],Assem[[#This Row],[S3Qty]])</f>
        <v>0</v>
      </c>
      <c r="J177" s="234"/>
    </row>
    <row r="178" spans="1:10" x14ac:dyDescent="0.2">
      <c r="A178" s="129">
        <v>45461</v>
      </c>
      <c r="B178" s="229" t="s">
        <v>19</v>
      </c>
      <c r="C178" s="230"/>
      <c r="D178" s="230"/>
      <c r="E178" s="231" t="str">
        <f>IF(Assem[[#This Row],[Total]]&gt;0,"Running","Down")</f>
        <v>Down</v>
      </c>
      <c r="F178" s="232">
        <v>0</v>
      </c>
      <c r="G178" s="232">
        <v>0</v>
      </c>
      <c r="H178" s="232">
        <v>0</v>
      </c>
      <c r="I178" s="232">
        <f>SUM(Assem[[#This Row],[S1Qty]],Assem[[#This Row],[S2Qty]],Assem[[#This Row],[S3Qty]])</f>
        <v>0</v>
      </c>
      <c r="J178" s="234"/>
    </row>
    <row r="179" spans="1:10" x14ac:dyDescent="0.2">
      <c r="A179" s="129">
        <v>45461</v>
      </c>
      <c r="B179" s="229" t="s">
        <v>20</v>
      </c>
      <c r="C179" s="230"/>
      <c r="D179" s="230"/>
      <c r="E179" s="231" t="str">
        <f>IF(Assem[[#This Row],[Total]]&gt;0,"Running","Down")</f>
        <v>Down</v>
      </c>
      <c r="F179" s="232">
        <v>0</v>
      </c>
      <c r="G179" s="232">
        <v>0</v>
      </c>
      <c r="H179" s="232">
        <v>0</v>
      </c>
      <c r="I179" s="232">
        <f>SUM(Assem[[#This Row],[S1Qty]],Assem[[#This Row],[S2Qty]],Assem[[#This Row],[S3Qty]])</f>
        <v>0</v>
      </c>
      <c r="J179" s="234"/>
    </row>
    <row r="180" spans="1:10" x14ac:dyDescent="0.2">
      <c r="A180" s="129">
        <v>45461</v>
      </c>
      <c r="B180" s="229" t="s">
        <v>21</v>
      </c>
      <c r="C180" s="230"/>
      <c r="D180" s="230"/>
      <c r="E180" s="231" t="str">
        <f>IF(Assem[[#This Row],[Total]]&gt;0,"Running","Down")</f>
        <v>Down</v>
      </c>
      <c r="F180" s="232">
        <v>0</v>
      </c>
      <c r="G180" s="232">
        <v>0</v>
      </c>
      <c r="H180" s="232">
        <v>0</v>
      </c>
      <c r="I180" s="232">
        <f>SUM(Assem[[#This Row],[S1Qty]],Assem[[#This Row],[S2Qty]],Assem[[#This Row],[S3Qty]])</f>
        <v>0</v>
      </c>
      <c r="J180" s="234"/>
    </row>
    <row r="181" spans="1:10" x14ac:dyDescent="0.2">
      <c r="A181" s="129">
        <v>45461</v>
      </c>
      <c r="B181" s="229" t="s">
        <v>22</v>
      </c>
      <c r="C181" s="230"/>
      <c r="D181" s="230"/>
      <c r="E181" s="231" t="str">
        <f>IF(Assem[[#This Row],[Total]]&gt;0,"Running","Down")</f>
        <v>Down</v>
      </c>
      <c r="F181" s="232">
        <v>0</v>
      </c>
      <c r="G181" s="232">
        <v>0</v>
      </c>
      <c r="H181" s="232">
        <v>0</v>
      </c>
      <c r="I181" s="232">
        <f>SUM(Assem[[#This Row],[S1Qty]],Assem[[#This Row],[S2Qty]],Assem[[#This Row],[S3Qty]])</f>
        <v>0</v>
      </c>
      <c r="J181" s="234"/>
    </row>
    <row r="182" spans="1:10" x14ac:dyDescent="0.2">
      <c r="A182" s="129">
        <v>45461</v>
      </c>
      <c r="B182" s="229" t="s">
        <v>161</v>
      </c>
      <c r="C182" s="230"/>
      <c r="D182" s="230"/>
      <c r="E182" s="231" t="str">
        <f>IF(Assem[[#This Row],[Total]]&gt;0,"Running","Down")</f>
        <v>Down</v>
      </c>
      <c r="F182" s="233">
        <v>0</v>
      </c>
      <c r="G182" s="233">
        <v>0</v>
      </c>
      <c r="H182" s="233">
        <v>0</v>
      </c>
      <c r="I182" s="233">
        <f>SUM(Assem[[#This Row],[S1Qty]],Assem[[#This Row],[S2Qty]],Assem[[#This Row],[S3Qty]])</f>
        <v>0</v>
      </c>
      <c r="J182" s="234"/>
    </row>
    <row r="183" spans="1:10" x14ac:dyDescent="0.2">
      <c r="A183" s="129">
        <v>45461</v>
      </c>
      <c r="B183" s="229" t="s">
        <v>170</v>
      </c>
      <c r="C183" s="230"/>
      <c r="D183" s="230"/>
      <c r="E183" s="231" t="str">
        <f>IF(Assem[[#This Row],[Total]]&gt;0,"Running","Down")</f>
        <v>Down</v>
      </c>
      <c r="F183" s="233">
        <v>0</v>
      </c>
      <c r="G183" s="233">
        <v>0</v>
      </c>
      <c r="H183" s="233">
        <v>0</v>
      </c>
      <c r="I183" s="233">
        <f>SUM(Assem[[#This Row],[S1Qty]],Assem[[#This Row],[S2Qty]],Assem[[#This Row],[S3Qty]])</f>
        <v>0</v>
      </c>
      <c r="J183" s="234"/>
    </row>
    <row r="184" spans="1:10" x14ac:dyDescent="0.2">
      <c r="A184" s="129">
        <v>45461</v>
      </c>
      <c r="B184" s="229" t="s">
        <v>171</v>
      </c>
      <c r="C184" s="230"/>
      <c r="D184" s="230"/>
      <c r="E184" s="231" t="str">
        <f>IF(Assem[[#This Row],[Total]]&gt;0,"Running","Down")</f>
        <v>Down</v>
      </c>
      <c r="F184" s="233">
        <v>0</v>
      </c>
      <c r="G184" s="233">
        <v>0</v>
      </c>
      <c r="H184" s="233">
        <v>0</v>
      </c>
      <c r="I184" s="233">
        <f>SUM(Assem[[#This Row],[S1Qty]],Assem[[#This Row],[S2Qty]],Assem[[#This Row],[S3Qty]])</f>
        <v>0</v>
      </c>
      <c r="J184" s="234"/>
    </row>
    <row r="185" spans="1:10" x14ac:dyDescent="0.2">
      <c r="A185" s="129">
        <v>45461</v>
      </c>
      <c r="B185" s="229" t="s">
        <v>191</v>
      </c>
      <c r="C185" s="230"/>
      <c r="D185" s="230"/>
      <c r="E185" s="231" t="str">
        <f>IF(Assem[[#This Row],[Total]]&gt;0,"Running","Down")</f>
        <v>Down</v>
      </c>
      <c r="F185" s="233">
        <v>0</v>
      </c>
      <c r="G185" s="233">
        <v>0</v>
      </c>
      <c r="H185" s="233">
        <v>0</v>
      </c>
      <c r="I185" s="233">
        <f>SUM(Assem[[#This Row],[S1Qty]],Assem[[#This Row],[S2Qty]],Assem[[#This Row],[S3Qty]])</f>
        <v>0</v>
      </c>
      <c r="J185" s="234"/>
    </row>
    <row r="186" spans="1:10" x14ac:dyDescent="0.2">
      <c r="A186" s="129">
        <v>45462</v>
      </c>
      <c r="B186" s="142" t="s">
        <v>17</v>
      </c>
      <c r="C186" s="123"/>
      <c r="D186" s="123"/>
      <c r="E186" s="143" t="str">
        <f>IF(Assem[[#This Row],[Total]]&gt;0,"Running","Down")</f>
        <v>Down</v>
      </c>
      <c r="F186" s="144">
        <v>0</v>
      </c>
      <c r="G186" s="144">
        <v>0</v>
      </c>
      <c r="H186" s="144">
        <v>0</v>
      </c>
      <c r="I186" s="144">
        <f>SUM(Assem[[#This Row],[S1Qty]],Assem[[#This Row],[S2Qty]],Assem[[#This Row],[S3Qty]])</f>
        <v>0</v>
      </c>
      <c r="J186" s="145" t="s">
        <v>282</v>
      </c>
    </row>
    <row r="187" spans="1:10" x14ac:dyDescent="0.2">
      <c r="A187" s="129">
        <v>45462</v>
      </c>
      <c r="B187" s="142" t="s">
        <v>18</v>
      </c>
      <c r="C187" s="123"/>
      <c r="D187" s="123"/>
      <c r="E187" s="143" t="str">
        <f>IF(Assem[[#This Row],[Total]]&gt;0,"Running","Down")</f>
        <v>Down</v>
      </c>
      <c r="F187" s="144">
        <v>0</v>
      </c>
      <c r="G187" s="144">
        <v>0</v>
      </c>
      <c r="H187" s="144">
        <v>0</v>
      </c>
      <c r="I187" s="144">
        <f>SUM(Assem[[#This Row],[S1Qty]],Assem[[#This Row],[S2Qty]],Assem[[#This Row],[S3Qty]])</f>
        <v>0</v>
      </c>
      <c r="J187" s="145"/>
    </row>
    <row r="188" spans="1:10" x14ac:dyDescent="0.2">
      <c r="A188" s="129">
        <v>45462</v>
      </c>
      <c r="B188" s="142" t="s">
        <v>19</v>
      </c>
      <c r="C188" s="123"/>
      <c r="D188" s="123"/>
      <c r="E188" s="143" t="str">
        <f>IF(Assem[[#This Row],[Total]]&gt;0,"Running","Down")</f>
        <v>Down</v>
      </c>
      <c r="F188" s="144">
        <v>0</v>
      </c>
      <c r="G188" s="144">
        <v>0</v>
      </c>
      <c r="H188" s="144">
        <v>0</v>
      </c>
      <c r="I188" s="144">
        <f>SUM(Assem[[#This Row],[S1Qty]],Assem[[#This Row],[S2Qty]],Assem[[#This Row],[S3Qty]])</f>
        <v>0</v>
      </c>
      <c r="J188" s="145"/>
    </row>
    <row r="189" spans="1:10" x14ac:dyDescent="0.2">
      <c r="A189" s="129">
        <v>45462</v>
      </c>
      <c r="B189" s="142" t="s">
        <v>20</v>
      </c>
      <c r="C189" s="123"/>
      <c r="D189" s="123"/>
      <c r="E189" s="143" t="str">
        <f>IF(Assem[[#This Row],[Total]]&gt;0,"Running","Down")</f>
        <v>Down</v>
      </c>
      <c r="F189" s="144">
        <v>0</v>
      </c>
      <c r="G189" s="144">
        <v>0</v>
      </c>
      <c r="H189" s="144">
        <v>0</v>
      </c>
      <c r="I189" s="144">
        <f>SUM(Assem[[#This Row],[S1Qty]],Assem[[#This Row],[S2Qty]],Assem[[#This Row],[S3Qty]])</f>
        <v>0</v>
      </c>
      <c r="J189" s="145"/>
    </row>
    <row r="190" spans="1:10" x14ac:dyDescent="0.2">
      <c r="A190" s="129">
        <v>45462</v>
      </c>
      <c r="B190" s="142" t="s">
        <v>21</v>
      </c>
      <c r="C190" s="123"/>
      <c r="D190" s="123"/>
      <c r="E190" s="143" t="str">
        <f>IF(Assem[[#This Row],[Total]]&gt;0,"Running","Down")</f>
        <v>Down</v>
      </c>
      <c r="F190" s="144">
        <v>0</v>
      </c>
      <c r="G190" s="144">
        <v>0</v>
      </c>
      <c r="H190" s="144">
        <v>0</v>
      </c>
      <c r="I190" s="144">
        <f>SUM(Assem[[#This Row],[S1Qty]],Assem[[#This Row],[S2Qty]],Assem[[#This Row],[S3Qty]])</f>
        <v>0</v>
      </c>
      <c r="J190" s="145"/>
    </row>
    <row r="191" spans="1:10" x14ac:dyDescent="0.2">
      <c r="A191" s="129">
        <v>45462</v>
      </c>
      <c r="B191" s="142" t="s">
        <v>22</v>
      </c>
      <c r="C191" s="123"/>
      <c r="D191" s="123"/>
      <c r="E191" s="143" t="str">
        <f>IF(Assem[[#This Row],[Total]]&gt;0,"Running","Down")</f>
        <v>Down</v>
      </c>
      <c r="F191" s="144">
        <v>0</v>
      </c>
      <c r="G191" s="144">
        <v>0</v>
      </c>
      <c r="H191" s="144">
        <v>0</v>
      </c>
      <c r="I191" s="144">
        <f>SUM(Assem[[#This Row],[S1Qty]],Assem[[#This Row],[S2Qty]],Assem[[#This Row],[S3Qty]])</f>
        <v>0</v>
      </c>
      <c r="J191" s="145"/>
    </row>
    <row r="192" spans="1:10" x14ac:dyDescent="0.2">
      <c r="A192" s="129">
        <v>45462</v>
      </c>
      <c r="B192" s="142" t="s">
        <v>161</v>
      </c>
      <c r="C192" s="123"/>
      <c r="D192" s="123"/>
      <c r="E192" s="143" t="str">
        <f>IF(Assem[[#This Row],[Total]]&gt;0,"Running","Down")</f>
        <v>Down</v>
      </c>
      <c r="F192" s="124">
        <v>0</v>
      </c>
      <c r="G192" s="124">
        <v>0</v>
      </c>
      <c r="H192" s="124">
        <v>0</v>
      </c>
      <c r="I192" s="124">
        <f>SUM(Assem[[#This Row],[S1Qty]],Assem[[#This Row],[S2Qty]],Assem[[#This Row],[S3Qty]])</f>
        <v>0</v>
      </c>
      <c r="J192" s="145"/>
    </row>
    <row r="193" spans="1:10" x14ac:dyDescent="0.2">
      <c r="A193" s="129">
        <v>45462</v>
      </c>
      <c r="B193" s="142" t="s">
        <v>170</v>
      </c>
      <c r="C193" s="123"/>
      <c r="D193" s="123"/>
      <c r="E193" s="143" t="str">
        <f>IF(Assem[[#This Row],[Total]]&gt;0,"Running","Down")</f>
        <v>Down</v>
      </c>
      <c r="F193" s="124">
        <v>0</v>
      </c>
      <c r="G193" s="124">
        <v>0</v>
      </c>
      <c r="H193" s="124">
        <v>0</v>
      </c>
      <c r="I193" s="124">
        <f>SUM(Assem[[#This Row],[S1Qty]],Assem[[#This Row],[S2Qty]],Assem[[#This Row],[S3Qty]])</f>
        <v>0</v>
      </c>
      <c r="J193" s="145"/>
    </row>
    <row r="194" spans="1:10" x14ac:dyDescent="0.2">
      <c r="A194" s="129">
        <v>45462</v>
      </c>
      <c r="B194" s="142" t="s">
        <v>171</v>
      </c>
      <c r="C194" s="123"/>
      <c r="D194" s="123"/>
      <c r="E194" s="143" t="str">
        <f>IF(Assem[[#This Row],[Total]]&gt;0,"Running","Down")</f>
        <v>Down</v>
      </c>
      <c r="F194" s="124">
        <v>0</v>
      </c>
      <c r="G194" s="124">
        <v>0</v>
      </c>
      <c r="H194" s="124">
        <v>0</v>
      </c>
      <c r="I194" s="124">
        <f>SUM(Assem[[#This Row],[S1Qty]],Assem[[#This Row],[S2Qty]],Assem[[#This Row],[S3Qty]])</f>
        <v>0</v>
      </c>
      <c r="J194" s="145"/>
    </row>
    <row r="195" spans="1:10" x14ac:dyDescent="0.2">
      <c r="A195" s="129">
        <v>45462</v>
      </c>
      <c r="B195" s="142" t="s">
        <v>191</v>
      </c>
      <c r="C195" s="123"/>
      <c r="D195" s="123"/>
      <c r="E195" s="143" t="str">
        <f>IF(Assem[[#This Row],[Total]]&gt;0,"Running","Down")</f>
        <v>Down</v>
      </c>
      <c r="F195" s="124">
        <v>0</v>
      </c>
      <c r="G195" s="124">
        <v>0</v>
      </c>
      <c r="H195" s="124">
        <v>0</v>
      </c>
      <c r="I195" s="124">
        <f>SUM(Assem[[#This Row],[S1Qty]],Assem[[#This Row],[S2Qty]],Assem[[#This Row],[S3Qty]])</f>
        <v>0</v>
      </c>
      <c r="J195" s="145"/>
    </row>
    <row r="196" spans="1:10" x14ac:dyDescent="0.2">
      <c r="A196" s="129">
        <v>45463</v>
      </c>
      <c r="B196" s="142" t="s">
        <v>17</v>
      </c>
      <c r="C196" s="123"/>
      <c r="D196" s="123"/>
      <c r="E196" s="143" t="str">
        <f>IF(Assem[[#This Row],[Total]]&gt;0,"Running","Down")</f>
        <v>Down</v>
      </c>
      <c r="F196" s="144">
        <v>0</v>
      </c>
      <c r="G196" s="144">
        <v>0</v>
      </c>
      <c r="H196" s="144">
        <v>0</v>
      </c>
      <c r="I196" s="144">
        <f>SUM(Assem[[#This Row],[S1Qty]],Assem[[#This Row],[S2Qty]],Assem[[#This Row],[S3Qty]])</f>
        <v>0</v>
      </c>
      <c r="J196" s="145" t="s">
        <v>285</v>
      </c>
    </row>
    <row r="197" spans="1:10" x14ac:dyDescent="0.2">
      <c r="A197" s="129">
        <v>45463</v>
      </c>
      <c r="B197" s="142" t="s">
        <v>18</v>
      </c>
      <c r="C197" s="123"/>
      <c r="D197" s="123"/>
      <c r="E197" s="143" t="str">
        <f>IF(Assem[[#This Row],[Total]]&gt;0,"Running","Down")</f>
        <v>Down</v>
      </c>
      <c r="F197" s="144">
        <v>0</v>
      </c>
      <c r="G197" s="144">
        <v>0</v>
      </c>
      <c r="H197" s="144">
        <v>0</v>
      </c>
      <c r="I197" s="144">
        <f>SUM(Assem[[#This Row],[S1Qty]],Assem[[#This Row],[S2Qty]],Assem[[#This Row],[S3Qty]])</f>
        <v>0</v>
      </c>
      <c r="J197" s="145"/>
    </row>
    <row r="198" spans="1:10" x14ac:dyDescent="0.2">
      <c r="A198" s="129">
        <v>45463</v>
      </c>
      <c r="B198" s="142" t="s">
        <v>19</v>
      </c>
      <c r="C198" s="123"/>
      <c r="D198" s="123"/>
      <c r="E198" s="143" t="str">
        <f>IF(Assem[[#This Row],[Total]]&gt;0,"Running","Down")</f>
        <v>Down</v>
      </c>
      <c r="F198" s="144">
        <v>0</v>
      </c>
      <c r="G198" s="144">
        <v>0</v>
      </c>
      <c r="H198" s="144">
        <v>0</v>
      </c>
      <c r="I198" s="144">
        <f>SUM(Assem[[#This Row],[S1Qty]],Assem[[#This Row],[S2Qty]],Assem[[#This Row],[S3Qty]])</f>
        <v>0</v>
      </c>
      <c r="J198" s="145"/>
    </row>
    <row r="199" spans="1:10" x14ac:dyDescent="0.2">
      <c r="A199" s="129">
        <v>45463</v>
      </c>
      <c r="B199" s="142" t="s">
        <v>20</v>
      </c>
      <c r="C199" s="123"/>
      <c r="D199" s="123"/>
      <c r="E199" s="143" t="str">
        <f>IF(Assem[[#This Row],[Total]]&gt;0,"Running","Down")</f>
        <v>Down</v>
      </c>
      <c r="F199" s="144">
        <v>0</v>
      </c>
      <c r="G199" s="144">
        <v>0</v>
      </c>
      <c r="H199" s="144">
        <v>0</v>
      </c>
      <c r="I199" s="144">
        <f>SUM(Assem[[#This Row],[S1Qty]],Assem[[#This Row],[S2Qty]],Assem[[#This Row],[S3Qty]])</f>
        <v>0</v>
      </c>
      <c r="J199" s="145"/>
    </row>
    <row r="200" spans="1:10" x14ac:dyDescent="0.2">
      <c r="A200" s="129">
        <v>45463</v>
      </c>
      <c r="B200" s="142" t="s">
        <v>21</v>
      </c>
      <c r="C200" s="123"/>
      <c r="D200" s="123"/>
      <c r="E200" s="143" t="str">
        <f>IF(Assem[[#This Row],[Total]]&gt;0,"Running","Down")</f>
        <v>Down</v>
      </c>
      <c r="F200" s="144">
        <v>0</v>
      </c>
      <c r="G200" s="144">
        <v>0</v>
      </c>
      <c r="H200" s="144">
        <v>0</v>
      </c>
      <c r="I200" s="144">
        <f>SUM(Assem[[#This Row],[S1Qty]],Assem[[#This Row],[S2Qty]],Assem[[#This Row],[S3Qty]])</f>
        <v>0</v>
      </c>
      <c r="J200" s="145"/>
    </row>
    <row r="201" spans="1:10" x14ac:dyDescent="0.2">
      <c r="A201" s="129">
        <v>45463</v>
      </c>
      <c r="B201" s="142" t="s">
        <v>22</v>
      </c>
      <c r="C201" s="123"/>
      <c r="D201" s="123"/>
      <c r="E201" s="143" t="str">
        <f>IF(Assem[[#This Row],[Total]]&gt;0,"Running","Down")</f>
        <v>Down</v>
      </c>
      <c r="F201" s="144">
        <v>0</v>
      </c>
      <c r="G201" s="144">
        <v>0</v>
      </c>
      <c r="H201" s="144">
        <v>0</v>
      </c>
      <c r="I201" s="144">
        <f>SUM(Assem[[#This Row],[S1Qty]],Assem[[#This Row],[S2Qty]],Assem[[#This Row],[S3Qty]])</f>
        <v>0</v>
      </c>
      <c r="J201" s="145"/>
    </row>
    <row r="202" spans="1:10" x14ac:dyDescent="0.2">
      <c r="A202" s="129">
        <v>45463</v>
      </c>
      <c r="B202" s="142" t="s">
        <v>161</v>
      </c>
      <c r="C202" s="123"/>
      <c r="D202" s="123"/>
      <c r="E202" s="143" t="str">
        <f>IF(Assem[[#This Row],[Total]]&gt;0,"Running","Down")</f>
        <v>Down</v>
      </c>
      <c r="F202" s="124">
        <v>0</v>
      </c>
      <c r="G202" s="124">
        <v>0</v>
      </c>
      <c r="H202" s="124">
        <v>0</v>
      </c>
      <c r="I202" s="124">
        <f>SUM(Assem[[#This Row],[S1Qty]],Assem[[#This Row],[S2Qty]],Assem[[#This Row],[S3Qty]])</f>
        <v>0</v>
      </c>
      <c r="J202" s="145"/>
    </row>
    <row r="203" spans="1:10" x14ac:dyDescent="0.2">
      <c r="A203" s="129">
        <v>45463</v>
      </c>
      <c r="B203" s="142" t="s">
        <v>170</v>
      </c>
      <c r="C203" s="123"/>
      <c r="D203" s="123"/>
      <c r="E203" s="143" t="str">
        <f>IF(Assem[[#This Row],[Total]]&gt;0,"Running","Down")</f>
        <v>Down</v>
      </c>
      <c r="F203" s="124">
        <v>0</v>
      </c>
      <c r="G203" s="124">
        <v>0</v>
      </c>
      <c r="H203" s="124">
        <v>0</v>
      </c>
      <c r="I203" s="124">
        <f>SUM(Assem[[#This Row],[S1Qty]],Assem[[#This Row],[S2Qty]],Assem[[#This Row],[S3Qty]])</f>
        <v>0</v>
      </c>
      <c r="J203" s="145"/>
    </row>
    <row r="204" spans="1:10" x14ac:dyDescent="0.2">
      <c r="A204" s="129">
        <v>45463</v>
      </c>
      <c r="B204" s="142" t="s">
        <v>171</v>
      </c>
      <c r="C204" s="123"/>
      <c r="D204" s="123"/>
      <c r="E204" s="143" t="str">
        <f>IF(Assem[[#This Row],[Total]]&gt;0,"Running","Down")</f>
        <v>Down</v>
      </c>
      <c r="F204" s="124">
        <v>0</v>
      </c>
      <c r="G204" s="124">
        <v>0</v>
      </c>
      <c r="H204" s="124">
        <v>0</v>
      </c>
      <c r="I204" s="124">
        <f>SUM(Assem[[#This Row],[S1Qty]],Assem[[#This Row],[S2Qty]],Assem[[#This Row],[S3Qty]])</f>
        <v>0</v>
      </c>
      <c r="J204" s="145"/>
    </row>
    <row r="205" spans="1:10" x14ac:dyDescent="0.2">
      <c r="A205" s="129">
        <v>45463</v>
      </c>
      <c r="B205" s="142" t="s">
        <v>191</v>
      </c>
      <c r="C205" s="123"/>
      <c r="D205" s="123"/>
      <c r="E205" s="143" t="str">
        <f>IF(Assem[[#This Row],[Total]]&gt;0,"Running","Down")</f>
        <v>Down</v>
      </c>
      <c r="F205" s="124">
        <v>0</v>
      </c>
      <c r="G205" s="124">
        <v>0</v>
      </c>
      <c r="H205" s="124">
        <v>0</v>
      </c>
      <c r="I205" s="124">
        <f>SUM(Assem[[#This Row],[S1Qty]],Assem[[#This Row],[S2Qty]],Assem[[#This Row],[S3Qty]])</f>
        <v>0</v>
      </c>
      <c r="J205" s="145"/>
    </row>
    <row r="206" spans="1:10" x14ac:dyDescent="0.2">
      <c r="A206" s="129">
        <v>45464</v>
      </c>
      <c r="B206" s="235" t="s">
        <v>17</v>
      </c>
      <c r="C206" s="236"/>
      <c r="D206" s="236"/>
      <c r="E206" s="237" t="str">
        <f>IF(Assem[[#This Row],[Total]]&gt;0,"Running","Down")</f>
        <v>Down</v>
      </c>
      <c r="F206" s="238">
        <v>0</v>
      </c>
      <c r="G206" s="238">
        <v>0</v>
      </c>
      <c r="H206" s="238">
        <v>0</v>
      </c>
      <c r="I206" s="238">
        <f>SUM(Assem[[#This Row],[S1Qty]],Assem[[#This Row],[S2Qty]],Assem[[#This Row],[S3Qty]])</f>
        <v>0</v>
      </c>
      <c r="J206" s="145" t="s">
        <v>293</v>
      </c>
    </row>
    <row r="207" spans="1:10" x14ac:dyDescent="0.2">
      <c r="A207" s="129">
        <v>45464</v>
      </c>
      <c r="B207" s="235" t="s">
        <v>18</v>
      </c>
      <c r="C207" s="236"/>
      <c r="D207" s="236"/>
      <c r="E207" s="237" t="str">
        <f>IF(Assem[[#This Row],[Total]]&gt;0,"Running","Down")</f>
        <v>Down</v>
      </c>
      <c r="F207" s="238">
        <v>0</v>
      </c>
      <c r="G207" s="238">
        <v>0</v>
      </c>
      <c r="H207" s="238">
        <v>0</v>
      </c>
      <c r="I207" s="238">
        <f>SUM(Assem[[#This Row],[S1Qty]],Assem[[#This Row],[S2Qty]],Assem[[#This Row],[S3Qty]])</f>
        <v>0</v>
      </c>
      <c r="J207" s="240"/>
    </row>
    <row r="208" spans="1:10" x14ac:dyDescent="0.2">
      <c r="A208" s="129">
        <v>45464</v>
      </c>
      <c r="B208" s="235" t="s">
        <v>19</v>
      </c>
      <c r="C208" s="236"/>
      <c r="D208" s="236"/>
      <c r="E208" s="237" t="str">
        <f>IF(Assem[[#This Row],[Total]]&gt;0,"Running","Down")</f>
        <v>Down</v>
      </c>
      <c r="F208" s="238">
        <v>0</v>
      </c>
      <c r="G208" s="238">
        <v>0</v>
      </c>
      <c r="H208" s="238">
        <v>0</v>
      </c>
      <c r="I208" s="238">
        <f>SUM(Assem[[#This Row],[S1Qty]],Assem[[#This Row],[S2Qty]],Assem[[#This Row],[S3Qty]])</f>
        <v>0</v>
      </c>
      <c r="J208" s="240"/>
    </row>
    <row r="209" spans="1:10" x14ac:dyDescent="0.2">
      <c r="A209" s="129">
        <v>45464</v>
      </c>
      <c r="B209" s="235" t="s">
        <v>20</v>
      </c>
      <c r="C209" s="236"/>
      <c r="D209" s="236"/>
      <c r="E209" s="237" t="str">
        <f>IF(Assem[[#This Row],[Total]]&gt;0,"Running","Down")</f>
        <v>Down</v>
      </c>
      <c r="F209" s="238">
        <v>0</v>
      </c>
      <c r="G209" s="238">
        <v>0</v>
      </c>
      <c r="H209" s="238">
        <v>0</v>
      </c>
      <c r="I209" s="238">
        <f>SUM(Assem[[#This Row],[S1Qty]],Assem[[#This Row],[S2Qty]],Assem[[#This Row],[S3Qty]])</f>
        <v>0</v>
      </c>
      <c r="J209" s="240"/>
    </row>
    <row r="210" spans="1:10" x14ac:dyDescent="0.2">
      <c r="A210" s="129">
        <v>45464</v>
      </c>
      <c r="B210" s="235" t="s">
        <v>21</v>
      </c>
      <c r="C210" s="236"/>
      <c r="D210" s="236"/>
      <c r="E210" s="237" t="str">
        <f>IF(Assem[[#This Row],[Total]]&gt;0,"Running","Down")</f>
        <v>Down</v>
      </c>
      <c r="F210" s="238">
        <v>0</v>
      </c>
      <c r="G210" s="238">
        <v>0</v>
      </c>
      <c r="H210" s="238">
        <v>0</v>
      </c>
      <c r="I210" s="238">
        <f>SUM(Assem[[#This Row],[S1Qty]],Assem[[#This Row],[S2Qty]],Assem[[#This Row],[S3Qty]])</f>
        <v>0</v>
      </c>
      <c r="J210" s="240"/>
    </row>
    <row r="211" spans="1:10" x14ac:dyDescent="0.2">
      <c r="A211" s="129">
        <v>45464</v>
      </c>
      <c r="B211" s="235" t="s">
        <v>22</v>
      </c>
      <c r="C211" s="236"/>
      <c r="D211" s="236"/>
      <c r="E211" s="237" t="str">
        <f>IF(Assem[[#This Row],[Total]]&gt;0,"Running","Down")</f>
        <v>Down</v>
      </c>
      <c r="F211" s="238">
        <v>0</v>
      </c>
      <c r="G211" s="238">
        <v>0</v>
      </c>
      <c r="H211" s="238">
        <v>0</v>
      </c>
      <c r="I211" s="238">
        <f>SUM(Assem[[#This Row],[S1Qty]],Assem[[#This Row],[S2Qty]],Assem[[#This Row],[S3Qty]])</f>
        <v>0</v>
      </c>
      <c r="J211" s="240"/>
    </row>
    <row r="212" spans="1:10" x14ac:dyDescent="0.2">
      <c r="A212" s="129">
        <v>45464</v>
      </c>
      <c r="B212" s="235" t="s">
        <v>161</v>
      </c>
      <c r="C212" s="236"/>
      <c r="D212" s="236"/>
      <c r="E212" s="237" t="str">
        <f>IF(Assem[[#This Row],[Total]]&gt;0,"Running","Down")</f>
        <v>Down</v>
      </c>
      <c r="F212" s="239">
        <v>0</v>
      </c>
      <c r="G212" s="239">
        <v>0</v>
      </c>
      <c r="H212" s="239">
        <v>0</v>
      </c>
      <c r="I212" s="239">
        <f>SUM(Assem[[#This Row],[S1Qty]],Assem[[#This Row],[S2Qty]],Assem[[#This Row],[S3Qty]])</f>
        <v>0</v>
      </c>
      <c r="J212" s="240"/>
    </row>
    <row r="213" spans="1:10" x14ac:dyDescent="0.2">
      <c r="A213" s="129">
        <v>45464</v>
      </c>
      <c r="B213" s="235" t="s">
        <v>170</v>
      </c>
      <c r="C213" s="236"/>
      <c r="D213" s="236"/>
      <c r="E213" s="237" t="str">
        <f>IF(Assem[[#This Row],[Total]]&gt;0,"Running","Down")</f>
        <v>Down</v>
      </c>
      <c r="F213" s="239">
        <v>0</v>
      </c>
      <c r="G213" s="239">
        <v>0</v>
      </c>
      <c r="H213" s="239">
        <v>0</v>
      </c>
      <c r="I213" s="239">
        <f>SUM(Assem[[#This Row],[S1Qty]],Assem[[#This Row],[S2Qty]],Assem[[#This Row],[S3Qty]])</f>
        <v>0</v>
      </c>
      <c r="J213" s="240"/>
    </row>
    <row r="214" spans="1:10" x14ac:dyDescent="0.2">
      <c r="A214" s="129">
        <v>45464</v>
      </c>
      <c r="B214" s="235" t="s">
        <v>171</v>
      </c>
      <c r="C214" s="236"/>
      <c r="D214" s="236"/>
      <c r="E214" s="237" t="str">
        <f>IF(Assem[[#This Row],[Total]]&gt;0,"Running","Down")</f>
        <v>Down</v>
      </c>
      <c r="F214" s="239">
        <v>0</v>
      </c>
      <c r="G214" s="239">
        <v>0</v>
      </c>
      <c r="H214" s="239">
        <v>0</v>
      </c>
      <c r="I214" s="239">
        <f>SUM(Assem[[#This Row],[S1Qty]],Assem[[#This Row],[S2Qty]],Assem[[#This Row],[S3Qty]])</f>
        <v>0</v>
      </c>
      <c r="J214" s="240"/>
    </row>
    <row r="215" spans="1:10" x14ac:dyDescent="0.2">
      <c r="A215" s="129">
        <v>45464</v>
      </c>
      <c r="B215" s="235" t="s">
        <v>191</v>
      </c>
      <c r="C215" s="236"/>
      <c r="D215" s="236"/>
      <c r="E215" s="237" t="str">
        <f>IF(Assem[[#This Row],[Total]]&gt;0,"Running","Down")</f>
        <v>Down</v>
      </c>
      <c r="F215" s="239">
        <v>0</v>
      </c>
      <c r="G215" s="239">
        <v>0</v>
      </c>
      <c r="H215" s="239">
        <v>0</v>
      </c>
      <c r="I215" s="239">
        <f>SUM(Assem[[#This Row],[S1Qty]],Assem[[#This Row],[S2Qty]],Assem[[#This Row],[S3Qty]])</f>
        <v>0</v>
      </c>
      <c r="J215" s="240"/>
    </row>
    <row r="216" spans="1:10" hidden="1" x14ac:dyDescent="0.2">
      <c r="A216" s="129">
        <v>45465</v>
      </c>
      <c r="B216" s="251" t="s">
        <v>17</v>
      </c>
      <c r="C216" s="123"/>
      <c r="D216" s="123"/>
      <c r="E216" s="252" t="str">
        <f>IF(Assem[[#This Row],[Total]]&gt;0,"Running","Down")</f>
        <v>Down</v>
      </c>
      <c r="F216" s="144">
        <v>0</v>
      </c>
      <c r="G216" s="144">
        <v>0</v>
      </c>
      <c r="H216" s="144">
        <v>0</v>
      </c>
      <c r="I216" s="144">
        <f>SUM(Assem[[#This Row],[S1Qty]],Assem[[#This Row],[S2Qty]],Assem[[#This Row],[S3Qty]])</f>
        <v>0</v>
      </c>
      <c r="J216" s="253"/>
    </row>
    <row r="217" spans="1:10" hidden="1" x14ac:dyDescent="0.2">
      <c r="A217" s="129">
        <v>45465</v>
      </c>
      <c r="B217" s="251" t="s">
        <v>18</v>
      </c>
      <c r="C217" s="123"/>
      <c r="D217" s="123"/>
      <c r="E217" s="252" t="str">
        <f>IF(Assem[[#This Row],[Total]]&gt;0,"Running","Down")</f>
        <v>Down</v>
      </c>
      <c r="F217" s="144">
        <v>0</v>
      </c>
      <c r="G217" s="144">
        <v>0</v>
      </c>
      <c r="H217" s="144">
        <v>0</v>
      </c>
      <c r="I217" s="144">
        <f>SUM(Assem[[#This Row],[S1Qty]],Assem[[#This Row],[S2Qty]],Assem[[#This Row],[S3Qty]])</f>
        <v>0</v>
      </c>
      <c r="J217" s="253"/>
    </row>
    <row r="218" spans="1:10" hidden="1" x14ac:dyDescent="0.2">
      <c r="A218" s="129">
        <v>45465</v>
      </c>
      <c r="B218" s="251" t="s">
        <v>19</v>
      </c>
      <c r="C218" s="123"/>
      <c r="D218" s="123"/>
      <c r="E218" s="252" t="str">
        <f>IF(Assem[[#This Row],[Total]]&gt;0,"Running","Down")</f>
        <v>Down</v>
      </c>
      <c r="F218" s="144">
        <v>0</v>
      </c>
      <c r="G218" s="144">
        <v>0</v>
      </c>
      <c r="H218" s="144">
        <v>0</v>
      </c>
      <c r="I218" s="144">
        <f>SUM(Assem[[#This Row],[S1Qty]],Assem[[#This Row],[S2Qty]],Assem[[#This Row],[S3Qty]])</f>
        <v>0</v>
      </c>
      <c r="J218" s="253"/>
    </row>
    <row r="219" spans="1:10" hidden="1" x14ac:dyDescent="0.2">
      <c r="A219" s="129">
        <v>45465</v>
      </c>
      <c r="B219" s="251" t="s">
        <v>20</v>
      </c>
      <c r="C219" s="123"/>
      <c r="D219" s="123"/>
      <c r="E219" s="252" t="str">
        <f>IF(Assem[[#This Row],[Total]]&gt;0,"Running","Down")</f>
        <v>Down</v>
      </c>
      <c r="F219" s="144">
        <v>0</v>
      </c>
      <c r="G219" s="144">
        <v>0</v>
      </c>
      <c r="H219" s="144">
        <v>0</v>
      </c>
      <c r="I219" s="144">
        <f>SUM(Assem[[#This Row],[S1Qty]],Assem[[#This Row],[S2Qty]],Assem[[#This Row],[S3Qty]])</f>
        <v>0</v>
      </c>
      <c r="J219" s="253"/>
    </row>
    <row r="220" spans="1:10" hidden="1" x14ac:dyDescent="0.2">
      <c r="A220" s="129">
        <v>45465</v>
      </c>
      <c r="B220" s="251" t="s">
        <v>21</v>
      </c>
      <c r="C220" s="123"/>
      <c r="D220" s="123"/>
      <c r="E220" s="252" t="str">
        <f>IF(Assem[[#This Row],[Total]]&gt;0,"Running","Down")</f>
        <v>Down</v>
      </c>
      <c r="F220" s="144">
        <v>0</v>
      </c>
      <c r="G220" s="144">
        <v>0</v>
      </c>
      <c r="H220" s="144">
        <v>0</v>
      </c>
      <c r="I220" s="144">
        <f>SUM(Assem[[#This Row],[S1Qty]],Assem[[#This Row],[S2Qty]],Assem[[#This Row],[S3Qty]])</f>
        <v>0</v>
      </c>
      <c r="J220" s="253"/>
    </row>
    <row r="221" spans="1:10" hidden="1" x14ac:dyDescent="0.2">
      <c r="A221" s="129">
        <v>45465</v>
      </c>
      <c r="B221" s="251" t="s">
        <v>22</v>
      </c>
      <c r="C221" s="123"/>
      <c r="D221" s="123"/>
      <c r="E221" s="252" t="str">
        <f>IF(Assem[[#This Row],[Total]]&gt;0,"Running","Down")</f>
        <v>Down</v>
      </c>
      <c r="F221" s="144">
        <v>0</v>
      </c>
      <c r="G221" s="144">
        <v>0</v>
      </c>
      <c r="H221" s="144">
        <v>0</v>
      </c>
      <c r="I221" s="144">
        <f>SUM(Assem[[#This Row],[S1Qty]],Assem[[#This Row],[S2Qty]],Assem[[#This Row],[S3Qty]])</f>
        <v>0</v>
      </c>
      <c r="J221" s="253"/>
    </row>
    <row r="222" spans="1:10" hidden="1" x14ac:dyDescent="0.2">
      <c r="A222" s="129">
        <v>45465</v>
      </c>
      <c r="B222" s="251" t="s">
        <v>161</v>
      </c>
      <c r="C222" s="123"/>
      <c r="D222" s="123"/>
      <c r="E222" s="252" t="str">
        <f>IF(Assem[[#This Row],[Total]]&gt;0,"Running","Down")</f>
        <v>Down</v>
      </c>
      <c r="F222" s="124">
        <v>0</v>
      </c>
      <c r="G222" s="124">
        <v>0</v>
      </c>
      <c r="H222" s="124">
        <v>0</v>
      </c>
      <c r="I222" s="124">
        <f>SUM(Assem[[#This Row],[S1Qty]],Assem[[#This Row],[S2Qty]],Assem[[#This Row],[S3Qty]])</f>
        <v>0</v>
      </c>
      <c r="J222" s="253"/>
    </row>
    <row r="223" spans="1:10" hidden="1" x14ac:dyDescent="0.2">
      <c r="A223" s="129">
        <v>45465</v>
      </c>
      <c r="B223" s="251" t="s">
        <v>170</v>
      </c>
      <c r="C223" s="123"/>
      <c r="D223" s="123"/>
      <c r="E223" s="252" t="str">
        <f>IF(Assem[[#This Row],[Total]]&gt;0,"Running","Down")</f>
        <v>Down</v>
      </c>
      <c r="F223" s="124">
        <v>0</v>
      </c>
      <c r="G223" s="124">
        <v>0</v>
      </c>
      <c r="H223" s="124">
        <v>0</v>
      </c>
      <c r="I223" s="124">
        <f>SUM(Assem[[#This Row],[S1Qty]],Assem[[#This Row],[S2Qty]],Assem[[#This Row],[S3Qty]])</f>
        <v>0</v>
      </c>
      <c r="J223" s="253"/>
    </row>
    <row r="224" spans="1:10" hidden="1" x14ac:dyDescent="0.2">
      <c r="A224" s="129">
        <v>45465</v>
      </c>
      <c r="B224" s="251" t="s">
        <v>171</v>
      </c>
      <c r="C224" s="123"/>
      <c r="D224" s="123"/>
      <c r="E224" s="252" t="str">
        <f>IF(Assem[[#This Row],[Total]]&gt;0,"Running","Down")</f>
        <v>Down</v>
      </c>
      <c r="F224" s="124">
        <v>0</v>
      </c>
      <c r="G224" s="124">
        <v>0</v>
      </c>
      <c r="H224" s="124">
        <v>0</v>
      </c>
      <c r="I224" s="124">
        <f>SUM(Assem[[#This Row],[S1Qty]],Assem[[#This Row],[S2Qty]],Assem[[#This Row],[S3Qty]])</f>
        <v>0</v>
      </c>
      <c r="J224" s="253"/>
    </row>
    <row r="225" spans="1:10" hidden="1" x14ac:dyDescent="0.2">
      <c r="A225" s="129">
        <v>45465</v>
      </c>
      <c r="B225" s="251" t="s">
        <v>191</v>
      </c>
      <c r="C225" s="123"/>
      <c r="D225" s="123"/>
      <c r="E225" s="252" t="str">
        <f>IF(Assem[[#This Row],[Total]]&gt;0,"Running","Down")</f>
        <v>Down</v>
      </c>
      <c r="F225" s="124">
        <v>0</v>
      </c>
      <c r="G225" s="124">
        <v>0</v>
      </c>
      <c r="H225" s="124">
        <v>0</v>
      </c>
      <c r="I225" s="124">
        <f>SUM(Assem[[#This Row],[S1Qty]],Assem[[#This Row],[S2Qty]],Assem[[#This Row],[S3Qty]])</f>
        <v>0</v>
      </c>
      <c r="J225" s="253"/>
    </row>
    <row r="226" spans="1:10" x14ac:dyDescent="0.2">
      <c r="B226" s="142"/>
      <c r="C226" s="123"/>
      <c r="D226" s="123"/>
      <c r="E226" s="143"/>
      <c r="F226" s="144"/>
      <c r="G226" s="144"/>
      <c r="H226" s="144"/>
      <c r="I226" s="144"/>
      <c r="J226" s="145"/>
    </row>
    <row r="227" spans="1:10" x14ac:dyDescent="0.2">
      <c r="B227" s="142"/>
      <c r="C227" s="123"/>
      <c r="D227" s="123"/>
      <c r="E227" s="143"/>
      <c r="F227" s="144"/>
      <c r="G227" s="144"/>
      <c r="H227" s="144"/>
      <c r="I227" s="144"/>
      <c r="J227" s="145"/>
    </row>
    <row r="228" spans="1:10" x14ac:dyDescent="0.2">
      <c r="B228" s="142"/>
      <c r="C228" s="123"/>
      <c r="D228" s="123"/>
      <c r="E228" s="143"/>
      <c r="F228" s="124"/>
      <c r="G228" s="124"/>
      <c r="H228" s="124"/>
      <c r="I228" s="124"/>
      <c r="J228" s="145"/>
    </row>
    <row r="230" spans="1:10" x14ac:dyDescent="0.2">
      <c r="B230" s="146"/>
      <c r="C230" s="147"/>
      <c r="D230" s="147"/>
      <c r="E230" s="148"/>
      <c r="F230" s="150"/>
      <c r="G230" s="150"/>
      <c r="H230" s="150"/>
      <c r="I230" s="150"/>
      <c r="J230" s="151"/>
    </row>
    <row r="231" spans="1:10" x14ac:dyDescent="0.2">
      <c r="B231" s="146"/>
      <c r="C231" s="147"/>
      <c r="D231" s="147"/>
      <c r="E231" s="148"/>
      <c r="F231" s="150"/>
      <c r="G231" s="150"/>
      <c r="H231" s="150"/>
      <c r="I231" s="150"/>
      <c r="J231" s="151"/>
    </row>
    <row r="232" spans="1:10" x14ac:dyDescent="0.2">
      <c r="B232" s="146"/>
      <c r="C232" s="147"/>
      <c r="D232" s="147"/>
      <c r="E232" s="148"/>
      <c r="F232" s="149"/>
      <c r="G232" s="149"/>
      <c r="H232" s="149"/>
      <c r="I232" s="149"/>
      <c r="J232" s="151"/>
    </row>
    <row r="233" spans="1:10" x14ac:dyDescent="0.2">
      <c r="B233" s="146"/>
      <c r="C233" s="147"/>
      <c r="D233" s="147"/>
      <c r="E233" s="148"/>
      <c r="F233" s="149"/>
      <c r="G233" s="149"/>
      <c r="H233" s="149"/>
      <c r="I233" s="149"/>
      <c r="J233" s="151"/>
    </row>
    <row r="234" spans="1:10" x14ac:dyDescent="0.2">
      <c r="B234" s="146"/>
      <c r="C234" s="147"/>
      <c r="D234" s="147"/>
      <c r="E234" s="148"/>
      <c r="F234" s="149"/>
      <c r="G234" s="149"/>
      <c r="H234" s="149"/>
      <c r="I234" s="149"/>
      <c r="J234" s="151"/>
    </row>
    <row r="235" spans="1:10" x14ac:dyDescent="0.2">
      <c r="B235" s="146"/>
      <c r="C235" s="147"/>
      <c r="D235" s="147"/>
      <c r="E235" s="148"/>
      <c r="F235" s="149"/>
      <c r="G235" s="149"/>
      <c r="H235" s="149"/>
      <c r="I235" s="149"/>
      <c r="J235" s="151"/>
    </row>
    <row r="236" spans="1:10" x14ac:dyDescent="0.2">
      <c r="B236" s="146"/>
      <c r="C236" s="147"/>
      <c r="D236" s="147"/>
      <c r="E236" s="148"/>
      <c r="F236" s="150"/>
      <c r="G236" s="150"/>
      <c r="H236" s="150"/>
      <c r="I236" s="150"/>
      <c r="J236" s="151"/>
    </row>
    <row r="238" spans="1:10" x14ac:dyDescent="0.2">
      <c r="B238" s="146"/>
      <c r="C238" s="147"/>
      <c r="D238" s="147"/>
      <c r="E238" s="148"/>
      <c r="F238" s="150"/>
      <c r="G238" s="150"/>
      <c r="H238" s="150"/>
      <c r="I238" s="150"/>
      <c r="J238" s="151"/>
    </row>
    <row r="239" spans="1:10" x14ac:dyDescent="0.2">
      <c r="B239" s="146"/>
      <c r="C239" s="147"/>
      <c r="D239" s="147"/>
      <c r="E239" s="148"/>
      <c r="F239" s="149"/>
      <c r="G239" s="149"/>
      <c r="H239" s="149"/>
      <c r="I239" s="149"/>
      <c r="J239" s="151"/>
    </row>
    <row r="240" spans="1:10" x14ac:dyDescent="0.2">
      <c r="B240" s="146"/>
      <c r="C240" s="147"/>
      <c r="D240" s="147"/>
      <c r="E240" s="148"/>
      <c r="F240" s="149"/>
      <c r="G240" s="149"/>
      <c r="H240" s="149"/>
      <c r="I240" s="149"/>
      <c r="J240" s="151"/>
    </row>
    <row r="241" spans="2:10" x14ac:dyDescent="0.2">
      <c r="B241" s="146"/>
      <c r="C241" s="147"/>
      <c r="D241" s="147"/>
      <c r="E241" s="148"/>
      <c r="F241" s="149"/>
      <c r="G241" s="149"/>
      <c r="H241" s="149"/>
      <c r="I241" s="149"/>
      <c r="J241" s="151"/>
    </row>
    <row r="242" spans="2:10" x14ac:dyDescent="0.2">
      <c r="B242" s="146"/>
      <c r="C242" s="147"/>
      <c r="D242" s="147"/>
      <c r="E242" s="148"/>
      <c r="F242" s="149"/>
      <c r="G242" s="149"/>
      <c r="H242" s="149"/>
      <c r="I242" s="149"/>
      <c r="J242" s="151"/>
    </row>
    <row r="243" spans="2:10" x14ac:dyDescent="0.2">
      <c r="B243" s="146"/>
      <c r="C243" s="147"/>
      <c r="D243" s="147"/>
      <c r="E243" s="148"/>
      <c r="F243" s="150"/>
      <c r="G243" s="150"/>
      <c r="H243" s="150"/>
      <c r="I243" s="150"/>
      <c r="J243" s="151"/>
    </row>
    <row r="245" spans="2:10" x14ac:dyDescent="0.2">
      <c r="B245" s="146"/>
      <c r="C245" s="147"/>
      <c r="D245" s="147"/>
      <c r="E245" s="148"/>
      <c r="F245" s="150"/>
      <c r="G245" s="150"/>
      <c r="H245" s="150"/>
      <c r="I245" s="150"/>
      <c r="J245" s="151"/>
    </row>
    <row r="246" spans="2:10" x14ac:dyDescent="0.2">
      <c r="B246" s="146"/>
      <c r="C246" s="147"/>
      <c r="D246" s="147"/>
      <c r="E246" s="148"/>
      <c r="F246" s="149"/>
      <c r="G246" s="149"/>
      <c r="H246" s="149"/>
      <c r="I246" s="149"/>
      <c r="J246" s="151"/>
    </row>
    <row r="247" spans="2:10" x14ac:dyDescent="0.2">
      <c r="B247" s="146"/>
      <c r="C247" s="147"/>
      <c r="D247" s="147"/>
      <c r="E247" s="148"/>
      <c r="F247" s="149"/>
      <c r="G247" s="149"/>
      <c r="H247" s="149"/>
      <c r="I247" s="149"/>
      <c r="J247" s="151"/>
    </row>
    <row r="248" spans="2:10" x14ac:dyDescent="0.2">
      <c r="B248" s="146"/>
      <c r="C248" s="147"/>
      <c r="D248" s="147"/>
      <c r="E248" s="148"/>
      <c r="F248" s="149"/>
      <c r="G248" s="149"/>
      <c r="H248" s="149"/>
      <c r="I248" s="149"/>
      <c r="J248" s="151"/>
    </row>
    <row r="249" spans="2:10" x14ac:dyDescent="0.2">
      <c r="B249" s="146"/>
      <c r="C249" s="147"/>
      <c r="D249" s="147"/>
      <c r="E249" s="148"/>
      <c r="F249" s="149"/>
      <c r="G249" s="149"/>
      <c r="H249" s="149"/>
      <c r="I249" s="149"/>
      <c r="J249" s="151"/>
    </row>
    <row r="250" spans="2:10" x14ac:dyDescent="0.2">
      <c r="B250" s="146"/>
      <c r="C250" s="147"/>
      <c r="D250" s="147"/>
      <c r="E250" s="148"/>
      <c r="F250" s="150"/>
      <c r="G250" s="150"/>
      <c r="H250" s="150"/>
      <c r="I250" s="150"/>
      <c r="J250" s="151"/>
    </row>
    <row r="252" spans="2:10" x14ac:dyDescent="0.2">
      <c r="B252" s="146"/>
      <c r="C252" s="147"/>
      <c r="D252" s="147"/>
      <c r="E252" s="148"/>
      <c r="F252" s="150"/>
      <c r="G252" s="150"/>
      <c r="H252" s="150"/>
      <c r="I252" s="150"/>
      <c r="J252" s="151"/>
    </row>
    <row r="253" spans="2:10" x14ac:dyDescent="0.2">
      <c r="B253" s="146"/>
      <c r="C253" s="147"/>
      <c r="D253" s="147"/>
      <c r="E253" s="148"/>
      <c r="F253" s="150"/>
      <c r="G253" s="150"/>
      <c r="H253" s="150"/>
      <c r="I253" s="150"/>
      <c r="J253" s="151"/>
    </row>
    <row r="254" spans="2:10" x14ac:dyDescent="0.2">
      <c r="B254" s="146"/>
      <c r="C254" s="147"/>
      <c r="D254" s="147"/>
      <c r="E254" s="148"/>
      <c r="F254" s="149"/>
      <c r="G254" s="149"/>
      <c r="H254" s="149"/>
      <c r="I254" s="149"/>
      <c r="J254" s="151"/>
    </row>
    <row r="255" spans="2:10" x14ac:dyDescent="0.2">
      <c r="B255" s="146"/>
      <c r="C255" s="147"/>
      <c r="D255" s="147"/>
      <c r="E255" s="148"/>
      <c r="F255" s="149"/>
      <c r="G255" s="149"/>
      <c r="H255" s="149"/>
      <c r="I255" s="149"/>
      <c r="J255" s="151"/>
    </row>
    <row r="256" spans="2:10" x14ac:dyDescent="0.2">
      <c r="B256" s="146"/>
      <c r="C256" s="147"/>
      <c r="D256" s="147"/>
      <c r="E256" s="148"/>
      <c r="F256" s="149"/>
      <c r="G256" s="149"/>
      <c r="H256" s="149"/>
      <c r="I256" s="149"/>
      <c r="J256" s="151"/>
    </row>
    <row r="257" spans="2:10" x14ac:dyDescent="0.2">
      <c r="B257" s="146"/>
      <c r="C257" s="147"/>
      <c r="D257" s="147"/>
      <c r="E257" s="148"/>
      <c r="F257" s="149"/>
      <c r="G257" s="149"/>
      <c r="H257" s="149"/>
      <c r="I257" s="149"/>
      <c r="J257" s="151"/>
    </row>
    <row r="258" spans="2:10" x14ac:dyDescent="0.2">
      <c r="B258" s="146"/>
      <c r="C258" s="147"/>
      <c r="D258" s="147"/>
      <c r="E258" s="148"/>
      <c r="F258" s="150"/>
      <c r="G258" s="150"/>
      <c r="H258" s="150"/>
      <c r="I258" s="150"/>
      <c r="J258" s="151"/>
    </row>
    <row r="261" spans="2:10" x14ac:dyDescent="0.2">
      <c r="B261" s="146"/>
      <c r="C261" s="147"/>
      <c r="D261" s="147"/>
      <c r="E261" s="148"/>
      <c r="F261" s="149"/>
      <c r="G261" s="149"/>
      <c r="H261" s="149"/>
      <c r="I261" s="149"/>
      <c r="J261" s="151"/>
    </row>
    <row r="262" spans="2:10" x14ac:dyDescent="0.2">
      <c r="B262" s="146"/>
      <c r="C262" s="147"/>
      <c r="D262" s="147"/>
      <c r="E262" s="148"/>
      <c r="F262" s="149"/>
      <c r="G262" s="149"/>
      <c r="H262" s="149"/>
      <c r="I262" s="149"/>
      <c r="J262" s="151"/>
    </row>
    <row r="263" spans="2:10" x14ac:dyDescent="0.2">
      <c r="B263" s="146"/>
      <c r="C263" s="147"/>
      <c r="D263" s="147"/>
      <c r="E263" s="148"/>
      <c r="F263" s="149"/>
      <c r="G263" s="149"/>
      <c r="H263" s="149"/>
      <c r="I263" s="149"/>
      <c r="J263" s="151"/>
    </row>
    <row r="264" spans="2:10" x14ac:dyDescent="0.2">
      <c r="B264" s="146"/>
      <c r="C264" s="147"/>
      <c r="D264" s="147"/>
      <c r="E264" s="148"/>
      <c r="F264" s="149"/>
      <c r="G264" s="149"/>
      <c r="H264" s="149"/>
      <c r="I264" s="149"/>
      <c r="J264" s="151"/>
    </row>
    <row r="265" spans="2:10" x14ac:dyDescent="0.2">
      <c r="B265" s="146"/>
      <c r="C265" s="147"/>
      <c r="D265" s="147"/>
      <c r="E265" s="148"/>
      <c r="F265" s="150"/>
      <c r="G265" s="150"/>
      <c r="H265" s="150"/>
      <c r="I265" s="150"/>
      <c r="J265" s="151"/>
    </row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</sheetData>
  <mergeCells count="1">
    <mergeCell ref="J2:M2"/>
  </mergeCells>
  <conditionalFormatting sqref="E246:J250 D252:J252 B238 B245:B250">
    <cfRule type="expression" dxfId="46" priority="7264">
      <formula>$A238=MAX($A238:$A399)-1</formula>
    </cfRule>
  </conditionalFormatting>
  <conditionalFormatting sqref="E261:J265 B261:B265">
    <cfRule type="expression" dxfId="45" priority="69">
      <formula>$A261=MAX($A261:$A393)-1</formula>
    </cfRule>
  </conditionalFormatting>
  <conditionalFormatting sqref="C261:D265">
    <cfRule type="expression" dxfId="44" priority="70">
      <formula>$A261=MAX($A261:$A400)-1</formula>
    </cfRule>
  </conditionalFormatting>
  <conditionalFormatting sqref="B252">
    <cfRule type="expression" dxfId="43" priority="7417">
      <formula>$A252=MAX($A252:$A406)-1</formula>
    </cfRule>
  </conditionalFormatting>
  <conditionalFormatting sqref="C253">
    <cfRule type="expression" dxfId="42" priority="58">
      <formula>$A253=MAX($A253:$A413)-1</formula>
    </cfRule>
  </conditionalFormatting>
  <conditionalFormatting sqref="E253:J253">
    <cfRule type="expression" dxfId="41" priority="59">
      <formula>$A253=MAX($A253:$A406)-1</formula>
    </cfRule>
  </conditionalFormatting>
  <conditionalFormatting sqref="E254:J258 B253:B258">
    <cfRule type="expression" dxfId="40" priority="60">
      <formula>$A253=MAX($A253:$A400)-1</formula>
    </cfRule>
  </conditionalFormatting>
  <conditionalFormatting sqref="C254:D258 D253">
    <cfRule type="expression" dxfId="39" priority="61">
      <formula>$A253=MAX($A253:$A407)-1</formula>
    </cfRule>
  </conditionalFormatting>
  <conditionalFormatting sqref="C246:D250 C252 D238:J238 E239:J243 D245:J245 B239:B243">
    <cfRule type="expression" dxfId="38" priority="7736">
      <formula>$A238=MAX($A238:$A406)-1</formula>
    </cfRule>
  </conditionalFormatting>
  <conditionalFormatting sqref="C238 C239:D243 C245">
    <cfRule type="expression" dxfId="37" priority="7826">
      <formula>$A238=MAX($A238:$A413)-1</formula>
    </cfRule>
  </conditionalFormatting>
  <conditionalFormatting sqref="B230">
    <cfRule type="expression" dxfId="36" priority="7981">
      <formula>$A230=MAX($A230:$A420)-1</formula>
    </cfRule>
  </conditionalFormatting>
  <conditionalFormatting sqref="C231">
    <cfRule type="expression" dxfId="35" priority="38">
      <formula>$A231=MAX($A231:$A434)-1</formula>
    </cfRule>
  </conditionalFormatting>
  <conditionalFormatting sqref="E231:J231">
    <cfRule type="expression" dxfId="34" priority="40">
      <formula>$A231=MAX($A231:$A420)-1</formula>
    </cfRule>
  </conditionalFormatting>
  <conditionalFormatting sqref="C232:D236">
    <cfRule type="expression" dxfId="33" priority="41">
      <formula>$A232=MAX($A232:$A422)-1</formula>
    </cfRule>
  </conditionalFormatting>
  <conditionalFormatting sqref="E232:J236 B231:B236">
    <cfRule type="expression" dxfId="32" priority="42">
      <formula>$A231=MAX($A231:$A414)-1</formula>
    </cfRule>
  </conditionalFormatting>
  <conditionalFormatting sqref="A5:J225">
    <cfRule type="expression" dxfId="31" priority="7982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AK85"/>
  <sheetViews>
    <sheetView workbookViewId="0">
      <pane ySplit="5" topLeftCell="A42" activePane="bottomLeft" state="frozen"/>
      <selection pane="bottomLeft" activeCell="N68" sqref="N68"/>
    </sheetView>
  </sheetViews>
  <sheetFormatPr defaultRowHeight="12.75" x14ac:dyDescent="0.2"/>
  <cols>
    <col min="1" max="1" width="8.140625" style="163" customWidth="1"/>
    <col min="2" max="2" width="10.85546875" style="163" customWidth="1"/>
    <col min="3" max="3" width="11" style="163" bestFit="1" customWidth="1"/>
    <col min="4" max="4" width="15.42578125" style="163" customWidth="1"/>
    <col min="5" max="5" width="10.140625" style="163" customWidth="1"/>
    <col min="6" max="6" width="10.42578125" style="163" customWidth="1"/>
    <col min="7" max="7" width="11.7109375" style="163" customWidth="1"/>
    <col min="8" max="8" width="11.42578125" style="163" customWidth="1"/>
    <col min="9" max="9" width="11.28515625" style="163" customWidth="1"/>
    <col min="10" max="10" width="9.140625" style="163" bestFit="1" customWidth="1"/>
    <col min="11" max="11" width="34" style="163" customWidth="1"/>
    <col min="12" max="12" width="11.85546875" style="163" bestFit="1" customWidth="1"/>
    <col min="13" max="13" width="9" style="163" bestFit="1" customWidth="1"/>
    <col min="14" max="23" width="9" style="163" customWidth="1"/>
    <col min="24" max="24" width="11.7109375" style="163" customWidth="1"/>
    <col min="25" max="25" width="24.5703125" style="163" customWidth="1"/>
    <col min="26" max="26" width="8.5703125" style="163" customWidth="1"/>
    <col min="27" max="27" width="11.28515625" style="163" bestFit="1" customWidth="1"/>
    <col min="28" max="28" width="8.7109375" style="163" bestFit="1" customWidth="1"/>
    <col min="29" max="29" width="9.85546875" style="163" bestFit="1" customWidth="1"/>
    <col min="30" max="30" width="10.140625" style="163" bestFit="1" customWidth="1"/>
    <col min="31" max="31" width="8.5703125" style="163" bestFit="1" customWidth="1"/>
    <col min="32" max="32" width="9.42578125" style="163" bestFit="1" customWidth="1"/>
    <col min="33" max="33" width="9" style="163" bestFit="1" customWidth="1"/>
    <col min="34" max="34" width="8.140625" style="163" bestFit="1" customWidth="1"/>
    <col min="35" max="35" width="9.42578125" style="163" bestFit="1" customWidth="1"/>
    <col min="36" max="36" width="8" style="163" bestFit="1" customWidth="1"/>
    <col min="37" max="37" width="8.85546875" style="163" bestFit="1" customWidth="1"/>
    <col min="38" max="38" width="8.42578125" style="163" bestFit="1" customWidth="1"/>
    <col min="39" max="39" width="9.28515625" style="163" bestFit="1" customWidth="1"/>
    <col min="40" max="40" width="9.42578125" style="163" bestFit="1" customWidth="1"/>
    <col min="41" max="41" width="9" style="163" bestFit="1" customWidth="1"/>
    <col min="42" max="42" width="10.28515625" style="163" bestFit="1" customWidth="1"/>
    <col min="43" max="43" width="8.7109375" style="163" bestFit="1" customWidth="1"/>
    <col min="44" max="44" width="9.85546875" style="163" bestFit="1" customWidth="1"/>
    <col min="45" max="45" width="11.28515625" style="163" bestFit="1" customWidth="1"/>
    <col min="46" max="46" width="8.7109375" style="163" bestFit="1" customWidth="1"/>
    <col min="47" max="47" width="9.85546875" style="163" bestFit="1" customWidth="1"/>
    <col min="48" max="48" width="9.28515625" style="163" bestFit="1" customWidth="1"/>
    <col min="49" max="49" width="8.5703125" style="163" bestFit="1" customWidth="1"/>
    <col min="50" max="50" width="9.42578125" style="163" bestFit="1" customWidth="1"/>
    <col min="51" max="51" width="9" style="163" bestFit="1" customWidth="1"/>
    <col min="52" max="52" width="8.140625" style="163" bestFit="1" customWidth="1"/>
    <col min="53" max="53" width="9.42578125" style="163" bestFit="1" customWidth="1"/>
    <col min="54" max="54" width="8" style="163" bestFit="1" customWidth="1"/>
    <col min="55" max="55" width="8.85546875" style="163" bestFit="1" customWidth="1"/>
    <col min="56" max="56" width="8.42578125" style="163" bestFit="1" customWidth="1"/>
    <col min="57" max="57" width="8.85546875" style="163" bestFit="1" customWidth="1"/>
    <col min="58" max="58" width="8.42578125" style="163" bestFit="1" customWidth="1"/>
    <col min="59" max="59" width="7.85546875" style="163" bestFit="1" customWidth="1"/>
    <col min="60" max="16384" width="9.140625" style="163"/>
  </cols>
  <sheetData>
    <row r="2" spans="1:37" ht="27" thickBot="1" x14ac:dyDescent="0.45">
      <c r="A2" s="152" t="s">
        <v>23</v>
      </c>
      <c r="B2" s="153"/>
      <c r="C2" s="154"/>
      <c r="D2" s="155"/>
      <c r="E2" s="156"/>
      <c r="F2" s="157"/>
      <c r="G2" s="158"/>
      <c r="H2" s="158"/>
      <c r="I2" s="159" t="s">
        <v>40</v>
      </c>
      <c r="J2" s="330">
        <f>$A$6</f>
        <v>45444</v>
      </c>
      <c r="K2" s="330"/>
      <c r="L2" s="160"/>
      <c r="M2" s="160"/>
      <c r="N2" s="160"/>
      <c r="O2" s="160"/>
      <c r="P2" s="160"/>
      <c r="Q2" s="160"/>
      <c r="R2" s="160"/>
      <c r="S2" s="160"/>
      <c r="T2" s="160"/>
      <c r="U2" s="161"/>
      <c r="V2" s="161"/>
      <c r="W2" s="161"/>
      <c r="X2" s="158"/>
      <c r="Y2" s="160"/>
      <c r="Z2" s="162"/>
      <c r="AA2" s="162"/>
      <c r="AB2" s="161"/>
      <c r="AC2" s="161"/>
    </row>
    <row r="3" spans="1:37" ht="18.75" thickTop="1" x14ac:dyDescent="0.25">
      <c r="B3" s="164"/>
      <c r="C3" s="165"/>
      <c r="D3" s="166"/>
      <c r="E3" s="167"/>
      <c r="F3" s="158"/>
      <c r="G3" s="158"/>
      <c r="H3" s="158"/>
      <c r="I3" s="168"/>
      <c r="J3" s="168"/>
      <c r="K3" s="168"/>
      <c r="L3" s="16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68"/>
      <c r="Y3" s="168"/>
      <c r="Z3" s="168"/>
      <c r="AA3" s="168"/>
      <c r="AB3" s="158"/>
      <c r="AC3" s="168"/>
      <c r="AD3" s="168"/>
      <c r="AE3" s="168"/>
      <c r="AF3" s="168"/>
      <c r="AG3" s="168"/>
      <c r="AH3" s="168"/>
      <c r="AI3" s="168"/>
      <c r="AJ3" s="168"/>
      <c r="AK3" s="168"/>
    </row>
    <row r="4" spans="1:37" ht="12.75" customHeight="1" x14ac:dyDescent="0.25">
      <c r="B4" s="164"/>
      <c r="E4" s="167"/>
      <c r="F4" s="158"/>
      <c r="G4" s="158"/>
      <c r="H4" s="158"/>
      <c r="I4" s="168"/>
      <c r="J4" s="168"/>
      <c r="K4" s="168"/>
      <c r="L4" s="16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68"/>
      <c r="Y4" s="168"/>
      <c r="Z4" s="168"/>
      <c r="AA4" s="168"/>
      <c r="AB4" s="158"/>
      <c r="AC4" s="168"/>
      <c r="AD4" s="168"/>
      <c r="AE4" s="168"/>
      <c r="AF4" s="168"/>
      <c r="AG4" s="168"/>
      <c r="AH4" s="168"/>
      <c r="AI4" s="168"/>
      <c r="AJ4" s="168"/>
      <c r="AK4" s="168"/>
    </row>
    <row r="5" spans="1:37" s="169" customFormat="1" ht="12.75" customHeight="1" x14ac:dyDescent="0.2">
      <c r="A5" s="169" t="s">
        <v>107</v>
      </c>
      <c r="B5" s="169" t="s">
        <v>35</v>
      </c>
      <c r="C5" s="169" t="s">
        <v>25</v>
      </c>
      <c r="D5" s="169" t="s">
        <v>28</v>
      </c>
      <c r="E5" s="169" t="s">
        <v>12</v>
      </c>
      <c r="F5" s="169" t="s">
        <v>113</v>
      </c>
      <c r="G5" s="169" t="s">
        <v>119</v>
      </c>
      <c r="H5" s="169" t="s">
        <v>125</v>
      </c>
      <c r="I5" s="169" t="s">
        <v>59</v>
      </c>
      <c r="J5" s="169" t="s">
        <v>156</v>
      </c>
      <c r="K5" s="169" t="s">
        <v>147</v>
      </c>
      <c r="L5" s="169" t="s">
        <v>173</v>
      </c>
      <c r="Z5"/>
      <c r="AA5"/>
      <c r="AB5"/>
    </row>
    <row r="6" spans="1:37" x14ac:dyDescent="0.2">
      <c r="A6" s="182">
        <v>45444</v>
      </c>
      <c r="B6" s="183" t="s">
        <v>36</v>
      </c>
      <c r="C6" s="183">
        <v>27248</v>
      </c>
      <c r="D6" s="170" t="s">
        <v>204</v>
      </c>
      <c r="E6" s="183" t="str">
        <f>IF(FnlAssem[[#This Row],[Total]]&gt;0,"Running","Down")</f>
        <v>Running</v>
      </c>
      <c r="F6" s="181">
        <v>59</v>
      </c>
      <c r="G6" s="181">
        <v>44</v>
      </c>
      <c r="H6" s="181">
        <v>0</v>
      </c>
      <c r="I6" s="181">
        <f>SUM(FnlAssem[[#This Row],[S1Qty]],FnlAssem[[#This Row],[S2Qty]],FnlAssem[[#This Row],[S3Qty]])*FnlAssem[[#This Row],[Pcs/Carton]]-FnlAssem[[#This Row],[Defects]]</f>
        <v>23682</v>
      </c>
      <c r="J6" s="184">
        <v>8</v>
      </c>
      <c r="K6" s="184" t="s">
        <v>203</v>
      </c>
      <c r="L6" s="170">
        <v>230</v>
      </c>
      <c r="Z6"/>
      <c r="AA6"/>
      <c r="AB6"/>
    </row>
    <row r="7" spans="1:37" x14ac:dyDescent="0.2">
      <c r="A7" s="182">
        <v>45444</v>
      </c>
      <c r="B7" s="183" t="s">
        <v>36</v>
      </c>
      <c r="C7" s="183">
        <v>27336</v>
      </c>
      <c r="D7" s="170" t="s">
        <v>204</v>
      </c>
      <c r="E7" s="183" t="str">
        <f>IF(FnlAssem[[#This Row],[Total]]&gt;0,"Running","Down")</f>
        <v>Running</v>
      </c>
      <c r="F7" s="181">
        <v>56</v>
      </c>
      <c r="G7" s="181">
        <v>41</v>
      </c>
      <c r="H7" s="181">
        <v>0</v>
      </c>
      <c r="I7" s="181">
        <f>SUM(FnlAssem[[#This Row],[S1Qty]],FnlAssem[[#This Row],[S2Qty]],FnlAssem[[#This Row],[S3Qty]])*FnlAssem[[#This Row],[Pcs/Carton]]-FnlAssem[[#This Row],[Defects]]</f>
        <v>22302</v>
      </c>
      <c r="J7" s="184">
        <v>8</v>
      </c>
      <c r="K7" s="184"/>
      <c r="L7" s="170">
        <v>230</v>
      </c>
      <c r="Z7"/>
      <c r="AA7"/>
      <c r="AB7"/>
    </row>
    <row r="8" spans="1:37" x14ac:dyDescent="0.2">
      <c r="A8" s="182">
        <v>45444</v>
      </c>
      <c r="B8" s="183" t="s">
        <v>36</v>
      </c>
      <c r="C8" s="183">
        <v>27134</v>
      </c>
      <c r="D8" s="170" t="s">
        <v>204</v>
      </c>
      <c r="E8" s="183" t="str">
        <f>IF(FnlAssem[[#This Row],[Total]]&gt;0,"Running","Down")</f>
        <v>Running</v>
      </c>
      <c r="F8" s="181">
        <v>0</v>
      </c>
      <c r="G8" s="181">
        <v>6</v>
      </c>
      <c r="H8" s="181">
        <v>50</v>
      </c>
      <c r="I8" s="181">
        <f>SUM(FnlAssem[[#This Row],[S1Qty]],FnlAssem[[#This Row],[S2Qty]],FnlAssem[[#This Row],[S3Qty]])*FnlAssem[[#This Row],[Pcs/Carton]]-FnlAssem[[#This Row],[Defects]]</f>
        <v>12875</v>
      </c>
      <c r="J8" s="184">
        <v>5</v>
      </c>
      <c r="K8" s="184"/>
      <c r="L8" s="170">
        <v>230</v>
      </c>
      <c r="Z8"/>
      <c r="AA8"/>
      <c r="AB8"/>
    </row>
    <row r="9" spans="1:37" x14ac:dyDescent="0.2">
      <c r="A9" s="182">
        <v>45444</v>
      </c>
      <c r="B9" s="183" t="s">
        <v>36</v>
      </c>
      <c r="C9" s="183">
        <v>27136</v>
      </c>
      <c r="D9" s="170" t="s">
        <v>204</v>
      </c>
      <c r="E9" s="183" t="str">
        <f>IF(FnlAssem[[#This Row],[Total]]&gt;0,"Running","Down")</f>
        <v>Running</v>
      </c>
      <c r="F9" s="181">
        <v>0</v>
      </c>
      <c r="G9" s="181">
        <v>18</v>
      </c>
      <c r="H9" s="181">
        <v>48</v>
      </c>
      <c r="I9" s="181">
        <f>SUM(FnlAssem[[#This Row],[S1Qty]],FnlAssem[[#This Row],[S2Qty]],FnlAssem[[#This Row],[S3Qty]])*FnlAssem[[#This Row],[Pcs/Carton]]-FnlAssem[[#This Row],[Defects]]</f>
        <v>15175</v>
      </c>
      <c r="J9" s="184">
        <v>5</v>
      </c>
      <c r="K9" s="184"/>
      <c r="L9" s="170">
        <v>230</v>
      </c>
      <c r="Z9"/>
      <c r="AA9"/>
      <c r="AB9"/>
    </row>
    <row r="10" spans="1:37" x14ac:dyDescent="0.2">
      <c r="A10" s="182">
        <v>45445</v>
      </c>
      <c r="B10" s="183" t="s">
        <v>36</v>
      </c>
      <c r="C10" s="183">
        <v>27134</v>
      </c>
      <c r="D10" s="170" t="s">
        <v>204</v>
      </c>
      <c r="E10" s="183" t="str">
        <f>IF(FnlAssem[[#This Row],[Total]]&gt;0,"Running","Down")</f>
        <v>Running</v>
      </c>
      <c r="F10" s="181">
        <v>52</v>
      </c>
      <c r="G10" s="181">
        <v>0</v>
      </c>
      <c r="H10" s="181">
        <v>0</v>
      </c>
      <c r="I10" s="181">
        <f>SUM(FnlAssem[[#This Row],[S1Qty]],FnlAssem[[#This Row],[S2Qty]],FnlAssem[[#This Row],[S3Qty]])*FnlAssem[[#This Row],[Pcs/Carton]]-FnlAssem[[#This Row],[Defects]]</f>
        <v>11952</v>
      </c>
      <c r="J10" s="184">
        <v>8</v>
      </c>
      <c r="K10" s="184"/>
      <c r="L10" s="170">
        <v>230</v>
      </c>
      <c r="Z10"/>
      <c r="AA10"/>
      <c r="AB10"/>
    </row>
    <row r="11" spans="1:37" x14ac:dyDescent="0.2">
      <c r="A11" s="182">
        <v>45445</v>
      </c>
      <c r="B11" s="183" t="s">
        <v>36</v>
      </c>
      <c r="C11" s="183">
        <v>27711</v>
      </c>
      <c r="D11" s="170" t="s">
        <v>204</v>
      </c>
      <c r="E11" s="183" t="str">
        <f>IF(FnlAssem[[#This Row],[Total]]&gt;0,"Running","Down")</f>
        <v>Running</v>
      </c>
      <c r="F11" s="181">
        <v>9</v>
      </c>
      <c r="G11" s="181">
        <v>63</v>
      </c>
      <c r="H11" s="181">
        <v>53</v>
      </c>
      <c r="I11" s="181">
        <f>SUM(FnlAssem[[#This Row],[S1Qty]],FnlAssem[[#This Row],[S2Qty]],FnlAssem[[#This Row],[S3Qty]])*FnlAssem[[#This Row],[Pcs/Carton]]-FnlAssem[[#This Row],[Defects]]</f>
        <v>28738</v>
      </c>
      <c r="J11" s="184">
        <v>12</v>
      </c>
      <c r="K11" s="184"/>
      <c r="L11" s="170">
        <v>230</v>
      </c>
      <c r="Z11"/>
      <c r="AA11"/>
      <c r="AB11"/>
    </row>
    <row r="12" spans="1:37" x14ac:dyDescent="0.2">
      <c r="A12" s="182">
        <v>45445</v>
      </c>
      <c r="B12" s="183" t="s">
        <v>36</v>
      </c>
      <c r="C12" s="183">
        <v>27136</v>
      </c>
      <c r="D12" s="170" t="s">
        <v>204</v>
      </c>
      <c r="E12" s="183" t="str">
        <f>IF(FnlAssem[[#This Row],[Total]]&gt;0,"Running","Down")</f>
        <v>Running</v>
      </c>
      <c r="F12" s="181">
        <v>20</v>
      </c>
      <c r="G12" s="181">
        <v>0</v>
      </c>
      <c r="H12" s="181">
        <v>0</v>
      </c>
      <c r="I12" s="181">
        <f>SUM(FnlAssem[[#This Row],[S1Qty]],FnlAssem[[#This Row],[S2Qty]],FnlAssem[[#This Row],[S3Qty]])*FnlAssem[[#This Row],[Pcs/Carton]]-FnlAssem[[#This Row],[Defects]]</f>
        <v>4599</v>
      </c>
      <c r="J12" s="184">
        <v>1</v>
      </c>
      <c r="K12" s="184"/>
      <c r="L12" s="170">
        <v>230</v>
      </c>
      <c r="Z12"/>
      <c r="AA12"/>
      <c r="AB12"/>
    </row>
    <row r="13" spans="1:37" x14ac:dyDescent="0.2">
      <c r="A13" s="182">
        <v>45445</v>
      </c>
      <c r="B13" s="183" t="s">
        <v>36</v>
      </c>
      <c r="C13" s="183">
        <v>27712</v>
      </c>
      <c r="D13" s="170" t="s">
        <v>204</v>
      </c>
      <c r="E13" s="183" t="str">
        <f>IF(FnlAssem[[#This Row],[Total]]&gt;0,"Running","Down")</f>
        <v>Running</v>
      </c>
      <c r="F13" s="181">
        <v>36</v>
      </c>
      <c r="G13" s="181">
        <v>65</v>
      </c>
      <c r="H13" s="181">
        <v>54</v>
      </c>
      <c r="I13" s="181">
        <f>SUM(FnlAssem[[#This Row],[S1Qty]],FnlAssem[[#This Row],[S2Qty]],FnlAssem[[#This Row],[S3Qty]])*FnlAssem[[#This Row],[Pcs/Carton]]-FnlAssem[[#This Row],[Defects]]</f>
        <v>35635</v>
      </c>
      <c r="J13" s="184">
        <v>15</v>
      </c>
      <c r="K13" s="184"/>
      <c r="L13" s="170">
        <v>230</v>
      </c>
      <c r="Z13"/>
      <c r="AA13"/>
      <c r="AB13"/>
    </row>
    <row r="14" spans="1:37" x14ac:dyDescent="0.2">
      <c r="A14" s="182">
        <v>45446</v>
      </c>
      <c r="B14" s="183" t="s">
        <v>36</v>
      </c>
      <c r="C14" s="183">
        <v>27711</v>
      </c>
      <c r="D14" s="170" t="s">
        <v>204</v>
      </c>
      <c r="E14" s="183" t="str">
        <f>IF(FnlAssem[[#This Row],[Total]]&gt;0,"Running","Down")</f>
        <v>Running</v>
      </c>
      <c r="F14" s="181">
        <v>61</v>
      </c>
      <c r="G14" s="181">
        <v>62</v>
      </c>
      <c r="H14" s="181">
        <v>0</v>
      </c>
      <c r="I14" s="181">
        <f>SUM(FnlAssem[[#This Row],[S1Qty]],FnlAssem[[#This Row],[S2Qty]],FnlAssem[[#This Row],[S3Qty]])*FnlAssem[[#This Row],[Pcs/Carton]]-FnlAssem[[#This Row],[Defects]]</f>
        <v>28278</v>
      </c>
      <c r="J14" s="184">
        <v>12</v>
      </c>
      <c r="K14" s="184"/>
      <c r="L14" s="170">
        <v>230</v>
      </c>
      <c r="Z14"/>
      <c r="AA14"/>
      <c r="AB14"/>
    </row>
    <row r="15" spans="1:37" x14ac:dyDescent="0.2">
      <c r="A15" s="182">
        <v>45446</v>
      </c>
      <c r="B15" s="183" t="s">
        <v>36</v>
      </c>
      <c r="C15" s="183">
        <v>27712</v>
      </c>
      <c r="D15" s="170" t="s">
        <v>204</v>
      </c>
      <c r="E15" s="183" t="str">
        <f>IF(FnlAssem[[#This Row],[Total]]&gt;0,"Running","Down")</f>
        <v>Running</v>
      </c>
      <c r="F15" s="181">
        <v>61</v>
      </c>
      <c r="G15" s="181">
        <v>1</v>
      </c>
      <c r="H15" s="181">
        <v>18</v>
      </c>
      <c r="I15" s="181">
        <f>SUM(FnlAssem[[#This Row],[S1Qty]],FnlAssem[[#This Row],[S2Qty]],FnlAssem[[#This Row],[S3Qty]])*FnlAssem[[#This Row],[Pcs/Carton]]-FnlAssem[[#This Row],[Defects]]</f>
        <v>18390</v>
      </c>
      <c r="J15" s="184">
        <v>10</v>
      </c>
      <c r="K15" s="184"/>
      <c r="L15" s="170">
        <v>230</v>
      </c>
      <c r="Z15"/>
      <c r="AA15"/>
      <c r="AB15"/>
    </row>
    <row r="16" spans="1:37" x14ac:dyDescent="0.2">
      <c r="A16" s="182">
        <v>45446</v>
      </c>
      <c r="B16" s="183" t="s">
        <v>36</v>
      </c>
      <c r="C16" s="183">
        <v>27713</v>
      </c>
      <c r="D16" s="170" t="s">
        <v>204</v>
      </c>
      <c r="E16" s="183" t="str">
        <f>IF(FnlAssem[[#This Row],[Total]]&gt;0,"Running","Down")</f>
        <v>Running</v>
      </c>
      <c r="F16" s="181">
        <v>0</v>
      </c>
      <c r="G16" s="181">
        <v>58</v>
      </c>
      <c r="H16" s="181">
        <f>38+58</f>
        <v>96</v>
      </c>
      <c r="I16" s="181">
        <f>SUM(FnlAssem[[#This Row],[S1Qty]],FnlAssem[[#This Row],[S2Qty]],FnlAssem[[#This Row],[S3Qty]])*FnlAssem[[#This Row],[Pcs/Carton]]-FnlAssem[[#This Row],[Defects]]</f>
        <v>35402</v>
      </c>
      <c r="J16" s="184">
        <v>18</v>
      </c>
      <c r="K16" s="184"/>
      <c r="L16" s="170">
        <v>230</v>
      </c>
      <c r="Z16"/>
      <c r="AA16"/>
      <c r="AB16"/>
    </row>
    <row r="17" spans="1:28" x14ac:dyDescent="0.2">
      <c r="A17" s="182">
        <v>45447</v>
      </c>
      <c r="B17" s="183" t="s">
        <v>36</v>
      </c>
      <c r="C17" s="183">
        <v>27713</v>
      </c>
      <c r="D17" s="170" t="s">
        <v>204</v>
      </c>
      <c r="E17" s="183" t="str">
        <f>IF(FnlAssem[[#This Row],[Total]]&gt;0,"Running","Down")</f>
        <v>Running</v>
      </c>
      <c r="F17" s="181">
        <v>82</v>
      </c>
      <c r="G17" s="181">
        <v>66</v>
      </c>
      <c r="H17" s="181">
        <v>60</v>
      </c>
      <c r="I17" s="181">
        <f>SUM(FnlAssem[[#This Row],[S1Qty]],FnlAssem[[#This Row],[S2Qty]],FnlAssem[[#This Row],[S3Qty]])*FnlAssem[[#This Row],[Pcs/Carton]]-FnlAssem[[#This Row],[Defects]]</f>
        <v>47822</v>
      </c>
      <c r="J17" s="184">
        <v>18</v>
      </c>
      <c r="K17" s="184"/>
      <c r="L17" s="170">
        <v>230</v>
      </c>
      <c r="Z17"/>
      <c r="AA17"/>
      <c r="AB17"/>
    </row>
    <row r="18" spans="1:28" x14ac:dyDescent="0.2">
      <c r="A18" s="182">
        <v>45447</v>
      </c>
      <c r="B18" s="183" t="s">
        <v>36</v>
      </c>
      <c r="C18" s="183">
        <v>27501</v>
      </c>
      <c r="D18" s="170" t="s">
        <v>214</v>
      </c>
      <c r="E18" s="183" t="str">
        <f>IF(FnlAssem[[#This Row],[Total]]&gt;0,"Running","Down")</f>
        <v>Running</v>
      </c>
      <c r="F18" s="181">
        <v>38</v>
      </c>
      <c r="G18" s="181">
        <v>59</v>
      </c>
      <c r="H18" s="181">
        <v>48</v>
      </c>
      <c r="I18" s="181">
        <f>SUM(FnlAssem[[#This Row],[S1Qty]],FnlAssem[[#This Row],[S2Qty]],FnlAssem[[#This Row],[S3Qty]])*FnlAssem[[#This Row],[Pcs/Carton]]-FnlAssem[[#This Row],[Defects]]</f>
        <v>33339</v>
      </c>
      <c r="J18" s="184">
        <v>11</v>
      </c>
      <c r="K18" s="184"/>
      <c r="L18" s="170">
        <v>230</v>
      </c>
      <c r="Z18"/>
      <c r="AA18"/>
      <c r="AB18"/>
    </row>
    <row r="19" spans="1:28" x14ac:dyDescent="0.2">
      <c r="A19" s="182">
        <v>45448</v>
      </c>
      <c r="B19" s="183" t="s">
        <v>36</v>
      </c>
      <c r="C19" s="183">
        <v>27501</v>
      </c>
      <c r="D19" s="170" t="s">
        <v>214</v>
      </c>
      <c r="E19" s="183" t="str">
        <f>IF(FnlAssem[[#This Row],[Total]]&gt;0,"Running","Down")</f>
        <v>Running</v>
      </c>
      <c r="F19" s="181">
        <v>50</v>
      </c>
      <c r="G19" s="181">
        <v>21</v>
      </c>
      <c r="H19" s="181">
        <v>0</v>
      </c>
      <c r="I19" s="181">
        <f>SUM(FnlAssem[[#This Row],[S1Qty]],FnlAssem[[#This Row],[S2Qty]],FnlAssem[[#This Row],[S3Qty]])*FnlAssem[[#This Row],[Pcs/Carton]]-FnlAssem[[#This Row],[Defects]]</f>
        <v>16325</v>
      </c>
      <c r="J19" s="184">
        <v>5</v>
      </c>
      <c r="K19" s="184"/>
      <c r="L19" s="170">
        <v>230</v>
      </c>
      <c r="Z19"/>
      <c r="AA19"/>
      <c r="AB19"/>
    </row>
    <row r="20" spans="1:28" x14ac:dyDescent="0.2">
      <c r="A20" s="182">
        <v>45448</v>
      </c>
      <c r="B20" s="183" t="s">
        <v>36</v>
      </c>
      <c r="C20" s="183">
        <v>27578</v>
      </c>
      <c r="D20" s="170" t="s">
        <v>214</v>
      </c>
      <c r="E20" s="183" t="str">
        <f>IF(FnlAssem[[#This Row],[Total]]&gt;0,"Running","Down")</f>
        <v>Running</v>
      </c>
      <c r="F20" s="181">
        <v>0</v>
      </c>
      <c r="G20" s="181">
        <v>40</v>
      </c>
      <c r="H20" s="181">
        <v>51</v>
      </c>
      <c r="I20" s="181">
        <f>SUM(FnlAssem[[#This Row],[S1Qty]],FnlAssem[[#This Row],[S2Qty]],FnlAssem[[#This Row],[S3Qty]])*FnlAssem[[#This Row],[Pcs/Carton]]-FnlAssem[[#This Row],[Defects]]</f>
        <v>20922</v>
      </c>
      <c r="J20" s="184">
        <v>8</v>
      </c>
      <c r="K20" s="184"/>
      <c r="L20" s="170">
        <v>230</v>
      </c>
      <c r="Z20"/>
      <c r="AA20"/>
      <c r="AB20"/>
    </row>
    <row r="21" spans="1:28" x14ac:dyDescent="0.2">
      <c r="A21" s="182">
        <v>45448</v>
      </c>
      <c r="B21" s="183" t="s">
        <v>36</v>
      </c>
      <c r="C21" s="183">
        <v>27713</v>
      </c>
      <c r="D21" s="170" t="s">
        <v>204</v>
      </c>
      <c r="E21" s="183" t="str">
        <f>IF(FnlAssem[[#This Row],[Total]]&gt;0,"Running","Down")</f>
        <v>Running</v>
      </c>
      <c r="F21" s="181">
        <v>16</v>
      </c>
      <c r="G21" s="181">
        <v>0</v>
      </c>
      <c r="H21" s="181">
        <v>0</v>
      </c>
      <c r="I21" s="181">
        <f>SUM(FnlAssem[[#This Row],[S1Qty]],FnlAssem[[#This Row],[S2Qty]],FnlAssem[[#This Row],[S3Qty]])*FnlAssem[[#This Row],[Pcs/Carton]]-FnlAssem[[#This Row],[Defects]]</f>
        <v>3678</v>
      </c>
      <c r="J21" s="184">
        <v>2</v>
      </c>
      <c r="K21" s="184"/>
      <c r="L21" s="170">
        <v>230</v>
      </c>
      <c r="Z21"/>
      <c r="AA21"/>
      <c r="AB21"/>
    </row>
    <row r="22" spans="1:28" x14ac:dyDescent="0.2">
      <c r="A22" s="182">
        <v>45448</v>
      </c>
      <c r="B22" s="183" t="s">
        <v>36</v>
      </c>
      <c r="C22" s="183">
        <v>27430</v>
      </c>
      <c r="D22" s="170" t="s">
        <v>220</v>
      </c>
      <c r="E22" s="183" t="str">
        <f>IF(FnlAssem[[#This Row],[Total]]&gt;0,"Running","Down")</f>
        <v>Running</v>
      </c>
      <c r="F22" s="181">
        <v>49</v>
      </c>
      <c r="G22" s="181">
        <v>66</v>
      </c>
      <c r="H22" s="181">
        <v>53</v>
      </c>
      <c r="I22" s="181">
        <f>SUM(FnlAssem[[#This Row],[S1Qty]],FnlAssem[[#This Row],[S2Qty]],FnlAssem[[#This Row],[S3Qty]])*FnlAssem[[#This Row],[Pcs/Carton]]-FnlAssem[[#This Row],[Defects]]</f>
        <v>38620</v>
      </c>
      <c r="J22" s="184">
        <v>20</v>
      </c>
      <c r="K22" s="184"/>
      <c r="L22" s="170">
        <v>230</v>
      </c>
      <c r="Z22"/>
      <c r="AA22"/>
      <c r="AB22"/>
    </row>
    <row r="23" spans="1:28" x14ac:dyDescent="0.2">
      <c r="A23" s="182">
        <v>45449</v>
      </c>
      <c r="B23" s="183" t="s">
        <v>36</v>
      </c>
      <c r="C23" s="183">
        <v>27578</v>
      </c>
      <c r="D23" s="170" t="s">
        <v>214</v>
      </c>
      <c r="E23" s="183" t="str">
        <f>IF(FnlAssem[[#This Row],[Total]]&gt;0,"Running","Down")</f>
        <v>Running</v>
      </c>
      <c r="F23" s="181">
        <v>41</v>
      </c>
      <c r="G23" s="181">
        <v>12</v>
      </c>
      <c r="H23" s="181">
        <v>0</v>
      </c>
      <c r="I23" s="181">
        <f>SUM(FnlAssem[[#This Row],[S1Qty]],FnlAssem[[#This Row],[S2Qty]],FnlAssem[[#This Row],[S3Qty]])*FnlAssem[[#This Row],[Pcs/Carton]]-FnlAssem[[#This Row],[Defects]]</f>
        <v>12180</v>
      </c>
      <c r="J23" s="184">
        <v>10</v>
      </c>
      <c r="K23" s="184" t="s">
        <v>225</v>
      </c>
      <c r="L23" s="170">
        <v>230</v>
      </c>
      <c r="Z23"/>
      <c r="AA23"/>
      <c r="AB23"/>
    </row>
    <row r="24" spans="1:28" x14ac:dyDescent="0.2">
      <c r="A24" s="182">
        <v>45449</v>
      </c>
      <c r="B24" s="183" t="s">
        <v>36</v>
      </c>
      <c r="C24" s="183">
        <v>27430</v>
      </c>
      <c r="D24" s="170" t="s">
        <v>220</v>
      </c>
      <c r="E24" s="183" t="str">
        <f>IF(FnlAssem[[#This Row],[Total]]&gt;0,"Running","Down")</f>
        <v>Running</v>
      </c>
      <c r="F24" s="181">
        <v>22</v>
      </c>
      <c r="G24" s="181">
        <v>0</v>
      </c>
      <c r="H24" s="181">
        <v>0</v>
      </c>
      <c r="I24" s="181">
        <f>SUM(FnlAssem[[#This Row],[S1Qty]],FnlAssem[[#This Row],[S2Qty]],FnlAssem[[#This Row],[S3Qty]])*FnlAssem[[#This Row],[Pcs/Carton]]-FnlAssem[[#This Row],[Defects]]</f>
        <v>5056</v>
      </c>
      <c r="J24" s="184">
        <v>4</v>
      </c>
      <c r="K24" s="184"/>
      <c r="L24" s="170">
        <v>230</v>
      </c>
      <c r="Z24"/>
      <c r="AA24"/>
      <c r="AB24"/>
    </row>
    <row r="25" spans="1:28" x14ac:dyDescent="0.2">
      <c r="A25" s="182">
        <v>45449</v>
      </c>
      <c r="B25" s="183" t="s">
        <v>36</v>
      </c>
      <c r="C25" s="183">
        <v>27714</v>
      </c>
      <c r="D25" s="170" t="s">
        <v>204</v>
      </c>
      <c r="E25" s="183" t="str">
        <f>IF(FnlAssem[[#This Row],[Total]]&gt;0,"Running","Down")</f>
        <v>Running</v>
      </c>
      <c r="F25" s="181">
        <v>38</v>
      </c>
      <c r="G25" s="181">
        <v>82</v>
      </c>
      <c r="H25" s="181">
        <v>60</v>
      </c>
      <c r="I25" s="181">
        <f>SUM(FnlAssem[[#This Row],[S1Qty]],FnlAssem[[#This Row],[S2Qty]],FnlAssem[[#This Row],[S3Qty]])*FnlAssem[[#This Row],[Pcs/Carton]]-FnlAssem[[#This Row],[Defects]]</f>
        <v>41379</v>
      </c>
      <c r="J25" s="184">
        <v>21</v>
      </c>
      <c r="K25" s="184"/>
      <c r="L25" s="170">
        <v>230</v>
      </c>
      <c r="Z25"/>
      <c r="AA25"/>
      <c r="AB25"/>
    </row>
    <row r="26" spans="1:28" x14ac:dyDescent="0.2">
      <c r="A26" s="182">
        <v>45450</v>
      </c>
      <c r="B26" s="183" t="s">
        <v>36</v>
      </c>
      <c r="C26" s="183">
        <v>27822</v>
      </c>
      <c r="D26" s="170" t="s">
        <v>227</v>
      </c>
      <c r="E26" s="183" t="str">
        <f>IF(FnlAssem[[#This Row],[Total]]&gt;0,"Running","Down")</f>
        <v>Running</v>
      </c>
      <c r="F26" s="181">
        <v>4</v>
      </c>
      <c r="G26" s="181">
        <v>12</v>
      </c>
      <c r="H26" s="181">
        <v>0</v>
      </c>
      <c r="I26" s="181">
        <f>SUM(FnlAssem[[#This Row],[S1Qty]],FnlAssem[[#This Row],[S2Qty]],FnlAssem[[#This Row],[S3Qty]])*FnlAssem[[#This Row],[Pcs/Carton]]-FnlAssem[[#This Row],[Defects]]</f>
        <v>5118</v>
      </c>
      <c r="J26" s="184">
        <v>2</v>
      </c>
      <c r="K26" s="184" t="s">
        <v>216</v>
      </c>
      <c r="L26" s="170">
        <v>320</v>
      </c>
      <c r="Z26"/>
      <c r="AA26"/>
      <c r="AB26"/>
    </row>
    <row r="27" spans="1:28" x14ac:dyDescent="0.2">
      <c r="A27" s="182">
        <v>45450</v>
      </c>
      <c r="B27" s="183" t="s">
        <v>36</v>
      </c>
      <c r="C27" s="183">
        <v>27714</v>
      </c>
      <c r="D27" s="170" t="s">
        <v>204</v>
      </c>
      <c r="E27" s="183" t="str">
        <f>IF(FnlAssem[[#This Row],[Total]]&gt;0,"Running","Down")</f>
        <v>Running</v>
      </c>
      <c r="F27" s="181">
        <v>50</v>
      </c>
      <c r="G27" s="181">
        <v>0</v>
      </c>
      <c r="H27" s="181">
        <v>0</v>
      </c>
      <c r="I27" s="181">
        <f>SUM(FnlAssem[[#This Row],[S1Qty]],FnlAssem[[#This Row],[S2Qty]],FnlAssem[[#This Row],[S3Qty]])*FnlAssem[[#This Row],[Pcs/Carton]]-FnlAssem[[#This Row],[Defects]]</f>
        <v>11492</v>
      </c>
      <c r="J27" s="184">
        <v>8</v>
      </c>
      <c r="K27" s="184"/>
      <c r="L27" s="170">
        <v>230</v>
      </c>
      <c r="Z27"/>
      <c r="AA27"/>
      <c r="AB27"/>
    </row>
    <row r="28" spans="1:28" x14ac:dyDescent="0.2">
      <c r="A28" s="182">
        <v>45450</v>
      </c>
      <c r="B28" s="183" t="s">
        <v>36</v>
      </c>
      <c r="C28" s="183">
        <v>27824</v>
      </c>
      <c r="D28" s="170" t="s">
        <v>227</v>
      </c>
      <c r="E28" s="183" t="str">
        <f>IF(FnlAssem[[#This Row],[Total]]&gt;0,"Running","Down")</f>
        <v>Running</v>
      </c>
      <c r="F28" s="181">
        <v>0</v>
      </c>
      <c r="G28" s="181">
        <v>16</v>
      </c>
      <c r="H28" s="181">
        <v>0</v>
      </c>
      <c r="I28" s="181">
        <f>SUM(FnlAssem[[#This Row],[S1Qty]],FnlAssem[[#This Row],[S2Qty]],FnlAssem[[#This Row],[S3Qty]])*FnlAssem[[#This Row],[Pcs/Carton]]-FnlAssem[[#This Row],[Defects]]</f>
        <v>5118</v>
      </c>
      <c r="J28" s="184">
        <v>2</v>
      </c>
      <c r="K28" s="184"/>
      <c r="L28" s="170">
        <v>320</v>
      </c>
      <c r="Z28"/>
      <c r="AA28"/>
      <c r="AB28"/>
    </row>
    <row r="29" spans="1:28" x14ac:dyDescent="0.2">
      <c r="A29" s="182">
        <v>45450</v>
      </c>
      <c r="B29" s="183" t="s">
        <v>36</v>
      </c>
      <c r="C29" s="183">
        <v>27937</v>
      </c>
      <c r="D29" s="170" t="s">
        <v>228</v>
      </c>
      <c r="E29" s="183" t="str">
        <f>IF(FnlAssem[[#This Row],[Total]]&gt;0,"Running","Down")</f>
        <v>Running</v>
      </c>
      <c r="F29" s="181">
        <v>0</v>
      </c>
      <c r="G29" s="181">
        <v>8</v>
      </c>
      <c r="H29" s="181">
        <v>31</v>
      </c>
      <c r="I29" s="181">
        <f>SUM(FnlAssem[[#This Row],[S1Qty]],FnlAssem[[#This Row],[S2Qty]],FnlAssem[[#This Row],[S3Qty]])*FnlAssem[[#This Row],[Pcs/Carton]]-FnlAssem[[#This Row],[Defects]]</f>
        <v>12474</v>
      </c>
      <c r="J29" s="184">
        <v>6</v>
      </c>
      <c r="K29" s="184"/>
      <c r="L29" s="170">
        <v>320</v>
      </c>
      <c r="Z29"/>
      <c r="AA29"/>
      <c r="AB29"/>
    </row>
    <row r="30" spans="1:28" x14ac:dyDescent="0.2">
      <c r="A30" s="182">
        <v>45450</v>
      </c>
      <c r="B30" s="183" t="s">
        <v>36</v>
      </c>
      <c r="C30" s="183">
        <v>27430</v>
      </c>
      <c r="D30" s="170" t="s">
        <v>204</v>
      </c>
      <c r="E30" s="183" t="str">
        <f>IF(FnlAssem[[#This Row],[Total]]&gt;0,"Running","Down")</f>
        <v>Running</v>
      </c>
      <c r="F30" s="181">
        <v>0</v>
      </c>
      <c r="G30" s="181">
        <v>61</v>
      </c>
      <c r="H30" s="181">
        <v>55</v>
      </c>
      <c r="I30" s="181">
        <f>SUM(FnlAssem[[#This Row],[S1Qty]],FnlAssem[[#This Row],[S2Qty]],FnlAssem[[#This Row],[S3Qty]])*FnlAssem[[#This Row],[Pcs/Carton]]-FnlAssem[[#This Row],[Defects]]</f>
        <v>26663</v>
      </c>
      <c r="J30" s="184">
        <v>17</v>
      </c>
      <c r="K30" s="184"/>
      <c r="L30" s="170">
        <v>230</v>
      </c>
      <c r="Z30"/>
      <c r="AA30"/>
      <c r="AB30"/>
    </row>
    <row r="31" spans="1:28" x14ac:dyDescent="0.2">
      <c r="A31" s="182">
        <v>45451</v>
      </c>
      <c r="B31" s="183" t="s">
        <v>36</v>
      </c>
      <c r="C31" s="183">
        <v>27716</v>
      </c>
      <c r="D31" s="170" t="s">
        <v>204</v>
      </c>
      <c r="E31" s="183" t="str">
        <f>IF(FnlAssem[[#This Row],[Total]]&gt;0,"Running","Down")</f>
        <v>Running</v>
      </c>
      <c r="F31" s="181">
        <v>61</v>
      </c>
      <c r="G31" s="181">
        <v>100</v>
      </c>
      <c r="H31" s="181">
        <v>50</v>
      </c>
      <c r="I31" s="181">
        <f>SUM(FnlAssem[[#This Row],[S1Qty]],FnlAssem[[#This Row],[S2Qty]],FnlAssem[[#This Row],[S3Qty]])*FnlAssem[[#This Row],[Pcs/Carton]]-FnlAssem[[#This Row],[Defects]]</f>
        <v>48518</v>
      </c>
      <c r="J31" s="184">
        <v>12</v>
      </c>
      <c r="K31" s="184"/>
      <c r="L31" s="170">
        <v>230</v>
      </c>
      <c r="Z31"/>
      <c r="AA31"/>
      <c r="AB31"/>
    </row>
    <row r="32" spans="1:28" x14ac:dyDescent="0.2">
      <c r="A32" s="182">
        <v>45451</v>
      </c>
      <c r="B32" s="183" t="s">
        <v>36</v>
      </c>
      <c r="C32" s="183">
        <v>27430</v>
      </c>
      <c r="D32" s="170" t="s">
        <v>220</v>
      </c>
      <c r="E32" s="183" t="str">
        <f>IF(FnlAssem[[#This Row],[Total]]&gt;0,"Running","Down")</f>
        <v>Running</v>
      </c>
      <c r="F32" s="181">
        <v>36</v>
      </c>
      <c r="G32" s="181">
        <v>0</v>
      </c>
      <c r="H32" s="181">
        <v>0</v>
      </c>
      <c r="I32" s="181">
        <f>SUM(FnlAssem[[#This Row],[S1Qty]],FnlAssem[[#This Row],[S2Qty]],FnlAssem[[#This Row],[S3Qty]])*FnlAssem[[#This Row],[Pcs/Carton]]-FnlAssem[[#This Row],[Defects]]</f>
        <v>8278</v>
      </c>
      <c r="J32" s="184">
        <v>2</v>
      </c>
      <c r="K32" s="184"/>
      <c r="L32" s="170">
        <v>230</v>
      </c>
      <c r="Z32"/>
      <c r="AA32"/>
      <c r="AB32"/>
    </row>
    <row r="33" spans="1:28" x14ac:dyDescent="0.2">
      <c r="A33" s="182">
        <v>45451</v>
      </c>
      <c r="B33" s="183" t="s">
        <v>36</v>
      </c>
      <c r="C33" s="183">
        <v>27575</v>
      </c>
      <c r="D33" s="170" t="s">
        <v>204</v>
      </c>
      <c r="E33" s="183" t="str">
        <f>IF(FnlAssem[[#This Row],[Total]]&gt;0,"Running","Down")</f>
        <v>Running</v>
      </c>
      <c r="F33" s="181">
        <v>19</v>
      </c>
      <c r="G33" s="181">
        <v>27</v>
      </c>
      <c r="H33" s="181">
        <v>56</v>
      </c>
      <c r="I33" s="181">
        <f>SUM(FnlAssem[[#This Row],[S1Qty]],FnlAssem[[#This Row],[S2Qty]],FnlAssem[[#This Row],[S3Qty]])*FnlAssem[[#This Row],[Pcs/Carton]]-FnlAssem[[#This Row],[Defects]]</f>
        <v>23454</v>
      </c>
      <c r="J33" s="184">
        <v>6</v>
      </c>
      <c r="K33" s="184"/>
      <c r="L33" s="170">
        <v>230</v>
      </c>
      <c r="Z33"/>
      <c r="AA33"/>
      <c r="AB33"/>
    </row>
    <row r="34" spans="1:28" x14ac:dyDescent="0.2">
      <c r="A34" s="182">
        <v>45452</v>
      </c>
      <c r="B34" s="183" t="s">
        <v>36</v>
      </c>
      <c r="C34" s="183">
        <v>27716</v>
      </c>
      <c r="D34" s="170" t="s">
        <v>204</v>
      </c>
      <c r="E34" s="183" t="str">
        <f>IF(FnlAssem[[#This Row],[Total]]&gt;0,"Running","Down")</f>
        <v>Running</v>
      </c>
      <c r="F34" s="181">
        <v>58</v>
      </c>
      <c r="G34" s="181">
        <v>79</v>
      </c>
      <c r="H34" s="181">
        <v>86</v>
      </c>
      <c r="I34" s="181">
        <f>SUM(FnlAssem[[#This Row],[S1Qty]],FnlAssem[[#This Row],[S2Qty]],FnlAssem[[#This Row],[S3Qty]])*FnlAssem[[#This Row],[Pcs/Carton]]-FnlAssem[[#This Row],[Defects]]</f>
        <v>51272</v>
      </c>
      <c r="J34" s="184">
        <v>18</v>
      </c>
      <c r="K34" s="184"/>
      <c r="L34" s="170">
        <v>230</v>
      </c>
      <c r="Z34"/>
      <c r="AA34"/>
      <c r="AB34"/>
    </row>
    <row r="35" spans="1:28" x14ac:dyDescent="0.2">
      <c r="A35" s="182">
        <v>45452</v>
      </c>
      <c r="B35" s="183" t="s">
        <v>36</v>
      </c>
      <c r="C35" s="183">
        <v>27575</v>
      </c>
      <c r="D35" s="170" t="s">
        <v>204</v>
      </c>
      <c r="E35" s="183" t="str">
        <f>IF(FnlAssem[[#This Row],[Total]]&gt;0,"Running","Down")</f>
        <v>Running</v>
      </c>
      <c r="F35" s="181">
        <v>36</v>
      </c>
      <c r="G35" s="181">
        <v>42</v>
      </c>
      <c r="H35" s="181">
        <v>23</v>
      </c>
      <c r="I35" s="181">
        <f>SUM(FnlAssem[[#This Row],[S1Qty]],FnlAssem[[#This Row],[S2Qty]],FnlAssem[[#This Row],[S3Qty]])*FnlAssem[[#This Row],[Pcs/Carton]]-FnlAssem[[#This Row],[Defects]]</f>
        <v>23224</v>
      </c>
      <c r="J35" s="184">
        <v>6</v>
      </c>
      <c r="K35" s="184"/>
      <c r="L35" s="170">
        <v>230</v>
      </c>
      <c r="Z35"/>
      <c r="AA35"/>
      <c r="AB35"/>
    </row>
    <row r="36" spans="1:28" x14ac:dyDescent="0.2">
      <c r="A36" s="182">
        <v>45453</v>
      </c>
      <c r="B36" s="183" t="s">
        <v>36</v>
      </c>
      <c r="C36" s="183">
        <v>27716</v>
      </c>
      <c r="D36" s="170" t="s">
        <v>204</v>
      </c>
      <c r="E36" s="183" t="str">
        <f>IF(FnlAssem[[#This Row],[Total]]&gt;0,"Running","Down")</f>
        <v>Running</v>
      </c>
      <c r="F36" s="181">
        <v>29</v>
      </c>
      <c r="G36" s="181">
        <v>58</v>
      </c>
      <c r="H36" s="181">
        <v>20</v>
      </c>
      <c r="I36" s="181">
        <f>SUM(FnlAssem[[#This Row],[S1Qty]],FnlAssem[[#This Row],[S2Qty]],FnlAssem[[#This Row],[S3Qty]])*FnlAssem[[#This Row],[Pcs/Carton]]-FnlAssem[[#This Row],[Defects]]</f>
        <v>24595</v>
      </c>
      <c r="J36" s="184">
        <v>15</v>
      </c>
      <c r="K36" s="184" t="s">
        <v>238</v>
      </c>
      <c r="L36" s="170">
        <v>230</v>
      </c>
      <c r="Z36"/>
      <c r="AA36"/>
      <c r="AB36"/>
    </row>
    <row r="37" spans="1:28" x14ac:dyDescent="0.2">
      <c r="A37" s="182">
        <v>45453</v>
      </c>
      <c r="B37" s="183" t="s">
        <v>36</v>
      </c>
      <c r="C37" s="183">
        <v>27575</v>
      </c>
      <c r="D37" s="170" t="s">
        <v>204</v>
      </c>
      <c r="E37" s="183" t="str">
        <f>IF(FnlAssem[[#This Row],[Total]]&gt;0,"Running","Down")</f>
        <v>Running</v>
      </c>
      <c r="F37" s="181">
        <v>81</v>
      </c>
      <c r="G37" s="181">
        <v>41</v>
      </c>
      <c r="H37" s="181">
        <v>0</v>
      </c>
      <c r="I37" s="181">
        <f>SUM(FnlAssem[[#This Row],[S1Qty]],FnlAssem[[#This Row],[S2Qty]],FnlAssem[[#This Row],[S3Qty]])*FnlAssem[[#This Row],[Pcs/Carton]]-FnlAssem[[#This Row],[Defects]]</f>
        <v>28042</v>
      </c>
      <c r="J37" s="184">
        <v>18</v>
      </c>
      <c r="K37" s="184" t="s">
        <v>238</v>
      </c>
      <c r="L37" s="170">
        <v>230</v>
      </c>
      <c r="Z37"/>
      <c r="AA37"/>
      <c r="AB37"/>
    </row>
    <row r="38" spans="1:28" x14ac:dyDescent="0.2">
      <c r="A38" s="182">
        <v>45453</v>
      </c>
      <c r="B38" s="183" t="s">
        <v>36</v>
      </c>
      <c r="C38" s="183">
        <v>27715</v>
      </c>
      <c r="D38" s="170" t="s">
        <v>204</v>
      </c>
      <c r="E38" s="183" t="str">
        <f>IF(FnlAssem[[#This Row],[Total]]&gt;0,"Running","Down")</f>
        <v>Running</v>
      </c>
      <c r="F38" s="181">
        <v>0</v>
      </c>
      <c r="G38" s="181">
        <v>0</v>
      </c>
      <c r="H38" s="181">
        <v>18</v>
      </c>
      <c r="I38" s="181">
        <f>SUM(FnlAssem[[#This Row],[S1Qty]],FnlAssem[[#This Row],[S2Qty]],FnlAssem[[#This Row],[S3Qty]])*FnlAssem[[#This Row],[Pcs/Carton]]-FnlAssem[[#This Row],[Defects]]</f>
        <v>4140</v>
      </c>
      <c r="J38" s="184">
        <v>0</v>
      </c>
      <c r="K38" s="184"/>
      <c r="L38" s="170">
        <v>230</v>
      </c>
      <c r="Z38"/>
      <c r="AA38"/>
      <c r="AB38"/>
    </row>
    <row r="39" spans="1:28" x14ac:dyDescent="0.2">
      <c r="A39" s="182">
        <v>45454</v>
      </c>
      <c r="B39" s="183" t="s">
        <v>36</v>
      </c>
      <c r="C39" s="183">
        <v>27715</v>
      </c>
      <c r="D39" s="170" t="s">
        <v>204</v>
      </c>
      <c r="E39" s="183" t="str">
        <f>IF(FnlAssem[[#This Row],[Total]]&gt;0,"Running","Down")</f>
        <v>Running</v>
      </c>
      <c r="F39" s="181">
        <v>12</v>
      </c>
      <c r="G39" s="181">
        <v>20</v>
      </c>
      <c r="H39" s="181">
        <v>59</v>
      </c>
      <c r="I39" s="181">
        <f>SUM(FnlAssem[[#This Row],[S1Qty]],FnlAssem[[#This Row],[S2Qty]],FnlAssem[[#This Row],[S3Qty]])*FnlAssem[[#This Row],[Pcs/Carton]]-FnlAssem[[#This Row],[Defects]]</f>
        <v>20910</v>
      </c>
      <c r="J39" s="184">
        <v>20</v>
      </c>
      <c r="K39" s="184"/>
      <c r="L39" s="170">
        <v>230</v>
      </c>
      <c r="Z39"/>
      <c r="AA39"/>
      <c r="AB39"/>
    </row>
    <row r="40" spans="1:28" x14ac:dyDescent="0.2">
      <c r="A40" s="182">
        <v>45454</v>
      </c>
      <c r="B40" s="183" t="s">
        <v>36</v>
      </c>
      <c r="C40" s="183">
        <v>27760</v>
      </c>
      <c r="D40" s="170" t="s">
        <v>242</v>
      </c>
      <c r="E40" s="183" t="str">
        <f>IF(FnlAssem[[#This Row],[Total]]&gt;0,"Running","Down")</f>
        <v>Running</v>
      </c>
      <c r="F40" s="181">
        <v>16</v>
      </c>
      <c r="G40" s="181">
        <v>0</v>
      </c>
      <c r="H40" s="181">
        <v>0</v>
      </c>
      <c r="I40" s="181">
        <f>SUM(FnlAssem[[#This Row],[S1Qty]],FnlAssem[[#This Row],[S2Qty]],FnlAssem[[#This Row],[S3Qty]])*FnlAssem[[#This Row],[Pcs/Carton]]-FnlAssem[[#This Row],[Defects]]</f>
        <v>5117</v>
      </c>
      <c r="J40" s="184">
        <v>3</v>
      </c>
      <c r="K40" s="184" t="s">
        <v>243</v>
      </c>
      <c r="L40" s="170">
        <v>320</v>
      </c>
      <c r="Z40"/>
      <c r="AA40"/>
      <c r="AB40"/>
    </row>
    <row r="41" spans="1:28" x14ac:dyDescent="0.2">
      <c r="A41" s="182">
        <v>45455</v>
      </c>
      <c r="B41" s="183" t="s">
        <v>36</v>
      </c>
      <c r="C41" s="183">
        <v>27715</v>
      </c>
      <c r="D41" s="170" t="s">
        <v>204</v>
      </c>
      <c r="E41" s="183" t="str">
        <f>IF(FnlAssem[[#This Row],[Total]]&gt;0,"Running","Down")</f>
        <v>Running</v>
      </c>
      <c r="F41" s="181">
        <v>41</v>
      </c>
      <c r="G41" s="181">
        <v>31</v>
      </c>
      <c r="H41" s="181">
        <v>0</v>
      </c>
      <c r="I41" s="181">
        <f>SUM(FnlAssem[[#This Row],[S1Qty]],FnlAssem[[#This Row],[S2Qty]],FnlAssem[[#This Row],[S3Qty]])*FnlAssem[[#This Row],[Pcs/Carton]]-FnlAssem[[#This Row],[Defects]]</f>
        <v>16550</v>
      </c>
      <c r="J41" s="184">
        <v>10</v>
      </c>
      <c r="K41" s="184"/>
      <c r="L41" s="170">
        <v>230</v>
      </c>
      <c r="Z41"/>
      <c r="AA41"/>
      <c r="AB41"/>
    </row>
    <row r="42" spans="1:28" x14ac:dyDescent="0.2">
      <c r="A42" s="182">
        <v>45455</v>
      </c>
      <c r="B42" s="183" t="s">
        <v>36</v>
      </c>
      <c r="C42" s="183">
        <v>27760</v>
      </c>
      <c r="D42" s="170" t="s">
        <v>242</v>
      </c>
      <c r="E42" s="183" t="str">
        <f>IF(FnlAssem[[#This Row],[Total]]&gt;0,"Running","Down")</f>
        <v>Running</v>
      </c>
      <c r="F42" s="181">
        <v>33</v>
      </c>
      <c r="G42" s="181">
        <v>44</v>
      </c>
      <c r="H42" s="181">
        <v>45</v>
      </c>
      <c r="I42" s="181">
        <f>SUM(FnlAssem[[#This Row],[S1Qty]],FnlAssem[[#This Row],[S2Qty]],FnlAssem[[#This Row],[S3Qty]])*FnlAssem[[#This Row],[Pcs/Carton]]-FnlAssem[[#This Row],[Defects]]</f>
        <v>39025</v>
      </c>
      <c r="J42" s="184">
        <v>15</v>
      </c>
      <c r="K42" s="184"/>
      <c r="L42" s="170">
        <v>320</v>
      </c>
      <c r="Z42"/>
      <c r="AA42"/>
      <c r="AB42"/>
    </row>
    <row r="43" spans="1:28" x14ac:dyDescent="0.2">
      <c r="A43" s="182">
        <v>45455</v>
      </c>
      <c r="B43" s="183" t="s">
        <v>36</v>
      </c>
      <c r="C43" s="183">
        <v>27576</v>
      </c>
      <c r="D43" s="170" t="s">
        <v>204</v>
      </c>
      <c r="E43" s="183" t="str">
        <f>IF(FnlAssem[[#This Row],[Total]]&gt;0,"Running","Down")</f>
        <v>Running</v>
      </c>
      <c r="F43" s="181">
        <v>0</v>
      </c>
      <c r="G43" s="181">
        <v>0</v>
      </c>
      <c r="H43" s="181">
        <v>59</v>
      </c>
      <c r="I43" s="181">
        <f>SUM(FnlAssem[[#This Row],[S1Qty]],FnlAssem[[#This Row],[S2Qty]],FnlAssem[[#This Row],[S3Qty]])*FnlAssem[[#This Row],[Pcs/Carton]]-FnlAssem[[#This Row],[Defects]]</f>
        <v>13560</v>
      </c>
      <c r="J43" s="184">
        <v>10</v>
      </c>
      <c r="K43" s="184"/>
      <c r="L43" s="170">
        <v>230</v>
      </c>
      <c r="Z43"/>
      <c r="AA43"/>
      <c r="AB43"/>
    </row>
    <row r="44" spans="1:28" x14ac:dyDescent="0.2">
      <c r="A44" s="182">
        <v>45456</v>
      </c>
      <c r="B44" s="183" t="s">
        <v>36</v>
      </c>
      <c r="C44" s="183">
        <v>27760</v>
      </c>
      <c r="D44" s="170" t="s">
        <v>242</v>
      </c>
      <c r="E44" s="183" t="str">
        <f>IF(FnlAssem[[#This Row],[Total]]&gt;0,"Running","Down")</f>
        <v>Running</v>
      </c>
      <c r="F44" s="181">
        <v>35</v>
      </c>
      <c r="G44" s="181">
        <v>0</v>
      </c>
      <c r="H44" s="181">
        <v>0</v>
      </c>
      <c r="I44" s="181">
        <f>SUM(FnlAssem[[#This Row],[S1Qty]],FnlAssem[[#This Row],[S2Qty]],FnlAssem[[#This Row],[S3Qty]])*FnlAssem[[#This Row],[Pcs/Carton]]-FnlAssem[[#This Row],[Defects]]</f>
        <v>11193</v>
      </c>
      <c r="J44" s="184">
        <v>7</v>
      </c>
      <c r="K44" s="184"/>
      <c r="L44" s="170">
        <v>320</v>
      </c>
      <c r="Z44"/>
      <c r="AA44"/>
      <c r="AB44"/>
    </row>
    <row r="45" spans="1:28" x14ac:dyDescent="0.2">
      <c r="A45" s="182">
        <v>45456</v>
      </c>
      <c r="B45" s="183" t="s">
        <v>36</v>
      </c>
      <c r="C45" s="183">
        <v>27576</v>
      </c>
      <c r="D45" s="170" t="s">
        <v>204</v>
      </c>
      <c r="E45" s="183" t="str">
        <f>IF(FnlAssem[[#This Row],[Total]]&gt;0,"Running","Down")</f>
        <v>Running</v>
      </c>
      <c r="F45" s="181">
        <v>18</v>
      </c>
      <c r="G45" s="181">
        <v>0</v>
      </c>
      <c r="H45" s="181">
        <v>51</v>
      </c>
      <c r="I45" s="181">
        <f>SUM(FnlAssem[[#This Row],[S1Qty]],FnlAssem[[#This Row],[S2Qty]],FnlAssem[[#This Row],[S3Qty]])*FnlAssem[[#This Row],[Pcs/Carton]]-FnlAssem[[#This Row],[Defects]]</f>
        <v>15857</v>
      </c>
      <c r="J45" s="184">
        <v>13</v>
      </c>
      <c r="K45" s="184"/>
      <c r="L45" s="170">
        <v>230</v>
      </c>
      <c r="Z45"/>
      <c r="AA45"/>
      <c r="AB45"/>
    </row>
    <row r="46" spans="1:28" x14ac:dyDescent="0.2">
      <c r="A46" s="182">
        <v>45456</v>
      </c>
      <c r="B46" s="183" t="s">
        <v>36</v>
      </c>
      <c r="C46" s="183">
        <v>27715</v>
      </c>
      <c r="D46" s="170" t="s">
        <v>204</v>
      </c>
      <c r="E46" s="183" t="str">
        <f>IF(FnlAssem[[#This Row],[Total]]&gt;0,"Running","Down")</f>
        <v>Running</v>
      </c>
      <c r="F46" s="181">
        <v>15</v>
      </c>
      <c r="G46" s="181">
        <v>33</v>
      </c>
      <c r="H46" s="181">
        <v>2</v>
      </c>
      <c r="I46" s="181">
        <f>SUM(FnlAssem[[#This Row],[S1Qty]],FnlAssem[[#This Row],[S2Qty]],FnlAssem[[#This Row],[S3Qty]])*FnlAssem[[#This Row],[Pcs/Carton]]-FnlAssem[[#This Row],[Defects]]</f>
        <v>11491</v>
      </c>
      <c r="J46" s="184">
        <v>9</v>
      </c>
      <c r="K46" s="184"/>
      <c r="L46" s="170">
        <v>230</v>
      </c>
      <c r="Z46"/>
      <c r="AA46"/>
      <c r="AB46"/>
    </row>
    <row r="47" spans="1:28" x14ac:dyDescent="0.2">
      <c r="A47" s="182">
        <v>45456</v>
      </c>
      <c r="B47" s="183" t="s">
        <v>36</v>
      </c>
      <c r="C47" s="183">
        <v>27692</v>
      </c>
      <c r="D47" s="170" t="s">
        <v>257</v>
      </c>
      <c r="E47" s="183" t="str">
        <f>IF(FnlAssem[[#This Row],[Total]]&gt;0,"Running","Down")</f>
        <v>Running</v>
      </c>
      <c r="F47" s="181">
        <v>0</v>
      </c>
      <c r="G47" s="181">
        <v>8</v>
      </c>
      <c r="H47" s="181">
        <v>0</v>
      </c>
      <c r="I47" s="181">
        <f>SUM(FnlAssem[[#This Row],[S1Qty]],FnlAssem[[#This Row],[S2Qty]],FnlAssem[[#This Row],[S3Qty]])*FnlAssem[[#This Row],[Pcs/Carton]]-FnlAssem[[#This Row],[Defects]]</f>
        <v>1838</v>
      </c>
      <c r="J47" s="184">
        <v>2</v>
      </c>
      <c r="K47" s="184"/>
      <c r="L47" s="170">
        <v>230</v>
      </c>
      <c r="Z47"/>
      <c r="AA47"/>
      <c r="AB47"/>
    </row>
    <row r="48" spans="1:28" x14ac:dyDescent="0.2">
      <c r="A48" s="182">
        <v>45457</v>
      </c>
      <c r="B48" s="183" t="s">
        <v>36</v>
      </c>
      <c r="C48" s="183">
        <v>27692</v>
      </c>
      <c r="D48" s="170" t="s">
        <v>257</v>
      </c>
      <c r="E48" s="183" t="str">
        <f>IF(FnlAssem[[#This Row],[Total]]&gt;0,"Running","Down")</f>
        <v>Running</v>
      </c>
      <c r="F48" s="181">
        <v>51</v>
      </c>
      <c r="G48" s="181">
        <v>38</v>
      </c>
      <c r="H48" s="181">
        <v>5</v>
      </c>
      <c r="I48" s="181">
        <f>SUM(FnlAssem[[#This Row],[S1Qty]],FnlAssem[[#This Row],[S2Qty]],FnlAssem[[#This Row],[S3Qty]])*FnlAssem[[#This Row],[Pcs/Carton]]-FnlAssem[[#This Row],[Defects]]</f>
        <v>21608</v>
      </c>
      <c r="J48" s="184">
        <v>12</v>
      </c>
      <c r="K48" s="184"/>
      <c r="L48" s="170">
        <v>230</v>
      </c>
      <c r="Z48"/>
      <c r="AA48"/>
      <c r="AB48"/>
    </row>
    <row r="49" spans="1:28" x14ac:dyDescent="0.2">
      <c r="A49" s="182">
        <v>45457</v>
      </c>
      <c r="B49" s="183" t="s">
        <v>36</v>
      </c>
      <c r="C49" s="183">
        <v>27576</v>
      </c>
      <c r="D49" s="170" t="s">
        <v>204</v>
      </c>
      <c r="E49" s="183" t="str">
        <f>IF(FnlAssem[[#This Row],[Total]]&gt;0,"Running","Down")</f>
        <v>Running</v>
      </c>
      <c r="F49" s="181">
        <v>6</v>
      </c>
      <c r="G49" s="181">
        <v>66</v>
      </c>
      <c r="H49" s="181">
        <v>50</v>
      </c>
      <c r="I49" s="181">
        <f>SUM(FnlAssem[[#This Row],[S1Qty]],FnlAssem[[#This Row],[S2Qty]],FnlAssem[[#This Row],[S3Qty]])*FnlAssem[[#This Row],[Pcs/Carton]]-FnlAssem[[#This Row],[Defects]]</f>
        <v>28044</v>
      </c>
      <c r="J49" s="184">
        <v>16</v>
      </c>
      <c r="K49" s="184"/>
      <c r="L49" s="170">
        <v>230</v>
      </c>
      <c r="Z49"/>
      <c r="AA49"/>
      <c r="AB49"/>
    </row>
    <row r="50" spans="1:28" x14ac:dyDescent="0.2">
      <c r="A50" s="182">
        <v>45457</v>
      </c>
      <c r="B50" s="183" t="s">
        <v>36</v>
      </c>
      <c r="C50" s="183">
        <v>27651</v>
      </c>
      <c r="D50" s="170" t="s">
        <v>257</v>
      </c>
      <c r="E50" s="183" t="str">
        <f>IF(FnlAssem[[#This Row],[Total]]&gt;0,"Running","Down")</f>
        <v>Running</v>
      </c>
      <c r="F50" s="181">
        <v>0</v>
      </c>
      <c r="G50" s="181">
        <v>0</v>
      </c>
      <c r="H50" s="181">
        <v>27</v>
      </c>
      <c r="I50" s="181">
        <f>SUM(FnlAssem[[#This Row],[S1Qty]],FnlAssem[[#This Row],[S2Qty]],FnlAssem[[#This Row],[S3Qty]])*FnlAssem[[#This Row],[Pcs/Carton]]-FnlAssem[[#This Row],[Defects]]</f>
        <v>6207</v>
      </c>
      <c r="J50" s="184">
        <v>3</v>
      </c>
      <c r="K50" s="184"/>
      <c r="L50" s="170">
        <v>230</v>
      </c>
      <c r="Z50"/>
      <c r="AA50"/>
      <c r="AB50"/>
    </row>
    <row r="51" spans="1:28" x14ac:dyDescent="0.2">
      <c r="A51" s="182">
        <v>45458</v>
      </c>
      <c r="B51" s="183" t="s">
        <v>36</v>
      </c>
      <c r="C51" s="183">
        <v>27651</v>
      </c>
      <c r="D51" s="170" t="s">
        <v>257</v>
      </c>
      <c r="E51" s="183" t="str">
        <f>IF(FnlAssem[[#This Row],[Total]]&gt;0,"Running","Down")</f>
        <v>Running</v>
      </c>
      <c r="F51" s="181">
        <v>38</v>
      </c>
      <c r="G51" s="181">
        <v>29</v>
      </c>
      <c r="H51" s="181">
        <v>18</v>
      </c>
      <c r="I51" s="181">
        <f>SUM(FnlAssem[[#This Row],[S1Qty]],FnlAssem[[#This Row],[S2Qty]],FnlAssem[[#This Row],[S3Qty]])*FnlAssem[[#This Row],[Pcs/Carton]]-FnlAssem[[#This Row],[Defects]]</f>
        <v>19540</v>
      </c>
      <c r="J51" s="184">
        <v>10</v>
      </c>
      <c r="K51" s="184"/>
      <c r="L51" s="170">
        <v>230</v>
      </c>
      <c r="Z51"/>
      <c r="AA51"/>
      <c r="AB51"/>
    </row>
    <row r="52" spans="1:28" x14ac:dyDescent="0.2">
      <c r="A52" s="182">
        <v>45458</v>
      </c>
      <c r="B52" s="183" t="s">
        <v>36</v>
      </c>
      <c r="C52" s="183">
        <v>27576</v>
      </c>
      <c r="D52" s="170" t="s">
        <v>204</v>
      </c>
      <c r="E52" s="183" t="str">
        <f>IF(FnlAssem[[#This Row],[Total]]&gt;0,"Running","Down")</f>
        <v>Running</v>
      </c>
      <c r="F52" s="181">
        <v>32</v>
      </c>
      <c r="G52" s="181">
        <v>35</v>
      </c>
      <c r="H52" s="181">
        <v>0</v>
      </c>
      <c r="I52" s="181">
        <f>SUM(FnlAssem[[#This Row],[S1Qty]],FnlAssem[[#This Row],[S2Qty]],FnlAssem[[#This Row],[S3Qty]])*FnlAssem[[#This Row],[Pcs/Carton]]-FnlAssem[[#This Row],[Defects]]</f>
        <v>15402</v>
      </c>
      <c r="J52" s="184">
        <v>8</v>
      </c>
      <c r="K52" s="184"/>
      <c r="L52" s="170">
        <v>230</v>
      </c>
      <c r="Z52"/>
      <c r="AA52"/>
      <c r="AB52"/>
    </row>
    <row r="53" spans="1:28" x14ac:dyDescent="0.2">
      <c r="A53" s="182">
        <v>45458</v>
      </c>
      <c r="B53" s="183" t="s">
        <v>36</v>
      </c>
      <c r="C53" s="183">
        <v>27577</v>
      </c>
      <c r="D53" s="170" t="s">
        <v>204</v>
      </c>
      <c r="E53" s="183" t="str">
        <f>IF(FnlAssem[[#This Row],[Total]]&gt;0,"Running","Down")</f>
        <v>Running</v>
      </c>
      <c r="F53" s="181">
        <v>0</v>
      </c>
      <c r="G53" s="181">
        <v>13</v>
      </c>
      <c r="H53" s="181">
        <v>0</v>
      </c>
      <c r="I53" s="181">
        <f>SUM(FnlAssem[[#This Row],[S1Qty]],FnlAssem[[#This Row],[S2Qty]],FnlAssem[[#This Row],[S3Qty]])*FnlAssem[[#This Row],[Pcs/Carton]]-FnlAssem[[#This Row],[Defects]]</f>
        <v>2988</v>
      </c>
      <c r="J53" s="184">
        <v>2</v>
      </c>
      <c r="K53" s="184"/>
      <c r="L53" s="170">
        <v>230</v>
      </c>
      <c r="Z53"/>
      <c r="AA53"/>
      <c r="AB53"/>
    </row>
    <row r="54" spans="1:28" x14ac:dyDescent="0.2">
      <c r="A54" s="182">
        <v>45458</v>
      </c>
      <c r="B54" s="183" t="s">
        <v>36</v>
      </c>
      <c r="C54" s="183">
        <v>27581</v>
      </c>
      <c r="D54" s="170" t="s">
        <v>204</v>
      </c>
      <c r="E54" s="183" t="str">
        <f>IF(FnlAssem[[#This Row],[Total]]&gt;0,"Running","Down")</f>
        <v>Running</v>
      </c>
      <c r="F54" s="181">
        <v>0</v>
      </c>
      <c r="G54" s="181">
        <v>3</v>
      </c>
      <c r="H54" s="181">
        <v>0</v>
      </c>
      <c r="I54" s="181">
        <f>SUM(FnlAssem[[#This Row],[S1Qty]],FnlAssem[[#This Row],[S2Qty]],FnlAssem[[#This Row],[S3Qty]])*FnlAssem[[#This Row],[Pcs/Carton]]-FnlAssem[[#This Row],[Defects]]</f>
        <v>689</v>
      </c>
      <c r="J54" s="184">
        <v>1</v>
      </c>
      <c r="K54" s="184"/>
      <c r="L54" s="170">
        <v>230</v>
      </c>
      <c r="Z54"/>
      <c r="AA54"/>
      <c r="AB54"/>
    </row>
    <row r="55" spans="1:28" x14ac:dyDescent="0.2">
      <c r="A55" s="182">
        <v>45458</v>
      </c>
      <c r="B55" s="183" t="s">
        <v>36</v>
      </c>
      <c r="C55" s="183">
        <v>27826</v>
      </c>
      <c r="D55" s="170" t="s">
        <v>257</v>
      </c>
      <c r="E55" s="183" t="str">
        <f>IF(FnlAssem[[#This Row],[Total]]&gt;0,"Running","Down")</f>
        <v>Running</v>
      </c>
      <c r="F55" s="181">
        <v>0</v>
      </c>
      <c r="G55" s="181">
        <v>0</v>
      </c>
      <c r="H55" s="181">
        <f>18+62</f>
        <v>80</v>
      </c>
      <c r="I55" s="181">
        <f>SUM(FnlAssem[[#This Row],[S1Qty]],FnlAssem[[#This Row],[S2Qty]],FnlAssem[[#This Row],[S3Qty]])*FnlAssem[[#This Row],[Pcs/Carton]]-FnlAssem[[#This Row],[Defects]]</f>
        <v>18390</v>
      </c>
      <c r="J55" s="184">
        <v>10</v>
      </c>
      <c r="K55" s="184"/>
      <c r="L55" s="170">
        <v>230</v>
      </c>
      <c r="Z55"/>
      <c r="AA55"/>
      <c r="AB55"/>
    </row>
    <row r="56" spans="1:28" x14ac:dyDescent="0.2">
      <c r="A56" s="182">
        <v>45459</v>
      </c>
      <c r="B56" s="183" t="s">
        <v>36</v>
      </c>
      <c r="C56" s="183">
        <v>27826</v>
      </c>
      <c r="D56" s="170" t="s">
        <v>257</v>
      </c>
      <c r="E56" s="183" t="str">
        <f>IF(FnlAssem[[#This Row],[Total]]&gt;0,"Running","Down")</f>
        <v>Running</v>
      </c>
      <c r="F56" s="181">
        <v>37</v>
      </c>
      <c r="G56" s="181">
        <v>42</v>
      </c>
      <c r="H56" s="181">
        <v>18</v>
      </c>
      <c r="I56" s="181">
        <f>SUM(FnlAssem[[#This Row],[S1Qty]],FnlAssem[[#This Row],[S2Qty]],FnlAssem[[#This Row],[S3Qty]])*FnlAssem[[#This Row],[Pcs/Carton]]-FnlAssem[[#This Row],[Defects]]</f>
        <v>22293</v>
      </c>
      <c r="J56" s="184">
        <v>17</v>
      </c>
      <c r="K56" s="184"/>
      <c r="L56" s="170">
        <v>230</v>
      </c>
      <c r="Z56"/>
      <c r="AA56"/>
      <c r="AB56"/>
    </row>
    <row r="57" spans="1:28" x14ac:dyDescent="0.2">
      <c r="A57" s="182">
        <v>45459</v>
      </c>
      <c r="B57" s="183" t="s">
        <v>36</v>
      </c>
      <c r="C57" s="183">
        <v>27581</v>
      </c>
      <c r="D57" s="170" t="s">
        <v>204</v>
      </c>
      <c r="E57" s="183" t="str">
        <f>IF(FnlAssem[[#This Row],[Total]]&gt;0,"Running","Down")</f>
        <v>Running</v>
      </c>
      <c r="F57" s="181">
        <v>43</v>
      </c>
      <c r="G57" s="181">
        <v>66</v>
      </c>
      <c r="H57" s="181">
        <v>42</v>
      </c>
      <c r="I57" s="181">
        <f>SUM(FnlAssem[[#This Row],[S1Qty]],FnlAssem[[#This Row],[S2Qty]],FnlAssem[[#This Row],[S3Qty]])*FnlAssem[[#This Row],[Pcs/Carton]]-FnlAssem[[#This Row],[Defects]]</f>
        <v>34710</v>
      </c>
      <c r="J57" s="184">
        <v>20</v>
      </c>
      <c r="K57" s="184"/>
      <c r="L57" s="170">
        <v>230</v>
      </c>
      <c r="Z57"/>
      <c r="AA57"/>
      <c r="AB57"/>
    </row>
    <row r="58" spans="1:28" x14ac:dyDescent="0.2">
      <c r="A58" s="182">
        <v>45460</v>
      </c>
      <c r="B58" s="183" t="s">
        <v>36</v>
      </c>
      <c r="C58" s="183">
        <v>27581</v>
      </c>
      <c r="D58" s="170" t="s">
        <v>204</v>
      </c>
      <c r="E58" s="183" t="str">
        <f>IF(FnlAssem[[#This Row],[Total]]&gt;0,"Running","Down")</f>
        <v>Running</v>
      </c>
      <c r="F58" s="181">
        <v>40</v>
      </c>
      <c r="G58" s="181">
        <v>8</v>
      </c>
      <c r="H58" s="181">
        <v>0</v>
      </c>
      <c r="I58" s="181">
        <f>SUM(FnlAssem[[#This Row],[S1Qty]],FnlAssem[[#This Row],[S2Qty]],FnlAssem[[#This Row],[S3Qty]])*FnlAssem[[#This Row],[Pcs/Carton]]-FnlAssem[[#This Row],[Defects]]</f>
        <v>11026</v>
      </c>
      <c r="J58" s="184">
        <v>14</v>
      </c>
      <c r="K58" s="184"/>
      <c r="L58" s="170">
        <v>230</v>
      </c>
      <c r="Z58"/>
      <c r="AA58"/>
      <c r="AB58"/>
    </row>
    <row r="59" spans="1:28" x14ac:dyDescent="0.2">
      <c r="A59" s="182">
        <v>45460</v>
      </c>
      <c r="B59" s="183" t="s">
        <v>36</v>
      </c>
      <c r="C59" s="183">
        <v>27579</v>
      </c>
      <c r="D59" s="170" t="s">
        <v>204</v>
      </c>
      <c r="E59" s="183" t="str">
        <f>IF(FnlAssem[[#This Row],[Total]]&gt;0,"Running","Down")</f>
        <v>Running</v>
      </c>
      <c r="F59" s="181">
        <v>0</v>
      </c>
      <c r="G59" s="181">
        <v>55</v>
      </c>
      <c r="H59" s="181">
        <v>43</v>
      </c>
      <c r="I59" s="181">
        <f>SUM(FnlAssem[[#This Row],[S1Qty]],FnlAssem[[#This Row],[S2Qty]],FnlAssem[[#This Row],[S3Qty]])*FnlAssem[[#This Row],[Pcs/Carton]]-FnlAssem[[#This Row],[Defects]]</f>
        <v>22520</v>
      </c>
      <c r="J59" s="184">
        <v>20</v>
      </c>
      <c r="K59" s="184"/>
      <c r="L59" s="170">
        <v>230</v>
      </c>
      <c r="Z59"/>
      <c r="AA59"/>
      <c r="AB59"/>
    </row>
    <row r="60" spans="1:28" x14ac:dyDescent="0.2">
      <c r="A60" s="182">
        <v>45461</v>
      </c>
      <c r="B60" s="183" t="s">
        <v>36</v>
      </c>
      <c r="C60" s="183">
        <v>28185</v>
      </c>
      <c r="D60" s="170" t="s">
        <v>277</v>
      </c>
      <c r="E60" s="183" t="str">
        <f>IF(FnlAssem[[#This Row],[Total]]&gt;0,"Running","Down")</f>
        <v>Running</v>
      </c>
      <c r="F60" s="181">
        <v>2</v>
      </c>
      <c r="G60" s="181">
        <v>30</v>
      </c>
      <c r="H60" s="181">
        <v>0</v>
      </c>
      <c r="I60" s="181">
        <f>SUM(FnlAssem[[#This Row],[S1Qty]],FnlAssem[[#This Row],[S2Qty]],FnlAssem[[#This Row],[S3Qty]])*FnlAssem[[#This Row],[Pcs/Carton]]-FnlAssem[[#This Row],[Defects]]</f>
        <v>10230</v>
      </c>
      <c r="J60" s="184">
        <v>10</v>
      </c>
      <c r="K60" s="184" t="s">
        <v>283</v>
      </c>
      <c r="L60" s="170">
        <v>320</v>
      </c>
      <c r="Z60"/>
      <c r="AA60"/>
      <c r="AB60"/>
    </row>
    <row r="61" spans="1:28" x14ac:dyDescent="0.2">
      <c r="A61" s="182">
        <v>45461</v>
      </c>
      <c r="B61" s="183" t="s">
        <v>36</v>
      </c>
      <c r="C61" s="183">
        <v>27579</v>
      </c>
      <c r="D61" s="170" t="s">
        <v>204</v>
      </c>
      <c r="E61" s="183" t="str">
        <f>IF(FnlAssem[[#This Row],[Total]]&gt;0,"Running","Down")</f>
        <v>Running</v>
      </c>
      <c r="F61" s="181">
        <v>51</v>
      </c>
      <c r="G61" s="181">
        <v>23</v>
      </c>
      <c r="H61" s="181">
        <v>51</v>
      </c>
      <c r="I61" s="181">
        <f>SUM(FnlAssem[[#This Row],[S1Qty]],FnlAssem[[#This Row],[S2Qty]],FnlAssem[[#This Row],[S3Qty]])*FnlAssem[[#This Row],[Pcs/Carton]]-FnlAssem[[#This Row],[Defects]]</f>
        <v>28736</v>
      </c>
      <c r="J61" s="184">
        <v>14</v>
      </c>
      <c r="K61" s="184" t="s">
        <v>278</v>
      </c>
      <c r="L61" s="170">
        <v>230</v>
      </c>
      <c r="Z61"/>
      <c r="AA61"/>
      <c r="AB61"/>
    </row>
    <row r="62" spans="1:28" x14ac:dyDescent="0.2">
      <c r="A62" s="182">
        <v>45462</v>
      </c>
      <c r="B62" s="183" t="s">
        <v>36</v>
      </c>
      <c r="C62" s="183">
        <v>28185</v>
      </c>
      <c r="D62" s="170" t="s">
        <v>277</v>
      </c>
      <c r="E62" s="183" t="str">
        <f>IF(FnlAssem[[#This Row],[Total]]&gt;0,"Running","Down")</f>
        <v>Running</v>
      </c>
      <c r="F62" s="181">
        <v>16</v>
      </c>
      <c r="G62" s="181">
        <v>0</v>
      </c>
      <c r="H62" s="181">
        <v>0</v>
      </c>
      <c r="I62" s="181">
        <f>SUM(FnlAssem[[#This Row],[S1Qty]],FnlAssem[[#This Row],[S2Qty]],FnlAssem[[#This Row],[S3Qty]])*FnlAssem[[#This Row],[Pcs/Carton]]-FnlAssem[[#This Row],[Defects]]</f>
        <v>5118</v>
      </c>
      <c r="J62" s="184">
        <v>2</v>
      </c>
      <c r="K62" s="184"/>
      <c r="L62" s="170">
        <v>320</v>
      </c>
      <c r="Z62"/>
      <c r="AA62"/>
      <c r="AB62"/>
    </row>
    <row r="63" spans="1:28" x14ac:dyDescent="0.2">
      <c r="A63" s="182">
        <v>45462</v>
      </c>
      <c r="B63" s="183" t="s">
        <v>36</v>
      </c>
      <c r="C63" s="183">
        <v>27579</v>
      </c>
      <c r="D63" s="170" t="s">
        <v>204</v>
      </c>
      <c r="E63" s="183" t="str">
        <f>IF(FnlAssem[[#This Row],[Total]]&gt;0,"Running","Down")</f>
        <v>Running</v>
      </c>
      <c r="F63" s="181">
        <v>19</v>
      </c>
      <c r="G63" s="181">
        <v>47</v>
      </c>
      <c r="H63" s="181">
        <v>51</v>
      </c>
      <c r="I63" s="181">
        <f>SUM(FnlAssem[[#This Row],[S1Qty]],FnlAssem[[#This Row],[S2Qty]],FnlAssem[[#This Row],[S3Qty]])*FnlAssem[[#This Row],[Pcs/Carton]]-FnlAssem[[#This Row],[Defects]]</f>
        <v>26894</v>
      </c>
      <c r="J63" s="184">
        <v>16</v>
      </c>
      <c r="K63" s="184" t="s">
        <v>275</v>
      </c>
      <c r="L63" s="170">
        <v>230</v>
      </c>
      <c r="Z63"/>
      <c r="AA63"/>
      <c r="AB63"/>
    </row>
    <row r="64" spans="1:28" x14ac:dyDescent="0.2">
      <c r="A64" s="182">
        <v>45462</v>
      </c>
      <c r="B64" s="183" t="s">
        <v>36</v>
      </c>
      <c r="C64" s="183">
        <v>26416</v>
      </c>
      <c r="D64" s="170" t="s">
        <v>204</v>
      </c>
      <c r="E64" s="183" t="str">
        <f>IF(FnlAssem[[#This Row],[Total]]&gt;0,"Running","Down")</f>
        <v>Running</v>
      </c>
      <c r="F64" s="181">
        <v>33</v>
      </c>
      <c r="G64" s="181">
        <v>0</v>
      </c>
      <c r="H64" s="181">
        <v>0</v>
      </c>
      <c r="I64" s="181">
        <f>SUM(FnlAssem[[#This Row],[S1Qty]],FnlAssem[[#This Row],[S2Qty]],FnlAssem[[#This Row],[S3Qty]])*FnlAssem[[#This Row],[Pcs/Carton]]-FnlAssem[[#This Row],[Defects]]</f>
        <v>7585</v>
      </c>
      <c r="J64" s="184">
        <v>5</v>
      </c>
      <c r="K64" s="184"/>
      <c r="L64" s="170">
        <v>230</v>
      </c>
      <c r="Z64"/>
      <c r="AA64"/>
      <c r="AB64"/>
    </row>
    <row r="65" spans="1:28" x14ac:dyDescent="0.2">
      <c r="A65" s="182">
        <v>45463</v>
      </c>
      <c r="B65" s="183" t="s">
        <v>36</v>
      </c>
      <c r="C65" s="183">
        <v>27579</v>
      </c>
      <c r="D65" s="170" t="s">
        <v>204</v>
      </c>
      <c r="E65" s="183" t="str">
        <f>IF(FnlAssem[[#This Row],[Total]]&gt;0,"Running","Down")</f>
        <v>Running</v>
      </c>
      <c r="F65" s="181">
        <v>54</v>
      </c>
      <c r="G65" s="181">
        <v>23</v>
      </c>
      <c r="H65" s="181">
        <v>47</v>
      </c>
      <c r="I65" s="181">
        <f>SUM(FnlAssem[[#This Row],[S1Qty]],FnlAssem[[#This Row],[S2Qty]],FnlAssem[[#This Row],[S3Qty]])*FnlAssem[[#This Row],[Pcs/Carton]]-FnlAssem[[#This Row],[Defects]]</f>
        <v>28495</v>
      </c>
      <c r="J65" s="184">
        <v>25</v>
      </c>
      <c r="K65" s="184"/>
      <c r="L65" s="170">
        <v>230</v>
      </c>
      <c r="Z65"/>
      <c r="AA65"/>
      <c r="AB65"/>
    </row>
    <row r="66" spans="1:28" x14ac:dyDescent="0.2">
      <c r="A66" s="182">
        <v>45464</v>
      </c>
      <c r="B66" s="183" t="s">
        <v>36</v>
      </c>
      <c r="C66" s="183">
        <v>27579</v>
      </c>
      <c r="D66" s="170" t="s">
        <v>204</v>
      </c>
      <c r="E66" s="183" t="str">
        <f>IF(FnlAssem[[#This Row],[Total]]&gt;0,"Running","Down")</f>
        <v>Running</v>
      </c>
      <c r="F66" s="181">
        <v>15</v>
      </c>
      <c r="G66" s="181">
        <v>0</v>
      </c>
      <c r="H66" s="181">
        <v>0</v>
      </c>
      <c r="I66" s="181">
        <f>SUM(FnlAssem[[#This Row],[S1Qty]],FnlAssem[[#This Row],[S2Qty]],FnlAssem[[#This Row],[S3Qty]])*FnlAssem[[#This Row],[Pcs/Carton]]-FnlAssem[[#This Row],[Defects]]</f>
        <v>3447</v>
      </c>
      <c r="J66" s="184">
        <v>3</v>
      </c>
      <c r="K66" s="184"/>
      <c r="L66" s="170">
        <v>230</v>
      </c>
      <c r="Z66"/>
      <c r="AA66"/>
      <c r="AB66"/>
    </row>
    <row r="67" spans="1:28" x14ac:dyDescent="0.2">
      <c r="A67" s="182">
        <v>45464</v>
      </c>
      <c r="B67" s="183" t="s">
        <v>36</v>
      </c>
      <c r="C67" s="183">
        <v>27897</v>
      </c>
      <c r="D67" s="170" t="s">
        <v>294</v>
      </c>
      <c r="E67" s="183" t="str">
        <f>IF(FnlAssem[[#This Row],[Total]]&gt;0,"Running","Down")</f>
        <v>Running</v>
      </c>
      <c r="F67" s="181">
        <v>31</v>
      </c>
      <c r="G67" s="181">
        <v>36</v>
      </c>
      <c r="H67" s="181">
        <v>30</v>
      </c>
      <c r="I67" s="181">
        <f>SUM(FnlAssem[[#This Row],[S1Qty]],FnlAssem[[#This Row],[S2Qty]],FnlAssem[[#This Row],[S3Qty]])*FnlAssem[[#This Row],[Pcs/Carton]]-FnlAssem[[#This Row],[Defects]]</f>
        <v>22291</v>
      </c>
      <c r="J67" s="184">
        <v>19</v>
      </c>
      <c r="K67" s="184"/>
      <c r="L67" s="170">
        <v>230</v>
      </c>
      <c r="Z67"/>
      <c r="AA67"/>
      <c r="AB67"/>
    </row>
    <row r="68" spans="1:28" x14ac:dyDescent="0.2">
      <c r="A68" s="182">
        <v>45465</v>
      </c>
      <c r="B68" s="183" t="s">
        <v>36</v>
      </c>
      <c r="C68" s="183"/>
      <c r="D68" s="183"/>
      <c r="E68" s="183" t="str">
        <f>IF(FnlAssem[[#This Row],[Total]]&gt;0,"Running","Down")</f>
        <v>Down</v>
      </c>
      <c r="F68" s="181">
        <v>0</v>
      </c>
      <c r="G68" s="181">
        <v>0</v>
      </c>
      <c r="H68" s="181">
        <v>0</v>
      </c>
      <c r="I68" s="181">
        <f>SUM(FnlAssem[[#This Row],[S1Qty]],FnlAssem[[#This Row],[S2Qty]],FnlAssem[[#This Row],[S3Qty]])*FnlAssem[[#This Row],[Pcs/Carton]]-FnlAssem[[#This Row],[Defects]]</f>
        <v>0</v>
      </c>
      <c r="J68" s="184">
        <v>0</v>
      </c>
      <c r="K68" s="184"/>
      <c r="L68" s="170">
        <v>230</v>
      </c>
      <c r="Z68"/>
      <c r="AA68"/>
      <c r="AB68"/>
    </row>
    <row r="69" spans="1:28" x14ac:dyDescent="0.2">
      <c r="A69" s="182">
        <v>45466</v>
      </c>
      <c r="B69" s="183" t="s">
        <v>36</v>
      </c>
      <c r="C69" s="183"/>
      <c r="D69" s="183"/>
      <c r="E69" s="183" t="str">
        <f>IF(FnlAssem[[#This Row],[Total]]&gt;0,"Running","Down")</f>
        <v>Down</v>
      </c>
      <c r="F69" s="181">
        <v>0</v>
      </c>
      <c r="G69" s="181">
        <v>0</v>
      </c>
      <c r="H69" s="181">
        <v>0</v>
      </c>
      <c r="I69" s="181">
        <f>SUM(FnlAssem[[#This Row],[S1Qty]],FnlAssem[[#This Row],[S2Qty]],FnlAssem[[#This Row],[S3Qty]])*FnlAssem[[#This Row],[Pcs/Carton]]-FnlAssem[[#This Row],[Defects]]</f>
        <v>0</v>
      </c>
      <c r="J69" s="184">
        <v>0</v>
      </c>
      <c r="K69" s="184"/>
      <c r="L69" s="170">
        <v>230</v>
      </c>
      <c r="Z69"/>
      <c r="AA69"/>
      <c r="AB69"/>
    </row>
    <row r="70" spans="1:28" x14ac:dyDescent="0.2">
      <c r="A70" s="182">
        <v>45467</v>
      </c>
      <c r="B70" s="183" t="s">
        <v>36</v>
      </c>
      <c r="C70" s="183"/>
      <c r="D70" s="170"/>
      <c r="E70" s="183" t="str">
        <f>IF(FnlAssem[[#This Row],[Total]]&gt;0,"Running","Down")</f>
        <v>Down</v>
      </c>
      <c r="F70" s="181">
        <v>0</v>
      </c>
      <c r="G70" s="181">
        <v>0</v>
      </c>
      <c r="H70" s="181">
        <v>0</v>
      </c>
      <c r="I70" s="181">
        <f>SUM(FnlAssem[[#This Row],[S1Qty]],FnlAssem[[#This Row],[S2Qty]],FnlAssem[[#This Row],[S3Qty]])*FnlAssem[[#This Row],[Pcs/Carton]]-FnlAssem[[#This Row],[Defects]]</f>
        <v>0</v>
      </c>
      <c r="J70" s="184">
        <v>0</v>
      </c>
      <c r="K70" s="184"/>
      <c r="L70" s="170">
        <v>230</v>
      </c>
      <c r="Z70"/>
      <c r="AA70"/>
      <c r="AB70"/>
    </row>
    <row r="71" spans="1:28" x14ac:dyDescent="0.2">
      <c r="A71" s="182">
        <v>45468</v>
      </c>
      <c r="B71" s="183" t="s">
        <v>36</v>
      </c>
      <c r="C71" s="183"/>
      <c r="D71" s="183"/>
      <c r="E71" s="183" t="str">
        <f>IF(FnlAssem[[#This Row],[Total]]&gt;0,"Running","Down")</f>
        <v>Down</v>
      </c>
      <c r="F71" s="181">
        <v>0</v>
      </c>
      <c r="G71" s="181">
        <v>0</v>
      </c>
      <c r="H71" s="181">
        <v>0</v>
      </c>
      <c r="I71" s="181">
        <f>SUM(FnlAssem[[#This Row],[S1Qty]],FnlAssem[[#This Row],[S2Qty]],FnlAssem[[#This Row],[S3Qty]])*FnlAssem[[#This Row],[Pcs/Carton]]-FnlAssem[[#This Row],[Defects]]</f>
        <v>0</v>
      </c>
      <c r="J71" s="184">
        <v>0</v>
      </c>
      <c r="K71" s="184"/>
      <c r="L71" s="170">
        <v>230</v>
      </c>
      <c r="Z71"/>
      <c r="AA71"/>
      <c r="AB71"/>
    </row>
    <row r="72" spans="1:28" x14ac:dyDescent="0.2">
      <c r="A72" s="182">
        <v>45469</v>
      </c>
      <c r="B72" s="183" t="s">
        <v>36</v>
      </c>
      <c r="C72" s="183"/>
      <c r="D72" s="183"/>
      <c r="E72" s="183" t="str">
        <f>IF(FnlAssem[[#This Row],[Total]]&gt;0,"Running","Down")</f>
        <v>Down</v>
      </c>
      <c r="F72" s="181">
        <v>0</v>
      </c>
      <c r="G72" s="181">
        <v>0</v>
      </c>
      <c r="H72" s="181">
        <v>0</v>
      </c>
      <c r="I72" s="181">
        <f>SUM(FnlAssem[[#This Row],[S1Qty]],FnlAssem[[#This Row],[S2Qty]],FnlAssem[[#This Row],[S3Qty]])*FnlAssem[[#This Row],[Pcs/Carton]]-FnlAssem[[#This Row],[Defects]]</f>
        <v>0</v>
      </c>
      <c r="J72" s="184">
        <v>0</v>
      </c>
      <c r="K72" s="184"/>
      <c r="L72" s="170">
        <v>230</v>
      </c>
      <c r="Z72"/>
      <c r="AA72"/>
      <c r="AB72"/>
    </row>
    <row r="73" spans="1:28" x14ac:dyDescent="0.2">
      <c r="A73" s="182">
        <v>45470</v>
      </c>
      <c r="B73" s="183" t="s">
        <v>36</v>
      </c>
      <c r="C73" s="183"/>
      <c r="D73" s="170"/>
      <c r="E73" s="183" t="str">
        <f>IF(FnlAssem[[#This Row],[Total]]&gt;0,"Running","Down")</f>
        <v>Down</v>
      </c>
      <c r="F73" s="181">
        <v>0</v>
      </c>
      <c r="G73" s="181">
        <v>0</v>
      </c>
      <c r="H73" s="181">
        <v>0</v>
      </c>
      <c r="I73" s="181">
        <f>SUM(FnlAssem[[#This Row],[S1Qty]],FnlAssem[[#This Row],[S2Qty]],FnlAssem[[#This Row],[S3Qty]])*FnlAssem[[#This Row],[Pcs/Carton]]-FnlAssem[[#This Row],[Defects]]</f>
        <v>0</v>
      </c>
      <c r="J73" s="184">
        <v>0</v>
      </c>
      <c r="K73" s="184"/>
      <c r="L73" s="170">
        <v>230</v>
      </c>
      <c r="Z73"/>
      <c r="AA73"/>
      <c r="AB73"/>
    </row>
    <row r="74" spans="1:28" x14ac:dyDescent="0.2">
      <c r="A74" s="182">
        <v>45471</v>
      </c>
      <c r="B74" s="183" t="s">
        <v>36</v>
      </c>
      <c r="C74" s="183"/>
      <c r="D74" s="170"/>
      <c r="E74" s="183" t="str">
        <f>IF(FnlAssem[[#This Row],[Total]]&gt;0,"Running","Down")</f>
        <v>Down</v>
      </c>
      <c r="F74" s="181">
        <v>0</v>
      </c>
      <c r="G74" s="181">
        <v>0</v>
      </c>
      <c r="H74" s="181">
        <v>0</v>
      </c>
      <c r="I74" s="181">
        <f>SUM(FnlAssem[[#This Row],[S1Qty]],FnlAssem[[#This Row],[S2Qty]],FnlAssem[[#This Row],[S3Qty]])*FnlAssem[[#This Row],[Pcs/Carton]]-FnlAssem[[#This Row],[Defects]]</f>
        <v>0</v>
      </c>
      <c r="J74" s="184">
        <v>0</v>
      </c>
      <c r="K74" s="184"/>
      <c r="L74" s="170">
        <v>230</v>
      </c>
      <c r="Z74"/>
      <c r="AA74"/>
      <c r="AB74"/>
    </row>
    <row r="75" spans="1:28" x14ac:dyDescent="0.2">
      <c r="A75" s="182">
        <v>45472</v>
      </c>
      <c r="B75" s="183" t="s">
        <v>36</v>
      </c>
      <c r="C75" s="183"/>
      <c r="D75" s="170"/>
      <c r="E75" s="183" t="str">
        <f>IF(FnlAssem[[#This Row],[Total]]&gt;0,"Running","Down")</f>
        <v>Down</v>
      </c>
      <c r="F75" s="181">
        <v>0</v>
      </c>
      <c r="G75" s="181">
        <v>0</v>
      </c>
      <c r="H75" s="181">
        <v>0</v>
      </c>
      <c r="I75" s="181">
        <f>SUM(FnlAssem[[#This Row],[S1Qty]],FnlAssem[[#This Row],[S2Qty]],FnlAssem[[#This Row],[S3Qty]])*FnlAssem[[#This Row],[Pcs/Carton]]-FnlAssem[[#This Row],[Defects]]</f>
        <v>0</v>
      </c>
      <c r="J75" s="184">
        <v>0</v>
      </c>
      <c r="K75" s="184"/>
      <c r="L75" s="170">
        <v>230</v>
      </c>
      <c r="Z75"/>
      <c r="AA75"/>
      <c r="AB75"/>
    </row>
    <row r="76" spans="1:28" x14ac:dyDescent="0.2">
      <c r="A76" s="182">
        <v>45473</v>
      </c>
      <c r="B76" s="183" t="s">
        <v>36</v>
      </c>
      <c r="C76" s="183"/>
      <c r="D76" s="170"/>
      <c r="E76" s="183" t="str">
        <f>IF(FnlAssem[[#This Row],[Total]]&gt;0,"Running","Down")</f>
        <v>Down</v>
      </c>
      <c r="F76" s="181">
        <v>0</v>
      </c>
      <c r="G76" s="181">
        <v>0</v>
      </c>
      <c r="H76" s="181">
        <v>0</v>
      </c>
      <c r="I76" s="181">
        <f>SUM(FnlAssem[[#This Row],[S1Qty]],FnlAssem[[#This Row],[S2Qty]],FnlAssem[[#This Row],[S3Qty]])*FnlAssem[[#This Row],[Pcs/Carton]]-FnlAssem[[#This Row],[Defects]]</f>
        <v>0</v>
      </c>
      <c r="J76" s="184">
        <v>0</v>
      </c>
      <c r="K76" s="184"/>
      <c r="L76" s="170">
        <v>230</v>
      </c>
      <c r="Z76"/>
      <c r="AA76"/>
      <c r="AB76"/>
    </row>
    <row r="77" spans="1:28" x14ac:dyDescent="0.2">
      <c r="Z77"/>
      <c r="AA77"/>
      <c r="AB77"/>
    </row>
    <row r="78" spans="1:28" x14ac:dyDescent="0.2">
      <c r="Z78"/>
      <c r="AA78"/>
      <c r="AB78"/>
    </row>
    <row r="79" spans="1:28" x14ac:dyDescent="0.2">
      <c r="Z79"/>
      <c r="AA79"/>
      <c r="AB79"/>
    </row>
    <row r="80" spans="1:28" x14ac:dyDescent="0.2">
      <c r="Z80"/>
      <c r="AA80"/>
      <c r="AB80"/>
    </row>
    <row r="81" spans="26:28" x14ac:dyDescent="0.2">
      <c r="Z81"/>
      <c r="AA81"/>
      <c r="AB81"/>
    </row>
    <row r="82" spans="26:28" x14ac:dyDescent="0.2">
      <c r="Z82"/>
      <c r="AA82"/>
      <c r="AB82"/>
    </row>
    <row r="83" spans="26:28" x14ac:dyDescent="0.2">
      <c r="Z83"/>
      <c r="AA83"/>
      <c r="AB83"/>
    </row>
    <row r="84" spans="26:28" x14ac:dyDescent="0.2">
      <c r="Z84"/>
      <c r="AA84"/>
      <c r="AB84"/>
    </row>
    <row r="85" spans="26:28" x14ac:dyDescent="0.2">
      <c r="Z85"/>
      <c r="AA85"/>
      <c r="AB85"/>
    </row>
  </sheetData>
  <mergeCells count="1">
    <mergeCell ref="J2:K2"/>
  </mergeCells>
  <conditionalFormatting sqref="A6:L76">
    <cfRule type="expression" dxfId="18" priority="10230">
      <formula>INDIRECT("FnlAssem[@Date]")=TODAY()-1</formula>
    </cfRule>
    <cfRule type="expression" dxfId="17" priority="10231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3"/>
  <sheetViews>
    <sheetView workbookViewId="0">
      <selection activeCell="E30" sqref="E30"/>
    </sheetView>
  </sheetViews>
  <sheetFormatPr defaultRowHeight="12.75" x14ac:dyDescent="0.2"/>
  <cols>
    <col min="1" max="1" width="11.7109375" bestFit="1" customWidth="1"/>
    <col min="2" max="2" width="24.5703125" bestFit="1" customWidth="1"/>
    <col min="3" max="3" width="12" hidden="1" customWidth="1"/>
  </cols>
  <sheetData>
    <row r="1" spans="1:2" x14ac:dyDescent="0.2">
      <c r="A1" s="171" t="s">
        <v>107</v>
      </c>
      <c r="B1" t="s">
        <v>166</v>
      </c>
    </row>
    <row r="2" spans="1:2" x14ac:dyDescent="0.2">
      <c r="A2" s="172">
        <v>45444</v>
      </c>
      <c r="B2" s="173">
        <v>74034</v>
      </c>
    </row>
    <row r="3" spans="1:2" x14ac:dyDescent="0.2">
      <c r="A3" s="172">
        <v>45445</v>
      </c>
      <c r="B3" s="173">
        <v>80924</v>
      </c>
    </row>
    <row r="4" spans="1:2" x14ac:dyDescent="0.2">
      <c r="A4" s="172">
        <v>45446</v>
      </c>
      <c r="B4" s="173">
        <v>82070</v>
      </c>
    </row>
    <row r="5" spans="1:2" x14ac:dyDescent="0.2">
      <c r="A5" s="172">
        <v>45447</v>
      </c>
      <c r="B5" s="173">
        <v>81161</v>
      </c>
    </row>
    <row r="6" spans="1:2" x14ac:dyDescent="0.2">
      <c r="A6" s="172">
        <v>45448</v>
      </c>
      <c r="B6" s="173">
        <v>79545</v>
      </c>
    </row>
    <row r="7" spans="1:2" x14ac:dyDescent="0.2">
      <c r="A7" s="172">
        <v>45449</v>
      </c>
      <c r="B7" s="173">
        <v>58615</v>
      </c>
    </row>
    <row r="8" spans="1:2" x14ac:dyDescent="0.2">
      <c r="A8" s="172">
        <v>45450</v>
      </c>
      <c r="B8" s="173">
        <v>60865</v>
      </c>
    </row>
    <row r="9" spans="1:2" x14ac:dyDescent="0.2">
      <c r="A9" s="172">
        <v>45451</v>
      </c>
      <c r="B9" s="173">
        <v>80250</v>
      </c>
    </row>
    <row r="10" spans="1:2" x14ac:dyDescent="0.2">
      <c r="A10" s="172">
        <v>45452</v>
      </c>
      <c r="B10" s="173">
        <v>74496</v>
      </c>
    </row>
    <row r="11" spans="1:2" x14ac:dyDescent="0.2">
      <c r="A11" s="172">
        <v>45453</v>
      </c>
      <c r="B11" s="173">
        <v>56777</v>
      </c>
    </row>
    <row r="12" spans="1:2" x14ac:dyDescent="0.2">
      <c r="A12" s="172">
        <v>45454</v>
      </c>
      <c r="B12" s="173">
        <v>26027</v>
      </c>
    </row>
    <row r="13" spans="1:2" x14ac:dyDescent="0.2">
      <c r="A13" s="172">
        <v>45455</v>
      </c>
      <c r="B13" s="173">
        <v>69135</v>
      </c>
    </row>
    <row r="14" spans="1:2" x14ac:dyDescent="0.2">
      <c r="A14" s="172">
        <v>45456</v>
      </c>
      <c r="B14" s="173">
        <v>40379</v>
      </c>
    </row>
    <row r="15" spans="1:2" x14ac:dyDescent="0.2">
      <c r="A15" s="172">
        <v>45457</v>
      </c>
      <c r="B15" s="173">
        <v>55859</v>
      </c>
    </row>
    <row r="16" spans="1:2" x14ac:dyDescent="0.2">
      <c r="A16" s="172">
        <v>45458</v>
      </c>
      <c r="B16" s="173">
        <v>57009</v>
      </c>
    </row>
    <row r="17" spans="1:2" x14ac:dyDescent="0.2">
      <c r="A17" s="172">
        <v>45459</v>
      </c>
      <c r="B17" s="173">
        <v>57003</v>
      </c>
    </row>
    <row r="18" spans="1:2" x14ac:dyDescent="0.2">
      <c r="A18" s="172">
        <v>45460</v>
      </c>
      <c r="B18" s="173">
        <v>33546</v>
      </c>
    </row>
    <row r="19" spans="1:2" x14ac:dyDescent="0.2">
      <c r="A19" s="172">
        <v>45461</v>
      </c>
      <c r="B19" s="173">
        <v>38966</v>
      </c>
    </row>
    <row r="20" spans="1:2" x14ac:dyDescent="0.2">
      <c r="A20" s="172">
        <v>45462</v>
      </c>
      <c r="B20" s="173">
        <v>39597</v>
      </c>
    </row>
    <row r="21" spans="1:2" x14ac:dyDescent="0.2">
      <c r="A21" s="172">
        <v>45463</v>
      </c>
      <c r="B21" s="173">
        <v>28495</v>
      </c>
    </row>
    <row r="22" spans="1:2" x14ac:dyDescent="0.2">
      <c r="A22" s="172">
        <v>45464</v>
      </c>
      <c r="B22" s="173">
        <v>25738</v>
      </c>
    </row>
    <row r="23" spans="1:2" x14ac:dyDescent="0.2">
      <c r="A23" s="172" t="s">
        <v>167</v>
      </c>
      <c r="B23" s="173">
        <v>1200491</v>
      </c>
    </row>
  </sheetData>
  <pageMargins left="0.7" right="0.7" top="0.75" bottom="0.75" header="0.3" footer="0.3"/>
  <pageSetup paperSize="260" orientation="landscape" horizontalDpi="203" verticalDpi="20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60" zoomScaleNormal="160" workbookViewId="0">
      <selection activeCell="K2" sqref="K2"/>
    </sheetView>
  </sheetViews>
  <sheetFormatPr defaultRowHeight="12.75" x14ac:dyDescent="0.2"/>
  <cols>
    <col min="2" max="2" width="11.140625" customWidth="1"/>
    <col min="3" max="3" width="7.7109375" customWidth="1"/>
  </cols>
  <sheetData>
    <row r="1" spans="1:12" ht="27.75" thickBot="1" x14ac:dyDescent="0.4">
      <c r="A1" s="333" t="s">
        <v>154</v>
      </c>
      <c r="B1" s="333"/>
      <c r="C1" s="333"/>
      <c r="D1" s="333"/>
      <c r="E1" s="333"/>
      <c r="F1" s="333"/>
      <c r="G1" s="333"/>
      <c r="H1" s="333"/>
      <c r="I1" s="333"/>
      <c r="K1" s="327">
        <f>Production!$A$6</f>
        <v>45444</v>
      </c>
      <c r="L1" s="327"/>
    </row>
    <row r="2" spans="1:12" ht="13.5" thickTop="1" x14ac:dyDescent="0.2"/>
    <row r="3" spans="1:12" ht="13.5" thickBot="1" x14ac:dyDescent="0.25"/>
    <row r="4" spans="1:12" ht="13.5" thickBot="1" x14ac:dyDescent="0.25">
      <c r="B4" s="331" t="s">
        <v>155</v>
      </c>
      <c r="C4" s="332"/>
    </row>
    <row r="5" spans="1:12" x14ac:dyDescent="0.2">
      <c r="B5" s="137" t="s">
        <v>160</v>
      </c>
      <c r="C5" s="138" t="s">
        <v>156</v>
      </c>
    </row>
    <row r="6" spans="1:12" ht="13.5" thickBot="1" x14ac:dyDescent="0.25">
      <c r="B6" s="139">
        <v>8960586</v>
      </c>
      <c r="C6" s="140">
        <v>31653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(DEO)</vt:lpstr>
      <vt:lpstr>Final Assem (DEO)</vt:lpstr>
      <vt:lpstr>Graph Summary</vt:lpstr>
      <vt:lpstr>Defects</vt:lpstr>
      <vt:lpstr>'ASS old'!Print_Area</vt:lpstr>
      <vt:lpstr>'Assembly (DEO)'!Print_Area</vt:lpstr>
      <vt:lpstr>'Final Assem (DEO)'!Print_Area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2024-06-22T20:38:17Z</dcterms:modified>
</cp:coreProperties>
</file>