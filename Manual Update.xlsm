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7065" windowHeight="5475" firstSheet="2" activeTab="3"/>
  </bookViews>
  <sheets>
    <sheet name="May" sheetId="12" state="hidden" r:id="rId1"/>
    <sheet name="June" sheetId="15" state="hidden" r:id="rId2"/>
    <sheet name="WholeDayAllCols" sheetId="9" r:id="rId3"/>
    <sheet name="Custom Data" sheetId="18" r:id="rId4"/>
    <sheet name="Custom Full" sheetId="21" r:id="rId5"/>
    <sheet name="ManualCpy" sheetId="22" r:id="rId6"/>
  </sheets>
  <definedNames>
    <definedName name="ExternalData_1" localSheetId="3" hidden="1">'Custom Data'!$A$1:$F$12</definedName>
    <definedName name="ExternalData_1" localSheetId="4" hidden="1">'Custom Full'!$A$1:$F$207</definedName>
    <definedName name="ExternalData_1" localSheetId="5" hidden="1">ManualCpy!$A$1:$G$153</definedName>
  </definedNames>
  <calcPr calcId="145621"/>
</workbook>
</file>

<file path=xl/calcChain.xml><?xml version="1.0" encoding="utf-8"?>
<calcChain xmlns="http://schemas.openxmlformats.org/spreadsheetml/2006/main">
  <c r="I12" i="18" l="1"/>
  <c r="I2" i="18" l="1"/>
  <c r="I3" i="18"/>
  <c r="I4" i="18"/>
  <c r="I5" i="18"/>
  <c r="I6" i="18"/>
  <c r="I7" i="18"/>
  <c r="I8" i="18"/>
  <c r="I9" i="18"/>
  <c r="I10" i="18"/>
  <c r="I11" i="18"/>
  <c r="I2" i="22" l="1"/>
  <c r="I3" i="22"/>
  <c r="R13" i="18" l="1"/>
  <c r="R12" i="18"/>
  <c r="Q10" i="18" l="1"/>
  <c r="Q7" i="18"/>
  <c r="Q4" i="18"/>
  <c r="G229" i="9" l="1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2" i="9"/>
  <c r="E2171" i="15" l="1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2366" i="15"/>
  <c r="E2367" i="15"/>
  <c r="E2368" i="15"/>
  <c r="E2369" i="15"/>
  <c r="E2370" i="15"/>
  <c r="E2371" i="15"/>
  <c r="E2372" i="15"/>
  <c r="E2373" i="15"/>
  <c r="E2374" i="15"/>
  <c r="E2375" i="15"/>
  <c r="E2376" i="15"/>
  <c r="E2377" i="15"/>
  <c r="E2378" i="15"/>
  <c r="E2379" i="15"/>
  <c r="E2380" i="15"/>
  <c r="E2381" i="15"/>
  <c r="E2382" i="15"/>
  <c r="E2383" i="15"/>
  <c r="E2384" i="15"/>
  <c r="E2385" i="15"/>
  <c r="E2386" i="15"/>
  <c r="E2387" i="15"/>
  <c r="E2388" i="15"/>
  <c r="E2389" i="15"/>
  <c r="E2390" i="15"/>
  <c r="E2391" i="15"/>
  <c r="E2392" i="15"/>
  <c r="E2393" i="15"/>
  <c r="E2394" i="15"/>
  <c r="E2395" i="15"/>
  <c r="E2396" i="15"/>
  <c r="E2397" i="15"/>
  <c r="E2398" i="15"/>
  <c r="E2170" i="15" l="1"/>
  <c r="E2169" i="15"/>
  <c r="E2167" i="15"/>
  <c r="E2166" i="15"/>
  <c r="E2164" i="15"/>
  <c r="E2163" i="15"/>
  <c r="E2161" i="15"/>
  <c r="E2160" i="15"/>
  <c r="E2158" i="15"/>
  <c r="E2157" i="15"/>
  <c r="E2155" i="15"/>
  <c r="E2154" i="15"/>
  <c r="E2152" i="15"/>
  <c r="E2151" i="15"/>
  <c r="E2149" i="15"/>
  <c r="E2148" i="15"/>
  <c r="E2146" i="15"/>
  <c r="E2145" i="15"/>
  <c r="E2143" i="15"/>
  <c r="E2142" i="15"/>
  <c r="E2140" i="15"/>
  <c r="E2139" i="15"/>
  <c r="E2137" i="15"/>
  <c r="E2136" i="15"/>
  <c r="E2134" i="15"/>
  <c r="E2133" i="15"/>
  <c r="E2131" i="15"/>
  <c r="E2130" i="15"/>
  <c r="E2128" i="15"/>
  <c r="E2127" i="15"/>
  <c r="E2125" i="15"/>
  <c r="E2124" i="15"/>
  <c r="E2122" i="15"/>
  <c r="E2121" i="15"/>
  <c r="E2119" i="15"/>
  <c r="E2118" i="15"/>
  <c r="E2116" i="15"/>
  <c r="E2115" i="15"/>
  <c r="E2113" i="15"/>
  <c r="E2112" i="15"/>
  <c r="E2110" i="15"/>
  <c r="E2109" i="15"/>
  <c r="E2107" i="15"/>
  <c r="E2106" i="15"/>
  <c r="E2104" i="15"/>
  <c r="E2103" i="15"/>
  <c r="E2101" i="15"/>
  <c r="E2100" i="15"/>
  <c r="E2098" i="15"/>
  <c r="E2097" i="15"/>
  <c r="E2095" i="15"/>
  <c r="E2094" i="15"/>
  <c r="E2092" i="15"/>
  <c r="E2091" i="15"/>
  <c r="E2089" i="15"/>
  <c r="E2088" i="15"/>
  <c r="E2086" i="15"/>
  <c r="E2085" i="15"/>
  <c r="E2083" i="15"/>
  <c r="E2082" i="15"/>
  <c r="E2080" i="15"/>
  <c r="E2079" i="15"/>
  <c r="E2077" i="15"/>
  <c r="E2076" i="15"/>
  <c r="E2074" i="15"/>
  <c r="E2073" i="15"/>
  <c r="E2071" i="15"/>
  <c r="E2070" i="15"/>
  <c r="E2068" i="15"/>
  <c r="E2067" i="15"/>
  <c r="E2065" i="15"/>
  <c r="E2064" i="15"/>
  <c r="E2168" i="15"/>
  <c r="E2165" i="15"/>
  <c r="E2162" i="15"/>
  <c r="E2159" i="15"/>
  <c r="E2156" i="15"/>
  <c r="E2153" i="15"/>
  <c r="E2150" i="15"/>
  <c r="E2147" i="15"/>
  <c r="E2144" i="15"/>
  <c r="E2141" i="15"/>
  <c r="E2138" i="15"/>
  <c r="E2135" i="15"/>
  <c r="E2132" i="15"/>
  <c r="E2129" i="15"/>
  <c r="E2126" i="15"/>
  <c r="E2123" i="15"/>
  <c r="E2120" i="15"/>
  <c r="E2117" i="15"/>
  <c r="E2114" i="15"/>
  <c r="E2111" i="15"/>
  <c r="E2108" i="15"/>
  <c r="E2105" i="15"/>
  <c r="E2102" i="15"/>
  <c r="E2099" i="15"/>
  <c r="E2096" i="15"/>
  <c r="E2093" i="15"/>
  <c r="E2090" i="15"/>
  <c r="E2087" i="15"/>
  <c r="E2084" i="15"/>
  <c r="E2081" i="15"/>
  <c r="E2078" i="15"/>
  <c r="E2075" i="15"/>
  <c r="E2072" i="15"/>
  <c r="E2069" i="15"/>
  <c r="E2066" i="15"/>
  <c r="E2063" i="15"/>
  <c r="E2062" i="15"/>
  <c r="E2061" i="15"/>
  <c r="E2059" i="15"/>
  <c r="E2058" i="15"/>
  <c r="E2056" i="15"/>
  <c r="E2055" i="15"/>
  <c r="E2053" i="15"/>
  <c r="E2052" i="15"/>
  <c r="E2050" i="15"/>
  <c r="E2049" i="15"/>
  <c r="E2047" i="15"/>
  <c r="E2046" i="15"/>
  <c r="E2044" i="15"/>
  <c r="E2043" i="15"/>
  <c r="E2041" i="15"/>
  <c r="E2040" i="15"/>
  <c r="E2038" i="15"/>
  <c r="E2037" i="15"/>
  <c r="E2035" i="15"/>
  <c r="E2034" i="15"/>
  <c r="E2032" i="15"/>
  <c r="E2031" i="15"/>
  <c r="E2029" i="15"/>
  <c r="E2028" i="15"/>
  <c r="E2026" i="15"/>
  <c r="E2025" i="15"/>
  <c r="E2023" i="15"/>
  <c r="E2022" i="15"/>
  <c r="E2020" i="15"/>
  <c r="E2019" i="15"/>
  <c r="E2017" i="15"/>
  <c r="E2016" i="15"/>
  <c r="E2014" i="15"/>
  <c r="E2013" i="15"/>
  <c r="E2011" i="15"/>
  <c r="E2010" i="15"/>
  <c r="E2008" i="15"/>
  <c r="E2007" i="15"/>
  <c r="E2005" i="15"/>
  <c r="E2004" i="15"/>
  <c r="E2002" i="15"/>
  <c r="E2001" i="15"/>
  <c r="E1999" i="15"/>
  <c r="E1998" i="15"/>
  <c r="E1996" i="15"/>
  <c r="E1995" i="15"/>
  <c r="E1993" i="15"/>
  <c r="E1992" i="15"/>
  <c r="E1990" i="15"/>
  <c r="E1989" i="15"/>
  <c r="E1987" i="15"/>
  <c r="E1986" i="15"/>
  <c r="E1984" i="15"/>
  <c r="E1983" i="15"/>
  <c r="E1981" i="15"/>
  <c r="E1980" i="15"/>
  <c r="E1978" i="15"/>
  <c r="E1977" i="15"/>
  <c r="E1975" i="15"/>
  <c r="E1974" i="15"/>
  <c r="E1972" i="15"/>
  <c r="E1971" i="15"/>
  <c r="E1969" i="15"/>
  <c r="E1968" i="15"/>
  <c r="E1966" i="15"/>
  <c r="E1965" i="15"/>
  <c r="E1963" i="15"/>
  <c r="E1962" i="15"/>
  <c r="E1960" i="15"/>
  <c r="E1959" i="15"/>
  <c r="E1957" i="15"/>
  <c r="E1956" i="15"/>
  <c r="E1954" i="15"/>
  <c r="E1953" i="15"/>
  <c r="E2060" i="15"/>
  <c r="E2057" i="15"/>
  <c r="E2054" i="15"/>
  <c r="E2051" i="15"/>
  <c r="E2048" i="15"/>
  <c r="E2045" i="15"/>
  <c r="E2042" i="15"/>
  <c r="E2039" i="15"/>
  <c r="E2036" i="15"/>
  <c r="E2033" i="15"/>
  <c r="E2030" i="15"/>
  <c r="E2027" i="15"/>
  <c r="E2024" i="15"/>
  <c r="E2021" i="15"/>
  <c r="E2018" i="15"/>
  <c r="E2015" i="15"/>
  <c r="E2012" i="15"/>
  <c r="E2009" i="15"/>
  <c r="E2006" i="15"/>
  <c r="E2003" i="15"/>
  <c r="E2000" i="15"/>
  <c r="E1997" i="15"/>
  <c r="E1994" i="15"/>
  <c r="E1991" i="15"/>
  <c r="E1988" i="15"/>
  <c r="E1985" i="15"/>
  <c r="E1982" i="15"/>
  <c r="E1979" i="15"/>
  <c r="E1976" i="15"/>
  <c r="E1973" i="15"/>
  <c r="E1970" i="15"/>
  <c r="E1967" i="15"/>
  <c r="E1964" i="15"/>
  <c r="E1961" i="15"/>
  <c r="E1958" i="15"/>
  <c r="E1955" i="15"/>
  <c r="E1952" i="15"/>
  <c r="E1951" i="15"/>
  <c r="E1950" i="15"/>
  <c r="E1948" i="15"/>
  <c r="E1947" i="15"/>
  <c r="E1945" i="15"/>
  <c r="E1944" i="15"/>
  <c r="E1942" i="15"/>
  <c r="E1941" i="15"/>
  <c r="E1939" i="15"/>
  <c r="E1938" i="15"/>
  <c r="E1936" i="15"/>
  <c r="E1935" i="15"/>
  <c r="E1933" i="15"/>
  <c r="E1932" i="15"/>
  <c r="E1930" i="15"/>
  <c r="E1929" i="15"/>
  <c r="E1927" i="15"/>
  <c r="E1926" i="15"/>
  <c r="E1924" i="15"/>
  <c r="E1923" i="15"/>
  <c r="E1921" i="15"/>
  <c r="E1920" i="15"/>
  <c r="E1918" i="15"/>
  <c r="E1917" i="15"/>
  <c r="E1915" i="15"/>
  <c r="E1914" i="15"/>
  <c r="E1912" i="15"/>
  <c r="E1911" i="15"/>
  <c r="E1909" i="15"/>
  <c r="E1908" i="15"/>
  <c r="E1906" i="15"/>
  <c r="E1905" i="15"/>
  <c r="E1903" i="15"/>
  <c r="E1902" i="15"/>
  <c r="E1900" i="15"/>
  <c r="E1899" i="15"/>
  <c r="E1897" i="15"/>
  <c r="E1896" i="15"/>
  <c r="E1894" i="15"/>
  <c r="E1893" i="15"/>
  <c r="E1891" i="15"/>
  <c r="E1890" i="15"/>
  <c r="E1888" i="15"/>
  <c r="E1887" i="15"/>
  <c r="E1885" i="15"/>
  <c r="E1884" i="15"/>
  <c r="E1882" i="15"/>
  <c r="E1881" i="15"/>
  <c r="E1879" i="15"/>
  <c r="E1878" i="15"/>
  <c r="E1876" i="15"/>
  <c r="E1875" i="15"/>
  <c r="E1873" i="15"/>
  <c r="E1872" i="15"/>
  <c r="E1870" i="15"/>
  <c r="E1869" i="15"/>
  <c r="E1867" i="15"/>
  <c r="E1866" i="15"/>
  <c r="E1864" i="15"/>
  <c r="E1863" i="15"/>
  <c r="E1861" i="15"/>
  <c r="E1860" i="15"/>
  <c r="E1858" i="15"/>
  <c r="E1857" i="15"/>
  <c r="E1855" i="15"/>
  <c r="E1854" i="15"/>
  <c r="E1852" i="15"/>
  <c r="E1851" i="15"/>
  <c r="E1849" i="15"/>
  <c r="E1848" i="15"/>
  <c r="E1846" i="15"/>
  <c r="E1845" i="15"/>
  <c r="E1843" i="15"/>
  <c r="E1842" i="15"/>
  <c r="E1840" i="15"/>
  <c r="E1839" i="15"/>
  <c r="E1837" i="15"/>
  <c r="E1836" i="15"/>
  <c r="E1949" i="15"/>
  <c r="E1946" i="15"/>
  <c r="E1943" i="15"/>
  <c r="E1940" i="15"/>
  <c r="E1937" i="15"/>
  <c r="E1934" i="15"/>
  <c r="E1931" i="15"/>
  <c r="E1928" i="15"/>
  <c r="E1925" i="15"/>
  <c r="E1922" i="15"/>
  <c r="E1919" i="15"/>
  <c r="E1916" i="15"/>
  <c r="E1913" i="15"/>
  <c r="E1910" i="15"/>
  <c r="E1907" i="15"/>
  <c r="E1904" i="15"/>
  <c r="E1901" i="15"/>
  <c r="E1898" i="15"/>
  <c r="E1895" i="15"/>
  <c r="E1892" i="15"/>
  <c r="E1889" i="15"/>
  <c r="E1886" i="15"/>
  <c r="E1883" i="15"/>
  <c r="E1880" i="15"/>
  <c r="E1877" i="15"/>
  <c r="E1874" i="15"/>
  <c r="E1871" i="15"/>
  <c r="E1868" i="15"/>
  <c r="E1865" i="15"/>
  <c r="E1862" i="15"/>
  <c r="E1859" i="15"/>
  <c r="E1856" i="15"/>
  <c r="E1853" i="15"/>
  <c r="E1850" i="15"/>
  <c r="E1847" i="15"/>
  <c r="E1844" i="15"/>
  <c r="E1841" i="15"/>
  <c r="E1838" i="15"/>
  <c r="E1835" i="15"/>
  <c r="E1834" i="15" l="1"/>
  <c r="E1833" i="15"/>
  <c r="E1831" i="15"/>
  <c r="E1830" i="15"/>
  <c r="E1828" i="15"/>
  <c r="E1827" i="15"/>
  <c r="E1825" i="15"/>
  <c r="E1824" i="15"/>
  <c r="E1822" i="15"/>
  <c r="E1821" i="15"/>
  <c r="E1819" i="15"/>
  <c r="E1818" i="15"/>
  <c r="E1816" i="15"/>
  <c r="E1815" i="15"/>
  <c r="E1813" i="15"/>
  <c r="E1812" i="15"/>
  <c r="E1810" i="15"/>
  <c r="E1809" i="15"/>
  <c r="E1807" i="15"/>
  <c r="E1806" i="15"/>
  <c r="E1804" i="15"/>
  <c r="E1803" i="15"/>
  <c r="E1801" i="15"/>
  <c r="E1800" i="15"/>
  <c r="E1798" i="15"/>
  <c r="E1797" i="15"/>
  <c r="E1795" i="15"/>
  <c r="E1794" i="15"/>
  <c r="E1792" i="15"/>
  <c r="E1791" i="15"/>
  <c r="E1789" i="15"/>
  <c r="E1788" i="15"/>
  <c r="E1786" i="15"/>
  <c r="E1785" i="15"/>
  <c r="E1783" i="15"/>
  <c r="E1782" i="15"/>
  <c r="E1780" i="15"/>
  <c r="E1779" i="15"/>
  <c r="E1777" i="15"/>
  <c r="E1776" i="15"/>
  <c r="E1774" i="15"/>
  <c r="E1773" i="15"/>
  <c r="E1771" i="15"/>
  <c r="E1770" i="15"/>
  <c r="E1768" i="15"/>
  <c r="E1767" i="15"/>
  <c r="E1765" i="15"/>
  <c r="E1764" i="15"/>
  <c r="E1762" i="15"/>
  <c r="E1761" i="15"/>
  <c r="E1759" i="15"/>
  <c r="E1758" i="15"/>
  <c r="E1756" i="15"/>
  <c r="E1755" i="15"/>
  <c r="E1753" i="15"/>
  <c r="E1752" i="15"/>
  <c r="E1750" i="15"/>
  <c r="E1749" i="15"/>
  <c r="E1747" i="15"/>
  <c r="E1746" i="15"/>
  <c r="E1744" i="15"/>
  <c r="E1743" i="15"/>
  <c r="E1741" i="15"/>
  <c r="E1740" i="15"/>
  <c r="E1738" i="15"/>
  <c r="E1737" i="15"/>
  <c r="E1735" i="15"/>
  <c r="E1734" i="15"/>
  <c r="E1732" i="15"/>
  <c r="E1731" i="15"/>
  <c r="E1729" i="15"/>
  <c r="E1728" i="15"/>
  <c r="E1726" i="15"/>
  <c r="E1725" i="15"/>
  <c r="E1832" i="15"/>
  <c r="E1829" i="15"/>
  <c r="E1826" i="15"/>
  <c r="E1823" i="15"/>
  <c r="E1820" i="15"/>
  <c r="E1817" i="15"/>
  <c r="E1814" i="15"/>
  <c r="E1811" i="15"/>
  <c r="E1808" i="15"/>
  <c r="E1805" i="15"/>
  <c r="E1802" i="15"/>
  <c r="E1799" i="15"/>
  <c r="E1796" i="15"/>
  <c r="E1793" i="15"/>
  <c r="E1790" i="15"/>
  <c r="E1787" i="15"/>
  <c r="E1784" i="15"/>
  <c r="E1781" i="15"/>
  <c r="E1778" i="15"/>
  <c r="E1775" i="15"/>
  <c r="E1772" i="15"/>
  <c r="E1769" i="15"/>
  <c r="E1766" i="15"/>
  <c r="E1763" i="15"/>
  <c r="E1760" i="15"/>
  <c r="E1757" i="15"/>
  <c r="E1754" i="15"/>
  <c r="E1751" i="15"/>
  <c r="E1748" i="15"/>
  <c r="E1745" i="15"/>
  <c r="E1742" i="15"/>
  <c r="E1739" i="15"/>
  <c r="E1736" i="15"/>
  <c r="E1733" i="15"/>
  <c r="E1730" i="15"/>
  <c r="E1727" i="15"/>
  <c r="E1724" i="15"/>
  <c r="E1723" i="15" l="1"/>
  <c r="E1722" i="15"/>
  <c r="E1720" i="15"/>
  <c r="E1719" i="15"/>
  <c r="E1717" i="15"/>
  <c r="E1716" i="15"/>
  <c r="E1714" i="15"/>
  <c r="E1713" i="15"/>
  <c r="E1711" i="15"/>
  <c r="E1710" i="15"/>
  <c r="E1708" i="15"/>
  <c r="E1707" i="15"/>
  <c r="E1705" i="15"/>
  <c r="E1704" i="15"/>
  <c r="E1702" i="15"/>
  <c r="E1701" i="15"/>
  <c r="E1699" i="15"/>
  <c r="E1698" i="15"/>
  <c r="E1696" i="15"/>
  <c r="E1695" i="15"/>
  <c r="E1693" i="15"/>
  <c r="E1692" i="15"/>
  <c r="E1690" i="15"/>
  <c r="E1689" i="15"/>
  <c r="E1687" i="15"/>
  <c r="E1686" i="15"/>
  <c r="E1684" i="15"/>
  <c r="E1683" i="15"/>
  <c r="E1681" i="15"/>
  <c r="E1680" i="15"/>
  <c r="E1678" i="15"/>
  <c r="E1677" i="15"/>
  <c r="E1675" i="15"/>
  <c r="E1674" i="15"/>
  <c r="E1672" i="15"/>
  <c r="E1671" i="15"/>
  <c r="E1669" i="15"/>
  <c r="E1668" i="15"/>
  <c r="E1666" i="15"/>
  <c r="E1665" i="15"/>
  <c r="E1663" i="15"/>
  <c r="E1662" i="15"/>
  <c r="E1660" i="15"/>
  <c r="E1659" i="15"/>
  <c r="E1657" i="15"/>
  <c r="E1656" i="15"/>
  <c r="E1654" i="15"/>
  <c r="E1653" i="15"/>
  <c r="E1651" i="15"/>
  <c r="E1650" i="15"/>
  <c r="E1648" i="15"/>
  <c r="E1647" i="15"/>
  <c r="E1645" i="15"/>
  <c r="E1644" i="15"/>
  <c r="E1642" i="15"/>
  <c r="E1641" i="15"/>
  <c r="E1639" i="15"/>
  <c r="E1638" i="15"/>
  <c r="E1636" i="15"/>
  <c r="E1635" i="15"/>
  <c r="E1633" i="15"/>
  <c r="E1632" i="15"/>
  <c r="E1630" i="15"/>
  <c r="E1629" i="15"/>
  <c r="E1627" i="15"/>
  <c r="E1626" i="15"/>
  <c r="E1624" i="15"/>
  <c r="E1623" i="15"/>
  <c r="E1621" i="15"/>
  <c r="E1620" i="15"/>
  <c r="E1618" i="15"/>
  <c r="E1617" i="15"/>
  <c r="E1615" i="15"/>
  <c r="E1614" i="15"/>
  <c r="E1721" i="15"/>
  <c r="E1718" i="15"/>
  <c r="E1715" i="15"/>
  <c r="E1712" i="15"/>
  <c r="E1709" i="15"/>
  <c r="E1706" i="15"/>
  <c r="E1703" i="15"/>
  <c r="E1700" i="15"/>
  <c r="E1697" i="15"/>
  <c r="E1694" i="15"/>
  <c r="E1691" i="15"/>
  <c r="E1688" i="15"/>
  <c r="E1685" i="15"/>
  <c r="E1682" i="15"/>
  <c r="E1679" i="15"/>
  <c r="E1676" i="15"/>
  <c r="E1673" i="15"/>
  <c r="E1670" i="15"/>
  <c r="E1667" i="15"/>
  <c r="E1664" i="15"/>
  <c r="E1661" i="15"/>
  <c r="E1658" i="15"/>
  <c r="E1655" i="15"/>
  <c r="E1652" i="15"/>
  <c r="E1649" i="15"/>
  <c r="E1646" i="15"/>
  <c r="E1643" i="15"/>
  <c r="E1640" i="15"/>
  <c r="E1637" i="15"/>
  <c r="E1634" i="15"/>
  <c r="E1631" i="15"/>
  <c r="E1628" i="15"/>
  <c r="E1625" i="15"/>
  <c r="E1622" i="15"/>
  <c r="E1619" i="15"/>
  <c r="E1616" i="15"/>
  <c r="E1613" i="15"/>
  <c r="E1612" i="15"/>
  <c r="E1611" i="15"/>
  <c r="E1609" i="15"/>
  <c r="E1608" i="15"/>
  <c r="E1606" i="15"/>
  <c r="E1605" i="15"/>
  <c r="E1603" i="15"/>
  <c r="E1602" i="15"/>
  <c r="E1600" i="15"/>
  <c r="E1599" i="15"/>
  <c r="E1597" i="15"/>
  <c r="E1596" i="15"/>
  <c r="E1594" i="15"/>
  <c r="E1593" i="15"/>
  <c r="E1591" i="15"/>
  <c r="E1590" i="15"/>
  <c r="E1588" i="15"/>
  <c r="E1587" i="15"/>
  <c r="E1585" i="15"/>
  <c r="E1584" i="15"/>
  <c r="E1582" i="15"/>
  <c r="E1581" i="15"/>
  <c r="E1579" i="15"/>
  <c r="E1578" i="15"/>
  <c r="E1576" i="15"/>
  <c r="E1575" i="15"/>
  <c r="E1573" i="15"/>
  <c r="E1572" i="15"/>
  <c r="E1570" i="15"/>
  <c r="E1569" i="15"/>
  <c r="E1567" i="15"/>
  <c r="E1566" i="15"/>
  <c r="E1564" i="15"/>
  <c r="E1563" i="15"/>
  <c r="E1561" i="15"/>
  <c r="E1560" i="15"/>
  <c r="E1558" i="15"/>
  <c r="E1557" i="15"/>
  <c r="E1555" i="15"/>
  <c r="E1554" i="15"/>
  <c r="E1552" i="15"/>
  <c r="E1551" i="15"/>
  <c r="E1549" i="15"/>
  <c r="E1548" i="15"/>
  <c r="E1546" i="15"/>
  <c r="E1545" i="15"/>
  <c r="E1543" i="15"/>
  <c r="E1542" i="15"/>
  <c r="E1540" i="15"/>
  <c r="E1539" i="15"/>
  <c r="E1537" i="15"/>
  <c r="E1536" i="15"/>
  <c r="E1534" i="15"/>
  <c r="E1533" i="15"/>
  <c r="E1531" i="15"/>
  <c r="E1530" i="15"/>
  <c r="E1528" i="15"/>
  <c r="E1527" i="15"/>
  <c r="E1525" i="15"/>
  <c r="E1524" i="15"/>
  <c r="E1522" i="15"/>
  <c r="E1521" i="15"/>
  <c r="E1519" i="15"/>
  <c r="E1518" i="15"/>
  <c r="E1516" i="15"/>
  <c r="E1515" i="15"/>
  <c r="E1513" i="15"/>
  <c r="E1512" i="15"/>
  <c r="E1510" i="15"/>
  <c r="E1509" i="15"/>
  <c r="E1507" i="15"/>
  <c r="E1506" i="15"/>
  <c r="E1504" i="15"/>
  <c r="E1503" i="15"/>
  <c r="E1610" i="15"/>
  <c r="E1607" i="15"/>
  <c r="E1604" i="15"/>
  <c r="E1601" i="15"/>
  <c r="E1598" i="15"/>
  <c r="E1595" i="15"/>
  <c r="E1592" i="15"/>
  <c r="E1589" i="15"/>
  <c r="E1586" i="15"/>
  <c r="E1583" i="15"/>
  <c r="E1580" i="15"/>
  <c r="E1577" i="15"/>
  <c r="E1574" i="15"/>
  <c r="E1571" i="15"/>
  <c r="E1568" i="15"/>
  <c r="E1565" i="15"/>
  <c r="E1562" i="15"/>
  <c r="E1559" i="15"/>
  <c r="E1556" i="15"/>
  <c r="E1553" i="15"/>
  <c r="E1550" i="15"/>
  <c r="E1547" i="15"/>
  <c r="E1544" i="15"/>
  <c r="E1541" i="15"/>
  <c r="E1538" i="15"/>
  <c r="E1535" i="15"/>
  <c r="E1532" i="15"/>
  <c r="E1529" i="15"/>
  <c r="E1526" i="15"/>
  <c r="E1523" i="15"/>
  <c r="E1520" i="15"/>
  <c r="E1517" i="15"/>
  <c r="E1514" i="15"/>
  <c r="E1511" i="15"/>
  <c r="E1508" i="15"/>
  <c r="E1505" i="15"/>
  <c r="E1502" i="15"/>
  <c r="E1501" i="15"/>
  <c r="E1500" i="15"/>
  <c r="E1498" i="15"/>
  <c r="E1497" i="15"/>
  <c r="E1495" i="15"/>
  <c r="E1494" i="15"/>
  <c r="E1492" i="15"/>
  <c r="E1491" i="15"/>
  <c r="E1489" i="15"/>
  <c r="E1488" i="15"/>
  <c r="E1486" i="15"/>
  <c r="E1485" i="15"/>
  <c r="E1483" i="15"/>
  <c r="E1482" i="15"/>
  <c r="E1480" i="15"/>
  <c r="E1479" i="15"/>
  <c r="E1477" i="15"/>
  <c r="E1476" i="15"/>
  <c r="E1474" i="15"/>
  <c r="E1473" i="15"/>
  <c r="E1471" i="15"/>
  <c r="E1470" i="15"/>
  <c r="E1468" i="15"/>
  <c r="E1467" i="15"/>
  <c r="E1465" i="15"/>
  <c r="E1464" i="15"/>
  <c r="E1462" i="15"/>
  <c r="E1461" i="15"/>
  <c r="E1459" i="15"/>
  <c r="E1458" i="15"/>
  <c r="E1456" i="15"/>
  <c r="E1455" i="15"/>
  <c r="E1453" i="15"/>
  <c r="E1452" i="15"/>
  <c r="E1450" i="15"/>
  <c r="E1449" i="15"/>
  <c r="E1447" i="15"/>
  <c r="E1446" i="15"/>
  <c r="E1444" i="15"/>
  <c r="E1443" i="15"/>
  <c r="E1441" i="15"/>
  <c r="E1440" i="15"/>
  <c r="E1438" i="15"/>
  <c r="E1437" i="15"/>
  <c r="E1435" i="15"/>
  <c r="E1434" i="15"/>
  <c r="E1432" i="15"/>
  <c r="E1431" i="15"/>
  <c r="E1429" i="15"/>
  <c r="E1428" i="15"/>
  <c r="E1426" i="15"/>
  <c r="E1425" i="15"/>
  <c r="E1423" i="15"/>
  <c r="E1422" i="15"/>
  <c r="E1420" i="15"/>
  <c r="E1419" i="15"/>
  <c r="E1417" i="15"/>
  <c r="E1416" i="15"/>
  <c r="E1414" i="15"/>
  <c r="E1413" i="15"/>
  <c r="E1411" i="15"/>
  <c r="E1410" i="15"/>
  <c r="E1408" i="15"/>
  <c r="E1407" i="15"/>
  <c r="E1405" i="15"/>
  <c r="E1404" i="15"/>
  <c r="E1402" i="15"/>
  <c r="E1401" i="15"/>
  <c r="E1399" i="15"/>
  <c r="E1398" i="15"/>
  <c r="E1396" i="15"/>
  <c r="E1395" i="15"/>
  <c r="E1393" i="15"/>
  <c r="E1392" i="15"/>
  <c r="E1390" i="15"/>
  <c r="E1389" i="15"/>
  <c r="E1387" i="15"/>
  <c r="E1386" i="15"/>
  <c r="E1499" i="15"/>
  <c r="E1496" i="15"/>
  <c r="E1493" i="15"/>
  <c r="E1490" i="15"/>
  <c r="E1487" i="15"/>
  <c r="E1484" i="15"/>
  <c r="E1481" i="15"/>
  <c r="E1478" i="15"/>
  <c r="E1475" i="15"/>
  <c r="E1472" i="15"/>
  <c r="E1469" i="15"/>
  <c r="E1466" i="15"/>
  <c r="E1463" i="15"/>
  <c r="E1460" i="15"/>
  <c r="E1457" i="15"/>
  <c r="E1454" i="15"/>
  <c r="E1451" i="15"/>
  <c r="E1448" i="15"/>
  <c r="E1445" i="15"/>
  <c r="E1442" i="15"/>
  <c r="E1439" i="15"/>
  <c r="E1436" i="15"/>
  <c r="E1433" i="15"/>
  <c r="E1430" i="15"/>
  <c r="E1427" i="15"/>
  <c r="E1424" i="15"/>
  <c r="E1421" i="15"/>
  <c r="E1418" i="15"/>
  <c r="E1415" i="15"/>
  <c r="E1412" i="15"/>
  <c r="E1409" i="15"/>
  <c r="E1406" i="15"/>
  <c r="E1403" i="15"/>
  <c r="E1400" i="15"/>
  <c r="E1397" i="15"/>
  <c r="E1394" i="15"/>
  <c r="E1391" i="15"/>
  <c r="E1388" i="15"/>
  <c r="E1385" i="15"/>
  <c r="E1384" i="15"/>
  <c r="E1383" i="15"/>
  <c r="E1381" i="15"/>
  <c r="E1380" i="15"/>
  <c r="E1378" i="15"/>
  <c r="E1377" i="15"/>
  <c r="E1375" i="15"/>
  <c r="E1374" i="15"/>
  <c r="E1372" i="15"/>
  <c r="E1371" i="15"/>
  <c r="E1369" i="15"/>
  <c r="E1368" i="15"/>
  <c r="E1366" i="15"/>
  <c r="E1365" i="15"/>
  <c r="E1363" i="15"/>
  <c r="E1362" i="15"/>
  <c r="E1360" i="15"/>
  <c r="E1359" i="15"/>
  <c r="E1357" i="15"/>
  <c r="E1356" i="15"/>
  <c r="E1354" i="15"/>
  <c r="E1353" i="15"/>
  <c r="E1351" i="15"/>
  <c r="E1350" i="15"/>
  <c r="E1348" i="15"/>
  <c r="E1347" i="15"/>
  <c r="E1345" i="15"/>
  <c r="E1344" i="15"/>
  <c r="E1342" i="15"/>
  <c r="E1341" i="15"/>
  <c r="E1339" i="15"/>
  <c r="E1338" i="15"/>
  <c r="E1336" i="15"/>
  <c r="E1335" i="15"/>
  <c r="E1333" i="15"/>
  <c r="E1332" i="15"/>
  <c r="E1330" i="15"/>
  <c r="E1329" i="15"/>
  <c r="E1327" i="15"/>
  <c r="E1326" i="15"/>
  <c r="E1324" i="15"/>
  <c r="E1323" i="15"/>
  <c r="E1321" i="15"/>
  <c r="E1320" i="15"/>
  <c r="E1318" i="15"/>
  <c r="E1317" i="15"/>
  <c r="E1315" i="15"/>
  <c r="E1314" i="15"/>
  <c r="E1312" i="15"/>
  <c r="E1311" i="15"/>
  <c r="E1309" i="15"/>
  <c r="E1308" i="15"/>
  <c r="E1306" i="15"/>
  <c r="E1305" i="15"/>
  <c r="E1303" i="15"/>
  <c r="E1302" i="15"/>
  <c r="E1300" i="15"/>
  <c r="E1299" i="15"/>
  <c r="E1297" i="15"/>
  <c r="E1296" i="15"/>
  <c r="E1294" i="15"/>
  <c r="E1293" i="15"/>
  <c r="E1291" i="15"/>
  <c r="E1290" i="15"/>
  <c r="E1288" i="15"/>
  <c r="E1287" i="15"/>
  <c r="E1285" i="15"/>
  <c r="E1284" i="15"/>
  <c r="E1282" i="15"/>
  <c r="E1281" i="15"/>
  <c r="E1279" i="15"/>
  <c r="E1278" i="15"/>
  <c r="E1276" i="15"/>
  <c r="E1275" i="15"/>
  <c r="E1273" i="15"/>
  <c r="E1272" i="15"/>
  <c r="E1270" i="15"/>
  <c r="E1269" i="15"/>
  <c r="E1267" i="15"/>
  <c r="E1266" i="15"/>
  <c r="E1264" i="15"/>
  <c r="E1263" i="15"/>
  <c r="E1261" i="15"/>
  <c r="E1260" i="15"/>
  <c r="E1258" i="15"/>
  <c r="E1257" i="15"/>
  <c r="E1255" i="15"/>
  <c r="E1254" i="15"/>
  <c r="E1252" i="15"/>
  <c r="E1251" i="15"/>
  <c r="E1249" i="15"/>
  <c r="E1248" i="15"/>
  <c r="E1246" i="15"/>
  <c r="E1245" i="15"/>
  <c r="E1243" i="15"/>
  <c r="E1242" i="15"/>
  <c r="E1240" i="15"/>
  <c r="E1239" i="15"/>
  <c r="E1237" i="15"/>
  <c r="E1236" i="15"/>
  <c r="E1234" i="15"/>
  <c r="E1233" i="15"/>
  <c r="E1231" i="15"/>
  <c r="E1230" i="15"/>
  <c r="E1228" i="15"/>
  <c r="E1227" i="15"/>
  <c r="E1225" i="15"/>
  <c r="E1224" i="15"/>
  <c r="E1222" i="15"/>
  <c r="E1221" i="15"/>
  <c r="E1219" i="15"/>
  <c r="E1218" i="15"/>
  <c r="E1216" i="15"/>
  <c r="E1215" i="15"/>
  <c r="E1213" i="15"/>
  <c r="E1212" i="15"/>
  <c r="E1210" i="15"/>
  <c r="E1209" i="15"/>
  <c r="E1207" i="15"/>
  <c r="E1206" i="15"/>
  <c r="E1204" i="15"/>
  <c r="E1203" i="15"/>
  <c r="E1201" i="15"/>
  <c r="E1200" i="15"/>
  <c r="E1198" i="15"/>
  <c r="E1197" i="15"/>
  <c r="E1195" i="15"/>
  <c r="E1194" i="15"/>
  <c r="E1192" i="15"/>
  <c r="E1191" i="15"/>
  <c r="E1189" i="15"/>
  <c r="E1188" i="15"/>
  <c r="E1186" i="15"/>
  <c r="E1185" i="15"/>
  <c r="E1183" i="15"/>
  <c r="E1182" i="15"/>
  <c r="E1180" i="15"/>
  <c r="E1179" i="15"/>
  <c r="E1177" i="15"/>
  <c r="E1176" i="15"/>
  <c r="E1174" i="15"/>
  <c r="E1173" i="15"/>
  <c r="E1171" i="15"/>
  <c r="E1170" i="15"/>
  <c r="E1168" i="15"/>
  <c r="E1167" i="15"/>
  <c r="E1165" i="15"/>
  <c r="E1164" i="15"/>
  <c r="E1162" i="15"/>
  <c r="E1161" i="15"/>
  <c r="E1382" i="15"/>
  <c r="E1379" i="15"/>
  <c r="E1376" i="15"/>
  <c r="E1373" i="15"/>
  <c r="E1370" i="15"/>
  <c r="E1367" i="15"/>
  <c r="E1364" i="15"/>
  <c r="E1361" i="15"/>
  <c r="E1358" i="15"/>
  <c r="E1355" i="15"/>
  <c r="E1352" i="15"/>
  <c r="E1349" i="15"/>
  <c r="E1346" i="15"/>
  <c r="E1343" i="15"/>
  <c r="E1340" i="15"/>
  <c r="E1337" i="15"/>
  <c r="E1334" i="15"/>
  <c r="E1331" i="15"/>
  <c r="E1328" i="15"/>
  <c r="E1325" i="15"/>
  <c r="E1322" i="15"/>
  <c r="E1319" i="15"/>
  <c r="E1316" i="15"/>
  <c r="E1313" i="15"/>
  <c r="E1310" i="15"/>
  <c r="E1307" i="15"/>
  <c r="E1304" i="15"/>
  <c r="E1301" i="15"/>
  <c r="E1298" i="15"/>
  <c r="E1295" i="15"/>
  <c r="E1292" i="15"/>
  <c r="E1289" i="15"/>
  <c r="E1286" i="15"/>
  <c r="E1283" i="15"/>
  <c r="E1280" i="15"/>
  <c r="E1277" i="15"/>
  <c r="E1274" i="15"/>
  <c r="E1271" i="15"/>
  <c r="E1268" i="15"/>
  <c r="E1265" i="15"/>
  <c r="E1262" i="15"/>
  <c r="E1259" i="15"/>
  <c r="E1256" i="15"/>
  <c r="E1253" i="15"/>
  <c r="E1250" i="15"/>
  <c r="E1247" i="15"/>
  <c r="E1244" i="15"/>
  <c r="E1241" i="15"/>
  <c r="E1238" i="15"/>
  <c r="E1235" i="15"/>
  <c r="E1232" i="15"/>
  <c r="E1229" i="15"/>
  <c r="E1226" i="15"/>
  <c r="E1223" i="15"/>
  <c r="E1220" i="15"/>
  <c r="E1217" i="15"/>
  <c r="E1214" i="15"/>
  <c r="E1211" i="15"/>
  <c r="E1208" i="15"/>
  <c r="E1205" i="15"/>
  <c r="E1202" i="15"/>
  <c r="E1199" i="15"/>
  <c r="E1196" i="15"/>
  <c r="E1193" i="15"/>
  <c r="E1190" i="15"/>
  <c r="E1187" i="15"/>
  <c r="E1184" i="15"/>
  <c r="E1181" i="15"/>
  <c r="E1178" i="15"/>
  <c r="E1175" i="15"/>
  <c r="E1172" i="15"/>
  <c r="E1169" i="15"/>
  <c r="E1166" i="15"/>
  <c r="E1163" i="15"/>
  <c r="E1160" i="15"/>
  <c r="H1160" i="15" l="1"/>
  <c r="G1157" i="15"/>
  <c r="G1065" i="15" l="1"/>
  <c r="E1159" i="15"/>
  <c r="E1158" i="15"/>
  <c r="E1156" i="15"/>
  <c r="E1155" i="15"/>
  <c r="E1153" i="15"/>
  <c r="E1152" i="15"/>
  <c r="E1150" i="15"/>
  <c r="E1149" i="15"/>
  <c r="E1147" i="15"/>
  <c r="E1146" i="15"/>
  <c r="E1144" i="15"/>
  <c r="E1143" i="15"/>
  <c r="E1141" i="15"/>
  <c r="E1140" i="15"/>
  <c r="E1138" i="15"/>
  <c r="E1137" i="15"/>
  <c r="E1135" i="15"/>
  <c r="E1134" i="15"/>
  <c r="E1132" i="15"/>
  <c r="E1131" i="15"/>
  <c r="E1129" i="15"/>
  <c r="E1128" i="15"/>
  <c r="E1126" i="15"/>
  <c r="E1125" i="15"/>
  <c r="E1123" i="15"/>
  <c r="E1122" i="15"/>
  <c r="E1120" i="15"/>
  <c r="E1119" i="15"/>
  <c r="E1117" i="15"/>
  <c r="E1116" i="15"/>
  <c r="E1114" i="15"/>
  <c r="E1113" i="15"/>
  <c r="E1111" i="15"/>
  <c r="E1110" i="15"/>
  <c r="E1108" i="15"/>
  <c r="E1107" i="15"/>
  <c r="E1105" i="15"/>
  <c r="E1104" i="15"/>
  <c r="E1102" i="15"/>
  <c r="E1101" i="15"/>
  <c r="E1099" i="15"/>
  <c r="E1098" i="15"/>
  <c r="E1096" i="15"/>
  <c r="E1095" i="15"/>
  <c r="E1093" i="15"/>
  <c r="E1092" i="15"/>
  <c r="E1090" i="15"/>
  <c r="E1089" i="15"/>
  <c r="E1087" i="15"/>
  <c r="E1086" i="15"/>
  <c r="E1084" i="15"/>
  <c r="E1083" i="15"/>
  <c r="E1081" i="15"/>
  <c r="E1080" i="15"/>
  <c r="E1078" i="15"/>
  <c r="E1077" i="15"/>
  <c r="E1075" i="15"/>
  <c r="E1074" i="15"/>
  <c r="E1072" i="15"/>
  <c r="E1071" i="15"/>
  <c r="E1069" i="15"/>
  <c r="E1068" i="15"/>
  <c r="E1066" i="15"/>
  <c r="E1065" i="15"/>
  <c r="E1063" i="15"/>
  <c r="E1062" i="15"/>
  <c r="E1060" i="15"/>
  <c r="E1059" i="15"/>
  <c r="E1057" i="15"/>
  <c r="E1056" i="15"/>
  <c r="E1054" i="15"/>
  <c r="E1053" i="15"/>
  <c r="E1051" i="15"/>
  <c r="E1050" i="15"/>
  <c r="E1048" i="15"/>
  <c r="E1047" i="15"/>
  <c r="E1045" i="15"/>
  <c r="E1044" i="15"/>
  <c r="E1042" i="15"/>
  <c r="E1041" i="15"/>
  <c r="E1039" i="15"/>
  <c r="E1038" i="15"/>
  <c r="E1157" i="15"/>
  <c r="E1154" i="15"/>
  <c r="E1151" i="15"/>
  <c r="E1148" i="15"/>
  <c r="E1145" i="15"/>
  <c r="E1142" i="15"/>
  <c r="E1139" i="15"/>
  <c r="E1136" i="15"/>
  <c r="E1133" i="15"/>
  <c r="E1130" i="15"/>
  <c r="E1127" i="15"/>
  <c r="E1124" i="15"/>
  <c r="E1121" i="15"/>
  <c r="E1118" i="15"/>
  <c r="E1115" i="15"/>
  <c r="E1112" i="15"/>
  <c r="E1109" i="15"/>
  <c r="E1106" i="15"/>
  <c r="E1103" i="15"/>
  <c r="E1100" i="15"/>
  <c r="E1097" i="15"/>
  <c r="E1094" i="15"/>
  <c r="E1091" i="15"/>
  <c r="E1088" i="15"/>
  <c r="E1085" i="15"/>
  <c r="E1082" i="15"/>
  <c r="E1079" i="15"/>
  <c r="E1076" i="15"/>
  <c r="E1073" i="15"/>
  <c r="E1070" i="15"/>
  <c r="E1067" i="15"/>
  <c r="E1064" i="15"/>
  <c r="E1061" i="15"/>
  <c r="E1058" i="15"/>
  <c r="E1055" i="15"/>
  <c r="E1052" i="15"/>
  <c r="E1049" i="15"/>
  <c r="E1046" i="15"/>
  <c r="E1043" i="15"/>
  <c r="E1040" i="15"/>
  <c r="E1037" i="15"/>
  <c r="G863" i="15" l="1"/>
  <c r="E1036" i="15"/>
  <c r="E1035" i="15"/>
  <c r="E1033" i="15"/>
  <c r="E1032" i="15"/>
  <c r="E1030" i="15"/>
  <c r="E1029" i="15"/>
  <c r="E1027" i="15"/>
  <c r="E1026" i="15"/>
  <c r="E1024" i="15"/>
  <c r="E1023" i="15"/>
  <c r="E1021" i="15"/>
  <c r="E1020" i="15"/>
  <c r="E1018" i="15"/>
  <c r="E1017" i="15"/>
  <c r="E1015" i="15"/>
  <c r="E1014" i="15"/>
  <c r="E1012" i="15"/>
  <c r="E1011" i="15"/>
  <c r="E1009" i="15"/>
  <c r="E1008" i="15"/>
  <c r="E1006" i="15"/>
  <c r="E1005" i="15"/>
  <c r="E1003" i="15"/>
  <c r="E1002" i="15"/>
  <c r="E1000" i="15"/>
  <c r="E999" i="15"/>
  <c r="E997" i="15"/>
  <c r="E996" i="15"/>
  <c r="E994" i="15"/>
  <c r="E993" i="15"/>
  <c r="E991" i="15"/>
  <c r="E990" i="15"/>
  <c r="E988" i="15"/>
  <c r="E987" i="15"/>
  <c r="E985" i="15"/>
  <c r="E984" i="15"/>
  <c r="E982" i="15"/>
  <c r="E981" i="15"/>
  <c r="E979" i="15"/>
  <c r="E978" i="15"/>
  <c r="E976" i="15"/>
  <c r="E975" i="15"/>
  <c r="E973" i="15"/>
  <c r="E972" i="15"/>
  <c r="E970" i="15"/>
  <c r="E969" i="15"/>
  <c r="E967" i="15"/>
  <c r="E966" i="15"/>
  <c r="E964" i="15"/>
  <c r="E963" i="15"/>
  <c r="E961" i="15"/>
  <c r="E960" i="15"/>
  <c r="E958" i="15"/>
  <c r="E957" i="15"/>
  <c r="E955" i="15"/>
  <c r="E954" i="15"/>
  <c r="E952" i="15"/>
  <c r="E951" i="15"/>
  <c r="E949" i="15"/>
  <c r="E948" i="15"/>
  <c r="E946" i="15"/>
  <c r="E945" i="15"/>
  <c r="E943" i="15"/>
  <c r="E942" i="15"/>
  <c r="E940" i="15"/>
  <c r="E939" i="15"/>
  <c r="E937" i="15"/>
  <c r="E936" i="15"/>
  <c r="E934" i="15"/>
  <c r="E933" i="15"/>
  <c r="E931" i="15"/>
  <c r="E930" i="15"/>
  <c r="E928" i="15"/>
  <c r="E927" i="15"/>
  <c r="E925" i="15"/>
  <c r="E924" i="15"/>
  <c r="E922" i="15"/>
  <c r="E921" i="15"/>
  <c r="E919" i="15"/>
  <c r="E918" i="15"/>
  <c r="E916" i="15"/>
  <c r="E915" i="15"/>
  <c r="E913" i="15"/>
  <c r="E912" i="15"/>
  <c r="E910" i="15"/>
  <c r="E909" i="15"/>
  <c r="E907" i="15"/>
  <c r="E906" i="15"/>
  <c r="E904" i="15"/>
  <c r="E903" i="15"/>
  <c r="E901" i="15"/>
  <c r="E900" i="15"/>
  <c r="E898" i="15"/>
  <c r="E897" i="15"/>
  <c r="E895" i="15"/>
  <c r="E894" i="15"/>
  <c r="E892" i="15"/>
  <c r="E891" i="15"/>
  <c r="E889" i="15"/>
  <c r="E888" i="15"/>
  <c r="E886" i="15"/>
  <c r="E885" i="15"/>
  <c r="E883" i="15"/>
  <c r="E882" i="15"/>
  <c r="E880" i="15"/>
  <c r="E879" i="15"/>
  <c r="E877" i="15"/>
  <c r="E876" i="15"/>
  <c r="E874" i="15"/>
  <c r="E873" i="15"/>
  <c r="E871" i="15"/>
  <c r="E870" i="15"/>
  <c r="E868" i="15"/>
  <c r="E867" i="15"/>
  <c r="E865" i="15"/>
  <c r="E864" i="15"/>
  <c r="E862" i="15"/>
  <c r="E861" i="15"/>
  <c r="E859" i="15"/>
  <c r="E858" i="15"/>
  <c r="E856" i="15"/>
  <c r="E855" i="15"/>
  <c r="E853" i="15"/>
  <c r="E852" i="15"/>
  <c r="E850" i="15"/>
  <c r="E849" i="15"/>
  <c r="E847" i="15"/>
  <c r="E846" i="15"/>
  <c r="E844" i="15"/>
  <c r="E843" i="15"/>
  <c r="E841" i="15"/>
  <c r="E840" i="15"/>
  <c r="E838" i="15"/>
  <c r="E837" i="15"/>
  <c r="E835" i="15"/>
  <c r="E834" i="15"/>
  <c r="E832" i="15"/>
  <c r="E831" i="15"/>
  <c r="E829" i="15"/>
  <c r="E828" i="15"/>
  <c r="E826" i="15"/>
  <c r="E825" i="15"/>
  <c r="E823" i="15"/>
  <c r="E822" i="15"/>
  <c r="E820" i="15"/>
  <c r="E819" i="15"/>
  <c r="E817" i="15"/>
  <c r="E816" i="15"/>
  <c r="E814" i="15"/>
  <c r="E813" i="15"/>
  <c r="E811" i="15"/>
  <c r="E810" i="15"/>
  <c r="E808" i="15"/>
  <c r="E807" i="15"/>
  <c r="E805" i="15"/>
  <c r="E804" i="15"/>
  <c r="E802" i="15"/>
  <c r="E801" i="15"/>
  <c r="E799" i="15"/>
  <c r="E798" i="15"/>
  <c r="E796" i="15"/>
  <c r="E795" i="15"/>
  <c r="E1034" i="15"/>
  <c r="E1031" i="15"/>
  <c r="E1028" i="15"/>
  <c r="E1025" i="15"/>
  <c r="E1022" i="15"/>
  <c r="E1019" i="15"/>
  <c r="E1016" i="15"/>
  <c r="E1013" i="15"/>
  <c r="E1010" i="15"/>
  <c r="E1007" i="15"/>
  <c r="E1004" i="15"/>
  <c r="E1001" i="15"/>
  <c r="E998" i="15"/>
  <c r="E995" i="15"/>
  <c r="E992" i="15"/>
  <c r="E989" i="15"/>
  <c r="E986" i="15"/>
  <c r="E983" i="15"/>
  <c r="E980" i="15"/>
  <c r="E977" i="15"/>
  <c r="E974" i="15"/>
  <c r="E971" i="15"/>
  <c r="E968" i="15"/>
  <c r="E965" i="15"/>
  <c r="E962" i="15"/>
  <c r="E959" i="15"/>
  <c r="E956" i="15"/>
  <c r="E953" i="15"/>
  <c r="E950" i="15"/>
  <c r="E947" i="15"/>
  <c r="E944" i="15"/>
  <c r="E941" i="15"/>
  <c r="E938" i="15"/>
  <c r="E935" i="15"/>
  <c r="E932" i="15"/>
  <c r="E929" i="15"/>
  <c r="E926" i="15"/>
  <c r="E923" i="15"/>
  <c r="E920" i="15"/>
  <c r="E917" i="15"/>
  <c r="E914" i="15"/>
  <c r="E911" i="15"/>
  <c r="E908" i="15"/>
  <c r="E905" i="15"/>
  <c r="E902" i="15"/>
  <c r="E899" i="15"/>
  <c r="E896" i="15"/>
  <c r="E893" i="15"/>
  <c r="E890" i="15"/>
  <c r="E887" i="15"/>
  <c r="E884" i="15"/>
  <c r="E881" i="15"/>
  <c r="E878" i="15"/>
  <c r="E875" i="15"/>
  <c r="E872" i="15"/>
  <c r="E869" i="15"/>
  <c r="E866" i="15"/>
  <c r="E863" i="15"/>
  <c r="E860" i="15"/>
  <c r="E857" i="15"/>
  <c r="E854" i="15"/>
  <c r="E851" i="15"/>
  <c r="E848" i="15"/>
  <c r="E845" i="15"/>
  <c r="E842" i="15"/>
  <c r="E839" i="15"/>
  <c r="E836" i="15"/>
  <c r="E833" i="15"/>
  <c r="E830" i="15"/>
  <c r="E827" i="15"/>
  <c r="E824" i="15"/>
  <c r="E821" i="15"/>
  <c r="E818" i="15"/>
  <c r="E815" i="15"/>
  <c r="E812" i="15"/>
  <c r="E809" i="15"/>
  <c r="E806" i="15"/>
  <c r="E803" i="15"/>
  <c r="E800" i="15"/>
  <c r="E797" i="15"/>
  <c r="E794" i="15"/>
  <c r="G761" i="15" l="1"/>
  <c r="G758" i="15"/>
  <c r="E793" i="15"/>
  <c r="E792" i="15"/>
  <c r="E790" i="15"/>
  <c r="E789" i="15"/>
  <c r="E787" i="15"/>
  <c r="E786" i="15"/>
  <c r="E784" i="15"/>
  <c r="E783" i="15"/>
  <c r="E781" i="15"/>
  <c r="E780" i="15"/>
  <c r="E778" i="15"/>
  <c r="E777" i="15"/>
  <c r="E775" i="15"/>
  <c r="E774" i="15"/>
  <c r="E772" i="15"/>
  <c r="E771" i="15"/>
  <c r="E769" i="15"/>
  <c r="E768" i="15"/>
  <c r="E766" i="15"/>
  <c r="E765" i="15"/>
  <c r="E763" i="15"/>
  <c r="E762" i="15"/>
  <c r="E760" i="15"/>
  <c r="E759" i="15"/>
  <c r="E757" i="15"/>
  <c r="E756" i="15"/>
  <c r="E754" i="15"/>
  <c r="E753" i="15"/>
  <c r="E751" i="15"/>
  <c r="E750" i="15"/>
  <c r="E748" i="15"/>
  <c r="E747" i="15"/>
  <c r="E745" i="15"/>
  <c r="E744" i="15"/>
  <c r="E742" i="15"/>
  <c r="E741" i="15"/>
  <c r="E739" i="15"/>
  <c r="E738" i="15"/>
  <c r="E736" i="15"/>
  <c r="E735" i="15"/>
  <c r="E733" i="15"/>
  <c r="E732" i="15"/>
  <c r="E730" i="15"/>
  <c r="E729" i="15"/>
  <c r="E727" i="15"/>
  <c r="E726" i="15"/>
  <c r="E724" i="15"/>
  <c r="E723" i="15"/>
  <c r="E721" i="15"/>
  <c r="E720" i="15"/>
  <c r="E718" i="15"/>
  <c r="E717" i="15"/>
  <c r="E715" i="15"/>
  <c r="E714" i="15"/>
  <c r="E712" i="15"/>
  <c r="E711" i="15"/>
  <c r="E709" i="15"/>
  <c r="E708" i="15"/>
  <c r="E706" i="15"/>
  <c r="E705" i="15"/>
  <c r="E703" i="15"/>
  <c r="E702" i="15"/>
  <c r="E700" i="15"/>
  <c r="E699" i="15"/>
  <c r="E697" i="15"/>
  <c r="E696" i="15"/>
  <c r="E694" i="15"/>
  <c r="E693" i="15"/>
  <c r="E691" i="15"/>
  <c r="E690" i="15"/>
  <c r="E688" i="15"/>
  <c r="E687" i="15"/>
  <c r="E685" i="15"/>
  <c r="E684" i="15"/>
  <c r="E682" i="15"/>
  <c r="E681" i="15"/>
  <c r="E679" i="15"/>
  <c r="E678" i="15"/>
  <c r="E676" i="15"/>
  <c r="E675" i="15"/>
  <c r="E673" i="15"/>
  <c r="E672" i="15"/>
  <c r="E670" i="15"/>
  <c r="E669" i="15"/>
  <c r="E667" i="15"/>
  <c r="E666" i="15"/>
  <c r="E664" i="15"/>
  <c r="E663" i="15"/>
  <c r="E661" i="15"/>
  <c r="E660" i="15"/>
  <c r="E658" i="15"/>
  <c r="E657" i="15"/>
  <c r="E655" i="15"/>
  <c r="E654" i="15"/>
  <c r="E652" i="15"/>
  <c r="E651" i="15"/>
  <c r="E649" i="15"/>
  <c r="E648" i="15"/>
  <c r="E646" i="15"/>
  <c r="E645" i="15"/>
  <c r="E643" i="15"/>
  <c r="E642" i="15"/>
  <c r="E640" i="15"/>
  <c r="E639" i="15"/>
  <c r="E637" i="15"/>
  <c r="E636" i="15"/>
  <c r="E634" i="15"/>
  <c r="E633" i="15"/>
  <c r="E631" i="15"/>
  <c r="E630" i="15"/>
  <c r="E628" i="15"/>
  <c r="E627" i="15"/>
  <c r="E625" i="15"/>
  <c r="E624" i="15"/>
  <c r="E622" i="15"/>
  <c r="E621" i="15"/>
  <c r="E619" i="15"/>
  <c r="E618" i="15"/>
  <c r="E616" i="15"/>
  <c r="E615" i="15"/>
  <c r="E613" i="15"/>
  <c r="E612" i="15"/>
  <c r="E610" i="15"/>
  <c r="E609" i="15"/>
  <c r="E607" i="15"/>
  <c r="E606" i="15"/>
  <c r="E604" i="15"/>
  <c r="E603" i="15"/>
  <c r="E601" i="15"/>
  <c r="E600" i="15"/>
  <c r="E598" i="15"/>
  <c r="E597" i="15"/>
  <c r="E595" i="15"/>
  <c r="E594" i="15"/>
  <c r="E592" i="15"/>
  <c r="E591" i="15"/>
  <c r="E589" i="15"/>
  <c r="E588" i="15"/>
  <c r="E586" i="15"/>
  <c r="E585" i="15"/>
  <c r="E583" i="15"/>
  <c r="E582" i="15"/>
  <c r="E580" i="15"/>
  <c r="E579" i="15"/>
  <c r="E577" i="15"/>
  <c r="E576" i="15"/>
  <c r="E574" i="15"/>
  <c r="E573" i="15"/>
  <c r="E571" i="15"/>
  <c r="E570" i="15"/>
  <c r="E791" i="15"/>
  <c r="E788" i="15"/>
  <c r="E785" i="15"/>
  <c r="E782" i="15"/>
  <c r="E779" i="15"/>
  <c r="E776" i="15"/>
  <c r="E773" i="15"/>
  <c r="E770" i="15"/>
  <c r="E767" i="15"/>
  <c r="E764" i="15"/>
  <c r="E761" i="15"/>
  <c r="E758" i="15"/>
  <c r="E755" i="15"/>
  <c r="E752" i="15"/>
  <c r="E749" i="15"/>
  <c r="E746" i="15"/>
  <c r="E743" i="15"/>
  <c r="E740" i="15"/>
  <c r="E737" i="15"/>
  <c r="E734" i="15"/>
  <c r="E731" i="15"/>
  <c r="E728" i="15"/>
  <c r="E725" i="15"/>
  <c r="E722" i="15"/>
  <c r="E719" i="15"/>
  <c r="E716" i="15"/>
  <c r="E713" i="15"/>
  <c r="E710" i="15"/>
  <c r="E707" i="15"/>
  <c r="E704" i="15"/>
  <c r="E701" i="15"/>
  <c r="E698" i="15"/>
  <c r="E695" i="15"/>
  <c r="E692" i="15"/>
  <c r="E689" i="15"/>
  <c r="E686" i="15"/>
  <c r="E683" i="15"/>
  <c r="E680" i="15"/>
  <c r="E677" i="15"/>
  <c r="E674" i="15"/>
  <c r="E671" i="15"/>
  <c r="E668" i="15"/>
  <c r="E665" i="15"/>
  <c r="E662" i="15"/>
  <c r="E659" i="15"/>
  <c r="E656" i="15"/>
  <c r="E653" i="15"/>
  <c r="E650" i="15"/>
  <c r="E647" i="15"/>
  <c r="E644" i="15"/>
  <c r="E641" i="15"/>
  <c r="E638" i="15"/>
  <c r="E635" i="15"/>
  <c r="E632" i="15"/>
  <c r="E629" i="15"/>
  <c r="E626" i="15"/>
  <c r="E623" i="15"/>
  <c r="E620" i="15"/>
  <c r="E617" i="15"/>
  <c r="E614" i="15"/>
  <c r="E611" i="15"/>
  <c r="E608" i="15"/>
  <c r="E605" i="15"/>
  <c r="E602" i="15"/>
  <c r="E599" i="15"/>
  <c r="E596" i="15"/>
  <c r="E593" i="15"/>
  <c r="E590" i="15"/>
  <c r="E587" i="15"/>
  <c r="E584" i="15"/>
  <c r="E581" i="15"/>
  <c r="E578" i="15"/>
  <c r="E575" i="15"/>
  <c r="E572" i="15"/>
  <c r="E569" i="15"/>
  <c r="E568" i="15" l="1"/>
  <c r="E567" i="15"/>
  <c r="E565" i="15"/>
  <c r="E564" i="15"/>
  <c r="E562" i="15"/>
  <c r="E561" i="15"/>
  <c r="E559" i="15"/>
  <c r="E558" i="15"/>
  <c r="E556" i="15"/>
  <c r="E555" i="15"/>
  <c r="E553" i="15"/>
  <c r="E552" i="15"/>
  <c r="E550" i="15"/>
  <c r="E549" i="15"/>
  <c r="E547" i="15"/>
  <c r="E546" i="15"/>
  <c r="E544" i="15"/>
  <c r="E543" i="15"/>
  <c r="E541" i="15"/>
  <c r="E540" i="15"/>
  <c r="E538" i="15"/>
  <c r="E537" i="15"/>
  <c r="E535" i="15"/>
  <c r="E534" i="15"/>
  <c r="E532" i="15"/>
  <c r="E531" i="15"/>
  <c r="E529" i="15"/>
  <c r="E528" i="15"/>
  <c r="E526" i="15"/>
  <c r="E525" i="15"/>
  <c r="E523" i="15"/>
  <c r="E522" i="15"/>
  <c r="E520" i="15"/>
  <c r="E519" i="15"/>
  <c r="E517" i="15"/>
  <c r="E516" i="15"/>
  <c r="E514" i="15"/>
  <c r="E513" i="15"/>
  <c r="E511" i="15"/>
  <c r="E510" i="15"/>
  <c r="E508" i="15"/>
  <c r="E507" i="15"/>
  <c r="E505" i="15"/>
  <c r="E504" i="15"/>
  <c r="E502" i="15"/>
  <c r="E501" i="15"/>
  <c r="E499" i="15"/>
  <c r="E498" i="15"/>
  <c r="E496" i="15"/>
  <c r="E495" i="15"/>
  <c r="E493" i="15"/>
  <c r="E492" i="15"/>
  <c r="E490" i="15"/>
  <c r="E489" i="15"/>
  <c r="E487" i="15"/>
  <c r="E486" i="15"/>
  <c r="E484" i="15"/>
  <c r="E483" i="15"/>
  <c r="E481" i="15"/>
  <c r="E480" i="15"/>
  <c r="E478" i="15"/>
  <c r="E477" i="15"/>
  <c r="E475" i="15"/>
  <c r="E474" i="15"/>
  <c r="E472" i="15"/>
  <c r="E471" i="15"/>
  <c r="E469" i="15"/>
  <c r="E468" i="15"/>
  <c r="E466" i="15"/>
  <c r="E465" i="15"/>
  <c r="E463" i="15"/>
  <c r="E462" i="15"/>
  <c r="E460" i="15"/>
  <c r="E459" i="15"/>
  <c r="E457" i="15"/>
  <c r="E456" i="15"/>
  <c r="E454" i="15"/>
  <c r="E453" i="15"/>
  <c r="E451" i="15"/>
  <c r="E450" i="15"/>
  <c r="E448" i="15"/>
  <c r="E447" i="15"/>
  <c r="E445" i="15"/>
  <c r="E444" i="15"/>
  <c r="E442" i="15"/>
  <c r="E441" i="15"/>
  <c r="E439" i="15"/>
  <c r="E438" i="15"/>
  <c r="E436" i="15"/>
  <c r="E435" i="15"/>
  <c r="E433" i="15"/>
  <c r="E432" i="15"/>
  <c r="E430" i="15"/>
  <c r="E429" i="15"/>
  <c r="E427" i="15"/>
  <c r="E426" i="15"/>
  <c r="E424" i="15"/>
  <c r="E423" i="15"/>
  <c r="E421" i="15"/>
  <c r="E420" i="15"/>
  <c r="E418" i="15"/>
  <c r="E417" i="15"/>
  <c r="E415" i="15"/>
  <c r="E414" i="15"/>
  <c r="E412" i="15"/>
  <c r="E411" i="15"/>
  <c r="E409" i="15"/>
  <c r="E408" i="15"/>
  <c r="E406" i="15"/>
  <c r="E405" i="15"/>
  <c r="E403" i="15"/>
  <c r="E402" i="15"/>
  <c r="E400" i="15"/>
  <c r="E399" i="15"/>
  <c r="E397" i="15"/>
  <c r="E396" i="15"/>
  <c r="E394" i="15"/>
  <c r="E393" i="15"/>
  <c r="E391" i="15"/>
  <c r="E390" i="15"/>
  <c r="E388" i="15"/>
  <c r="E387" i="15"/>
  <c r="E385" i="15"/>
  <c r="E384" i="15"/>
  <c r="E382" i="15"/>
  <c r="E381" i="15"/>
  <c r="E379" i="15"/>
  <c r="E378" i="15"/>
  <c r="E376" i="15"/>
  <c r="E375" i="15"/>
  <c r="E373" i="15"/>
  <c r="E372" i="15"/>
  <c r="E370" i="15"/>
  <c r="E369" i="15"/>
  <c r="E367" i="15"/>
  <c r="E366" i="15"/>
  <c r="E364" i="15"/>
  <c r="E363" i="15"/>
  <c r="E361" i="15"/>
  <c r="E360" i="15"/>
  <c r="E358" i="15"/>
  <c r="E357" i="15"/>
  <c r="E355" i="15"/>
  <c r="E354" i="15"/>
  <c r="E352" i="15"/>
  <c r="E351" i="15"/>
  <c r="E349" i="15"/>
  <c r="E348" i="15"/>
  <c r="E346" i="15"/>
  <c r="E345" i="15"/>
  <c r="E343" i="15"/>
  <c r="E342" i="15"/>
  <c r="E340" i="15"/>
  <c r="E339" i="15"/>
  <c r="E337" i="15"/>
  <c r="E336" i="15"/>
  <c r="E334" i="15"/>
  <c r="E333" i="15"/>
  <c r="E331" i="15"/>
  <c r="E330" i="15"/>
  <c r="E328" i="15"/>
  <c r="E327" i="15"/>
  <c r="E325" i="15"/>
  <c r="E324" i="15"/>
  <c r="E322" i="15"/>
  <c r="E321" i="15"/>
  <c r="E319" i="15"/>
  <c r="E318" i="15"/>
  <c r="E316" i="15"/>
  <c r="E315" i="15"/>
  <c r="E313" i="15"/>
  <c r="E312" i="15"/>
  <c r="E310" i="15"/>
  <c r="E309" i="15"/>
  <c r="E307" i="15"/>
  <c r="E306" i="15"/>
  <c r="E304" i="15"/>
  <c r="E303" i="15"/>
  <c r="E301" i="15"/>
  <c r="E300" i="15"/>
  <c r="E298" i="15"/>
  <c r="E297" i="15"/>
  <c r="E295" i="15"/>
  <c r="E294" i="15"/>
  <c r="E292" i="15"/>
  <c r="E291" i="15"/>
  <c r="E289" i="15"/>
  <c r="E288" i="15"/>
  <c r="E286" i="15"/>
  <c r="E285" i="15"/>
  <c r="E283" i="15"/>
  <c r="E282" i="15"/>
  <c r="E280" i="15"/>
  <c r="E279" i="15"/>
  <c r="E277" i="15"/>
  <c r="E276" i="15"/>
  <c r="E274" i="15"/>
  <c r="E273" i="15"/>
  <c r="E271" i="15"/>
  <c r="E270" i="15"/>
  <c r="E268" i="15"/>
  <c r="E267" i="15"/>
  <c r="E265" i="15"/>
  <c r="E264" i="15"/>
  <c r="E262" i="15"/>
  <c r="E261" i="15"/>
  <c r="E259" i="15"/>
  <c r="E258" i="15"/>
  <c r="E256" i="15"/>
  <c r="E255" i="15"/>
  <c r="E253" i="15"/>
  <c r="E252" i="15"/>
  <c r="E250" i="15"/>
  <c r="E249" i="15"/>
  <c r="E247" i="15"/>
  <c r="E246" i="15"/>
  <c r="E244" i="15"/>
  <c r="E243" i="15"/>
  <c r="E241" i="15"/>
  <c r="E240" i="15"/>
  <c r="E238" i="15"/>
  <c r="E237" i="15"/>
  <c r="E235" i="15"/>
  <c r="E234" i="15"/>
  <c r="E232" i="15"/>
  <c r="E231" i="15"/>
  <c r="E566" i="15"/>
  <c r="E563" i="15"/>
  <c r="E560" i="15"/>
  <c r="E557" i="15"/>
  <c r="E554" i="15"/>
  <c r="E551" i="15"/>
  <c r="E548" i="15"/>
  <c r="E545" i="15"/>
  <c r="E542" i="15"/>
  <c r="E539" i="15"/>
  <c r="E536" i="15"/>
  <c r="E533" i="15"/>
  <c r="E530" i="15"/>
  <c r="E527" i="15"/>
  <c r="E524" i="15"/>
  <c r="E521" i="15"/>
  <c r="E518" i="15"/>
  <c r="E515" i="15"/>
  <c r="E512" i="15"/>
  <c r="E509" i="15"/>
  <c r="E506" i="15"/>
  <c r="E503" i="15"/>
  <c r="E500" i="15"/>
  <c r="E497" i="15"/>
  <c r="E494" i="15"/>
  <c r="E491" i="15"/>
  <c r="E488" i="15"/>
  <c r="E485" i="15"/>
  <c r="E482" i="15"/>
  <c r="E479" i="15"/>
  <c r="E476" i="15"/>
  <c r="E473" i="15"/>
  <c r="E470" i="15"/>
  <c r="E467" i="15"/>
  <c r="E464" i="15"/>
  <c r="E461" i="15"/>
  <c r="E458" i="15"/>
  <c r="E455" i="15"/>
  <c r="E452" i="15"/>
  <c r="E449" i="15"/>
  <c r="E446" i="15"/>
  <c r="E443" i="15"/>
  <c r="E440" i="15"/>
  <c r="E437" i="15"/>
  <c r="E434" i="15"/>
  <c r="E431" i="15"/>
  <c r="E428" i="15"/>
  <c r="E425" i="15"/>
  <c r="E422" i="15"/>
  <c r="E419" i="15"/>
  <c r="E416" i="15"/>
  <c r="E413" i="15"/>
  <c r="E410" i="15"/>
  <c r="E407" i="15"/>
  <c r="E404" i="15"/>
  <c r="E401" i="15"/>
  <c r="E398" i="15"/>
  <c r="E395" i="15"/>
  <c r="E392" i="15"/>
  <c r="E389" i="15"/>
  <c r="E386" i="15"/>
  <c r="E383" i="15"/>
  <c r="E380" i="15"/>
  <c r="E377" i="15"/>
  <c r="E374" i="15"/>
  <c r="E371" i="15"/>
  <c r="E368" i="15"/>
  <c r="E365" i="15"/>
  <c r="E362" i="15"/>
  <c r="E359" i="15"/>
  <c r="E356" i="15"/>
  <c r="E353" i="15"/>
  <c r="E350" i="15"/>
  <c r="E347" i="15"/>
  <c r="E344" i="15"/>
  <c r="E341" i="15"/>
  <c r="E338" i="15"/>
  <c r="E335" i="15"/>
  <c r="E332" i="15"/>
  <c r="E329" i="15"/>
  <c r="E326" i="15"/>
  <c r="E323" i="15"/>
  <c r="E320" i="15"/>
  <c r="E317" i="15"/>
  <c r="E314" i="15"/>
  <c r="E311" i="15"/>
  <c r="E308" i="15"/>
  <c r="E305" i="15"/>
  <c r="E302" i="15"/>
  <c r="E299" i="15"/>
  <c r="E296" i="15"/>
  <c r="E293" i="15"/>
  <c r="E290" i="15"/>
  <c r="E287" i="15"/>
  <c r="E284" i="15"/>
  <c r="E281" i="15"/>
  <c r="E278" i="15"/>
  <c r="E275" i="15"/>
  <c r="E272" i="15"/>
  <c r="E269" i="15"/>
  <c r="E266" i="15"/>
  <c r="E263" i="15"/>
  <c r="E260" i="15"/>
  <c r="E257" i="15"/>
  <c r="E254" i="15"/>
  <c r="E251" i="15"/>
  <c r="E248" i="15"/>
  <c r="E245" i="15"/>
  <c r="E242" i="15"/>
  <c r="E239" i="15"/>
  <c r="E236" i="15"/>
  <c r="E233" i="15"/>
  <c r="E230" i="15"/>
  <c r="E229" i="15" l="1"/>
  <c r="E228" i="15"/>
  <c r="E226" i="15"/>
  <c r="E225" i="15"/>
  <c r="E223" i="15"/>
  <c r="E222" i="15"/>
  <c r="E220" i="15"/>
  <c r="E219" i="15"/>
  <c r="E217" i="15"/>
  <c r="E216" i="15"/>
  <c r="E214" i="15"/>
  <c r="E213" i="15"/>
  <c r="E211" i="15"/>
  <c r="E210" i="15"/>
  <c r="E208" i="15"/>
  <c r="E207" i="15"/>
  <c r="E205" i="15"/>
  <c r="E204" i="15"/>
  <c r="E202" i="15"/>
  <c r="E201" i="15"/>
  <c r="E199" i="15"/>
  <c r="E198" i="15"/>
  <c r="E196" i="15"/>
  <c r="E195" i="15"/>
  <c r="E193" i="15"/>
  <c r="E192" i="15"/>
  <c r="E190" i="15"/>
  <c r="E189" i="15"/>
  <c r="E187" i="15"/>
  <c r="E186" i="15"/>
  <c r="E184" i="15"/>
  <c r="E183" i="15"/>
  <c r="E181" i="15"/>
  <c r="E180" i="15"/>
  <c r="E178" i="15"/>
  <c r="E177" i="15"/>
  <c r="E175" i="15"/>
  <c r="E174" i="15"/>
  <c r="E172" i="15"/>
  <c r="E171" i="15"/>
  <c r="E169" i="15"/>
  <c r="E168" i="15"/>
  <c r="E166" i="15"/>
  <c r="E165" i="15"/>
  <c r="E163" i="15"/>
  <c r="E162" i="15"/>
  <c r="E160" i="15"/>
  <c r="E159" i="15"/>
  <c r="E157" i="15"/>
  <c r="E156" i="15"/>
  <c r="E154" i="15"/>
  <c r="E153" i="15"/>
  <c r="E151" i="15"/>
  <c r="E150" i="15"/>
  <c r="E148" i="15"/>
  <c r="E147" i="15"/>
  <c r="E145" i="15"/>
  <c r="E144" i="15"/>
  <c r="E142" i="15"/>
  <c r="E141" i="15"/>
  <c r="E139" i="15"/>
  <c r="E138" i="15"/>
  <c r="E136" i="15"/>
  <c r="E135" i="15"/>
  <c r="E133" i="15"/>
  <c r="E132" i="15"/>
  <c r="E130" i="15"/>
  <c r="E129" i="15"/>
  <c r="E127" i="15"/>
  <c r="E126" i="15"/>
  <c r="E124" i="15"/>
  <c r="E123" i="15"/>
  <c r="E121" i="15"/>
  <c r="E120" i="15"/>
  <c r="E118" i="15"/>
  <c r="E117" i="15"/>
  <c r="E115" i="15"/>
  <c r="E114" i="15"/>
  <c r="E227" i="15"/>
  <c r="E224" i="15"/>
  <c r="E221" i="15"/>
  <c r="E218" i="15"/>
  <c r="E215" i="15"/>
  <c r="E212" i="15"/>
  <c r="E209" i="15"/>
  <c r="E206" i="15"/>
  <c r="E203" i="15"/>
  <c r="E200" i="15"/>
  <c r="E197" i="15"/>
  <c r="E194" i="15"/>
  <c r="E191" i="15"/>
  <c r="E188" i="15"/>
  <c r="E185" i="15"/>
  <c r="E182" i="15"/>
  <c r="E179" i="15"/>
  <c r="E176" i="15"/>
  <c r="E173" i="15"/>
  <c r="E170" i="15"/>
  <c r="E167" i="15"/>
  <c r="E164" i="15"/>
  <c r="E161" i="15"/>
  <c r="E158" i="15"/>
  <c r="E155" i="15"/>
  <c r="E152" i="15"/>
  <c r="E149" i="15"/>
  <c r="E146" i="15"/>
  <c r="E143" i="15"/>
  <c r="E140" i="15"/>
  <c r="E137" i="15"/>
  <c r="E134" i="15"/>
  <c r="E131" i="15"/>
  <c r="E128" i="15"/>
  <c r="E125" i="15"/>
  <c r="E122" i="15"/>
  <c r="E119" i="15"/>
  <c r="E116" i="15"/>
  <c r="E113" i="15"/>
  <c r="H86" i="15" l="1"/>
  <c r="H77" i="15"/>
  <c r="H47" i="15"/>
  <c r="E112" i="15"/>
  <c r="E111" i="15"/>
  <c r="E109" i="15"/>
  <c r="E108" i="15"/>
  <c r="E106" i="15"/>
  <c r="E105" i="15"/>
  <c r="E103" i="15"/>
  <c r="E102" i="15"/>
  <c r="E100" i="15"/>
  <c r="E99" i="15"/>
  <c r="E97" i="15"/>
  <c r="E96" i="15"/>
  <c r="E94" i="15"/>
  <c r="E93" i="15"/>
  <c r="E91" i="15"/>
  <c r="E90" i="15"/>
  <c r="E88" i="15"/>
  <c r="E87" i="15"/>
  <c r="E85" i="15"/>
  <c r="E84" i="15"/>
  <c r="E82" i="15"/>
  <c r="E81" i="15"/>
  <c r="E79" i="15"/>
  <c r="E78" i="15"/>
  <c r="E76" i="15"/>
  <c r="E75" i="15"/>
  <c r="E73" i="15"/>
  <c r="E72" i="15"/>
  <c r="E70" i="15"/>
  <c r="E69" i="15"/>
  <c r="E67" i="15"/>
  <c r="E66" i="15"/>
  <c r="E64" i="15"/>
  <c r="E63" i="15"/>
  <c r="E61" i="15"/>
  <c r="E60" i="15"/>
  <c r="E58" i="15"/>
  <c r="E57" i="15"/>
  <c r="E55" i="15"/>
  <c r="E54" i="15"/>
  <c r="E52" i="15"/>
  <c r="E51" i="15"/>
  <c r="E49" i="15"/>
  <c r="E48" i="15"/>
  <c r="E46" i="15"/>
  <c r="E45" i="15"/>
  <c r="E43" i="15"/>
  <c r="E42" i="15"/>
  <c r="E40" i="15"/>
  <c r="E39" i="15"/>
  <c r="E37" i="15"/>
  <c r="E36" i="15"/>
  <c r="E34" i="15"/>
  <c r="E33" i="15"/>
  <c r="E31" i="15"/>
  <c r="E30" i="15"/>
  <c r="E28" i="15"/>
  <c r="E27" i="15"/>
  <c r="E25" i="15"/>
  <c r="E24" i="15"/>
  <c r="E22" i="15"/>
  <c r="E21" i="15"/>
  <c r="E19" i="15"/>
  <c r="E18" i="15"/>
  <c r="E16" i="15"/>
  <c r="E15" i="15"/>
  <c r="E13" i="15"/>
  <c r="E12" i="15"/>
  <c r="E10" i="15"/>
  <c r="E9" i="15"/>
  <c r="E7" i="15"/>
  <c r="E6" i="15"/>
  <c r="E4" i="15"/>
  <c r="E3" i="15"/>
  <c r="E110" i="15"/>
  <c r="E107" i="15"/>
  <c r="E104" i="15"/>
  <c r="E101" i="15"/>
  <c r="E98" i="15"/>
  <c r="E95" i="15"/>
  <c r="E92" i="15"/>
  <c r="E89" i="15"/>
  <c r="E86" i="15"/>
  <c r="E83" i="15"/>
  <c r="E80" i="15"/>
  <c r="E77" i="15"/>
  <c r="E74" i="15"/>
  <c r="E71" i="15"/>
  <c r="E68" i="15"/>
  <c r="E65" i="15"/>
  <c r="E62" i="15"/>
  <c r="E59" i="15"/>
  <c r="E56" i="15"/>
  <c r="E53" i="15"/>
  <c r="E50" i="15"/>
  <c r="E47" i="15"/>
  <c r="E44" i="15"/>
  <c r="E41" i="15"/>
  <c r="E38" i="15"/>
  <c r="E35" i="15"/>
  <c r="E32" i="15"/>
  <c r="E29" i="15"/>
  <c r="E26" i="15"/>
  <c r="E23" i="15"/>
  <c r="E20" i="15"/>
  <c r="E17" i="15"/>
  <c r="E14" i="15"/>
  <c r="E11" i="15"/>
  <c r="E8" i="15"/>
  <c r="E5" i="15"/>
  <c r="E2" i="15"/>
  <c r="E2139" i="12" l="1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3001" i="12"/>
  <c r="E3002" i="12"/>
  <c r="E3003" i="12"/>
  <c r="E3004" i="12"/>
  <c r="E3005" i="12"/>
  <c r="E3006" i="12"/>
  <c r="E3007" i="12"/>
  <c r="E3008" i="12"/>
  <c r="E3009" i="12"/>
  <c r="E3010" i="12"/>
  <c r="E3011" i="12"/>
  <c r="E3012" i="12"/>
  <c r="E3013" i="12"/>
  <c r="E3014" i="12"/>
  <c r="E3015" i="12"/>
  <c r="E3016" i="12"/>
  <c r="E3017" i="12"/>
  <c r="E3018" i="12"/>
  <c r="E3019" i="12"/>
  <c r="E3020" i="12"/>
  <c r="E3021" i="12"/>
  <c r="E3022" i="12"/>
  <c r="E3023" i="12"/>
  <c r="E3024" i="12"/>
  <c r="E3025" i="12"/>
  <c r="E3026" i="12"/>
  <c r="E3027" i="12"/>
  <c r="E3028" i="12"/>
  <c r="E3029" i="12"/>
  <c r="E3030" i="12"/>
  <c r="E3031" i="12"/>
  <c r="E3032" i="12"/>
  <c r="E3033" i="12"/>
  <c r="E3034" i="12"/>
  <c r="E3035" i="12"/>
  <c r="E3036" i="12"/>
  <c r="E3037" i="12"/>
  <c r="E3038" i="12"/>
  <c r="E3039" i="12"/>
  <c r="E3040" i="12"/>
  <c r="E3041" i="12"/>
  <c r="E3042" i="12"/>
  <c r="E3043" i="12"/>
  <c r="E3044" i="12"/>
  <c r="E3045" i="12"/>
  <c r="E3046" i="12"/>
  <c r="E3047" i="12"/>
  <c r="E3048" i="12"/>
  <c r="E3049" i="12"/>
  <c r="E3050" i="12"/>
  <c r="E3051" i="12"/>
  <c r="E3052" i="12"/>
  <c r="E3053" i="12"/>
  <c r="E3054" i="12"/>
  <c r="E3055" i="12"/>
  <c r="E3056" i="12"/>
  <c r="E3057" i="12"/>
  <c r="E3058" i="12"/>
  <c r="E3059" i="12"/>
  <c r="E3060" i="12"/>
  <c r="E3061" i="12"/>
  <c r="E3062" i="12"/>
  <c r="E3063" i="12"/>
  <c r="E3064" i="12"/>
  <c r="E3065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1121" i="12"/>
  <c r="E1120" i="12"/>
  <c r="E1119" i="12"/>
  <c r="E1118" i="12"/>
  <c r="E1117" i="12"/>
  <c r="E1116" i="12"/>
  <c r="E1115" i="12"/>
  <c r="E1114" i="12"/>
  <c r="E1113" i="12"/>
  <c r="E1112" i="12"/>
  <c r="E1111" i="12"/>
  <c r="E1110" i="12"/>
  <c r="E1109" i="12"/>
  <c r="E1108" i="12"/>
  <c r="E1107" i="12"/>
  <c r="E1106" i="12"/>
  <c r="E1105" i="12"/>
  <c r="E1104" i="12"/>
  <c r="E1103" i="12"/>
  <c r="E1102" i="12"/>
  <c r="E1101" i="12"/>
  <c r="E1100" i="12"/>
  <c r="E1099" i="12"/>
  <c r="E1098" i="12"/>
  <c r="E1097" i="12"/>
  <c r="E1096" i="12"/>
  <c r="E1095" i="12"/>
  <c r="E1094" i="12"/>
  <c r="E1093" i="12"/>
  <c r="E1092" i="12"/>
  <c r="E1091" i="12"/>
  <c r="E1090" i="12"/>
  <c r="E1089" i="12"/>
  <c r="E1088" i="12"/>
  <c r="E1087" i="12"/>
  <c r="E1086" i="12"/>
  <c r="E1085" i="12"/>
  <c r="E1084" i="12"/>
  <c r="E1083" i="12"/>
  <c r="E1082" i="12"/>
  <c r="E1081" i="12"/>
  <c r="E1080" i="12"/>
  <c r="E1079" i="12"/>
  <c r="E1078" i="12"/>
  <c r="E1077" i="12"/>
  <c r="E1076" i="12"/>
  <c r="E1075" i="12"/>
  <c r="E1074" i="12"/>
  <c r="E1073" i="12"/>
  <c r="E1072" i="12"/>
  <c r="E1071" i="12"/>
  <c r="E1070" i="12"/>
  <c r="E1069" i="12"/>
  <c r="E1068" i="12"/>
  <c r="E1067" i="12"/>
  <c r="E1066" i="12"/>
  <c r="E1065" i="12"/>
  <c r="E1064" i="12"/>
  <c r="E1063" i="12"/>
  <c r="E1062" i="12"/>
  <c r="E1061" i="12"/>
  <c r="E1060" i="12"/>
  <c r="E1059" i="12"/>
  <c r="E1058" i="12"/>
  <c r="E1057" i="12"/>
  <c r="E1056" i="12"/>
  <c r="E1055" i="12"/>
  <c r="E1054" i="12"/>
  <c r="E1053" i="12"/>
  <c r="E1052" i="12"/>
  <c r="E1051" i="12"/>
  <c r="E1050" i="12"/>
  <c r="E1049" i="12"/>
  <c r="E1048" i="12"/>
  <c r="E1047" i="12"/>
  <c r="E1046" i="12"/>
  <c r="E1045" i="12"/>
  <c r="E1044" i="12"/>
  <c r="E1043" i="12"/>
  <c r="E1042" i="12"/>
  <c r="E1041" i="12"/>
  <c r="E1040" i="12"/>
  <c r="E1039" i="12"/>
  <c r="E1038" i="12"/>
  <c r="E1037" i="12"/>
  <c r="E1036" i="12"/>
  <c r="E1035" i="12"/>
  <c r="E1034" i="12"/>
  <c r="E1033" i="12"/>
  <c r="E1032" i="12"/>
  <c r="E1031" i="12"/>
  <c r="E1030" i="12"/>
  <c r="E1029" i="12"/>
  <c r="E1028" i="12"/>
  <c r="E1027" i="12"/>
  <c r="E1026" i="12"/>
  <c r="E1025" i="12"/>
  <c r="E1024" i="12"/>
  <c r="E1023" i="12"/>
  <c r="E1022" i="12"/>
  <c r="E1021" i="12"/>
  <c r="E1020" i="12"/>
  <c r="E1019" i="12"/>
  <c r="E1018" i="12"/>
  <c r="E1017" i="12"/>
  <c r="E1016" i="12"/>
  <c r="E1015" i="12"/>
  <c r="E1014" i="12"/>
  <c r="E1013" i="12"/>
  <c r="E1012" i="12"/>
  <c r="E1011" i="12"/>
  <c r="E1010" i="12"/>
  <c r="E1009" i="12"/>
  <c r="E1008" i="12"/>
  <c r="E1007" i="12"/>
  <c r="E1006" i="12"/>
  <c r="E1005" i="12"/>
  <c r="E1004" i="12"/>
  <c r="E1003" i="12"/>
  <c r="E1002" i="12"/>
  <c r="E1001" i="12"/>
  <c r="E1000" i="12"/>
  <c r="E999" i="12"/>
  <c r="E998" i="12"/>
  <c r="E997" i="12"/>
  <c r="E996" i="12"/>
  <c r="E995" i="12"/>
  <c r="E994" i="12"/>
  <c r="E993" i="12"/>
  <c r="E992" i="12"/>
  <c r="E991" i="12"/>
  <c r="E990" i="12"/>
  <c r="E989" i="12"/>
  <c r="E988" i="12"/>
  <c r="E987" i="12"/>
  <c r="E986" i="12"/>
  <c r="E985" i="12"/>
  <c r="E984" i="12"/>
  <c r="E983" i="12"/>
  <c r="E982" i="12"/>
  <c r="E981" i="12"/>
  <c r="E980" i="12"/>
  <c r="E979" i="12"/>
  <c r="E978" i="12"/>
  <c r="E977" i="12"/>
  <c r="E976" i="12"/>
  <c r="E975" i="12"/>
  <c r="E974" i="12"/>
  <c r="E973" i="12"/>
  <c r="E972" i="12"/>
  <c r="E971" i="12"/>
  <c r="E970" i="12"/>
  <c r="E969" i="12"/>
  <c r="E968" i="12"/>
  <c r="E967" i="12"/>
  <c r="E966" i="12"/>
  <c r="E965" i="12"/>
  <c r="E964" i="12"/>
  <c r="E963" i="12"/>
  <c r="E962" i="12"/>
  <c r="E961" i="12"/>
  <c r="E960" i="12"/>
  <c r="E959" i="12"/>
  <c r="E958" i="12"/>
  <c r="E957" i="12"/>
  <c r="E956" i="12"/>
  <c r="E955" i="12"/>
  <c r="E954" i="12"/>
  <c r="E953" i="12"/>
  <c r="E952" i="12"/>
  <c r="E951" i="12"/>
  <c r="E950" i="12"/>
  <c r="E949" i="12"/>
  <c r="E948" i="12"/>
  <c r="E947" i="12"/>
  <c r="E946" i="12"/>
  <c r="E945" i="12"/>
  <c r="E944" i="12"/>
  <c r="E943" i="12"/>
  <c r="E942" i="12"/>
  <c r="E941" i="12"/>
  <c r="E940" i="12"/>
  <c r="E939" i="12"/>
  <c r="E938" i="12"/>
  <c r="E937" i="12"/>
  <c r="E936" i="12"/>
  <c r="E935" i="12"/>
  <c r="E934" i="12"/>
  <c r="E933" i="12"/>
  <c r="E932" i="12"/>
  <c r="E931" i="12"/>
  <c r="E930" i="12"/>
  <c r="E929" i="12"/>
  <c r="E928" i="12"/>
  <c r="E927" i="12"/>
  <c r="E926" i="12"/>
  <c r="E925" i="12"/>
  <c r="E924" i="12"/>
  <c r="E923" i="12"/>
  <c r="E922" i="12"/>
  <c r="E921" i="12"/>
  <c r="E920" i="12"/>
  <c r="E919" i="12"/>
  <c r="E918" i="12"/>
  <c r="E917" i="12"/>
  <c r="E916" i="12"/>
  <c r="E915" i="12"/>
  <c r="E914" i="12"/>
  <c r="E913" i="12"/>
  <c r="E912" i="12"/>
  <c r="E911" i="12"/>
  <c r="E910" i="12"/>
  <c r="E909" i="12"/>
  <c r="E908" i="12"/>
  <c r="E907" i="12"/>
  <c r="E906" i="12"/>
  <c r="E905" i="12"/>
  <c r="E904" i="12"/>
  <c r="E903" i="12"/>
  <c r="E902" i="12"/>
  <c r="E901" i="12"/>
  <c r="E900" i="12"/>
  <c r="E899" i="12"/>
  <c r="E898" i="12"/>
  <c r="E897" i="12"/>
  <c r="E896" i="12"/>
  <c r="E895" i="12"/>
  <c r="E894" i="12"/>
  <c r="E893" i="12"/>
  <c r="E892" i="12"/>
  <c r="E891" i="12"/>
  <c r="E890" i="12"/>
  <c r="E889" i="12"/>
  <c r="E888" i="12"/>
  <c r="E887" i="12"/>
  <c r="E886" i="12"/>
  <c r="E885" i="12"/>
  <c r="E884" i="12"/>
  <c r="E883" i="12"/>
  <c r="E882" i="12"/>
  <c r="E881" i="12"/>
  <c r="E880" i="12"/>
  <c r="E879" i="12"/>
  <c r="E878" i="12"/>
  <c r="E877" i="12"/>
  <c r="E876" i="12"/>
  <c r="E875" i="12"/>
  <c r="E874" i="12"/>
  <c r="E873" i="12"/>
  <c r="E872" i="12"/>
  <c r="E871" i="12"/>
  <c r="E870" i="12"/>
  <c r="E869" i="12"/>
  <c r="E868" i="12"/>
  <c r="E867" i="12"/>
  <c r="E866" i="12"/>
  <c r="E865" i="12"/>
  <c r="E864" i="12"/>
  <c r="E863" i="12"/>
  <c r="E862" i="12"/>
  <c r="E861" i="12"/>
  <c r="E860" i="12"/>
  <c r="E859" i="12"/>
  <c r="E858" i="12"/>
  <c r="E857" i="12"/>
  <c r="E856" i="12"/>
  <c r="E855" i="12"/>
  <c r="E854" i="12"/>
  <c r="E853" i="12"/>
  <c r="E852" i="12"/>
  <c r="E851" i="12"/>
  <c r="E850" i="12"/>
  <c r="E849" i="12"/>
  <c r="E848" i="12"/>
  <c r="E847" i="12"/>
  <c r="E846" i="12"/>
  <c r="E845" i="12"/>
  <c r="E844" i="12"/>
  <c r="E843" i="12"/>
  <c r="E842" i="12"/>
  <c r="E841" i="12"/>
  <c r="E840" i="12"/>
  <c r="E839" i="12"/>
  <c r="E838" i="12"/>
  <c r="E837" i="12"/>
  <c r="E836" i="12"/>
  <c r="E835" i="12"/>
  <c r="E834" i="12"/>
  <c r="E833" i="12"/>
  <c r="E832" i="12"/>
  <c r="E831" i="12"/>
  <c r="E830" i="12"/>
  <c r="E829" i="12"/>
  <c r="E828" i="12"/>
  <c r="E827" i="12"/>
  <c r="E826" i="12"/>
  <c r="E825" i="12"/>
  <c r="E824" i="12"/>
  <c r="E823" i="12"/>
  <c r="E822" i="12"/>
  <c r="E821" i="12"/>
  <c r="E820" i="12"/>
  <c r="E819" i="12"/>
  <c r="E818" i="12"/>
  <c r="E817" i="12"/>
  <c r="E816" i="12"/>
  <c r="E815" i="12"/>
  <c r="E814" i="12"/>
  <c r="E813" i="12"/>
  <c r="E812" i="12"/>
  <c r="E811" i="12"/>
  <c r="E810" i="12"/>
  <c r="E809" i="12"/>
  <c r="E808" i="12"/>
  <c r="E807" i="12"/>
  <c r="E806" i="12"/>
  <c r="E805" i="12"/>
  <c r="E804" i="12"/>
  <c r="E803" i="12"/>
  <c r="E802" i="12"/>
  <c r="E801" i="12"/>
  <c r="E800" i="12"/>
  <c r="E799" i="12"/>
  <c r="E798" i="12"/>
  <c r="E797" i="12"/>
  <c r="E796" i="12"/>
  <c r="E795" i="12"/>
  <c r="E794" i="12"/>
  <c r="E793" i="12"/>
  <c r="E792" i="12"/>
  <c r="E791" i="12"/>
  <c r="E790" i="12"/>
  <c r="E789" i="12"/>
  <c r="E788" i="12"/>
  <c r="E787" i="12"/>
  <c r="E786" i="12"/>
  <c r="E785" i="12"/>
  <c r="E784" i="12"/>
  <c r="E783" i="12"/>
  <c r="E782" i="12"/>
  <c r="E781" i="12"/>
  <c r="E780" i="12"/>
  <c r="E779" i="12"/>
  <c r="E778" i="12"/>
  <c r="E777" i="12"/>
  <c r="E776" i="12"/>
  <c r="E775" i="12"/>
  <c r="E774" i="12"/>
  <c r="E773" i="12"/>
  <c r="E772" i="12"/>
  <c r="E771" i="12"/>
  <c r="E770" i="12"/>
  <c r="E769" i="12"/>
  <c r="E768" i="12"/>
  <c r="E767" i="12"/>
  <c r="E766" i="12"/>
  <c r="E765" i="12"/>
  <c r="E764" i="12"/>
  <c r="E763" i="12"/>
  <c r="E762" i="12"/>
  <c r="E761" i="12"/>
  <c r="E760" i="12"/>
  <c r="E759" i="12"/>
  <c r="E758" i="12"/>
  <c r="E757" i="12"/>
  <c r="E756" i="12"/>
  <c r="E755" i="12"/>
  <c r="E754" i="12"/>
  <c r="E753" i="12"/>
  <c r="E752" i="12"/>
  <c r="E751" i="12"/>
  <c r="E750" i="12"/>
  <c r="E749" i="12"/>
  <c r="E748" i="12"/>
  <c r="E747" i="12"/>
  <c r="E746" i="12"/>
  <c r="E745" i="12"/>
  <c r="E744" i="12"/>
  <c r="E743" i="12"/>
  <c r="E742" i="12"/>
  <c r="E741" i="12"/>
  <c r="E740" i="12"/>
  <c r="E739" i="12"/>
  <c r="E738" i="12"/>
  <c r="E737" i="12"/>
  <c r="E736" i="12"/>
  <c r="E735" i="12"/>
  <c r="E734" i="12"/>
  <c r="E733" i="12"/>
  <c r="E732" i="12"/>
  <c r="E731" i="12"/>
  <c r="E730" i="12"/>
  <c r="E729" i="12"/>
  <c r="E728" i="12"/>
  <c r="E727" i="12"/>
  <c r="E726" i="12"/>
  <c r="E725" i="12"/>
  <c r="E724" i="12"/>
  <c r="E723" i="12"/>
  <c r="E722" i="12"/>
  <c r="E721" i="12"/>
  <c r="E720" i="12"/>
  <c r="E719" i="12"/>
  <c r="E718" i="12"/>
  <c r="E717" i="12"/>
  <c r="E716" i="12"/>
  <c r="E715" i="12"/>
  <c r="E714" i="12"/>
  <c r="E713" i="12"/>
  <c r="E712" i="12"/>
  <c r="E711" i="12"/>
  <c r="E710" i="12"/>
  <c r="E709" i="12"/>
  <c r="E708" i="12"/>
  <c r="E707" i="12"/>
  <c r="E706" i="12"/>
  <c r="E705" i="12"/>
  <c r="E704" i="12"/>
  <c r="E703" i="12"/>
  <c r="E702" i="12"/>
  <c r="E701" i="12"/>
  <c r="E700" i="12"/>
  <c r="E699" i="12"/>
  <c r="E698" i="12"/>
  <c r="E697" i="12"/>
  <c r="E696" i="12"/>
  <c r="E695" i="12"/>
  <c r="E694" i="12"/>
  <c r="E693" i="12"/>
  <c r="E692" i="12"/>
  <c r="E691" i="12"/>
  <c r="E690" i="12"/>
  <c r="E689" i="12"/>
  <c r="E688" i="12"/>
  <c r="E687" i="12"/>
  <c r="E686" i="12"/>
  <c r="E685" i="12"/>
  <c r="E684" i="12"/>
  <c r="E683" i="12"/>
  <c r="E682" i="12"/>
  <c r="E681" i="12"/>
  <c r="E680" i="12"/>
  <c r="E679" i="12"/>
  <c r="E678" i="12"/>
  <c r="E677" i="12"/>
  <c r="E676" i="12"/>
  <c r="E675" i="12"/>
  <c r="E674" i="12"/>
  <c r="E673" i="12"/>
  <c r="E672" i="12"/>
  <c r="E671" i="12"/>
  <c r="E670" i="12"/>
  <c r="E669" i="12"/>
  <c r="E668" i="12"/>
  <c r="E667" i="12"/>
  <c r="E666" i="12"/>
  <c r="E665" i="12"/>
  <c r="E664" i="12"/>
  <c r="E663" i="12"/>
  <c r="E662" i="12"/>
  <c r="E661" i="12"/>
  <c r="E660" i="12"/>
  <c r="E659" i="12"/>
  <c r="E658" i="12"/>
  <c r="E657" i="12"/>
  <c r="E656" i="12"/>
  <c r="E655" i="12"/>
  <c r="E654" i="12"/>
  <c r="E653" i="12"/>
  <c r="E652" i="12"/>
  <c r="E651" i="12"/>
  <c r="E650" i="12"/>
  <c r="E649" i="12"/>
  <c r="E648" i="12"/>
  <c r="E647" i="12"/>
  <c r="E646" i="12"/>
  <c r="E645" i="12"/>
  <c r="E644" i="12"/>
  <c r="E643" i="12"/>
  <c r="E642" i="12"/>
  <c r="E641" i="12"/>
  <c r="E640" i="12"/>
  <c r="E639" i="12"/>
  <c r="E638" i="12"/>
  <c r="E637" i="12"/>
  <c r="E636" i="12"/>
  <c r="E635" i="12"/>
  <c r="E634" i="12"/>
  <c r="E633" i="12"/>
  <c r="E632" i="12"/>
  <c r="E631" i="12"/>
  <c r="E630" i="12"/>
  <c r="E629" i="12"/>
  <c r="E628" i="12"/>
  <c r="E627" i="12"/>
  <c r="E626" i="12"/>
  <c r="E625" i="12"/>
  <c r="E624" i="12"/>
  <c r="E623" i="12"/>
  <c r="E622" i="12"/>
  <c r="E621" i="12"/>
  <c r="E620" i="12"/>
  <c r="E619" i="12"/>
  <c r="E618" i="12"/>
  <c r="E617" i="12"/>
  <c r="E616" i="12"/>
  <c r="E615" i="12"/>
  <c r="E614" i="12"/>
  <c r="E613" i="12"/>
  <c r="E612" i="12"/>
  <c r="E611" i="12"/>
  <c r="E610" i="12"/>
  <c r="E609" i="12"/>
  <c r="E608" i="12"/>
  <c r="E607" i="12"/>
  <c r="E606" i="12"/>
  <c r="E605" i="12"/>
  <c r="E604" i="12"/>
  <c r="E603" i="12"/>
  <c r="E602" i="12"/>
  <c r="E601" i="12"/>
  <c r="E600" i="12"/>
  <c r="E599" i="12"/>
  <c r="E598" i="12"/>
  <c r="E597" i="12"/>
  <c r="E596" i="12"/>
  <c r="E595" i="12"/>
  <c r="E594" i="12"/>
  <c r="E593" i="12"/>
  <c r="E592" i="12"/>
  <c r="E591" i="12"/>
  <c r="E590" i="12"/>
  <c r="E589" i="12"/>
  <c r="E588" i="12"/>
  <c r="E587" i="12"/>
  <c r="E586" i="12"/>
  <c r="E585" i="12"/>
  <c r="E584" i="12"/>
  <c r="E583" i="12"/>
  <c r="E582" i="12"/>
  <c r="E581" i="12"/>
  <c r="E580" i="12"/>
  <c r="E579" i="12"/>
  <c r="E578" i="12"/>
  <c r="E577" i="12"/>
  <c r="E576" i="12"/>
  <c r="E575" i="12"/>
  <c r="E574" i="12"/>
  <c r="E573" i="12"/>
  <c r="E572" i="12"/>
  <c r="E571" i="12"/>
  <c r="E570" i="12"/>
  <c r="E569" i="12"/>
  <c r="E568" i="12"/>
  <c r="E567" i="12"/>
  <c r="E566" i="12"/>
  <c r="E565" i="12"/>
  <c r="E564" i="12"/>
  <c r="E563" i="12"/>
  <c r="E562" i="12"/>
  <c r="E561" i="12"/>
  <c r="E560" i="12"/>
  <c r="E559" i="12"/>
  <c r="E558" i="12"/>
  <c r="E557" i="12"/>
  <c r="E556" i="12"/>
  <c r="E555" i="12"/>
  <c r="E554" i="12"/>
  <c r="E553" i="12"/>
  <c r="E552" i="12"/>
  <c r="E551" i="12"/>
  <c r="E550" i="12"/>
  <c r="E549" i="12"/>
  <c r="E548" i="12"/>
  <c r="E547" i="12"/>
  <c r="E546" i="12"/>
  <c r="E545" i="12"/>
  <c r="E544" i="12"/>
  <c r="E543" i="12"/>
  <c r="E542" i="12"/>
  <c r="E541" i="12"/>
  <c r="E540" i="12"/>
  <c r="E539" i="12"/>
  <c r="E538" i="12"/>
  <c r="E537" i="12"/>
  <c r="E536" i="12"/>
  <c r="E535" i="12"/>
  <c r="E534" i="12"/>
  <c r="E533" i="12"/>
  <c r="E532" i="12"/>
  <c r="E531" i="12"/>
  <c r="E530" i="12"/>
  <c r="E529" i="12"/>
  <c r="E528" i="12"/>
  <c r="E527" i="12"/>
  <c r="E526" i="12"/>
  <c r="E525" i="12"/>
  <c r="E524" i="12"/>
  <c r="E523" i="12"/>
  <c r="E522" i="12"/>
  <c r="E521" i="12"/>
  <c r="E520" i="12"/>
  <c r="E519" i="12"/>
  <c r="E518" i="12"/>
  <c r="E517" i="12"/>
  <c r="E516" i="12"/>
  <c r="E515" i="12"/>
  <c r="E514" i="12"/>
  <c r="E513" i="12"/>
  <c r="E512" i="12"/>
  <c r="E511" i="12"/>
  <c r="E510" i="12"/>
  <c r="E509" i="12"/>
  <c r="E508" i="12"/>
  <c r="E507" i="12"/>
  <c r="E506" i="12"/>
  <c r="E505" i="12"/>
  <c r="E504" i="12"/>
  <c r="E503" i="12"/>
  <c r="E502" i="12"/>
  <c r="E501" i="12"/>
  <c r="E500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9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</calcChain>
</file>

<file path=xl/comments1.xml><?xml version="1.0" encoding="utf-8"?>
<comments xmlns="http://schemas.openxmlformats.org/spreadsheetml/2006/main">
  <authors>
    <author>Nudam</author>
  </authors>
  <commentList>
    <comment ref="C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2. Refresh `CustomData` to pull the readings of the data you entered from Access.
3. Manually update the values for `Shift1`, `Shift2`, and `Shift3`. Enter `-1` for approximately equal values. The correction for CycleTime have been done programmatically already.
4. Refresh `CustomFull` to generate a table that will update (overwrite) the readings on Access.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1. Insert the lines that are online alongside with the date
Here are the formulaes if needed:
&lt;---- For Tue-Fri
&lt;---- For Mon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0. Update CycleTime if needed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H1" authorId="0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The table in this sheet shall be read by Access.ImportPrevious</t>
        </r>
      </text>
    </comment>
  </commentList>
</comments>
</file>

<file path=xl/comments3.xml><?xml version="1.0" encoding="utf-8"?>
<comments xmlns="http://schemas.openxmlformats.org/spreadsheetml/2006/main">
  <authors>
    <author>Nudam</author>
  </authors>
  <commentList>
    <comment ref="I1" authorId="0">
      <text>
        <r>
          <rPr>
            <b/>
            <sz val="8"/>
            <color indexed="81"/>
            <rFont val="Tahoma"/>
            <charset val="1"/>
          </rPr>
          <t>Nathan:</t>
        </r>
        <r>
          <rPr>
            <sz val="8"/>
            <color indexed="81"/>
            <rFont val="Tahoma"/>
            <charset val="1"/>
          </rPr>
          <t xml:space="preserve">
Insert the dates that you want to copy the data from. (For pasting to files that can no longer be automatically updated)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ustomData" description="Connection to the 'CustomData' query in the workbook." type="5" refreshedVersion="4" background="1" saveData="1">
    <dbPr connection="provider=Microsoft.Mashup.OleDb.1;data source=$EmbeddedMashup(6bf34a22-7bee-494d-a014-ea16f55961fd)$;location=CustomData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e0IRYoPAwAAkAoAABMAHABGb3JtdWxhcy9TZWN0aW9uMS5tIKIYACigFAAAAAAAAAAAAAAAAAAAAAAAAAAAALVWXW/aMBR9r8R/sLKXIHmotG+rmITSbutWaNWw7YEiZJILRE1sZDstFeK/7zqh+QCHtZPGAzi+H+ece30dFAQ6Epz4+W/3onXSOlFLJiEk3ksQwyhKgPRIDLp1QvDji1QGZudqHUDc8VIpgevfQj7OhHh025vxkCXQc4pgZ7Ide4Jr9JrQPMcHx1syvkCI0csKHEw2YrMYOiPJuJoLmXgiThNujMrNAelm49xJEaYZzZuIw1A4lGh0IRrWekvJpoK5s/A0mYHcbtutk4hbsWt6U6VFYnKrf1Jchv8PzZdMF7pCXGeKj5bkXbIxPctV10X3gwCU6hjzjClwv0RIeqdNuY736eHnZX/wMI94sJyuCjrTcDb1bgdnnSScOW1Kxp4EJD1kT9GCGQdkvgKpI1A9LVOYtGmGO60r8jXTqfoWIUP5gmxyWpuxHywhYT3Hodcakp5zJMr0wrCf0Pf34Ribv3Rn237Fu4dEPCHerV6CJHl6VQL7EOPs7bbdPXrUgmFruuMvo7muLD2RYoukeS6m4oYp7ZS8BiAX9VNfkhqC0hB+FxF3mwS8jdqWVvK/NaQ2StSw+BHxsHPNOciDslr558ayqBatSKb6WNblLnoSKJ5kdTzsV2Z27fiU3ODh6FziF85Dk9d41yw8882Nq+gUMoRsUPep7EylTDv19x2ibrE6K1bnx87RPaxiFiAqT+MYoYWuUcyMv1icgmsTQ00UPaU7R1mLQOZHOJUUvkqRrjDpvXiuYGe7rp1g/fI8chbJpsIBWLDMW+yniZv3sWvaWH3bmNQFV1vEWWPEeUPEuS2i+rYrgwZs7Y5rrdqPPbgBBoynLC7T2W+BWo2p5dWDo/6awm52EChzaZzpq/WK8TCnlHsWXHJTts6PjtvIHxtZItUKldWtsJWF6IcGdAjPe6C4X4AdckOcImTXgmhOyuJPMM8pEbK29ZmMXxNMCF6ovPoMsQLysXt4xxmzGZkjV9yeBlo/IDbVvpD6YGjMpmtFtr7wbs04d/oqAB5GfNH0p2TfbdvGfyYWGhd/AFBLAQItABQAAgAIAAmHVVXBPPBIqwAAAPoAAAASAAAAAAAAAAAAAAAAAAAAAABDb25maWcvUGFja2FnZS54bWxQSwECLQAUAAIACAAJh1VVD8rpq6QAAADpAAAAEwAAAAAAAAAAAAAAAAD3AAAAW0NvbnRlbnRfVHlwZXNdLnhtbFBLAQItABQAAgAIAAmHVVXtCEWKDwMAAJAKAAATAAAAAAAAAAAAAAAAAOgBAABGb3JtdWxhcy9TZWN0aW9uMS5tUEsFBgAAAAADAAMAwgAAAEQFAAAAAA==&quot;" command="SELECT * FROM [CustomData]"/>
  </connection>
  <connection id="2" name="Query - CustomDates" description="Connection to the 'CustomDates' query in the workbook." type="5" refreshedVersion="0" background="1">
    <dbPr connection="provider=Microsoft.Mashup.OleDb.1;data source=$EmbeddedMashup(6bf34a22-7bee-494d-a014-ea16f55961fd)$;location=CustomDates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QRTGx3wAAAA/QEAABMAHABGb3JtdWxhcy9TZWN0aW9uMS5tIKIYACigFAAAAAAAAAAAAAAAAAAAAAAAAAAAAH2PMWvDMBCFd4P/g1AXG0ygc8hkdyuhNIYOIYMiXxsRSRekU0kx+u+Va5q42FSLhO7de+/zIEmhZbvxflznWZ75k3DQsTp4QvOsLHi2YRooz1g6OwxOQvp5ukrQqzo4B5be0J2PiOei7PdbYWDDJ+v8EPc1Wkq6QzW6PPD6JOxHimm/LsCTXSuOGlatE9a/ozM16mDsMPTFGFn1PX9x2IWfqo0g4BWjJGBdeseKTcdD7hZ/BQRXirHMM2UX4+fYg/0y9oTrxvIKBj/T7iz/xjUqRqg70LxwLGemTbhoJYc+d7tGeVJWUvFP9h/cBbP1N1BLAQItABQAAgAIAAmHVVXBPPBIqwAAAPoAAAASAAAAAAAAAAAAAAAAAAAAAABDb25maWcvUGFja2FnZS54bWxQSwECLQAUAAIACAAJh1VVD8rpq6QAAADpAAAAEwAAAAAAAAAAAAAAAAD3AAAAW0NvbnRlbnRfVHlwZXNdLnhtbFBLAQItABQAAgAIAAmHVVUEUxsd8AAAAP0BAAATAAAAAAAAAAAAAAAAAOgBAABGb3JtdWxhcy9TZWN0aW9uMS5tUEsFBgAAAAADAAMAwgAAACUDAAAAAA==&quot;" command="SELECT * FROM [CustomDates]"/>
  </connection>
  <connection id="3" keepAlive="1" name="Query - CustomFull" description="Connection to the 'CustomFull' query in the workbook." type="5" refreshedVersion="4" background="1" saveData="1">
    <dbPr connection="provider=Microsoft.Mashup.OleDb.1;data source=$EmbeddedMashup(6bf34a22-7bee-494d-a014-ea16f55961fd)$;location=CustomFull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eRZXf2hAgAANwoAABMAHABGb3JtdWxhcy9TZWN0aW9uMS5tIKIYACigFAAAAAAAAAAAAAAAAAAAAAAAAAAAAM1WXW/aMBR9R+I/WNkLSCkq27SXrpUmaKVtjE6Ebg+Ih5BciFXHRo5dqFD+++wkxAlxWNdp0njB3K9zzvX1FQkEAjOKvPx7eNXtdDtJ5HMI0eg5IDDHMaBrREB0O0h9PCZ5oC23+wDIYCQ5Byp+Mv64Yuyx1z8spn4M106Z7CzTxYhRoaKWbl7jjTOKfLpREPPnLTiq2NxfERjMuU+TNePxiBEZU+1Mejmgezg43zkLZUZzgilMmeMioUKQgL1IXXSoYBYeKuMV8DTtdzuYWrFremUiWKxrJ69SbNL/heaxL0pdoTpnis+25I9k6/J22RVdpZYZxOxJ5TbwS115RC7KCGoSTvuNomO5JTjQfEy5MU4EpoHoncGuybUUa4p+2OpOhq+/bdU1//+4bB3gRXgthsr8mYoP7we6vLG/bbG/a9qnsMue0t88oztJSN5X2zRl0+YWlT6F4dlRUv68X8dWIVsrwA8iTavcAYvToGX/iHi73/r0PGgeMlFjV2C38rTRKZG+Ad+cjpsBmUKifn9hWJdvJ+VaRsPyktwaykuTnDo3V7P5imk4mMBa3EsBvNm2Fjm5PzuXTbM2QDE5NVSm18yrmVAzk+nvY80MpCX3GWyJHygmVA+mFzGRVJdV5vzhEwm9Vp2uTnUv3SKa19Lcs6TaeBimbVxsvHMiF8NWJrYGPNAtfmJ62xVL2UAWrnsRAT9u7Ham9VXUOln1ezi2IndkxxGTamly81by96XTPeELmdg2gE2HKlhJKjYBXqNFFWaJbtAlUgopcmaSUkw3DgKSAHLGbEcNiztMVLgqP2O7CgUPiPqLpG09C9MCtHcC+fEGXQwR42hRtqIw9isDwXiYATbupXCZK6lze9kLr3e+xrl+DycPR636VoZXvwBQSwECLQAUAAIACAAJh1VVwTzwSKsAAAD6AAAAEgAAAAAAAAAAAAAAAAAAAAAAQ29uZmlnL1BhY2thZ2UueG1sUEsBAi0AFAACAAgACYdVVQ/K6aukAAAA6QAAABMAAAAAAAAAAAAAAAAA9wAAAFtDb250ZW50X1R5cGVzXS54bWxQSwECLQAUAAIACAAJh1VV5Fld/aECAAA3CgAAEwAAAAAAAAAAAAAAAADoAQAARm9ybXVsYXMvU2VjdGlvbjEubVBLBQYAAAAAAwADAMIAAADWBAAAAAA=&quot;" command="SELECT * FROM [CustomFull]"/>
  </connection>
  <connection id="4" name="Query - CustomLines" description="Connection to the 'CustomLines' query in the workbook." type="5" refreshedVersion="0" background="1">
    <dbPr connection="provider=Microsoft.Mashup.OleDb.1;data source=$EmbeddedMashup(6bf34a22-7bee-494d-a014-ea16f55961fd)$;location=CustomLines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SL/FJa3AAAACAEAABMAHABGb3JtdWxhcy9TZWN0aW9uMS5tIKIYACigFAAAAAAAAAAAAAAAAAAAAAAAAAAAAG2OQQuDMAyF74L/oXQXBRF2Fk/dbkMGCjuIh6rZJmoz2hQc4n9fnQw8LJeEvJf3xUBDHSqWb/2Y+J7vmafU0DJhDeF46RQYlrIByPeYqxytbsBtzlMDQyys1qDohrqvEfsgnMtMjpDy3TmvllKgIueroi3lwMVTqofDFO8XcBdXyHqAuNBSmTvqUeBgR7WKJtiQ0Tzzq8bWfl89SQIeMXIG1rp5idheXrkZ/gwEEy1L6Hud+otPPlBLAQItABQAAgAIAAmHVVXBPPBIqwAAAPoAAAASAAAAAAAAAAAAAAAAAAAAAABDb25maWcvUGFja2FnZS54bWxQSwECLQAUAAIACAAJh1VVD8rpq6QAAADpAAAAEwAAAAAAAAAAAAAAAAD3AAAAW0NvbnRlbnRfVHlwZXNdLnhtbFBLAQItABQAAgAIAAmHVVUi/xSWtwAAAAgBAAATAAAAAAAAAAAAAAAAAOgBAABGb3JtdWxhcy9TZWN0aW9uMS5tUEsFBgAAAAADAAMAwgAAAOwCAAAAAA==&quot;" command="SELECT * FROM [CustomLines]"/>
  </connection>
  <connection id="5" name="Query - CustomUpdated" description="Connection to the 'CustomUpdated' query in the workbook." type="5" refreshedVersion="0" background="1">
    <dbPr connection="provider=Microsoft.Mashup.OleDb.1;data source=$EmbeddedMashup(6bf34a22-7bee-494d-a014-ea16f55961fd)$;location=CustomUpdated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WEstDvkAAAAbAEAABMAHABGb3JtdWxhcy9TZWN0aW9uMS5tIKIYACigFAAAAAAAAAAAAAAAAAAAAAAAAAAAAHWPPWvDMBCGd4P/g1CXBIwhbekSMqkdCsUU7NIhZJDtS20i3QXpRBOM/3vlmH5AWy1Cz70898pDwz2hKOd7tU6TNPGddtAKFTyTfTm2muNrIwxwmoh4SgqugUgeTg2YXAXnAPmV3KEmOiyWw7bQFjZyFtxr1nI3bhUhx9gumyVXUnUa36K5Oh9BRlulawN55TT6PTmryASL09Av5o3ZMMhnR224dI1ekJngGBBTxTETP8dPPUJBnwGGE18CZdfveRXxI/LdbT7pv/n1P/zmNy/gXZ0b89UAg63BjeMyTXr884frD1BLAQItABQAAgAIAAmHVVXBPPBIqwAAAPoAAAASAAAAAAAAAAAAAAAAAAAAAABDb25maWcvUGFja2FnZS54bWxQSwECLQAUAAIACAAJh1VVD8rpq6QAAADpAAAAEwAAAAAAAAAAAAAAAAD3AAAAW0NvbnRlbnRfVHlwZXNdLnhtbFBLAQItABQAAgAIAAmHVVVhLLQ75AAAAGwBAAATAAAAAAAAAAAAAAAAAOgBAABGb3JtdWxhcy9TZWN0aW9uMS5tUEsFBgAAAAADAAMAwgAAABkDAAAAAA==&quot;" command="SELECT * FROM [CustomUpdated]"/>
  </connection>
  <connection id="6" name="Query - CycleTime" description="Connection to the 'CycleTime' query in the workbook." type="5" refreshedVersion="0" background="1">
    <dbPr connection="provider=Microsoft.Mashup.OleDb.1;data source=$EmbeddedMashup(6bf34a22-7bee-494d-a014-ea16f55961fd)$;location=CycleTime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RHd+j+3AAAAAQEAABMAHABGb3JtdWxhcy9TZWN0aW9uMS5tIKIYACigFAAAAAAAAAAAAAAAAAAAAAAAAAAAAG2OMQvCMBCF90L/Q4iLQhCci1NwkyJYcBCHtJ5amtzJNYGW0v9uakUcvOXg3rv3vRYqXxOK47w3WZqkSfswDFeh+8pCUTsQW2HBp4mIc6TA1XTZdRXYtQ7MgP5E3JREzXI1nHPjYCu/z/IynjWhj66LmjMWUj8M3iOi6J8gY1hhSgvrgg22N2KnyQaHk9guZ6AaBnlguoZ3zX2NkJNUwkeL8ND5UYnhh/lRMLgSeBxXaVLjX3b2AlBLAQItABQAAgAIAAmHVVXBPPBIqwAAAPoAAAASAAAAAAAAAAAAAAAAAAAAAABDb25maWcvUGFja2FnZS54bWxQSwECLQAUAAIACAAJh1VVD8rpq6QAAADpAAAAEwAAAAAAAAAAAAAAAAD3AAAAW0NvbnRlbnRfVHlwZXNdLnhtbFBLAQItABQAAgAIAAmHVVUR3fo/twAAAAEBAAATAAAAAAAAAAAAAAAAAOgBAABGb3JtdWxhcy9TZWN0aW9uMS5tUEsFBgAAAAADAAMAwgAAAOwCAAAAAA==&quot;" command="SELECT * FROM [CycleTime]"/>
  </connection>
  <connection id="7" keepAlive="1" name="Query - ManCpyData" description="Connection to the 'ManCpyData' query in the workbook." type="5" refreshedVersion="4" background="1" saveData="1">
    <dbPr connection="provider=Microsoft.Mashup.OleDb.1;data source=$EmbeddedMashup(6bf34a22-7bee-494d-a014-ea16f55961fd)$;location=ManCpyData;extended properties=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WTZD3acAgAAfgcAABMAHABGb3JtdWxhcy9TZWN0aW9uMS5tIKIYACigFAAAAAAAAAAAAAAAAAAAAAAAAAAAAJ1VW2/aMBR+R+I/WN5LkCzUlrdVTKrCLt0KrRq2PVCETHIgVhMb+dIWIf777CTNBQKqxgPEPrfv+845QUGomeAoyH8vr7udbkfFVEKExpT7m+2IalBoiBLQ3Q6yn0AYGYK9+foWQtL3jZTA9V8hn5dCPHu93WxCUxjiWjie72e+4Nr6zUme5RP2Y8rXtsx0uwFs003pMoH+VFKuVkKmvkhMyp1ReXlJstu5pIYmvnhPTJC2Hiiyh/2+1+0w3pq+lRZtZXUThqBU39mXVIH3jVlUBXjlYf/z0+/RzfhpxXgYLzZSRCZTbhEtF/79+KqfRkvcI2jmS7CgJvSFralzeJBiA1IzUEMtDcx7hRCLhzLHHeMQaKqN+sGUFnJr4eS4drMgjCGlQ4zJrYZ0iM9EObUd/P+S+hwc14DK7BpwoH9Z8BFS8WIL3usYJMrzq6pyAImdt+LaO8BHWooc0J0IdxfEbKVrj74wtkvSnf1tmMCUpXBHlcY1YGOQ6+ZoV6gmoDREPwXj3ikGx9j2pJaLHA/onjQWgbj0vxiP+recgzxWrBVZbqz0amGRly6PNcoP7EVYXgWHKml277VXJujOtrw/sl92zk95zYoO2Fk+3Y06xU1CQ5uDmyRBQSx0g2Jm/EMTA94RaOJCyAUpvGTD3VLPKl6Wta/Kp0Fdie9SmI1N+ihea5WzW68dHkEfGsa99auBABrGuYCBSb1cpUsnUrYr3KRLkC6kAtsWcXUyYnAiYtAWUa5CI2hM37xZY0sOY2u63USRlaV6HVTaWUveIe9AXatSzb+ozFboXQz0BV0gIdE71eZ5kJ/t6nGEHw3njK8xgkQBwiPxyhtDJWQEshyVxkhlpmptjnh8+FXT4HJu2urvHtz8QzpGev0PUEsBAi0AFAACAAgACYdVVcE88EirAAAA+gAAABIAAAAAAAAAAAAAAAAAAAAAAENvbmZpZy9QYWNrYWdlLnhtbFBLAQItABQAAgAIAAmHVVUPyumrpAAAAOkAAAATAAAAAAAAAAAAAAAAAPcAAABbQ29udGVudF9UeXBlc10ueG1sUEsBAi0AFAACAAgACYdVVWTZD3acAgAAfgcAABMAAAAAAAAAAAAAAAAA6AEAAEZvcm11bGFzL1NlY3Rpb24xLm1QSwUGAAAAAAMAAwDCAAAA0QQAAAAA" command="SELECT * FROM [ManCpyData]"/>
  </connection>
  <connection id="8" name="Query - ManCpyDates" description="Connection to the 'ManCpyDates' query in the workbook." type="5" refreshedVersion="0" background="1">
    <dbPr connection="provider=Microsoft.Mashup.OleDb.1;data source=$EmbeddedMashup(6bf34a22-7bee-494d-a014-ea16f55961fd)$;location=ManCpyDates;extended properties=&quot;UEsDBBQAAgAIAAmHVVX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AJh1V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CYdVVcwpYM6pAAAA6AAAABMAHABGb3JtdWxhcy9TZWN0aW9uMS5tIKIYACigFAAAAAAAAAAAAAAAAAAAAAAAAAAAAG2NPwuDMBDF90C+Q0gXBRE6i1PasV0UOohD1GsVY07yByrid29ECh16y+Pu3vs9C60bULPi0HNGCSW2lwY6dpNazMtFOrAsZwocJSxMgd60EC7XdwsqFd4Y0O6BZmwQxyheq7ucIOc/cV5vlUDtgq9ODsqJi17qV6gplxl4wJWyUZCWRmr7RDMJVH7S+9NGR2WyrjvUSyXwC06YCw7WhWXbYkoG/ReffQBQSwECLQAUAAIACAAJh1VVwTzwSKsAAAD6AAAAEgAAAAAAAAAAAAAAAAAAAAAAQ29uZmlnL1BhY2thZ2UueG1sUEsBAi0AFAACAAgACYdVVQ/K6aukAAAA6QAAABMAAAAAAAAAAAAAAAAA9wAAAFtDb250ZW50X1R5cGVzXS54bWxQSwECLQAUAAIACAAJh1VVzClgzqkAAADoAAAAEwAAAAAAAAAAAAAAAADoAQAARm9ybXVsYXMvU2VjdGlvbjEubVBLBQYAAAAAAwADAMIAAADeAgAAAAA=&quot;" command="SELECT * FROM [ManCpyDates]"/>
  </connection>
</connections>
</file>

<file path=xl/sharedStrings.xml><?xml version="1.0" encoding="utf-8"?>
<sst xmlns="http://schemas.openxmlformats.org/spreadsheetml/2006/main" count="13530" uniqueCount="264">
  <si>
    <t>ProductionDate</t>
  </si>
  <si>
    <t>ProductionLineNo</t>
  </si>
  <si>
    <t>ShiftCounter</t>
  </si>
  <si>
    <t>ShiftNo</t>
  </si>
  <si>
    <t>LineStatus</t>
  </si>
  <si>
    <t>09A</t>
  </si>
  <si>
    <t>Shift1</t>
  </si>
  <si>
    <t>Shift2</t>
  </si>
  <si>
    <t>Shift3</t>
  </si>
  <si>
    <t>09B</t>
  </si>
  <si>
    <t>10A</t>
  </si>
  <si>
    <t>10B</t>
  </si>
  <si>
    <t>11A</t>
  </si>
  <si>
    <t>12B</t>
  </si>
  <si>
    <t>15B</t>
  </si>
  <si>
    <t>16B</t>
  </si>
  <si>
    <t>17B</t>
  </si>
  <si>
    <t>18B</t>
  </si>
  <si>
    <t>19B</t>
  </si>
  <si>
    <t>19A</t>
  </si>
  <si>
    <t>22B</t>
  </si>
  <si>
    <t>23A</t>
  </si>
  <si>
    <t>23B</t>
  </si>
  <si>
    <t>24B</t>
  </si>
  <si>
    <t>25A</t>
  </si>
  <si>
    <t>26A</t>
  </si>
  <si>
    <t>27A</t>
  </si>
  <si>
    <t>27B</t>
  </si>
  <si>
    <t>28A</t>
  </si>
  <si>
    <t>29A</t>
  </si>
  <si>
    <t>29B</t>
  </si>
  <si>
    <t>30A</t>
  </si>
  <si>
    <t>30B</t>
  </si>
  <si>
    <t>31B</t>
  </si>
  <si>
    <t>32A</t>
  </si>
  <si>
    <t>32B</t>
  </si>
  <si>
    <t>33B</t>
  </si>
  <si>
    <t>34B</t>
  </si>
  <si>
    <t>21B</t>
  </si>
  <si>
    <t>05C</t>
  </si>
  <si>
    <t>03B</t>
  </si>
  <si>
    <t>08A</t>
  </si>
  <si>
    <t>20B</t>
  </si>
  <si>
    <t>08B</t>
  </si>
  <si>
    <t>MoldNo</t>
  </si>
  <si>
    <t>ColorCode</t>
  </si>
  <si>
    <t>SiloNo</t>
  </si>
  <si>
    <t>StationNo</t>
  </si>
  <si>
    <t>MachineModel</t>
  </si>
  <si>
    <t>CounterStart</t>
  </si>
  <si>
    <t>CounterStop</t>
  </si>
  <si>
    <t>CounterLast</t>
  </si>
  <si>
    <t>CycleTimeLast</t>
  </si>
  <si>
    <t>StatusRemarks</t>
  </si>
  <si>
    <t>36A</t>
  </si>
  <si>
    <t>OTLH-3</t>
  </si>
  <si>
    <t>Black</t>
  </si>
  <si>
    <t>ABS1000</t>
  </si>
  <si>
    <t>SHI SE350E</t>
  </si>
  <si>
    <t>35U2</t>
  </si>
  <si>
    <t>W96</t>
  </si>
  <si>
    <t>Clear</t>
  </si>
  <si>
    <t>Silo7</t>
  </si>
  <si>
    <t>35U1</t>
  </si>
  <si>
    <t>34A</t>
  </si>
  <si>
    <t>33A</t>
  </si>
  <si>
    <t>Silo6</t>
  </si>
  <si>
    <t>SD691ecoII</t>
  </si>
  <si>
    <t>3F</t>
  </si>
  <si>
    <t>SHI SE450E</t>
  </si>
  <si>
    <t>3E</t>
  </si>
  <si>
    <t>31A</t>
  </si>
  <si>
    <t>3D</t>
  </si>
  <si>
    <t>3C</t>
  </si>
  <si>
    <t>3B</t>
  </si>
  <si>
    <t>SD521ecoW</t>
  </si>
  <si>
    <t>3A</t>
  </si>
  <si>
    <t>28B</t>
  </si>
  <si>
    <t>UG</t>
  </si>
  <si>
    <t>Elite Blue V3</t>
  </si>
  <si>
    <t>26B</t>
  </si>
  <si>
    <t>25B</t>
  </si>
  <si>
    <t>SD669ecoII</t>
  </si>
  <si>
    <t>Regrind</t>
  </si>
  <si>
    <t>XBOX Green</t>
  </si>
  <si>
    <t>24A</t>
  </si>
  <si>
    <t>2F</t>
  </si>
  <si>
    <t>2E</t>
  </si>
  <si>
    <t>SD704ecoII</t>
  </si>
  <si>
    <t>2D</t>
  </si>
  <si>
    <t>SD688ecoII</t>
  </si>
  <si>
    <t>White</t>
  </si>
  <si>
    <t>2C</t>
  </si>
  <si>
    <t>22A</t>
  </si>
  <si>
    <t>2B</t>
  </si>
  <si>
    <t>2A</t>
  </si>
  <si>
    <t>21A</t>
  </si>
  <si>
    <t>20A</t>
  </si>
  <si>
    <t>SD515ecoW</t>
  </si>
  <si>
    <t>18A</t>
  </si>
  <si>
    <t>EV-39ecoIII</t>
  </si>
  <si>
    <t>17A</t>
  </si>
  <si>
    <t>A4F</t>
  </si>
  <si>
    <t>Silo4</t>
  </si>
  <si>
    <t>16A</t>
  </si>
  <si>
    <t>1F</t>
  </si>
  <si>
    <t>Silo2</t>
  </si>
  <si>
    <t>1E</t>
  </si>
  <si>
    <t>15A</t>
  </si>
  <si>
    <t>1D</t>
  </si>
  <si>
    <t>14B</t>
  </si>
  <si>
    <t>1C</t>
  </si>
  <si>
    <t>14A</t>
  </si>
  <si>
    <t>1B</t>
  </si>
  <si>
    <t>13B</t>
  </si>
  <si>
    <t>A2F</t>
  </si>
  <si>
    <t>1A</t>
  </si>
  <si>
    <t>13A</t>
  </si>
  <si>
    <t>A1F</t>
  </si>
  <si>
    <t>12A</t>
  </si>
  <si>
    <t>11B</t>
  </si>
  <si>
    <t>A8F</t>
  </si>
  <si>
    <t>0F</t>
  </si>
  <si>
    <t>07B</t>
  </si>
  <si>
    <t>ELT-9</t>
  </si>
  <si>
    <t>0E</t>
  </si>
  <si>
    <t>07A</t>
  </si>
  <si>
    <t>0D</t>
  </si>
  <si>
    <t>06B</t>
  </si>
  <si>
    <t>PCR621-GRAY</t>
  </si>
  <si>
    <t>PCR（KW621）</t>
  </si>
  <si>
    <t>0C</t>
  </si>
  <si>
    <t>06A</t>
  </si>
  <si>
    <t>0B</t>
  </si>
  <si>
    <t>A5F</t>
  </si>
  <si>
    <t>4B</t>
  </si>
  <si>
    <t>05B</t>
  </si>
  <si>
    <t>0A</t>
  </si>
  <si>
    <t>05A</t>
  </si>
  <si>
    <t>04C</t>
  </si>
  <si>
    <t>4A</t>
  </si>
  <si>
    <t>04B</t>
  </si>
  <si>
    <t>DEO-S02</t>
  </si>
  <si>
    <t>04A</t>
  </si>
  <si>
    <t>JAB-007A</t>
  </si>
  <si>
    <t>PET-White</t>
  </si>
  <si>
    <t>PCR</t>
  </si>
  <si>
    <t>03C</t>
  </si>
  <si>
    <t>UP1189PCR PP</t>
  </si>
  <si>
    <t>A9F</t>
  </si>
  <si>
    <t>03A</t>
  </si>
  <si>
    <t>JAB-014</t>
  </si>
  <si>
    <t>02C</t>
  </si>
  <si>
    <t>02B</t>
  </si>
  <si>
    <t>DEO-U02</t>
  </si>
  <si>
    <t>02A</t>
  </si>
  <si>
    <t>JAB-007B</t>
  </si>
  <si>
    <t>01C</t>
  </si>
  <si>
    <t>01B</t>
  </si>
  <si>
    <t>A10F</t>
  </si>
  <si>
    <t>01A</t>
  </si>
  <si>
    <t>A6F</t>
  </si>
  <si>
    <t>27S</t>
  </si>
  <si>
    <t>PPDTE7</t>
  </si>
  <si>
    <t>SBSEL-32eco</t>
  </si>
  <si>
    <t>Down</t>
  </si>
  <si>
    <t>Running</t>
  </si>
  <si>
    <t>JAC-02</t>
  </si>
  <si>
    <t>DEO-C02</t>
  </si>
  <si>
    <t>DEO-B02</t>
  </si>
  <si>
    <t>PD633160</t>
  </si>
  <si>
    <t>JAB-050A</t>
  </si>
  <si>
    <t>DEO-D02</t>
  </si>
  <si>
    <t>PPH90+胶头</t>
  </si>
  <si>
    <t>VM6</t>
  </si>
  <si>
    <t>SD703ecoII</t>
  </si>
  <si>
    <t>DVFSII-9 2T4</t>
  </si>
  <si>
    <t>SD529ecoW</t>
  </si>
  <si>
    <t>CycleTime</t>
  </si>
  <si>
    <t>DEO-P02</t>
  </si>
  <si>
    <t>ELT-15</t>
  </si>
  <si>
    <t>A3F</t>
  </si>
  <si>
    <t>TEN-5 4T10</t>
  </si>
  <si>
    <t>Silo8</t>
  </si>
  <si>
    <t>MoldType</t>
  </si>
  <si>
    <t>NX</t>
  </si>
  <si>
    <t>Cap</t>
  </si>
  <si>
    <t>JAB</t>
  </si>
  <si>
    <t>Plug</t>
  </si>
  <si>
    <t>Barrel</t>
  </si>
  <si>
    <t>Screw</t>
  </si>
  <si>
    <t>Platform</t>
  </si>
  <si>
    <t>ELT</t>
  </si>
  <si>
    <t>DTE</t>
  </si>
  <si>
    <t>Inner dome</t>
  </si>
  <si>
    <t>EVecoIII</t>
  </si>
  <si>
    <t>SBSELeco</t>
  </si>
  <si>
    <t>SDecoW</t>
  </si>
  <si>
    <t>SBSELecoIIl</t>
  </si>
  <si>
    <t>SDecoII</t>
  </si>
  <si>
    <t>VM</t>
  </si>
  <si>
    <t>TEN</t>
  </si>
  <si>
    <t>TENEL</t>
  </si>
  <si>
    <t>DVFSII</t>
  </si>
  <si>
    <t>W-CLIP</t>
  </si>
  <si>
    <t>OTLH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</si>
  <si>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</si>
  <si>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</si>
  <si>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</si>
  <si>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</si>
  <si>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</si>
  <si>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</si>
  <si>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</si>
  <si>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</si>
  <si>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</si>
  <si>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NewCycle</t>
  </si>
  <si>
    <t>Total Correct %</t>
  </si>
  <si>
    <t>Correct shots%</t>
  </si>
  <si>
    <t>Correct Cycle%</t>
  </si>
  <si>
    <t>ManualCopyDates</t>
  </si>
  <si>
    <t>YST:</t>
  </si>
  <si>
    <t>WKND:</t>
  </si>
  <si>
    <t>DER-P02</t>
  </si>
  <si>
    <t>DER-C02</t>
  </si>
  <si>
    <t>PET-Blue</t>
  </si>
  <si>
    <t>DER-U02</t>
  </si>
  <si>
    <t>DER-B02</t>
  </si>
  <si>
    <t>JAB-014B</t>
  </si>
  <si>
    <t>DER-D02</t>
  </si>
  <si>
    <t>DEO-D03</t>
  </si>
  <si>
    <t>DER-W01</t>
  </si>
  <si>
    <t>DER-R01</t>
  </si>
  <si>
    <t>DER-C03</t>
  </si>
  <si>
    <t>Silver DER</t>
  </si>
  <si>
    <t>DER-S02</t>
  </si>
  <si>
    <t>SBSSV-1</t>
  </si>
  <si>
    <t>PPH90</t>
  </si>
  <si>
    <t>SBSEL-25ecoIII</t>
  </si>
  <si>
    <t>SSBS22</t>
  </si>
  <si>
    <t>DEO-C04</t>
  </si>
  <si>
    <t>VM7</t>
  </si>
  <si>
    <t>ELFS-4 2T6</t>
  </si>
  <si>
    <t>SD534ecoW</t>
  </si>
  <si>
    <t>PPH90+B料</t>
  </si>
  <si>
    <t>SD699ecoII</t>
  </si>
  <si>
    <t>SD507ecoW</t>
  </si>
  <si>
    <t>TENEL-4 4T8</t>
  </si>
  <si>
    <t>SD678ecoII</t>
  </si>
  <si>
    <t>PPH90+MIX</t>
  </si>
  <si>
    <t>SBDVEII-2</t>
  </si>
  <si>
    <t>SD645ecoII</t>
  </si>
  <si>
    <t>SD702ecoII</t>
  </si>
  <si>
    <t>SDC201ecoIII1T3</t>
  </si>
  <si>
    <t>DEO-M01</t>
  </si>
  <si>
    <t>Black ABS</t>
  </si>
  <si>
    <t>Wheel</t>
  </si>
  <si>
    <t>Dome</t>
  </si>
  <si>
    <t>Cartridge</t>
  </si>
  <si>
    <t>SBSSV</t>
  </si>
  <si>
    <t>SSBS</t>
  </si>
  <si>
    <t>ELFS</t>
  </si>
  <si>
    <t>SBDVEII</t>
  </si>
  <si>
    <t>SDCecoIII</t>
  </si>
  <si>
    <t>Stick Stopper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</si>
</sst>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yyyy\-mm\-dd;@"/>
    <numFmt numFmtId="167" formatCode="yyyy/mm/dd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6">
    <xf numFmtId="0" fontId="0" fillId="0" borderId="0"/>
    <xf numFmtId="0" fontId="2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15" fontId="3" fillId="0" borderId="1" xfId="1" applyNumberFormat="1" applyFont="1" applyFill="1" applyBorder="1" applyAlignment="1">
      <alignment horizontal="right" wrapText="1"/>
    </xf>
    <xf numFmtId="0" fontId="3" fillId="0" borderId="1" xfId="1" applyFont="1" applyFill="1" applyBorder="1" applyAlignment="1">
      <alignment wrapText="1"/>
    </xf>
    <xf numFmtId="0" fontId="0" fillId="0" borderId="0" xfId="0" applyFont="1"/>
    <xf numFmtId="15" fontId="3" fillId="0" borderId="0" xfId="1" applyNumberFormat="1" applyFont="1" applyFill="1" applyBorder="1" applyAlignment="1">
      <alignment horizontal="right" wrapText="1"/>
    </xf>
    <xf numFmtId="0" fontId="3" fillId="0" borderId="0" xfId="1" applyFont="1" applyFill="1" applyBorder="1" applyAlignment="1">
      <alignment wrapText="1"/>
    </xf>
    <xf numFmtId="0" fontId="0" fillId="0" borderId="0" xfId="1" applyFont="1" applyFill="1" applyBorder="1" applyAlignment="1">
      <alignment wrapText="1"/>
    </xf>
    <xf numFmtId="14" fontId="0" fillId="0" borderId="0" xfId="0" applyNumberFormat="1"/>
    <xf numFmtId="49" fontId="0" fillId="0" borderId="0" xfId="0" applyNumberFormat="1"/>
    <xf numFmtId="14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NumberFormat="1" applyAlignment="1"/>
    <xf numFmtId="14" fontId="0" fillId="0" borderId="0" xfId="0" applyNumberFormat="1" applyAlignment="1"/>
    <xf numFmtId="0" fontId="0" fillId="0" borderId="0" xfId="0"/>
    <xf numFmtId="14" fontId="0" fillId="0" borderId="0" xfId="0" applyNumberFormat="1"/>
    <xf numFmtId="166" fontId="0" fillId="0" borderId="0" xfId="0" applyNumberFormat="1" applyAlignment="1"/>
    <xf numFmtId="0" fontId="0" fillId="0" borderId="0" xfId="0"/>
    <xf numFmtId="0" fontId="0" fillId="0" borderId="0" xfId="0" applyNumberFormat="1" applyAlignment="1"/>
    <xf numFmtId="14" fontId="0" fillId="0" borderId="0" xfId="0" applyNumberFormat="1" applyAlignment="1"/>
    <xf numFmtId="0" fontId="0" fillId="0" borderId="0" xfId="0" quotePrefix="1" applyNumberFormat="1" applyAlignment="1"/>
    <xf numFmtId="3" fontId="0" fillId="0" borderId="0" xfId="0" applyNumberFormat="1"/>
    <xf numFmtId="10" fontId="0" fillId="0" borderId="0" xfId="15" applyNumberFormat="1" applyFont="1"/>
    <xf numFmtId="167" fontId="0" fillId="0" borderId="0" xfId="0" applyNumberFormat="1"/>
  </cellXfs>
  <cellStyles count="16">
    <cellStyle name="Comma" xfId="14"/>
    <cellStyle name="Comma 2" xfId="5"/>
    <cellStyle name="Comma 3" xfId="4"/>
    <cellStyle name="Comma 4" xfId="10"/>
    <cellStyle name="Comma 5" xfId="11"/>
    <cellStyle name="Comma 6" xfId="12"/>
    <cellStyle name="Currency 2" xfId="8"/>
    <cellStyle name="Currency 3" xfId="13"/>
    <cellStyle name="Normal" xfId="0" builtinId="0"/>
    <cellStyle name="Normal 2" xfId="2"/>
    <cellStyle name="Normal 3" xfId="3"/>
    <cellStyle name="Normal 4" xfId="7"/>
    <cellStyle name="Normal 5" xfId="9"/>
    <cellStyle name="Normal_Sheet1" xfId="1"/>
    <cellStyle name="Percent" xfId="15" builtinId="5"/>
    <cellStyle name="Percent 2" xfId="6"/>
  </cellStyles>
  <dxfs count="42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yyyy/mm/dd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6" formatCode="yyyy\-mm\-dd;@"/>
      <alignment horizontal="general" vertical="bottom" textRotation="0" wrapText="0" indent="0" justifyLastLine="0" shrinkToFit="0" readingOrder="0"/>
    </dxf>
    <dxf>
      <numFmt numFmtId="19" formatCode="yyyy/mm/dd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yyyy/mm/dd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7" formatCode="yyyy/mm/dd;@"/>
    </dxf>
    <dxf>
      <numFmt numFmtId="30" formatCode="@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/>
        <i val="0"/>
      </font>
      <fill>
        <patternFill>
          <bgColor theme="0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4" defaultTableStyle="TableStyleMedium2" defaultPivotStyle="PivotStyleLight16">
    <tableStyle name="TableStyleQueryPreview" pivot="0" count="3">
      <tableStyleElement type="wholeTable" dxfId="41"/>
      <tableStyleElement type="headerRow" dxfId="40"/>
      <tableStyleElement type="firstRowStripe" dxfId="39"/>
    </tableStyle>
    <tableStyle name="TableStyleQueryResult" pivot="0" count="3">
      <tableStyleElement type="wholeTable" dxfId="38"/>
      <tableStyleElement type="headerRow" dxfId="37"/>
      <tableStyleElement type="firstRowStripe" dxfId="36"/>
    </tableStyle>
    <tableStyle name="DailySummary" pivot="0" count="1">
      <tableStyleElement type="secondRowStripe" dxfId="35"/>
    </tableStyle>
    <tableStyle name="Shift" pivot="0" count="2">
      <tableStyleElement type="wholeTable" dxfId="34"/>
      <tableStyleElement type="headerRow" dxfId="3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ProductionDate" tableColumnId="1"/>
      <queryTableField id="2" name="ProductionLineNo" tableColumnId="2"/>
      <queryTableField id="3" name="Shift1" tableColumnId="3"/>
      <queryTableField id="4" name="Shift2" tableColumnId="4"/>
      <queryTableField id="5" name="Shift3" tableColumnId="5"/>
      <queryTableField id="6" name="NewCycle" tableColumnId="6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ProductionDate" tableColumnId="1"/>
      <queryTableField id="2" name="ProductionLineNo" tableColumnId="2"/>
      <queryTableField id="3" name="ShiftNo" tableColumnId="3"/>
      <queryTableField id="4" name="LineStatus" tableColumnId="4"/>
      <queryTableField id="5" name="ShiftCounter" tableColumnId="5"/>
      <queryTableField id="6" name="CycleTime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roductionDate" tableColumnId="1"/>
      <queryTableField id="2" name="ProductionLineNo" tableColumnId="2"/>
      <queryTableField id="3" name="LineStatus" tableColumnId="3"/>
      <queryTableField id="4" name="Shift1" tableColumnId="4"/>
      <queryTableField id="5" name="Shift2" tableColumnId="5"/>
      <queryTableField id="6" name="Shift3" tableColumnId="6"/>
      <queryTableField id="7" name="CycleTime" tableColumnId="7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7" name="may" displayName="may" ref="A1:E3065" totalsRowShown="0" headerRowBorderDxfId="32" tableBorderDxfId="31">
  <autoFilter ref="A1:E3065"/>
  <tableColumns count="5">
    <tableColumn id="1" name="ProductionDate" dataDxfId="30"/>
    <tableColumn id="2" name="ProductionLineNo" dataDxfId="29"/>
    <tableColumn id="3" name="ShiftCounter"/>
    <tableColumn id="4" name="ShiftNo"/>
    <tableColumn id="5" name="LineStatus">
      <calculatedColumnFormula>IF(may[[#This Row],[ShiftCounter]]&gt;0, "Running", "Down")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0" name="june" displayName="june" ref="A1:E2398" totalsRowShown="0">
  <autoFilter ref="A1:E2398"/>
  <tableColumns count="5">
    <tableColumn id="1" name="ProductionDate"/>
    <tableColumn id="2" name="ProductionLineNo"/>
    <tableColumn id="3" name="ShiftCounter"/>
    <tableColumn id="4" name="ShiftNo"/>
    <tableColumn id="5" name="LineStatus">
      <calculatedColumnFormula>IF(june[[#This Row],[ShiftCounter]]&gt;0, "Running", "Down")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A1:P229" totalsRowShown="0">
  <autoFilter ref="A1:P229"/>
  <tableColumns count="16">
    <tableColumn id="15" name="ProductionDate"/>
    <tableColumn id="1" name="ProductionLineNo"/>
    <tableColumn id="2" name="ShiftNo"/>
    <tableColumn id="3" name="MoldNo"/>
    <tableColumn id="4" name="ColorCode"/>
    <tableColumn id="5" name="SiloNo"/>
    <tableColumn id="6" name="LineStatus" dataDxfId="28">
      <calculatedColumnFormula>IF(Table5[[#This Row],[ShiftCounter]]&gt;0,"Running","Down")</calculatedColumnFormula>
    </tableColumn>
    <tableColumn id="7" name="StationNo" dataDxfId="27"/>
    <tableColumn id="8" name="MachineModel"/>
    <tableColumn id="9" name="ShiftCounter"/>
    <tableColumn id="10" name="CounterStart"/>
    <tableColumn id="11" name="CounterStop"/>
    <tableColumn id="12" name="CounterLast"/>
    <tableColumn id="13" name="CycleTimeLast"/>
    <tableColumn id="14" name="StatusRemarks"/>
    <tableColumn id="16" name="MoldTyp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17" name="CustomLines" displayName="CustomLines" ref="I1:J12" totalsRowShown="0">
  <autoFilter ref="I1:J12"/>
  <tableColumns count="2">
    <tableColumn id="1" name="ProductionDate" dataDxfId="26">
      <calculatedColumnFormula>TODAY()-1</calculatedColumnFormula>
    </tableColumn>
    <tableColumn id="2" name="ProductionLineNo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18" name="CustomData" displayName="CustomData" ref="A1:F12" tableType="queryTable" totalsRowShown="0" headerRowDxfId="25" dataDxfId="24">
  <autoFilter ref="A1:F12"/>
  <tableColumns count="6">
    <tableColumn id="1" uniqueName="1" name="ProductionDate" queryTableFieldId="1" dataDxfId="11"/>
    <tableColumn id="2" uniqueName="2" name="ProductionLineNo" queryTableFieldId="2" dataDxfId="10"/>
    <tableColumn id="3" uniqueName="3" name="Shift1" queryTableFieldId="3" dataDxfId="9"/>
    <tableColumn id="4" uniqueName="4" name="Shift2" queryTableFieldId="4" dataDxfId="8"/>
    <tableColumn id="5" uniqueName="5" name="Shift3" queryTableFieldId="5" dataDxfId="7"/>
    <tableColumn id="6" uniqueName="6" name="NewCycle" queryTableFieldId="6" dataDxfId="6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3" name="CycleTime" displayName="CycleTime" ref="M1:N77" totalsRowShown="0">
  <autoFilter ref="M1:N77"/>
  <tableColumns count="2">
    <tableColumn id="1" name="ProductionLineNo"/>
    <tableColumn id="2" name="CycleTime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9" name="CustomFull" displayName="CustomFull" ref="A1:F207" tableType="queryTable" totalsRowShown="0" headerRowDxfId="23" dataDxfId="22">
  <autoFilter ref="A1:F207"/>
  <tableColumns count="6">
    <tableColumn id="1" uniqueName="1" name="ProductionDate" queryTableFieldId="1" dataDxfId="5"/>
    <tableColumn id="2" uniqueName="2" name="ProductionLineNo" queryTableFieldId="2" dataDxfId="4"/>
    <tableColumn id="3" uniqueName="3" name="ShiftNo" queryTableFieldId="3" dataDxfId="3"/>
    <tableColumn id="4" uniqueName="4" name="LineStatus" queryTableFieldId="4" dataDxfId="2"/>
    <tableColumn id="5" uniqueName="5" name="ShiftCounter" queryTableFieldId="5" dataDxfId="1"/>
    <tableColumn id="6" uniqueName="6" name="CycleTime" queryTableFieldId="6" dataDxfId="0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" name="ManCpyData" displayName="ManCpyData" ref="A1:G153" tableType="queryTable" totalsRowShown="0" headerRowDxfId="21" dataDxfId="20">
  <autoFilter ref="A1:G153">
    <filterColumn colId="0">
      <filters>
        <dateGroupItem year="2022" month="11" day="12" dateTimeGrouping="day"/>
      </filters>
    </filterColumn>
  </autoFilter>
  <tableColumns count="7">
    <tableColumn id="1" uniqueName="1" name="ProductionDate" queryTableFieldId="1" dataDxfId="19"/>
    <tableColumn id="2" uniqueName="2" name="ProductionLineNo" queryTableFieldId="2" dataDxfId="18"/>
    <tableColumn id="3" uniqueName="3" name="LineStatus" queryTableFieldId="3" dataDxfId="17"/>
    <tableColumn id="4" uniqueName="4" name="Shift1" queryTableFieldId="4" dataDxfId="16"/>
    <tableColumn id="5" uniqueName="5" name="Shift2" queryTableFieldId="5" dataDxfId="15"/>
    <tableColumn id="6" uniqueName="6" name="Shift3" queryTableFieldId="6" dataDxfId="14"/>
    <tableColumn id="7" uniqueName="7" name="CycleTime" queryTableFieldId="7" dataDxfId="1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ManCpyDates" displayName="ManCpyDates" ref="I1:I3" totalsRowShown="0">
  <autoFilter ref="I1:I3"/>
  <tableColumns count="1">
    <tableColumn id="1" name="ManualCopyDates" dataDxfId="12">
      <calculatedColumnFormula>TODAY()-2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3.v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065"/>
  <sheetViews>
    <sheetView workbookViewId="0">
      <selection activeCell="H15" sqref="H15"/>
    </sheetView>
  </sheetViews>
  <sheetFormatPr defaultRowHeight="15" x14ac:dyDescent="0.25"/>
  <cols>
    <col min="1" max="1" width="17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5">
        <v>44691</v>
      </c>
      <c r="B2" s="6" t="s">
        <v>39</v>
      </c>
      <c r="C2">
        <v>2046</v>
      </c>
      <c r="D2" t="s">
        <v>6</v>
      </c>
      <c r="E2" t="str">
        <f>IF(may[[#This Row],[ShiftCounter]]&gt;0, "Running", "Down")</f>
        <v>Running</v>
      </c>
    </row>
    <row r="3" spans="1:5" x14ac:dyDescent="0.25">
      <c r="A3" s="5">
        <v>44691</v>
      </c>
      <c r="B3" s="6" t="s">
        <v>39</v>
      </c>
      <c r="C3">
        <v>2024</v>
      </c>
      <c r="D3" t="s">
        <v>7</v>
      </c>
      <c r="E3" t="str">
        <f>IF(may[[#This Row],[ShiftCounter]]&gt;0, "Running", "Down")</f>
        <v>Running</v>
      </c>
    </row>
    <row r="4" spans="1:5" x14ac:dyDescent="0.25">
      <c r="A4" s="5">
        <v>44691</v>
      </c>
      <c r="B4" s="6" t="s">
        <v>39</v>
      </c>
      <c r="C4">
        <v>1567</v>
      </c>
      <c r="D4" t="s">
        <v>8</v>
      </c>
      <c r="E4" t="str">
        <f>IF(may[[#This Row],[ShiftCounter]]&gt;0, "Running", "Down")</f>
        <v>Running</v>
      </c>
    </row>
    <row r="5" spans="1:5" x14ac:dyDescent="0.25">
      <c r="A5" s="5">
        <v>44691</v>
      </c>
      <c r="B5" s="7" t="s">
        <v>40</v>
      </c>
      <c r="C5">
        <v>2328</v>
      </c>
      <c r="D5" t="s">
        <v>6</v>
      </c>
      <c r="E5" t="str">
        <f>IF(may[[#This Row],[ShiftCounter]]&gt;0, "Running", "Down")</f>
        <v>Running</v>
      </c>
    </row>
    <row r="6" spans="1:5" x14ac:dyDescent="0.25">
      <c r="A6" s="5">
        <v>44691</v>
      </c>
      <c r="B6" s="7" t="s">
        <v>40</v>
      </c>
      <c r="C6">
        <v>2298</v>
      </c>
      <c r="D6" t="s">
        <v>7</v>
      </c>
      <c r="E6" t="str">
        <f>IF(may[[#This Row],[ShiftCounter]]&gt;0, "Running", "Down")</f>
        <v>Running</v>
      </c>
    </row>
    <row r="7" spans="1:5" x14ac:dyDescent="0.25">
      <c r="A7" s="5">
        <v>44691</v>
      </c>
      <c r="B7" s="7" t="s">
        <v>40</v>
      </c>
      <c r="C7">
        <v>2096</v>
      </c>
      <c r="D7" t="s">
        <v>8</v>
      </c>
      <c r="E7" t="str">
        <f>IF(may[[#This Row],[ShiftCounter]]&gt;0, "Running", "Down")</f>
        <v>Running</v>
      </c>
    </row>
    <row r="8" spans="1:5" x14ac:dyDescent="0.25">
      <c r="A8" s="5">
        <v>44691</v>
      </c>
      <c r="B8" s="7" t="s">
        <v>41</v>
      </c>
      <c r="C8">
        <v>2452</v>
      </c>
      <c r="D8" t="s">
        <v>6</v>
      </c>
      <c r="E8" t="str">
        <f>IF(may[[#This Row],[ShiftCounter]]&gt;0, "Running", "Down")</f>
        <v>Running</v>
      </c>
    </row>
    <row r="9" spans="1:5" x14ac:dyDescent="0.25">
      <c r="A9" s="5">
        <v>44691</v>
      </c>
      <c r="B9" s="7" t="s">
        <v>41</v>
      </c>
      <c r="C9">
        <v>2453</v>
      </c>
      <c r="D9" t="s">
        <v>7</v>
      </c>
      <c r="E9" t="str">
        <f>IF(may[[#This Row],[ShiftCounter]]&gt;0, "Running", "Down")</f>
        <v>Running</v>
      </c>
    </row>
    <row r="10" spans="1:5" x14ac:dyDescent="0.25">
      <c r="A10" s="5">
        <v>44691</v>
      </c>
      <c r="B10" s="7" t="s">
        <v>41</v>
      </c>
      <c r="C10">
        <v>2279</v>
      </c>
      <c r="D10" t="s">
        <v>8</v>
      </c>
      <c r="E10" t="str">
        <f>IF(may[[#This Row],[ShiftCounter]]&gt;0, "Running", "Down")</f>
        <v>Running</v>
      </c>
    </row>
    <row r="11" spans="1:5" x14ac:dyDescent="0.25">
      <c r="A11" s="5">
        <v>44691</v>
      </c>
      <c r="B11" s="7" t="s">
        <v>5</v>
      </c>
      <c r="C11">
        <v>2470</v>
      </c>
      <c r="D11" t="s">
        <v>6</v>
      </c>
      <c r="E11" t="str">
        <f>IF(may[[#This Row],[ShiftCounter]]&gt;0, "Running", "Down")</f>
        <v>Running</v>
      </c>
    </row>
    <row r="12" spans="1:5" x14ac:dyDescent="0.25">
      <c r="A12" s="5">
        <v>44691</v>
      </c>
      <c r="B12" s="7" t="s">
        <v>5</v>
      </c>
      <c r="C12">
        <v>2418</v>
      </c>
      <c r="D12" t="s">
        <v>7</v>
      </c>
      <c r="E12" t="str">
        <f>IF(may[[#This Row],[ShiftCounter]]&gt;0, "Running", "Down")</f>
        <v>Running</v>
      </c>
    </row>
    <row r="13" spans="1:5" x14ac:dyDescent="0.25">
      <c r="A13" s="5">
        <v>44691</v>
      </c>
      <c r="B13" s="7" t="s">
        <v>5</v>
      </c>
      <c r="C13">
        <v>2216</v>
      </c>
      <c r="D13" t="s">
        <v>8</v>
      </c>
      <c r="E13" t="str">
        <f>IF(may[[#This Row],[ShiftCounter]]&gt;0, "Running", "Down")</f>
        <v>Running</v>
      </c>
    </row>
    <row r="14" spans="1:5" x14ac:dyDescent="0.25">
      <c r="A14" s="5">
        <v>44691</v>
      </c>
      <c r="B14" s="7" t="s">
        <v>9</v>
      </c>
      <c r="C14">
        <v>1965</v>
      </c>
      <c r="D14" t="s">
        <v>6</v>
      </c>
      <c r="E14" t="str">
        <f>IF(may[[#This Row],[ShiftCounter]]&gt;0, "Running", "Down")</f>
        <v>Running</v>
      </c>
    </row>
    <row r="15" spans="1:5" x14ac:dyDescent="0.25">
      <c r="A15" s="5">
        <v>44691</v>
      </c>
      <c r="B15" s="7" t="s">
        <v>9</v>
      </c>
      <c r="C15">
        <v>2213</v>
      </c>
      <c r="D15" t="s">
        <v>7</v>
      </c>
      <c r="E15" t="str">
        <f>IF(may[[#This Row],[ShiftCounter]]&gt;0, "Running", "Down")</f>
        <v>Running</v>
      </c>
    </row>
    <row r="16" spans="1:5" x14ac:dyDescent="0.25">
      <c r="A16" s="5">
        <v>44691</v>
      </c>
      <c r="B16" s="7" t="s">
        <v>9</v>
      </c>
      <c r="C16">
        <v>1954</v>
      </c>
      <c r="D16" t="s">
        <v>8</v>
      </c>
      <c r="E16" t="str">
        <f>IF(may[[#This Row],[ShiftCounter]]&gt;0, "Running", "Down")</f>
        <v>Running</v>
      </c>
    </row>
    <row r="17" spans="1:5" x14ac:dyDescent="0.25">
      <c r="A17" s="5">
        <v>44691</v>
      </c>
      <c r="B17" s="7" t="s">
        <v>10</v>
      </c>
      <c r="C17">
        <v>2380</v>
      </c>
      <c r="D17" t="s">
        <v>6</v>
      </c>
      <c r="E17" t="str">
        <f>IF(may[[#This Row],[ShiftCounter]]&gt;0, "Running", "Down")</f>
        <v>Running</v>
      </c>
    </row>
    <row r="18" spans="1:5" x14ac:dyDescent="0.25">
      <c r="A18" s="5">
        <v>44691</v>
      </c>
      <c r="B18" s="7" t="s">
        <v>10</v>
      </c>
      <c r="C18">
        <v>2329</v>
      </c>
      <c r="D18" t="s">
        <v>7</v>
      </c>
      <c r="E18" t="str">
        <f>IF(may[[#This Row],[ShiftCounter]]&gt;0, "Running", "Down")</f>
        <v>Running</v>
      </c>
    </row>
    <row r="19" spans="1:5" x14ac:dyDescent="0.25">
      <c r="A19" s="5">
        <v>44691</v>
      </c>
      <c r="B19" s="7" t="s">
        <v>10</v>
      </c>
      <c r="C19">
        <v>2133</v>
      </c>
      <c r="D19" t="s">
        <v>8</v>
      </c>
      <c r="E19" t="str">
        <f>IF(may[[#This Row],[ShiftCounter]]&gt;0, "Running", "Down")</f>
        <v>Running</v>
      </c>
    </row>
    <row r="20" spans="1:5" x14ac:dyDescent="0.25">
      <c r="A20" s="5">
        <v>44691</v>
      </c>
      <c r="B20" s="7" t="s">
        <v>11</v>
      </c>
      <c r="C20">
        <v>2509</v>
      </c>
      <c r="D20" t="s">
        <v>6</v>
      </c>
      <c r="E20" t="str">
        <f>IF(may[[#This Row],[ShiftCounter]]&gt;0, "Running", "Down")</f>
        <v>Running</v>
      </c>
    </row>
    <row r="21" spans="1:5" x14ac:dyDescent="0.25">
      <c r="A21" s="5">
        <v>44691</v>
      </c>
      <c r="B21" s="7" t="s">
        <v>11</v>
      </c>
      <c r="C21">
        <v>2440</v>
      </c>
      <c r="D21" t="s">
        <v>7</v>
      </c>
      <c r="E21" t="str">
        <f>IF(may[[#This Row],[ShiftCounter]]&gt;0, "Running", "Down")</f>
        <v>Running</v>
      </c>
    </row>
    <row r="22" spans="1:5" x14ac:dyDescent="0.25">
      <c r="A22" s="5">
        <v>44691</v>
      </c>
      <c r="B22" s="7" t="s">
        <v>11</v>
      </c>
      <c r="C22">
        <v>2231</v>
      </c>
      <c r="D22" t="s">
        <v>8</v>
      </c>
      <c r="E22" t="str">
        <f>IF(may[[#This Row],[ShiftCounter]]&gt;0, "Running", "Down")</f>
        <v>Running</v>
      </c>
    </row>
    <row r="23" spans="1:5" x14ac:dyDescent="0.25">
      <c r="A23" s="5">
        <v>44691</v>
      </c>
      <c r="B23" s="7" t="s">
        <v>12</v>
      </c>
      <c r="C23">
        <v>2272</v>
      </c>
      <c r="D23" t="s">
        <v>6</v>
      </c>
      <c r="E23" t="str">
        <f>IF(may[[#This Row],[ShiftCounter]]&gt;0, "Running", "Down")</f>
        <v>Running</v>
      </c>
    </row>
    <row r="24" spans="1:5" x14ac:dyDescent="0.25">
      <c r="A24" s="5">
        <v>44691</v>
      </c>
      <c r="B24" s="7" t="s">
        <v>12</v>
      </c>
      <c r="C24">
        <v>2234</v>
      </c>
      <c r="D24" t="s">
        <v>7</v>
      </c>
      <c r="E24" t="str">
        <f>IF(may[[#This Row],[ShiftCounter]]&gt;0, "Running", "Down")</f>
        <v>Running</v>
      </c>
    </row>
    <row r="25" spans="1:5" x14ac:dyDescent="0.25">
      <c r="A25" s="5">
        <v>44691</v>
      </c>
      <c r="B25" s="7" t="s">
        <v>12</v>
      </c>
      <c r="C25">
        <v>2032</v>
      </c>
      <c r="D25" t="s">
        <v>8</v>
      </c>
      <c r="E25" t="str">
        <f>IF(may[[#This Row],[ShiftCounter]]&gt;0, "Running", "Down")</f>
        <v>Running</v>
      </c>
    </row>
    <row r="26" spans="1:5" x14ac:dyDescent="0.25">
      <c r="A26" s="5">
        <v>44691</v>
      </c>
      <c r="B26" s="7" t="s">
        <v>13</v>
      </c>
      <c r="C26">
        <v>2361</v>
      </c>
      <c r="D26" t="s">
        <v>6</v>
      </c>
      <c r="E26" t="str">
        <f>IF(may[[#This Row],[ShiftCounter]]&gt;0, "Running", "Down")</f>
        <v>Running</v>
      </c>
    </row>
    <row r="27" spans="1:5" x14ac:dyDescent="0.25">
      <c r="A27" s="5">
        <v>44691</v>
      </c>
      <c r="B27" s="7" t="s">
        <v>13</v>
      </c>
      <c r="C27">
        <v>2327</v>
      </c>
      <c r="D27" t="s">
        <v>7</v>
      </c>
      <c r="E27" t="str">
        <f>IF(may[[#This Row],[ShiftCounter]]&gt;0, "Running", "Down")</f>
        <v>Running</v>
      </c>
    </row>
    <row r="28" spans="1:5" x14ac:dyDescent="0.25">
      <c r="A28" s="5">
        <v>44691</v>
      </c>
      <c r="B28" s="7" t="s">
        <v>13</v>
      </c>
      <c r="C28">
        <v>1962</v>
      </c>
      <c r="D28" t="s">
        <v>8</v>
      </c>
      <c r="E28" t="str">
        <f>IF(may[[#This Row],[ShiftCounter]]&gt;0, "Running", "Down")</f>
        <v>Running</v>
      </c>
    </row>
    <row r="29" spans="1:5" x14ac:dyDescent="0.25">
      <c r="A29" s="5">
        <v>44691</v>
      </c>
      <c r="B29" s="7" t="s">
        <v>14</v>
      </c>
      <c r="C29">
        <v>1843</v>
      </c>
      <c r="D29" t="s">
        <v>6</v>
      </c>
      <c r="E29" t="str">
        <f>IF(may[[#This Row],[ShiftCounter]]&gt;0, "Running", "Down")</f>
        <v>Running</v>
      </c>
    </row>
    <row r="30" spans="1:5" x14ac:dyDescent="0.25">
      <c r="A30" s="5">
        <v>44691</v>
      </c>
      <c r="B30" s="7" t="s">
        <v>14</v>
      </c>
      <c r="C30">
        <v>1833</v>
      </c>
      <c r="D30" t="s">
        <v>7</v>
      </c>
      <c r="E30" t="str">
        <f>IF(may[[#This Row],[ShiftCounter]]&gt;0, "Running", "Down")</f>
        <v>Running</v>
      </c>
    </row>
    <row r="31" spans="1:5" x14ac:dyDescent="0.25">
      <c r="A31" s="5">
        <v>44691</v>
      </c>
      <c r="B31" s="7" t="s">
        <v>14</v>
      </c>
      <c r="C31">
        <v>1550</v>
      </c>
      <c r="D31" t="s">
        <v>8</v>
      </c>
      <c r="E31" t="str">
        <f>IF(may[[#This Row],[ShiftCounter]]&gt;0, "Running", "Down")</f>
        <v>Running</v>
      </c>
    </row>
    <row r="32" spans="1:5" x14ac:dyDescent="0.25">
      <c r="A32" s="5">
        <v>44691</v>
      </c>
      <c r="B32" s="7" t="s">
        <v>15</v>
      </c>
      <c r="C32">
        <v>2132</v>
      </c>
      <c r="D32" t="s">
        <v>6</v>
      </c>
      <c r="E32" t="str">
        <f>IF(may[[#This Row],[ShiftCounter]]&gt;0, "Running", "Down")</f>
        <v>Running</v>
      </c>
    </row>
    <row r="33" spans="1:5" x14ac:dyDescent="0.25">
      <c r="A33" s="5">
        <v>44691</v>
      </c>
      <c r="B33" s="7" t="s">
        <v>15</v>
      </c>
      <c r="C33">
        <v>2116</v>
      </c>
      <c r="D33" t="s">
        <v>7</v>
      </c>
      <c r="E33" t="str">
        <f>IF(may[[#This Row],[ShiftCounter]]&gt;0, "Running", "Down")</f>
        <v>Running</v>
      </c>
    </row>
    <row r="34" spans="1:5" x14ac:dyDescent="0.25">
      <c r="A34" s="5">
        <v>44691</v>
      </c>
      <c r="B34" s="7" t="s">
        <v>15</v>
      </c>
      <c r="C34">
        <v>1804</v>
      </c>
      <c r="D34" t="s">
        <v>8</v>
      </c>
      <c r="E34" t="str">
        <f>IF(may[[#This Row],[ShiftCounter]]&gt;0, "Running", "Down")</f>
        <v>Running</v>
      </c>
    </row>
    <row r="35" spans="1:5" x14ac:dyDescent="0.25">
      <c r="A35" s="5">
        <v>44691</v>
      </c>
      <c r="B35" s="7" t="s">
        <v>16</v>
      </c>
      <c r="C35">
        <v>2416</v>
      </c>
      <c r="D35" t="s">
        <v>6</v>
      </c>
      <c r="E35" t="str">
        <f>IF(may[[#This Row],[ShiftCounter]]&gt;0, "Running", "Down")</f>
        <v>Running</v>
      </c>
    </row>
    <row r="36" spans="1:5" x14ac:dyDescent="0.25">
      <c r="A36" s="5">
        <v>44691</v>
      </c>
      <c r="B36" s="7" t="s">
        <v>16</v>
      </c>
      <c r="C36">
        <v>2418</v>
      </c>
      <c r="D36" t="s">
        <v>7</v>
      </c>
      <c r="E36" t="str">
        <f>IF(may[[#This Row],[ShiftCounter]]&gt;0, "Running", "Down")</f>
        <v>Running</v>
      </c>
    </row>
    <row r="37" spans="1:5" x14ac:dyDescent="0.25">
      <c r="A37" s="5">
        <v>44691</v>
      </c>
      <c r="B37" s="7" t="s">
        <v>16</v>
      </c>
      <c r="C37">
        <v>2057</v>
      </c>
      <c r="D37" t="s">
        <v>8</v>
      </c>
      <c r="E37" t="str">
        <f>IF(may[[#This Row],[ShiftCounter]]&gt;0, "Running", "Down")</f>
        <v>Running</v>
      </c>
    </row>
    <row r="38" spans="1:5" x14ac:dyDescent="0.25">
      <c r="A38" s="5">
        <v>44691</v>
      </c>
      <c r="B38" s="7" t="s">
        <v>17</v>
      </c>
      <c r="C38">
        <v>2410</v>
      </c>
      <c r="D38" t="s">
        <v>6</v>
      </c>
      <c r="E38" t="str">
        <f>IF(may[[#This Row],[ShiftCounter]]&gt;0, "Running", "Down")</f>
        <v>Running</v>
      </c>
    </row>
    <row r="39" spans="1:5" x14ac:dyDescent="0.25">
      <c r="A39" s="5">
        <v>44691</v>
      </c>
      <c r="B39" s="7" t="s">
        <v>17</v>
      </c>
      <c r="C39">
        <v>644</v>
      </c>
      <c r="D39" t="s">
        <v>7</v>
      </c>
      <c r="E39" t="str">
        <f>IF(may[[#This Row],[ShiftCounter]]&gt;0, "Running", "Down")</f>
        <v>Running</v>
      </c>
    </row>
    <row r="40" spans="1:5" x14ac:dyDescent="0.25">
      <c r="A40" s="5">
        <v>44691</v>
      </c>
      <c r="B40" s="7" t="s">
        <v>17</v>
      </c>
      <c r="C40">
        <v>0</v>
      </c>
      <c r="D40" t="s">
        <v>8</v>
      </c>
      <c r="E40" t="str">
        <f>IF(may[[#This Row],[ShiftCounter]]&gt;0, "Running", "Down")</f>
        <v>Down</v>
      </c>
    </row>
    <row r="41" spans="1:5" x14ac:dyDescent="0.25">
      <c r="A41" s="5">
        <v>44691</v>
      </c>
      <c r="B41" s="7" t="s">
        <v>19</v>
      </c>
      <c r="C41">
        <v>2291</v>
      </c>
      <c r="D41" t="s">
        <v>6</v>
      </c>
      <c r="E41" t="str">
        <f>IF(may[[#This Row],[ShiftCounter]]&gt;0, "Running", "Down")</f>
        <v>Running</v>
      </c>
    </row>
    <row r="42" spans="1:5" x14ac:dyDescent="0.25">
      <c r="A42" s="5">
        <v>44691</v>
      </c>
      <c r="B42" s="7" t="s">
        <v>19</v>
      </c>
      <c r="C42">
        <v>1838</v>
      </c>
      <c r="D42" t="s">
        <v>7</v>
      </c>
      <c r="E42" t="str">
        <f>IF(may[[#This Row],[ShiftCounter]]&gt;0, "Running", "Down")</f>
        <v>Running</v>
      </c>
    </row>
    <row r="43" spans="1:5" x14ac:dyDescent="0.25">
      <c r="A43" s="5">
        <v>44691</v>
      </c>
      <c r="B43" s="7" t="s">
        <v>19</v>
      </c>
      <c r="C43">
        <v>1841</v>
      </c>
      <c r="D43" t="s">
        <v>8</v>
      </c>
      <c r="E43" t="str">
        <f>IF(may[[#This Row],[ShiftCounter]]&gt;0, "Running", "Down")</f>
        <v>Running</v>
      </c>
    </row>
    <row r="44" spans="1:5" x14ac:dyDescent="0.25">
      <c r="A44" s="5">
        <v>44691</v>
      </c>
      <c r="B44" s="7" t="s">
        <v>18</v>
      </c>
      <c r="C44">
        <v>2410</v>
      </c>
      <c r="D44" t="s">
        <v>6</v>
      </c>
      <c r="E44" t="str">
        <f>IF(may[[#This Row],[ShiftCounter]]&gt;0, "Running", "Down")</f>
        <v>Running</v>
      </c>
    </row>
    <row r="45" spans="1:5" x14ac:dyDescent="0.25">
      <c r="A45" s="5">
        <v>44691</v>
      </c>
      <c r="B45" s="7" t="s">
        <v>18</v>
      </c>
      <c r="C45">
        <v>2360</v>
      </c>
      <c r="D45" t="s">
        <v>7</v>
      </c>
      <c r="E45" t="str">
        <f>IF(may[[#This Row],[ShiftCounter]]&gt;0, "Running", "Down")</f>
        <v>Running</v>
      </c>
    </row>
    <row r="46" spans="1:5" x14ac:dyDescent="0.25">
      <c r="A46" s="5">
        <v>44691</v>
      </c>
      <c r="B46" s="7" t="s">
        <v>18</v>
      </c>
      <c r="C46">
        <v>2058</v>
      </c>
      <c r="D46" t="s">
        <v>8</v>
      </c>
      <c r="E46" t="str">
        <f>IF(may[[#This Row],[ShiftCounter]]&gt;0, "Running", "Down")</f>
        <v>Running</v>
      </c>
    </row>
    <row r="47" spans="1:5" x14ac:dyDescent="0.25">
      <c r="A47" s="5">
        <v>44691</v>
      </c>
      <c r="B47" s="7" t="s">
        <v>20</v>
      </c>
      <c r="C47">
        <v>2189</v>
      </c>
      <c r="D47" t="s">
        <v>6</v>
      </c>
      <c r="E47" t="str">
        <f>IF(may[[#This Row],[ShiftCounter]]&gt;0, "Running", "Down")</f>
        <v>Running</v>
      </c>
    </row>
    <row r="48" spans="1:5" x14ac:dyDescent="0.25">
      <c r="A48" s="5">
        <v>44691</v>
      </c>
      <c r="B48" s="7" t="s">
        <v>20</v>
      </c>
      <c r="C48">
        <v>1789</v>
      </c>
      <c r="D48" t="s">
        <v>7</v>
      </c>
      <c r="E48" t="str">
        <f>IF(may[[#This Row],[ShiftCounter]]&gt;0, "Running", "Down")</f>
        <v>Running</v>
      </c>
    </row>
    <row r="49" spans="1:5" x14ac:dyDescent="0.25">
      <c r="A49" s="5">
        <v>44691</v>
      </c>
      <c r="B49" s="7" t="s">
        <v>20</v>
      </c>
      <c r="C49">
        <v>1849</v>
      </c>
      <c r="D49" t="s">
        <v>8</v>
      </c>
      <c r="E49" t="str">
        <f>IF(may[[#This Row],[ShiftCounter]]&gt;0, "Running", "Down")</f>
        <v>Running</v>
      </c>
    </row>
    <row r="50" spans="1:5" x14ac:dyDescent="0.25">
      <c r="A50" s="5">
        <v>44691</v>
      </c>
      <c r="B50" s="7" t="s">
        <v>21</v>
      </c>
      <c r="C50">
        <v>2256</v>
      </c>
      <c r="D50" t="s">
        <v>6</v>
      </c>
      <c r="E50" t="str">
        <f>IF(may[[#This Row],[ShiftCounter]]&gt;0, "Running", "Down")</f>
        <v>Running</v>
      </c>
    </row>
    <row r="51" spans="1:5" x14ac:dyDescent="0.25">
      <c r="A51" s="5">
        <v>44691</v>
      </c>
      <c r="B51" s="7" t="s">
        <v>21</v>
      </c>
      <c r="C51">
        <v>2045</v>
      </c>
      <c r="D51" t="s">
        <v>7</v>
      </c>
      <c r="E51" t="str">
        <f>IF(may[[#This Row],[ShiftCounter]]&gt;0, "Running", "Down")</f>
        <v>Running</v>
      </c>
    </row>
    <row r="52" spans="1:5" x14ac:dyDescent="0.25">
      <c r="A52" s="5">
        <v>44691</v>
      </c>
      <c r="B52" s="7" t="s">
        <v>21</v>
      </c>
      <c r="C52">
        <v>1852</v>
      </c>
      <c r="D52" t="s">
        <v>8</v>
      </c>
      <c r="E52" t="str">
        <f>IF(may[[#This Row],[ShiftCounter]]&gt;0, "Running", "Down")</f>
        <v>Running</v>
      </c>
    </row>
    <row r="53" spans="1:5" x14ac:dyDescent="0.25">
      <c r="A53" s="5">
        <v>44691</v>
      </c>
      <c r="B53" s="7" t="s">
        <v>22</v>
      </c>
      <c r="C53">
        <v>2231</v>
      </c>
      <c r="D53" t="s">
        <v>6</v>
      </c>
      <c r="E53" t="str">
        <f>IF(may[[#This Row],[ShiftCounter]]&gt;0, "Running", "Down")</f>
        <v>Running</v>
      </c>
    </row>
    <row r="54" spans="1:5" x14ac:dyDescent="0.25">
      <c r="A54" s="5">
        <v>44691</v>
      </c>
      <c r="B54" s="7" t="s">
        <v>22</v>
      </c>
      <c r="C54">
        <v>2009</v>
      </c>
      <c r="D54" t="s">
        <v>7</v>
      </c>
      <c r="E54" t="str">
        <f>IF(may[[#This Row],[ShiftCounter]]&gt;0, "Running", "Down")</f>
        <v>Running</v>
      </c>
    </row>
    <row r="55" spans="1:5" x14ac:dyDescent="0.25">
      <c r="A55" s="5">
        <v>44691</v>
      </c>
      <c r="B55" s="7" t="s">
        <v>22</v>
      </c>
      <c r="C55">
        <v>1975</v>
      </c>
      <c r="D55" t="s">
        <v>8</v>
      </c>
      <c r="E55" t="str">
        <f>IF(may[[#This Row],[ShiftCounter]]&gt;0, "Running", "Down")</f>
        <v>Running</v>
      </c>
    </row>
    <row r="56" spans="1:5" x14ac:dyDescent="0.25">
      <c r="A56" s="5">
        <v>44691</v>
      </c>
      <c r="B56" s="7" t="s">
        <v>23</v>
      </c>
      <c r="C56">
        <v>2412</v>
      </c>
      <c r="D56" t="s">
        <v>6</v>
      </c>
      <c r="E56" t="str">
        <f>IF(may[[#This Row],[ShiftCounter]]&gt;0, "Running", "Down")</f>
        <v>Running</v>
      </c>
    </row>
    <row r="57" spans="1:5" x14ac:dyDescent="0.25">
      <c r="A57" s="5">
        <v>44691</v>
      </c>
      <c r="B57" s="7" t="s">
        <v>23</v>
      </c>
      <c r="C57">
        <v>2250</v>
      </c>
      <c r="D57" t="s">
        <v>7</v>
      </c>
      <c r="E57" t="str">
        <f>IF(may[[#This Row],[ShiftCounter]]&gt;0, "Running", "Down")</f>
        <v>Running</v>
      </c>
    </row>
    <row r="58" spans="1:5" x14ac:dyDescent="0.25">
      <c r="A58" s="5">
        <v>44691</v>
      </c>
      <c r="B58" s="7" t="s">
        <v>23</v>
      </c>
      <c r="C58">
        <v>2086</v>
      </c>
      <c r="D58" t="s">
        <v>8</v>
      </c>
      <c r="E58" t="str">
        <f>IF(may[[#This Row],[ShiftCounter]]&gt;0, "Running", "Down")</f>
        <v>Running</v>
      </c>
    </row>
    <row r="59" spans="1:5" x14ac:dyDescent="0.25">
      <c r="A59" s="5">
        <v>44691</v>
      </c>
      <c r="B59" s="7" t="s">
        <v>24</v>
      </c>
      <c r="C59">
        <v>2156</v>
      </c>
      <c r="D59" t="s">
        <v>6</v>
      </c>
      <c r="E59" t="str">
        <f>IF(may[[#This Row],[ShiftCounter]]&gt;0, "Running", "Down")</f>
        <v>Running</v>
      </c>
    </row>
    <row r="60" spans="1:5" x14ac:dyDescent="0.25">
      <c r="A60" s="5">
        <v>44691</v>
      </c>
      <c r="B60" s="7" t="s">
        <v>24</v>
      </c>
      <c r="C60">
        <v>1976</v>
      </c>
      <c r="D60" t="s">
        <v>7</v>
      </c>
      <c r="E60" t="str">
        <f>IF(may[[#This Row],[ShiftCounter]]&gt;0, "Running", "Down")</f>
        <v>Running</v>
      </c>
    </row>
    <row r="61" spans="1:5" x14ac:dyDescent="0.25">
      <c r="A61" s="5">
        <v>44691</v>
      </c>
      <c r="B61" s="7" t="s">
        <v>24</v>
      </c>
      <c r="C61">
        <v>1846</v>
      </c>
      <c r="D61" t="s">
        <v>8</v>
      </c>
      <c r="E61" t="str">
        <f>IF(may[[#This Row],[ShiftCounter]]&gt;0, "Running", "Down")</f>
        <v>Running</v>
      </c>
    </row>
    <row r="62" spans="1:5" x14ac:dyDescent="0.25">
      <c r="A62" s="5">
        <v>44691</v>
      </c>
      <c r="B62" s="7" t="s">
        <v>25</v>
      </c>
      <c r="C62">
        <v>2333</v>
      </c>
      <c r="D62" t="s">
        <v>6</v>
      </c>
      <c r="E62" t="str">
        <f>IF(may[[#This Row],[ShiftCounter]]&gt;0, "Running", "Down")</f>
        <v>Running</v>
      </c>
    </row>
    <row r="63" spans="1:5" x14ac:dyDescent="0.25">
      <c r="A63" s="5">
        <v>44691</v>
      </c>
      <c r="B63" s="7" t="s">
        <v>25</v>
      </c>
      <c r="C63">
        <v>2152</v>
      </c>
      <c r="D63" t="s">
        <v>7</v>
      </c>
      <c r="E63" t="str">
        <f>IF(may[[#This Row],[ShiftCounter]]&gt;0, "Running", "Down")</f>
        <v>Running</v>
      </c>
    </row>
    <row r="64" spans="1:5" x14ac:dyDescent="0.25">
      <c r="A64" s="5">
        <v>44691</v>
      </c>
      <c r="B64" s="7" t="s">
        <v>25</v>
      </c>
      <c r="C64">
        <v>1990</v>
      </c>
      <c r="D64" t="s">
        <v>8</v>
      </c>
      <c r="E64" t="str">
        <f>IF(may[[#This Row],[ShiftCounter]]&gt;0, "Running", "Down")</f>
        <v>Running</v>
      </c>
    </row>
    <row r="65" spans="1:5" x14ac:dyDescent="0.25">
      <c r="A65" s="5">
        <v>44691</v>
      </c>
      <c r="B65" s="7" t="s">
        <v>26</v>
      </c>
      <c r="C65">
        <v>2268</v>
      </c>
      <c r="D65" t="s">
        <v>6</v>
      </c>
      <c r="E65" t="str">
        <f>IF(may[[#This Row],[ShiftCounter]]&gt;0, "Running", "Down")</f>
        <v>Running</v>
      </c>
    </row>
    <row r="66" spans="1:5" x14ac:dyDescent="0.25">
      <c r="A66" s="5">
        <v>44691</v>
      </c>
      <c r="B66" s="7" t="s">
        <v>26</v>
      </c>
      <c r="C66">
        <v>2105</v>
      </c>
      <c r="D66" t="s">
        <v>7</v>
      </c>
      <c r="E66" t="str">
        <f>IF(may[[#This Row],[ShiftCounter]]&gt;0, "Running", "Down")</f>
        <v>Running</v>
      </c>
    </row>
    <row r="67" spans="1:5" x14ac:dyDescent="0.25">
      <c r="A67" s="5">
        <v>44691</v>
      </c>
      <c r="B67" s="7" t="s">
        <v>26</v>
      </c>
      <c r="C67">
        <v>1914</v>
      </c>
      <c r="D67" t="s">
        <v>8</v>
      </c>
      <c r="E67" t="str">
        <f>IF(may[[#This Row],[ShiftCounter]]&gt;0, "Running", "Down")</f>
        <v>Running</v>
      </c>
    </row>
    <row r="68" spans="1:5" x14ac:dyDescent="0.25">
      <c r="A68" s="5">
        <v>44691</v>
      </c>
      <c r="B68" s="7" t="s">
        <v>27</v>
      </c>
      <c r="C68">
        <v>2268</v>
      </c>
      <c r="D68" t="s">
        <v>6</v>
      </c>
      <c r="E68" t="str">
        <f>IF(may[[#This Row],[ShiftCounter]]&gt;0, "Running", "Down")</f>
        <v>Running</v>
      </c>
    </row>
    <row r="69" spans="1:5" x14ac:dyDescent="0.25">
      <c r="A69" s="5">
        <v>44691</v>
      </c>
      <c r="B69" s="7" t="s">
        <v>27</v>
      </c>
      <c r="C69">
        <v>2218</v>
      </c>
      <c r="D69" t="s">
        <v>7</v>
      </c>
      <c r="E69" t="str">
        <f>IF(may[[#This Row],[ShiftCounter]]&gt;0, "Running", "Down")</f>
        <v>Running</v>
      </c>
    </row>
    <row r="70" spans="1:5" x14ac:dyDescent="0.25">
      <c r="A70" s="5">
        <v>44691</v>
      </c>
      <c r="B70" s="7" t="s">
        <v>27</v>
      </c>
      <c r="C70">
        <v>1963</v>
      </c>
      <c r="D70" t="s">
        <v>8</v>
      </c>
      <c r="E70" t="str">
        <f>IF(may[[#This Row],[ShiftCounter]]&gt;0, "Running", "Down")</f>
        <v>Running</v>
      </c>
    </row>
    <row r="71" spans="1:5" x14ac:dyDescent="0.25">
      <c r="A71" s="5">
        <v>44691</v>
      </c>
      <c r="B71" s="7" t="s">
        <v>28</v>
      </c>
      <c r="C71">
        <v>2163</v>
      </c>
      <c r="D71" t="s">
        <v>6</v>
      </c>
      <c r="E71" t="str">
        <f>IF(may[[#This Row],[ShiftCounter]]&gt;0, "Running", "Down")</f>
        <v>Running</v>
      </c>
    </row>
    <row r="72" spans="1:5" x14ac:dyDescent="0.25">
      <c r="A72" s="5">
        <v>44691</v>
      </c>
      <c r="B72" s="7" t="s">
        <v>28</v>
      </c>
      <c r="C72">
        <v>2195</v>
      </c>
      <c r="D72" t="s">
        <v>7</v>
      </c>
      <c r="E72" t="str">
        <f>IF(may[[#This Row],[ShiftCounter]]&gt;0, "Running", "Down")</f>
        <v>Running</v>
      </c>
    </row>
    <row r="73" spans="1:5" x14ac:dyDescent="0.25">
      <c r="A73" s="5">
        <v>44691</v>
      </c>
      <c r="B73" s="7" t="s">
        <v>28</v>
      </c>
      <c r="C73">
        <v>1899</v>
      </c>
      <c r="D73" t="s">
        <v>8</v>
      </c>
      <c r="E73" t="str">
        <f>IF(may[[#This Row],[ShiftCounter]]&gt;0, "Running", "Down")</f>
        <v>Running</v>
      </c>
    </row>
    <row r="74" spans="1:5" x14ac:dyDescent="0.25">
      <c r="A74" s="5">
        <v>44691</v>
      </c>
      <c r="B74" s="7" t="s">
        <v>29</v>
      </c>
      <c r="C74">
        <v>2021</v>
      </c>
      <c r="D74" t="s">
        <v>6</v>
      </c>
      <c r="E74" t="str">
        <f>IF(may[[#This Row],[ShiftCounter]]&gt;0, "Running", "Down")</f>
        <v>Running</v>
      </c>
    </row>
    <row r="75" spans="1:5" x14ac:dyDescent="0.25">
      <c r="A75" s="5">
        <v>44691</v>
      </c>
      <c r="B75" s="7" t="s">
        <v>29</v>
      </c>
      <c r="C75">
        <v>1988</v>
      </c>
      <c r="D75" t="s">
        <v>7</v>
      </c>
      <c r="E75" t="str">
        <f>IF(may[[#This Row],[ShiftCounter]]&gt;0, "Running", "Down")</f>
        <v>Running</v>
      </c>
    </row>
    <row r="76" spans="1:5" x14ac:dyDescent="0.25">
      <c r="A76" s="5">
        <v>44691</v>
      </c>
      <c r="B76" s="7" t="s">
        <v>29</v>
      </c>
      <c r="C76">
        <v>1767</v>
      </c>
      <c r="D76" t="s">
        <v>8</v>
      </c>
      <c r="E76" t="str">
        <f>IF(may[[#This Row],[ShiftCounter]]&gt;0, "Running", "Down")</f>
        <v>Running</v>
      </c>
    </row>
    <row r="77" spans="1:5" x14ac:dyDescent="0.25">
      <c r="A77" s="5">
        <v>44691</v>
      </c>
      <c r="B77" s="7" t="s">
        <v>30</v>
      </c>
      <c r="C77">
        <v>2175</v>
      </c>
      <c r="D77" t="s">
        <v>6</v>
      </c>
      <c r="E77" t="str">
        <f>IF(may[[#This Row],[ShiftCounter]]&gt;0, "Running", "Down")</f>
        <v>Running</v>
      </c>
    </row>
    <row r="78" spans="1:5" x14ac:dyDescent="0.25">
      <c r="A78" s="5">
        <v>44691</v>
      </c>
      <c r="B78" s="7" t="s">
        <v>30</v>
      </c>
      <c r="C78">
        <v>2268</v>
      </c>
      <c r="D78" t="s">
        <v>7</v>
      </c>
      <c r="E78" t="str">
        <f>IF(may[[#This Row],[ShiftCounter]]&gt;0, "Running", "Down")</f>
        <v>Running</v>
      </c>
    </row>
    <row r="79" spans="1:5" x14ac:dyDescent="0.25">
      <c r="A79" s="5">
        <v>44691</v>
      </c>
      <c r="B79" s="7" t="s">
        <v>30</v>
      </c>
      <c r="C79">
        <v>2010</v>
      </c>
      <c r="D79" t="s">
        <v>8</v>
      </c>
      <c r="E79" t="str">
        <f>IF(may[[#This Row],[ShiftCounter]]&gt;0, "Running", "Down")</f>
        <v>Running</v>
      </c>
    </row>
    <row r="80" spans="1:5" x14ac:dyDescent="0.25">
      <c r="A80" s="5">
        <v>44691</v>
      </c>
      <c r="B80" s="7" t="s">
        <v>31</v>
      </c>
      <c r="C80">
        <v>2205</v>
      </c>
      <c r="D80" t="s">
        <v>6</v>
      </c>
      <c r="E80" t="str">
        <f>IF(may[[#This Row],[ShiftCounter]]&gt;0, "Running", "Down")</f>
        <v>Running</v>
      </c>
    </row>
    <row r="81" spans="1:5" x14ac:dyDescent="0.25">
      <c r="A81" s="5">
        <v>44691</v>
      </c>
      <c r="B81" s="7" t="s">
        <v>31</v>
      </c>
      <c r="C81">
        <v>2083</v>
      </c>
      <c r="D81" t="s">
        <v>7</v>
      </c>
      <c r="E81" t="str">
        <f>IF(may[[#This Row],[ShiftCounter]]&gt;0, "Running", "Down")</f>
        <v>Running</v>
      </c>
    </row>
    <row r="82" spans="1:5" x14ac:dyDescent="0.25">
      <c r="A82" s="5">
        <v>44691</v>
      </c>
      <c r="B82" s="7" t="s">
        <v>31</v>
      </c>
      <c r="C82">
        <v>1950</v>
      </c>
      <c r="D82" t="s">
        <v>8</v>
      </c>
      <c r="E82" t="str">
        <f>IF(may[[#This Row],[ShiftCounter]]&gt;0, "Running", "Down")</f>
        <v>Running</v>
      </c>
    </row>
    <row r="83" spans="1:5" x14ac:dyDescent="0.25">
      <c r="A83" s="5">
        <v>44691</v>
      </c>
      <c r="B83" s="7" t="s">
        <v>32</v>
      </c>
      <c r="C83">
        <v>2430</v>
      </c>
      <c r="D83" t="s">
        <v>6</v>
      </c>
      <c r="E83" t="str">
        <f>IF(may[[#This Row],[ShiftCounter]]&gt;0, "Running", "Down")</f>
        <v>Running</v>
      </c>
    </row>
    <row r="84" spans="1:5" x14ac:dyDescent="0.25">
      <c r="A84" s="5">
        <v>44691</v>
      </c>
      <c r="B84" s="7" t="s">
        <v>32</v>
      </c>
      <c r="C84">
        <v>2398</v>
      </c>
      <c r="D84" t="s">
        <v>7</v>
      </c>
      <c r="E84" t="str">
        <f>IF(may[[#This Row],[ShiftCounter]]&gt;0, "Running", "Down")</f>
        <v>Running</v>
      </c>
    </row>
    <row r="85" spans="1:5" x14ac:dyDescent="0.25">
      <c r="A85" s="5">
        <v>44691</v>
      </c>
      <c r="B85" s="7" t="s">
        <v>32</v>
      </c>
      <c r="C85">
        <v>2046</v>
      </c>
      <c r="D85" t="s">
        <v>8</v>
      </c>
      <c r="E85" t="str">
        <f>IF(may[[#This Row],[ShiftCounter]]&gt;0, "Running", "Down")</f>
        <v>Running</v>
      </c>
    </row>
    <row r="86" spans="1:5" x14ac:dyDescent="0.25">
      <c r="A86" s="5">
        <v>44691</v>
      </c>
      <c r="B86" s="7" t="s">
        <v>33</v>
      </c>
      <c r="C86">
        <v>2453</v>
      </c>
      <c r="D86" t="s">
        <v>6</v>
      </c>
      <c r="E86" t="str">
        <f>IF(may[[#This Row],[ShiftCounter]]&gt;0, "Running", "Down")</f>
        <v>Running</v>
      </c>
    </row>
    <row r="87" spans="1:5" x14ac:dyDescent="0.25">
      <c r="A87" s="5">
        <v>44691</v>
      </c>
      <c r="B87" s="7" t="s">
        <v>33</v>
      </c>
      <c r="C87">
        <v>2396</v>
      </c>
      <c r="D87" t="s">
        <v>7</v>
      </c>
      <c r="E87" t="str">
        <f>IF(may[[#This Row],[ShiftCounter]]&gt;0, "Running", "Down")</f>
        <v>Running</v>
      </c>
    </row>
    <row r="88" spans="1:5" x14ac:dyDescent="0.25">
      <c r="A88" s="5">
        <v>44691</v>
      </c>
      <c r="B88" s="7" t="s">
        <v>33</v>
      </c>
      <c r="C88">
        <v>2164</v>
      </c>
      <c r="D88" t="s">
        <v>8</v>
      </c>
      <c r="E88" t="str">
        <f>IF(may[[#This Row],[ShiftCounter]]&gt;0, "Running", "Down")</f>
        <v>Running</v>
      </c>
    </row>
    <row r="89" spans="1:5" x14ac:dyDescent="0.25">
      <c r="A89" s="5">
        <v>44691</v>
      </c>
      <c r="B89" s="7" t="s">
        <v>34</v>
      </c>
      <c r="C89">
        <v>2112</v>
      </c>
      <c r="D89" t="s">
        <v>6</v>
      </c>
      <c r="E89" t="str">
        <f>IF(may[[#This Row],[ShiftCounter]]&gt;0, "Running", "Down")</f>
        <v>Running</v>
      </c>
    </row>
    <row r="90" spans="1:5" x14ac:dyDescent="0.25">
      <c r="A90" s="5">
        <v>44691</v>
      </c>
      <c r="B90" s="7" t="s">
        <v>34</v>
      </c>
      <c r="C90">
        <v>1995</v>
      </c>
      <c r="D90" t="s">
        <v>7</v>
      </c>
      <c r="E90" t="str">
        <f>IF(may[[#This Row],[ShiftCounter]]&gt;0, "Running", "Down")</f>
        <v>Running</v>
      </c>
    </row>
    <row r="91" spans="1:5" x14ac:dyDescent="0.25">
      <c r="A91" s="5">
        <v>44691</v>
      </c>
      <c r="B91" s="7" t="s">
        <v>34</v>
      </c>
      <c r="C91">
        <v>1841</v>
      </c>
      <c r="D91" t="s">
        <v>8</v>
      </c>
      <c r="E91" t="str">
        <f>IF(may[[#This Row],[ShiftCounter]]&gt;0, "Running", "Down")</f>
        <v>Running</v>
      </c>
    </row>
    <row r="92" spans="1:5" x14ac:dyDescent="0.25">
      <c r="A92" s="5">
        <v>44691</v>
      </c>
      <c r="B92" s="7" t="s">
        <v>35</v>
      </c>
      <c r="C92">
        <v>2636</v>
      </c>
      <c r="D92" t="s">
        <v>6</v>
      </c>
      <c r="E92" t="str">
        <f>IF(may[[#This Row],[ShiftCounter]]&gt;0, "Running", "Down")</f>
        <v>Running</v>
      </c>
    </row>
    <row r="93" spans="1:5" x14ac:dyDescent="0.25">
      <c r="A93" s="5">
        <v>44691</v>
      </c>
      <c r="B93" s="7" t="s">
        <v>35</v>
      </c>
      <c r="C93">
        <v>2471</v>
      </c>
      <c r="D93" t="s">
        <v>7</v>
      </c>
      <c r="E93" t="str">
        <f>IF(may[[#This Row],[ShiftCounter]]&gt;0, "Running", "Down")</f>
        <v>Running</v>
      </c>
    </row>
    <row r="94" spans="1:5" x14ac:dyDescent="0.25">
      <c r="A94" s="5">
        <v>44691</v>
      </c>
      <c r="B94" s="7" t="s">
        <v>35</v>
      </c>
      <c r="C94">
        <v>2382</v>
      </c>
      <c r="D94" t="s">
        <v>8</v>
      </c>
      <c r="E94" t="str">
        <f>IF(may[[#This Row],[ShiftCounter]]&gt;0, "Running", "Down")</f>
        <v>Running</v>
      </c>
    </row>
    <row r="95" spans="1:5" x14ac:dyDescent="0.25">
      <c r="A95" s="5">
        <v>44691</v>
      </c>
      <c r="B95" s="7" t="s">
        <v>36</v>
      </c>
      <c r="C95">
        <v>2259</v>
      </c>
      <c r="D95" t="s">
        <v>6</v>
      </c>
      <c r="E95" t="str">
        <f>IF(may[[#This Row],[ShiftCounter]]&gt;0, "Running", "Down")</f>
        <v>Running</v>
      </c>
    </row>
    <row r="96" spans="1:5" x14ac:dyDescent="0.25">
      <c r="A96" s="5">
        <v>44691</v>
      </c>
      <c r="B96" s="7" t="s">
        <v>36</v>
      </c>
      <c r="C96">
        <v>2214</v>
      </c>
      <c r="D96" t="s">
        <v>7</v>
      </c>
      <c r="E96" t="str">
        <f>IF(may[[#This Row],[ShiftCounter]]&gt;0, "Running", "Down")</f>
        <v>Running</v>
      </c>
    </row>
    <row r="97" spans="1:5" x14ac:dyDescent="0.25">
      <c r="A97" s="5">
        <v>44691</v>
      </c>
      <c r="B97" s="7" t="s">
        <v>36</v>
      </c>
      <c r="C97">
        <v>2143</v>
      </c>
      <c r="D97" t="s">
        <v>8</v>
      </c>
      <c r="E97" t="str">
        <f>IF(may[[#This Row],[ShiftCounter]]&gt;0, "Running", "Down")</f>
        <v>Running</v>
      </c>
    </row>
    <row r="98" spans="1:5" x14ac:dyDescent="0.25">
      <c r="A98" s="5">
        <v>44691</v>
      </c>
      <c r="B98" s="7" t="s">
        <v>37</v>
      </c>
      <c r="C98">
        <v>2452</v>
      </c>
      <c r="D98" t="s">
        <v>6</v>
      </c>
      <c r="E98" t="str">
        <f>IF(may[[#This Row],[ShiftCounter]]&gt;0, "Running", "Down")</f>
        <v>Running</v>
      </c>
    </row>
    <row r="99" spans="1:5" x14ac:dyDescent="0.25">
      <c r="A99" s="5">
        <v>44691</v>
      </c>
      <c r="B99" s="7" t="s">
        <v>37</v>
      </c>
      <c r="C99">
        <v>2074</v>
      </c>
      <c r="D99" t="s">
        <v>7</v>
      </c>
      <c r="E99" t="str">
        <f>IF(may[[#This Row],[ShiftCounter]]&gt;0, "Running", "Down")</f>
        <v>Running</v>
      </c>
    </row>
    <row r="100" spans="1:5" x14ac:dyDescent="0.25">
      <c r="A100" s="5">
        <v>44691</v>
      </c>
      <c r="B100" s="7" t="s">
        <v>37</v>
      </c>
      <c r="C100">
        <v>2088</v>
      </c>
      <c r="D100" t="s">
        <v>8</v>
      </c>
      <c r="E100" t="str">
        <f>IF(may[[#This Row],[ShiftCounter]]&gt;0, "Running", "Down")</f>
        <v>Running</v>
      </c>
    </row>
    <row r="101" spans="1:5" x14ac:dyDescent="0.25">
      <c r="A101" s="2">
        <v>44690</v>
      </c>
      <c r="B101" s="6" t="s">
        <v>39</v>
      </c>
      <c r="C101">
        <v>2021</v>
      </c>
      <c r="D101" t="s">
        <v>6</v>
      </c>
      <c r="E101" t="str">
        <f>IF(may[[#This Row],[ShiftCounter]]&gt;0, "Running", "Down")</f>
        <v>Running</v>
      </c>
    </row>
    <row r="102" spans="1:5" x14ac:dyDescent="0.25">
      <c r="A102" s="2">
        <v>44690</v>
      </c>
      <c r="B102" s="6" t="s">
        <v>39</v>
      </c>
      <c r="C102">
        <v>1986</v>
      </c>
      <c r="D102" t="s">
        <v>7</v>
      </c>
      <c r="E102" t="str">
        <f>IF(may[[#This Row],[ShiftCounter]]&gt;0, "Running", "Down")</f>
        <v>Running</v>
      </c>
    </row>
    <row r="103" spans="1:5" x14ac:dyDescent="0.25">
      <c r="A103" s="2">
        <v>44690</v>
      </c>
      <c r="B103" s="6" t="s">
        <v>39</v>
      </c>
      <c r="C103">
        <v>1750</v>
      </c>
      <c r="D103" t="s">
        <v>8</v>
      </c>
      <c r="E103" t="str">
        <f>IF(may[[#This Row],[ShiftCounter]]&gt;0, "Running", "Down")</f>
        <v>Running</v>
      </c>
    </row>
    <row r="104" spans="1:5" x14ac:dyDescent="0.25">
      <c r="A104" s="2">
        <v>44690</v>
      </c>
      <c r="B104" s="7" t="s">
        <v>40</v>
      </c>
      <c r="C104">
        <v>2309</v>
      </c>
      <c r="D104" t="s">
        <v>6</v>
      </c>
      <c r="E104" t="str">
        <f>IF(may[[#This Row],[ShiftCounter]]&gt;0, "Running", "Down")</f>
        <v>Running</v>
      </c>
    </row>
    <row r="105" spans="1:5" x14ac:dyDescent="0.25">
      <c r="A105" s="2">
        <v>44690</v>
      </c>
      <c r="B105" s="7" t="s">
        <v>40</v>
      </c>
      <c r="C105">
        <v>2266</v>
      </c>
      <c r="D105" t="s">
        <v>7</v>
      </c>
      <c r="E105" t="str">
        <f>IF(may[[#This Row],[ShiftCounter]]&gt;0, "Running", "Down")</f>
        <v>Running</v>
      </c>
    </row>
    <row r="106" spans="1:5" x14ac:dyDescent="0.25">
      <c r="A106" s="2">
        <v>44690</v>
      </c>
      <c r="B106" s="7" t="s">
        <v>40</v>
      </c>
      <c r="C106">
        <v>2009</v>
      </c>
      <c r="D106" t="s">
        <v>8</v>
      </c>
      <c r="E106" t="str">
        <f>IF(may[[#This Row],[ShiftCounter]]&gt;0, "Running", "Down")</f>
        <v>Running</v>
      </c>
    </row>
    <row r="107" spans="1:5" x14ac:dyDescent="0.25">
      <c r="A107" s="2">
        <v>44690</v>
      </c>
      <c r="B107" s="6" t="s">
        <v>41</v>
      </c>
      <c r="C107">
        <v>2449</v>
      </c>
      <c r="D107" t="s">
        <v>6</v>
      </c>
      <c r="E107" t="str">
        <f>IF(may[[#This Row],[ShiftCounter]]&gt;0, "Running", "Down")</f>
        <v>Running</v>
      </c>
    </row>
    <row r="108" spans="1:5" x14ac:dyDescent="0.25">
      <c r="A108" s="2">
        <v>44690</v>
      </c>
      <c r="B108" s="6" t="s">
        <v>41</v>
      </c>
      <c r="C108">
        <v>3382</v>
      </c>
      <c r="D108" t="s">
        <v>7</v>
      </c>
      <c r="E108" t="str">
        <f>IF(may[[#This Row],[ShiftCounter]]&gt;0, "Running", "Down")</f>
        <v>Running</v>
      </c>
    </row>
    <row r="109" spans="1:5" x14ac:dyDescent="0.25">
      <c r="A109" s="2">
        <v>44690</v>
      </c>
      <c r="B109" s="6" t="s">
        <v>41</v>
      </c>
      <c r="C109">
        <v>2067</v>
      </c>
      <c r="D109" t="s">
        <v>8</v>
      </c>
      <c r="E109" t="str">
        <f>IF(may[[#This Row],[ShiftCounter]]&gt;0, "Running", "Down")</f>
        <v>Running</v>
      </c>
    </row>
    <row r="110" spans="1:5" x14ac:dyDescent="0.25">
      <c r="A110" s="2">
        <v>44690</v>
      </c>
      <c r="B110" s="3" t="s">
        <v>5</v>
      </c>
      <c r="C110">
        <v>2304</v>
      </c>
      <c r="D110" t="s">
        <v>6</v>
      </c>
      <c r="E110" t="str">
        <f>IF(may[[#This Row],[ShiftCounter]]&gt;0, "Running", "Down")</f>
        <v>Running</v>
      </c>
    </row>
    <row r="111" spans="1:5" x14ac:dyDescent="0.25">
      <c r="A111" s="2">
        <v>44690</v>
      </c>
      <c r="B111" s="3" t="s">
        <v>5</v>
      </c>
      <c r="C111">
        <v>2383</v>
      </c>
      <c r="D111" t="s">
        <v>7</v>
      </c>
      <c r="E111" t="str">
        <f>IF(may[[#This Row],[ShiftCounter]]&gt;0, "Running", "Down")</f>
        <v>Running</v>
      </c>
    </row>
    <row r="112" spans="1:5" x14ac:dyDescent="0.25">
      <c r="A112" s="2">
        <v>44690</v>
      </c>
      <c r="B112" s="3" t="s">
        <v>5</v>
      </c>
      <c r="C112">
        <v>2067</v>
      </c>
      <c r="D112" t="s">
        <v>8</v>
      </c>
      <c r="E112" t="str">
        <f>IF(may[[#This Row],[ShiftCounter]]&gt;0, "Running", "Down")</f>
        <v>Running</v>
      </c>
    </row>
    <row r="113" spans="1:5" x14ac:dyDescent="0.25">
      <c r="A113" s="2">
        <v>44690</v>
      </c>
      <c r="B113" s="3" t="s">
        <v>9</v>
      </c>
      <c r="C113">
        <v>1438</v>
      </c>
      <c r="D113" t="s">
        <v>6</v>
      </c>
      <c r="E113" t="str">
        <f>IF(may[[#This Row],[ShiftCounter]]&gt;0, "Running", "Down")</f>
        <v>Running</v>
      </c>
    </row>
    <row r="114" spans="1:5" x14ac:dyDescent="0.25">
      <c r="A114" s="2">
        <v>44690</v>
      </c>
      <c r="B114" s="3" t="s">
        <v>9</v>
      </c>
      <c r="C114">
        <v>1046</v>
      </c>
      <c r="D114" t="s">
        <v>7</v>
      </c>
      <c r="E114" t="str">
        <f>IF(may[[#This Row],[ShiftCounter]]&gt;0, "Running", "Down")</f>
        <v>Running</v>
      </c>
    </row>
    <row r="115" spans="1:5" x14ac:dyDescent="0.25">
      <c r="A115" s="2">
        <v>44690</v>
      </c>
      <c r="B115" s="3" t="s">
        <v>9</v>
      </c>
      <c r="C115">
        <v>0</v>
      </c>
      <c r="D115" t="s">
        <v>8</v>
      </c>
      <c r="E115" t="str">
        <f>IF(may[[#This Row],[ShiftCounter]]&gt;0, "Running", "Down")</f>
        <v>Down</v>
      </c>
    </row>
    <row r="116" spans="1:5" x14ac:dyDescent="0.25">
      <c r="A116" s="2">
        <v>44690</v>
      </c>
      <c r="B116" s="3" t="s">
        <v>10</v>
      </c>
      <c r="C116">
        <v>2327</v>
      </c>
      <c r="D116" t="s">
        <v>6</v>
      </c>
      <c r="E116" t="str">
        <f>IF(may[[#This Row],[ShiftCounter]]&gt;0, "Running", "Down")</f>
        <v>Running</v>
      </c>
    </row>
    <row r="117" spans="1:5" x14ac:dyDescent="0.25">
      <c r="A117" s="2">
        <v>44690</v>
      </c>
      <c r="B117" s="3" t="s">
        <v>10</v>
      </c>
      <c r="C117">
        <v>2262</v>
      </c>
      <c r="D117" t="s">
        <v>7</v>
      </c>
      <c r="E117" t="str">
        <f>IF(may[[#This Row],[ShiftCounter]]&gt;0, "Running", "Down")</f>
        <v>Running</v>
      </c>
    </row>
    <row r="118" spans="1:5" x14ac:dyDescent="0.25">
      <c r="A118" s="2">
        <v>44690</v>
      </c>
      <c r="B118" s="3" t="s">
        <v>10</v>
      </c>
      <c r="C118">
        <v>1988</v>
      </c>
      <c r="D118" t="s">
        <v>8</v>
      </c>
      <c r="E118" t="str">
        <f>IF(may[[#This Row],[ShiftCounter]]&gt;0, "Running", "Down")</f>
        <v>Running</v>
      </c>
    </row>
    <row r="119" spans="1:5" x14ac:dyDescent="0.25">
      <c r="A119" s="2">
        <v>44690</v>
      </c>
      <c r="B119" s="3" t="s">
        <v>11</v>
      </c>
      <c r="C119">
        <v>2421</v>
      </c>
      <c r="D119" t="s">
        <v>6</v>
      </c>
      <c r="E119" t="str">
        <f>IF(may[[#This Row],[ShiftCounter]]&gt;0, "Running", "Down")</f>
        <v>Running</v>
      </c>
    </row>
    <row r="120" spans="1:5" x14ac:dyDescent="0.25">
      <c r="A120" s="2">
        <v>44690</v>
      </c>
      <c r="B120" s="3" t="s">
        <v>11</v>
      </c>
      <c r="C120">
        <v>2366</v>
      </c>
      <c r="D120" t="s">
        <v>7</v>
      </c>
      <c r="E120" t="str">
        <f>IF(may[[#This Row],[ShiftCounter]]&gt;0, "Running", "Down")</f>
        <v>Running</v>
      </c>
    </row>
    <row r="121" spans="1:5" x14ac:dyDescent="0.25">
      <c r="A121" s="2">
        <v>44690</v>
      </c>
      <c r="B121" s="3" t="s">
        <v>11</v>
      </c>
      <c r="C121">
        <v>2076</v>
      </c>
      <c r="D121" t="s">
        <v>8</v>
      </c>
      <c r="E121" t="str">
        <f>IF(may[[#This Row],[ShiftCounter]]&gt;0, "Running", "Down")</f>
        <v>Running</v>
      </c>
    </row>
    <row r="122" spans="1:5" x14ac:dyDescent="0.25">
      <c r="A122" s="2">
        <v>44690</v>
      </c>
      <c r="B122" s="3" t="s">
        <v>12</v>
      </c>
      <c r="C122">
        <v>2193</v>
      </c>
      <c r="D122" t="s">
        <v>6</v>
      </c>
      <c r="E122" t="str">
        <f>IF(may[[#This Row],[ShiftCounter]]&gt;0, "Running", "Down")</f>
        <v>Running</v>
      </c>
    </row>
    <row r="123" spans="1:5" x14ac:dyDescent="0.25">
      <c r="A123" s="2">
        <v>44690</v>
      </c>
      <c r="B123" s="3" t="s">
        <v>12</v>
      </c>
      <c r="C123">
        <v>2233</v>
      </c>
      <c r="D123" t="s">
        <v>7</v>
      </c>
      <c r="E123" t="str">
        <f>IF(may[[#This Row],[ShiftCounter]]&gt;0, "Running", "Down")</f>
        <v>Running</v>
      </c>
    </row>
    <row r="124" spans="1:5" x14ac:dyDescent="0.25">
      <c r="A124" s="2">
        <v>44690</v>
      </c>
      <c r="B124" s="3" t="s">
        <v>12</v>
      </c>
      <c r="C124">
        <v>1876</v>
      </c>
      <c r="D124" t="s">
        <v>8</v>
      </c>
      <c r="E124" t="str">
        <f>IF(may[[#This Row],[ShiftCounter]]&gt;0, "Running", "Down")</f>
        <v>Running</v>
      </c>
    </row>
    <row r="125" spans="1:5" x14ac:dyDescent="0.25">
      <c r="A125" s="2">
        <v>44690</v>
      </c>
      <c r="B125" s="3" t="s">
        <v>13</v>
      </c>
      <c r="C125">
        <v>2417</v>
      </c>
      <c r="D125" t="s">
        <v>6</v>
      </c>
      <c r="E125" t="str">
        <f>IF(may[[#This Row],[ShiftCounter]]&gt;0, "Running", "Down")</f>
        <v>Running</v>
      </c>
    </row>
    <row r="126" spans="1:5" x14ac:dyDescent="0.25">
      <c r="A126" s="2">
        <v>44690</v>
      </c>
      <c r="B126" s="3" t="s">
        <v>13</v>
      </c>
      <c r="C126">
        <v>2248</v>
      </c>
      <c r="D126" t="s">
        <v>7</v>
      </c>
      <c r="E126" t="str">
        <f>IF(may[[#This Row],[ShiftCounter]]&gt;0, "Running", "Down")</f>
        <v>Running</v>
      </c>
    </row>
    <row r="127" spans="1:5" x14ac:dyDescent="0.25">
      <c r="A127" s="2">
        <v>44690</v>
      </c>
      <c r="B127" s="3" t="s">
        <v>13</v>
      </c>
      <c r="C127">
        <v>2071</v>
      </c>
      <c r="D127" t="s">
        <v>8</v>
      </c>
      <c r="E127" t="str">
        <f>IF(may[[#This Row],[ShiftCounter]]&gt;0, "Running", "Down")</f>
        <v>Running</v>
      </c>
    </row>
    <row r="128" spans="1:5" x14ac:dyDescent="0.25">
      <c r="A128" s="2">
        <v>44690</v>
      </c>
      <c r="B128" s="3" t="s">
        <v>14</v>
      </c>
      <c r="C128">
        <v>1947</v>
      </c>
      <c r="D128" t="s">
        <v>6</v>
      </c>
      <c r="E128" t="str">
        <f>IF(may[[#This Row],[ShiftCounter]]&gt;0, "Running", "Down")</f>
        <v>Running</v>
      </c>
    </row>
    <row r="129" spans="1:5" x14ac:dyDescent="0.25">
      <c r="A129" s="2">
        <v>44690</v>
      </c>
      <c r="B129" s="3" t="s">
        <v>14</v>
      </c>
      <c r="C129">
        <v>1772</v>
      </c>
      <c r="D129" t="s">
        <v>7</v>
      </c>
      <c r="E129" t="str">
        <f>IF(may[[#This Row],[ShiftCounter]]&gt;0, "Running", "Down")</f>
        <v>Running</v>
      </c>
    </row>
    <row r="130" spans="1:5" x14ac:dyDescent="0.25">
      <c r="A130" s="2">
        <v>44690</v>
      </c>
      <c r="B130" s="3" t="s">
        <v>14</v>
      </c>
      <c r="C130">
        <v>1635</v>
      </c>
      <c r="D130" t="s">
        <v>8</v>
      </c>
      <c r="E130" t="str">
        <f>IF(may[[#This Row],[ShiftCounter]]&gt;0, "Running", "Down")</f>
        <v>Running</v>
      </c>
    </row>
    <row r="131" spans="1:5" x14ac:dyDescent="0.25">
      <c r="A131" s="2">
        <v>44690</v>
      </c>
      <c r="B131" s="3" t="s">
        <v>15</v>
      </c>
      <c r="C131">
        <v>2237</v>
      </c>
      <c r="D131" t="s">
        <v>6</v>
      </c>
      <c r="E131" t="str">
        <f>IF(may[[#This Row],[ShiftCounter]]&gt;0, "Running", "Down")</f>
        <v>Running</v>
      </c>
    </row>
    <row r="132" spans="1:5" x14ac:dyDescent="0.25">
      <c r="A132" s="2">
        <v>44690</v>
      </c>
      <c r="B132" s="3" t="s">
        <v>15</v>
      </c>
      <c r="C132">
        <v>2058</v>
      </c>
      <c r="D132" t="s">
        <v>7</v>
      </c>
      <c r="E132" t="str">
        <f>IF(may[[#This Row],[ShiftCounter]]&gt;0, "Running", "Down")</f>
        <v>Running</v>
      </c>
    </row>
    <row r="133" spans="1:5" x14ac:dyDescent="0.25">
      <c r="A133" s="2">
        <v>44690</v>
      </c>
      <c r="B133" s="3" t="s">
        <v>15</v>
      </c>
      <c r="C133">
        <v>1898</v>
      </c>
      <c r="D133" t="s">
        <v>8</v>
      </c>
      <c r="E133" t="str">
        <f>IF(may[[#This Row],[ShiftCounter]]&gt;0, "Running", "Down")</f>
        <v>Running</v>
      </c>
    </row>
    <row r="134" spans="1:5" x14ac:dyDescent="0.25">
      <c r="A134" s="2">
        <v>44690</v>
      </c>
      <c r="B134" s="3" t="s">
        <v>16</v>
      </c>
      <c r="C134">
        <v>2495</v>
      </c>
      <c r="D134" t="s">
        <v>6</v>
      </c>
      <c r="E134" t="str">
        <f>IF(may[[#This Row],[ShiftCounter]]&gt;0, "Running", "Down")</f>
        <v>Running</v>
      </c>
    </row>
    <row r="135" spans="1:5" x14ac:dyDescent="0.25">
      <c r="A135" s="2">
        <v>44690</v>
      </c>
      <c r="B135" s="3" t="s">
        <v>16</v>
      </c>
      <c r="C135">
        <v>2308</v>
      </c>
      <c r="D135" t="s">
        <v>7</v>
      </c>
      <c r="E135" t="str">
        <f>IF(may[[#This Row],[ShiftCounter]]&gt;0, "Running", "Down")</f>
        <v>Running</v>
      </c>
    </row>
    <row r="136" spans="1:5" x14ac:dyDescent="0.25">
      <c r="A136" s="2">
        <v>44690</v>
      </c>
      <c r="B136" s="3" t="s">
        <v>16</v>
      </c>
      <c r="C136">
        <v>2141</v>
      </c>
      <c r="D136" t="s">
        <v>8</v>
      </c>
      <c r="E136" t="str">
        <f>IF(may[[#This Row],[ShiftCounter]]&gt;0, "Running", "Down")</f>
        <v>Running</v>
      </c>
    </row>
    <row r="137" spans="1:5" x14ac:dyDescent="0.25">
      <c r="A137" s="2">
        <v>44690</v>
      </c>
      <c r="B137" s="3" t="s">
        <v>17</v>
      </c>
      <c r="C137">
        <v>721</v>
      </c>
      <c r="D137" t="s">
        <v>6</v>
      </c>
      <c r="E137" t="str">
        <f>IF(may[[#This Row],[ShiftCounter]]&gt;0, "Running", "Down")</f>
        <v>Running</v>
      </c>
    </row>
    <row r="138" spans="1:5" x14ac:dyDescent="0.25">
      <c r="A138" s="2">
        <v>44690</v>
      </c>
      <c r="B138" s="3" t="s">
        <v>17</v>
      </c>
      <c r="C138">
        <v>2279</v>
      </c>
      <c r="D138" t="s">
        <v>7</v>
      </c>
      <c r="E138" t="str">
        <f>IF(may[[#This Row],[ShiftCounter]]&gt;0, "Running", "Down")</f>
        <v>Running</v>
      </c>
    </row>
    <row r="139" spans="1:5" x14ac:dyDescent="0.25">
      <c r="A139" s="2">
        <v>44690</v>
      </c>
      <c r="B139" s="3" t="s">
        <v>17</v>
      </c>
      <c r="C139">
        <v>2213</v>
      </c>
      <c r="D139" t="s">
        <v>8</v>
      </c>
      <c r="E139" t="str">
        <f>IF(may[[#This Row],[ShiftCounter]]&gt;0, "Running", "Down")</f>
        <v>Running</v>
      </c>
    </row>
    <row r="140" spans="1:5" x14ac:dyDescent="0.25">
      <c r="A140" s="2">
        <v>44690</v>
      </c>
      <c r="B140" s="3" t="s">
        <v>18</v>
      </c>
      <c r="C140">
        <v>2466</v>
      </c>
      <c r="D140" t="s">
        <v>6</v>
      </c>
      <c r="E140" t="str">
        <f>IF(may[[#This Row],[ShiftCounter]]&gt;0, "Running", "Down")</f>
        <v>Running</v>
      </c>
    </row>
    <row r="141" spans="1:5" x14ac:dyDescent="0.25">
      <c r="A141" s="2">
        <v>44690</v>
      </c>
      <c r="B141" s="3" t="s">
        <v>18</v>
      </c>
      <c r="C141">
        <v>2314</v>
      </c>
      <c r="D141" t="s">
        <v>7</v>
      </c>
      <c r="E141" t="str">
        <f>IF(may[[#This Row],[ShiftCounter]]&gt;0, "Running", "Down")</f>
        <v>Running</v>
      </c>
    </row>
    <row r="142" spans="1:5" x14ac:dyDescent="0.25">
      <c r="A142" s="2">
        <v>44690</v>
      </c>
      <c r="B142" s="3" t="s">
        <v>18</v>
      </c>
      <c r="C142">
        <v>2151</v>
      </c>
      <c r="D142" t="s">
        <v>8</v>
      </c>
      <c r="E142" t="str">
        <f>IF(may[[#This Row],[ShiftCounter]]&gt;0, "Running", "Down")</f>
        <v>Running</v>
      </c>
    </row>
    <row r="143" spans="1:5" x14ac:dyDescent="0.25">
      <c r="A143" s="2">
        <v>44690</v>
      </c>
      <c r="B143" s="3" t="s">
        <v>19</v>
      </c>
      <c r="C143">
        <v>1989</v>
      </c>
      <c r="D143" t="s">
        <v>6</v>
      </c>
      <c r="E143" t="str">
        <f>IF(may[[#This Row],[ShiftCounter]]&gt;0, "Running", "Down")</f>
        <v>Running</v>
      </c>
    </row>
    <row r="144" spans="1:5" x14ac:dyDescent="0.25">
      <c r="A144" s="2">
        <v>44690</v>
      </c>
      <c r="B144" s="3" t="s">
        <v>19</v>
      </c>
      <c r="C144">
        <v>1977</v>
      </c>
      <c r="D144" t="s">
        <v>7</v>
      </c>
      <c r="E144" t="str">
        <f>IF(may[[#This Row],[ShiftCounter]]&gt;0, "Running", "Down")</f>
        <v>Running</v>
      </c>
    </row>
    <row r="145" spans="1:5" x14ac:dyDescent="0.25">
      <c r="A145" s="2">
        <v>44690</v>
      </c>
      <c r="B145" s="3" t="s">
        <v>19</v>
      </c>
      <c r="C145">
        <v>1752</v>
      </c>
      <c r="D145" t="s">
        <v>8</v>
      </c>
      <c r="E145" t="str">
        <f>IF(may[[#This Row],[ShiftCounter]]&gt;0, "Running", "Down")</f>
        <v>Running</v>
      </c>
    </row>
    <row r="146" spans="1:5" x14ac:dyDescent="0.25">
      <c r="A146" s="2">
        <v>44690</v>
      </c>
      <c r="B146" s="3" t="s">
        <v>20</v>
      </c>
      <c r="C146">
        <v>2037</v>
      </c>
      <c r="D146" t="s">
        <v>6</v>
      </c>
      <c r="E146" t="str">
        <f>IF(may[[#This Row],[ShiftCounter]]&gt;0, "Running", "Down")</f>
        <v>Running</v>
      </c>
    </row>
    <row r="147" spans="1:5" x14ac:dyDescent="0.25">
      <c r="A147" s="2">
        <v>44690</v>
      </c>
      <c r="B147" s="3" t="s">
        <v>20</v>
      </c>
      <c r="C147">
        <v>2075</v>
      </c>
      <c r="D147" t="s">
        <v>7</v>
      </c>
      <c r="E147" t="str">
        <f>IF(may[[#This Row],[ShiftCounter]]&gt;0, "Running", "Down")</f>
        <v>Running</v>
      </c>
    </row>
    <row r="148" spans="1:5" x14ac:dyDescent="0.25">
      <c r="A148" s="2">
        <v>44690</v>
      </c>
      <c r="B148" s="3" t="s">
        <v>20</v>
      </c>
      <c r="C148">
        <v>1758</v>
      </c>
      <c r="D148" t="s">
        <v>8</v>
      </c>
      <c r="E148" t="str">
        <f>IF(may[[#This Row],[ShiftCounter]]&gt;0, "Running", "Down")</f>
        <v>Running</v>
      </c>
    </row>
    <row r="149" spans="1:5" x14ac:dyDescent="0.25">
      <c r="A149" s="2">
        <v>44690</v>
      </c>
      <c r="B149" s="3" t="s">
        <v>21</v>
      </c>
      <c r="C149">
        <v>2050</v>
      </c>
      <c r="D149" t="s">
        <v>6</v>
      </c>
      <c r="E149" t="str">
        <f>IF(may[[#This Row],[ShiftCounter]]&gt;0, "Running", "Down")</f>
        <v>Running</v>
      </c>
    </row>
    <row r="150" spans="1:5" x14ac:dyDescent="0.25">
      <c r="A150" s="2">
        <v>44690</v>
      </c>
      <c r="B150" s="3" t="s">
        <v>21</v>
      </c>
      <c r="C150">
        <v>2070</v>
      </c>
      <c r="D150" t="s">
        <v>7</v>
      </c>
      <c r="E150" t="str">
        <f>IF(may[[#This Row],[ShiftCounter]]&gt;0, "Running", "Down")</f>
        <v>Running</v>
      </c>
    </row>
    <row r="151" spans="1:5" x14ac:dyDescent="0.25">
      <c r="A151" s="2">
        <v>44690</v>
      </c>
      <c r="B151" s="3" t="s">
        <v>21</v>
      </c>
      <c r="C151">
        <v>1773</v>
      </c>
      <c r="D151" t="s">
        <v>8</v>
      </c>
      <c r="E151" t="str">
        <f>IF(may[[#This Row],[ShiftCounter]]&gt;0, "Running", "Down")</f>
        <v>Running</v>
      </c>
    </row>
    <row r="152" spans="1:5" x14ac:dyDescent="0.25">
      <c r="A152" s="2">
        <v>44690</v>
      </c>
      <c r="B152" s="3" t="s">
        <v>22</v>
      </c>
      <c r="C152">
        <v>1989</v>
      </c>
      <c r="D152" t="s">
        <v>6</v>
      </c>
      <c r="E152" t="str">
        <f>IF(may[[#This Row],[ShiftCounter]]&gt;0, "Running", "Down")</f>
        <v>Running</v>
      </c>
    </row>
    <row r="153" spans="1:5" x14ac:dyDescent="0.25">
      <c r="A153" s="2">
        <v>44690</v>
      </c>
      <c r="B153" s="3" t="s">
        <v>22</v>
      </c>
      <c r="C153">
        <v>1788</v>
      </c>
      <c r="D153" t="s">
        <v>7</v>
      </c>
      <c r="E153" t="str">
        <f>IF(may[[#This Row],[ShiftCounter]]&gt;0, "Running", "Down")</f>
        <v>Running</v>
      </c>
    </row>
    <row r="154" spans="1:5" x14ac:dyDescent="0.25">
      <c r="A154" s="2">
        <v>44690</v>
      </c>
      <c r="B154" s="3" t="s">
        <v>22</v>
      </c>
      <c r="C154">
        <v>1808</v>
      </c>
      <c r="D154" t="s">
        <v>8</v>
      </c>
      <c r="E154" t="str">
        <f>IF(may[[#This Row],[ShiftCounter]]&gt;0, "Running", "Down")</f>
        <v>Running</v>
      </c>
    </row>
    <row r="155" spans="1:5" x14ac:dyDescent="0.25">
      <c r="A155" s="2">
        <v>44690</v>
      </c>
      <c r="B155" s="3" t="s">
        <v>23</v>
      </c>
      <c r="C155">
        <v>1854</v>
      </c>
      <c r="D155" t="s">
        <v>6</v>
      </c>
      <c r="E155" t="str">
        <f>IF(may[[#This Row],[ShiftCounter]]&gt;0, "Running", "Down")</f>
        <v>Running</v>
      </c>
    </row>
    <row r="156" spans="1:5" x14ac:dyDescent="0.25">
      <c r="A156" s="2">
        <v>44690</v>
      </c>
      <c r="B156" s="3" t="s">
        <v>23</v>
      </c>
      <c r="C156">
        <v>2218</v>
      </c>
      <c r="D156" t="s">
        <v>7</v>
      </c>
      <c r="E156" t="str">
        <f>IF(may[[#This Row],[ShiftCounter]]&gt;0, "Running", "Down")</f>
        <v>Running</v>
      </c>
    </row>
    <row r="157" spans="1:5" x14ac:dyDescent="0.25">
      <c r="A157" s="2">
        <v>44690</v>
      </c>
      <c r="B157" s="3" t="s">
        <v>23</v>
      </c>
      <c r="C157">
        <v>1997</v>
      </c>
      <c r="D157" t="s">
        <v>8</v>
      </c>
      <c r="E157" t="str">
        <f>IF(may[[#This Row],[ShiftCounter]]&gt;0, "Running", "Down")</f>
        <v>Running</v>
      </c>
    </row>
    <row r="158" spans="1:5" x14ac:dyDescent="0.25">
      <c r="A158" s="2">
        <v>44690</v>
      </c>
      <c r="B158" s="3" t="s">
        <v>24</v>
      </c>
      <c r="C158">
        <v>2105</v>
      </c>
      <c r="D158" t="s">
        <v>6</v>
      </c>
      <c r="E158" t="str">
        <f>IF(may[[#This Row],[ShiftCounter]]&gt;0, "Running", "Down")</f>
        <v>Running</v>
      </c>
    </row>
    <row r="159" spans="1:5" x14ac:dyDescent="0.25">
      <c r="A159" s="2">
        <v>44690</v>
      </c>
      <c r="B159" s="3" t="s">
        <v>24</v>
      </c>
      <c r="C159">
        <v>2090</v>
      </c>
      <c r="D159" t="s">
        <v>7</v>
      </c>
      <c r="E159" t="str">
        <f>IF(may[[#This Row],[ShiftCounter]]&gt;0, "Running", "Down")</f>
        <v>Running</v>
      </c>
    </row>
    <row r="160" spans="1:5" x14ac:dyDescent="0.25">
      <c r="A160" s="2">
        <v>44690</v>
      </c>
      <c r="B160" s="3" t="s">
        <v>24</v>
      </c>
      <c r="C160">
        <v>1667</v>
      </c>
      <c r="D160" t="s">
        <v>8</v>
      </c>
      <c r="E160" t="str">
        <f>IF(may[[#This Row],[ShiftCounter]]&gt;0, "Running", "Down")</f>
        <v>Running</v>
      </c>
    </row>
    <row r="161" spans="1:5" x14ac:dyDescent="0.25">
      <c r="A161" s="2">
        <v>44690</v>
      </c>
      <c r="B161" s="3" t="s">
        <v>25</v>
      </c>
      <c r="C161">
        <v>2237</v>
      </c>
      <c r="D161" t="s">
        <v>6</v>
      </c>
      <c r="E161" t="str">
        <f>IF(may[[#This Row],[ShiftCounter]]&gt;0, "Running", "Down")</f>
        <v>Running</v>
      </c>
    </row>
    <row r="162" spans="1:5" x14ac:dyDescent="0.25">
      <c r="A162" s="2">
        <v>44690</v>
      </c>
      <c r="B162" s="3" t="s">
        <v>25</v>
      </c>
      <c r="C162">
        <v>2186</v>
      </c>
      <c r="D162" t="s">
        <v>7</v>
      </c>
      <c r="E162" t="str">
        <f>IF(may[[#This Row],[ShiftCounter]]&gt;0, "Running", "Down")</f>
        <v>Running</v>
      </c>
    </row>
    <row r="163" spans="1:5" x14ac:dyDescent="0.25">
      <c r="A163" s="2">
        <v>44690</v>
      </c>
      <c r="B163" s="3" t="s">
        <v>25</v>
      </c>
      <c r="C163">
        <v>1923</v>
      </c>
      <c r="D163" t="s">
        <v>8</v>
      </c>
      <c r="E163" t="str">
        <f>IF(may[[#This Row],[ShiftCounter]]&gt;0, "Running", "Down")</f>
        <v>Running</v>
      </c>
    </row>
    <row r="164" spans="1:5" x14ac:dyDescent="0.25">
      <c r="A164" s="2">
        <v>44690</v>
      </c>
      <c r="B164" s="3" t="s">
        <v>26</v>
      </c>
      <c r="C164">
        <v>2182</v>
      </c>
      <c r="D164" t="s">
        <v>6</v>
      </c>
      <c r="E164" t="str">
        <f>IF(may[[#This Row],[ShiftCounter]]&gt;0, "Running", "Down")</f>
        <v>Running</v>
      </c>
    </row>
    <row r="165" spans="1:5" x14ac:dyDescent="0.25">
      <c r="A165" s="2">
        <v>44690</v>
      </c>
      <c r="B165" s="3" t="s">
        <v>26</v>
      </c>
      <c r="C165">
        <v>2110</v>
      </c>
      <c r="D165" t="s">
        <v>7</v>
      </c>
      <c r="E165" t="str">
        <f>IF(may[[#This Row],[ShiftCounter]]&gt;0, "Running", "Down")</f>
        <v>Running</v>
      </c>
    </row>
    <row r="166" spans="1:5" x14ac:dyDescent="0.25">
      <c r="A166" s="2">
        <v>44690</v>
      </c>
      <c r="B166" s="3" t="s">
        <v>26</v>
      </c>
      <c r="C166">
        <v>1869</v>
      </c>
      <c r="D166" t="s">
        <v>8</v>
      </c>
      <c r="E166" t="str">
        <f>IF(may[[#This Row],[ShiftCounter]]&gt;0, "Running", "Down")</f>
        <v>Running</v>
      </c>
    </row>
    <row r="167" spans="1:5" x14ac:dyDescent="0.25">
      <c r="A167" s="2">
        <v>44690</v>
      </c>
      <c r="B167" s="3" t="s">
        <v>27</v>
      </c>
      <c r="C167">
        <v>2414</v>
      </c>
      <c r="D167" t="s">
        <v>6</v>
      </c>
      <c r="E167" t="str">
        <f>IF(may[[#This Row],[ShiftCounter]]&gt;0, "Running", "Down")</f>
        <v>Running</v>
      </c>
    </row>
    <row r="168" spans="1:5" x14ac:dyDescent="0.25">
      <c r="A168" s="2">
        <v>44690</v>
      </c>
      <c r="B168" s="3" t="s">
        <v>27</v>
      </c>
      <c r="C168">
        <v>2150</v>
      </c>
      <c r="D168" t="s">
        <v>7</v>
      </c>
      <c r="E168" t="str">
        <f>IF(may[[#This Row],[ShiftCounter]]&gt;0, "Running", "Down")</f>
        <v>Running</v>
      </c>
    </row>
    <row r="169" spans="1:5" x14ac:dyDescent="0.25">
      <c r="A169" s="2">
        <v>44690</v>
      </c>
      <c r="B169" s="3" t="s">
        <v>27</v>
      </c>
      <c r="C169">
        <v>2021</v>
      </c>
      <c r="D169" t="s">
        <v>8</v>
      </c>
      <c r="E169" t="str">
        <f>IF(may[[#This Row],[ShiftCounter]]&gt;0, "Running", "Down")</f>
        <v>Running</v>
      </c>
    </row>
    <row r="170" spans="1:5" x14ac:dyDescent="0.25">
      <c r="A170" s="2">
        <v>44690</v>
      </c>
      <c r="B170" s="3" t="s">
        <v>28</v>
      </c>
      <c r="C170">
        <v>2256</v>
      </c>
      <c r="D170" t="s">
        <v>6</v>
      </c>
      <c r="E170" t="str">
        <f>IF(may[[#This Row],[ShiftCounter]]&gt;0, "Running", "Down")</f>
        <v>Running</v>
      </c>
    </row>
    <row r="171" spans="1:5" x14ac:dyDescent="0.25">
      <c r="A171" s="2">
        <v>44690</v>
      </c>
      <c r="B171" s="3" t="s">
        <v>28</v>
      </c>
      <c r="C171">
        <v>2062</v>
      </c>
      <c r="D171" t="s">
        <v>7</v>
      </c>
      <c r="E171" t="str">
        <f>IF(may[[#This Row],[ShiftCounter]]&gt;0, "Running", "Down")</f>
        <v>Running</v>
      </c>
    </row>
    <row r="172" spans="1:5" x14ac:dyDescent="0.25">
      <c r="A172" s="2">
        <v>44690</v>
      </c>
      <c r="B172" s="3" t="s">
        <v>28</v>
      </c>
      <c r="C172">
        <v>1872</v>
      </c>
      <c r="D172" t="s">
        <v>8</v>
      </c>
      <c r="E172" t="str">
        <f>IF(may[[#This Row],[ShiftCounter]]&gt;0, "Running", "Down")</f>
        <v>Running</v>
      </c>
    </row>
    <row r="173" spans="1:5" x14ac:dyDescent="0.25">
      <c r="A173" s="2">
        <v>44690</v>
      </c>
      <c r="B173" s="3" t="s">
        <v>29</v>
      </c>
      <c r="C173">
        <v>1140</v>
      </c>
      <c r="D173" t="s">
        <v>6</v>
      </c>
      <c r="E173" t="str">
        <f>IF(may[[#This Row],[ShiftCounter]]&gt;0, "Running", "Down")</f>
        <v>Running</v>
      </c>
    </row>
    <row r="174" spans="1:5" x14ac:dyDescent="0.25">
      <c r="A174" s="2">
        <v>44690</v>
      </c>
      <c r="B174" s="3" t="s">
        <v>29</v>
      </c>
      <c r="C174">
        <v>1847</v>
      </c>
      <c r="D174" t="s">
        <v>7</v>
      </c>
      <c r="E174" t="str">
        <f>IF(may[[#This Row],[ShiftCounter]]&gt;0, "Running", "Down")</f>
        <v>Running</v>
      </c>
    </row>
    <row r="175" spans="1:5" x14ac:dyDescent="0.25">
      <c r="A175" s="2">
        <v>44690</v>
      </c>
      <c r="B175" s="3" t="s">
        <v>29</v>
      </c>
      <c r="C175">
        <v>1736</v>
      </c>
      <c r="D175" t="s">
        <v>8</v>
      </c>
      <c r="E175" t="str">
        <f>IF(may[[#This Row],[ShiftCounter]]&gt;0, "Running", "Down")</f>
        <v>Running</v>
      </c>
    </row>
    <row r="176" spans="1:5" x14ac:dyDescent="0.25">
      <c r="A176" s="2">
        <v>44690</v>
      </c>
      <c r="B176" s="3" t="s">
        <v>30</v>
      </c>
      <c r="C176">
        <v>2402</v>
      </c>
      <c r="D176" t="s">
        <v>6</v>
      </c>
      <c r="E176" t="str">
        <f>IF(may[[#This Row],[ShiftCounter]]&gt;0, "Running", "Down")</f>
        <v>Running</v>
      </c>
    </row>
    <row r="177" spans="1:5" x14ac:dyDescent="0.25">
      <c r="A177" s="2">
        <v>44690</v>
      </c>
      <c r="B177" s="3" t="s">
        <v>30</v>
      </c>
      <c r="C177">
        <v>2146</v>
      </c>
      <c r="D177" t="s">
        <v>7</v>
      </c>
      <c r="E177" t="str">
        <f>IF(may[[#This Row],[ShiftCounter]]&gt;0, "Running", "Down")</f>
        <v>Running</v>
      </c>
    </row>
    <row r="178" spans="1:5" x14ac:dyDescent="0.25">
      <c r="A178" s="2">
        <v>44690</v>
      </c>
      <c r="B178" s="3" t="s">
        <v>30</v>
      </c>
      <c r="C178">
        <v>2021</v>
      </c>
      <c r="D178" t="s">
        <v>8</v>
      </c>
      <c r="E178" t="str">
        <f>IF(may[[#This Row],[ShiftCounter]]&gt;0, "Running", "Down")</f>
        <v>Running</v>
      </c>
    </row>
    <row r="179" spans="1:5" x14ac:dyDescent="0.25">
      <c r="A179" s="2">
        <v>44690</v>
      </c>
      <c r="B179" s="3" t="s">
        <v>31</v>
      </c>
      <c r="C179">
        <v>2198</v>
      </c>
      <c r="D179" t="s">
        <v>6</v>
      </c>
      <c r="E179" t="str">
        <f>IF(may[[#This Row],[ShiftCounter]]&gt;0, "Running", "Down")</f>
        <v>Running</v>
      </c>
    </row>
    <row r="180" spans="1:5" x14ac:dyDescent="0.25">
      <c r="A180" s="2">
        <v>44690</v>
      </c>
      <c r="B180" s="3" t="s">
        <v>31</v>
      </c>
      <c r="C180">
        <v>2162</v>
      </c>
      <c r="D180" t="s">
        <v>7</v>
      </c>
      <c r="E180" t="str">
        <f>IF(may[[#This Row],[ShiftCounter]]&gt;0, "Running", "Down")</f>
        <v>Running</v>
      </c>
    </row>
    <row r="181" spans="1:5" x14ac:dyDescent="0.25">
      <c r="A181" s="2">
        <v>44690</v>
      </c>
      <c r="B181" s="3" t="s">
        <v>31</v>
      </c>
      <c r="C181">
        <v>1980</v>
      </c>
      <c r="D181" t="s">
        <v>8</v>
      </c>
      <c r="E181" t="str">
        <f>IF(may[[#This Row],[ShiftCounter]]&gt;0, "Running", "Down")</f>
        <v>Running</v>
      </c>
    </row>
    <row r="182" spans="1:5" x14ac:dyDescent="0.25">
      <c r="A182" s="2">
        <v>44690</v>
      </c>
      <c r="B182" s="3" t="s">
        <v>32</v>
      </c>
      <c r="C182">
        <v>2385</v>
      </c>
      <c r="D182" t="s">
        <v>6</v>
      </c>
      <c r="E182" t="str">
        <f>IF(may[[#This Row],[ShiftCounter]]&gt;0, "Running", "Down")</f>
        <v>Running</v>
      </c>
    </row>
    <row r="183" spans="1:5" x14ac:dyDescent="0.25">
      <c r="A183" s="2">
        <v>44690</v>
      </c>
      <c r="B183" s="3" t="s">
        <v>32</v>
      </c>
      <c r="C183">
        <v>2358</v>
      </c>
      <c r="D183" t="s">
        <v>7</v>
      </c>
      <c r="E183" t="str">
        <f>IF(may[[#This Row],[ShiftCounter]]&gt;0, "Running", "Down")</f>
        <v>Running</v>
      </c>
    </row>
    <row r="184" spans="1:5" x14ac:dyDescent="0.25">
      <c r="A184" s="2">
        <v>44690</v>
      </c>
      <c r="B184" s="3" t="s">
        <v>32</v>
      </c>
      <c r="C184">
        <v>2152</v>
      </c>
      <c r="D184" t="s">
        <v>8</v>
      </c>
      <c r="E184" t="str">
        <f>IF(may[[#This Row],[ShiftCounter]]&gt;0, "Running", "Down")</f>
        <v>Running</v>
      </c>
    </row>
    <row r="185" spans="1:5" x14ac:dyDescent="0.25">
      <c r="A185" s="2">
        <v>44690</v>
      </c>
      <c r="B185" s="3" t="s">
        <v>33</v>
      </c>
      <c r="C185">
        <v>2394</v>
      </c>
      <c r="D185" t="s">
        <v>6</v>
      </c>
      <c r="E185" t="str">
        <f>IF(may[[#This Row],[ShiftCounter]]&gt;0, "Running", "Down")</f>
        <v>Running</v>
      </c>
    </row>
    <row r="186" spans="1:5" x14ac:dyDescent="0.25">
      <c r="A186" s="2">
        <v>44690</v>
      </c>
      <c r="B186" s="3" t="s">
        <v>33</v>
      </c>
      <c r="C186">
        <v>2351</v>
      </c>
      <c r="D186" t="s">
        <v>7</v>
      </c>
      <c r="E186" t="str">
        <f>IF(may[[#This Row],[ShiftCounter]]&gt;0, "Running", "Down")</f>
        <v>Running</v>
      </c>
    </row>
    <row r="187" spans="1:5" x14ac:dyDescent="0.25">
      <c r="A187" s="2">
        <v>44690</v>
      </c>
      <c r="B187" s="3" t="s">
        <v>33</v>
      </c>
      <c r="C187">
        <v>2201</v>
      </c>
      <c r="D187" t="s">
        <v>8</v>
      </c>
      <c r="E187" t="str">
        <f>IF(may[[#This Row],[ShiftCounter]]&gt;0, "Running", "Down")</f>
        <v>Running</v>
      </c>
    </row>
    <row r="188" spans="1:5" x14ac:dyDescent="0.25">
      <c r="A188" s="2">
        <v>44690</v>
      </c>
      <c r="B188" s="3" t="s">
        <v>34</v>
      </c>
      <c r="C188">
        <v>2062</v>
      </c>
      <c r="D188" t="s">
        <v>6</v>
      </c>
      <c r="E188" t="str">
        <f>IF(may[[#This Row],[ShiftCounter]]&gt;0, "Running", "Down")</f>
        <v>Running</v>
      </c>
    </row>
    <row r="189" spans="1:5" x14ac:dyDescent="0.25">
      <c r="A189" s="2">
        <v>44690</v>
      </c>
      <c r="B189" s="3" t="s">
        <v>34</v>
      </c>
      <c r="C189">
        <v>2015</v>
      </c>
      <c r="D189" t="s">
        <v>7</v>
      </c>
      <c r="E189" t="str">
        <f>IF(may[[#This Row],[ShiftCounter]]&gt;0, "Running", "Down")</f>
        <v>Running</v>
      </c>
    </row>
    <row r="190" spans="1:5" x14ac:dyDescent="0.25">
      <c r="A190" s="2">
        <v>44690</v>
      </c>
      <c r="B190" s="3" t="s">
        <v>34</v>
      </c>
      <c r="C190">
        <v>1831</v>
      </c>
      <c r="D190" t="s">
        <v>8</v>
      </c>
      <c r="E190" t="str">
        <f>IF(may[[#This Row],[ShiftCounter]]&gt;0, "Running", "Down")</f>
        <v>Running</v>
      </c>
    </row>
    <row r="191" spans="1:5" x14ac:dyDescent="0.25">
      <c r="A191" s="2">
        <v>44690</v>
      </c>
      <c r="B191" s="3" t="s">
        <v>35</v>
      </c>
      <c r="C191">
        <v>2569</v>
      </c>
      <c r="D191" t="s">
        <v>6</v>
      </c>
      <c r="E191" t="str">
        <f>IF(may[[#This Row],[ShiftCounter]]&gt;0, "Running", "Down")</f>
        <v>Running</v>
      </c>
    </row>
    <row r="192" spans="1:5" x14ac:dyDescent="0.25">
      <c r="A192" s="2">
        <v>44690</v>
      </c>
      <c r="B192" s="3" t="s">
        <v>35</v>
      </c>
      <c r="C192">
        <v>2481</v>
      </c>
      <c r="D192" t="s">
        <v>7</v>
      </c>
      <c r="E192" t="str">
        <f>IF(may[[#This Row],[ShiftCounter]]&gt;0, "Running", "Down")</f>
        <v>Running</v>
      </c>
    </row>
    <row r="193" spans="1:5" x14ac:dyDescent="0.25">
      <c r="A193" s="2">
        <v>44690</v>
      </c>
      <c r="B193" s="3" t="s">
        <v>35</v>
      </c>
      <c r="C193">
        <v>2253</v>
      </c>
      <c r="D193" t="s">
        <v>8</v>
      </c>
      <c r="E193" t="str">
        <f>IF(may[[#This Row],[ShiftCounter]]&gt;0, "Running", "Down")</f>
        <v>Running</v>
      </c>
    </row>
    <row r="194" spans="1:5" x14ac:dyDescent="0.25">
      <c r="A194" s="2">
        <v>44690</v>
      </c>
      <c r="B194" s="3" t="s">
        <v>36</v>
      </c>
      <c r="C194">
        <v>2310</v>
      </c>
      <c r="D194" t="s">
        <v>6</v>
      </c>
      <c r="E194" t="str">
        <f>IF(may[[#This Row],[ShiftCounter]]&gt;0, "Running", "Down")</f>
        <v>Running</v>
      </c>
    </row>
    <row r="195" spans="1:5" x14ac:dyDescent="0.25">
      <c r="A195" s="2">
        <v>44690</v>
      </c>
      <c r="B195" s="3" t="s">
        <v>36</v>
      </c>
      <c r="C195">
        <v>2231</v>
      </c>
      <c r="D195" t="s">
        <v>7</v>
      </c>
      <c r="E195" t="str">
        <f>IF(may[[#This Row],[ShiftCounter]]&gt;0, "Running", "Down")</f>
        <v>Running</v>
      </c>
    </row>
    <row r="196" spans="1:5" x14ac:dyDescent="0.25">
      <c r="A196" s="2">
        <v>44690</v>
      </c>
      <c r="B196" s="3" t="s">
        <v>36</v>
      </c>
      <c r="C196">
        <v>2007</v>
      </c>
      <c r="D196" t="s">
        <v>8</v>
      </c>
      <c r="E196" t="str">
        <f>IF(may[[#This Row],[ShiftCounter]]&gt;0, "Running", "Down")</f>
        <v>Running</v>
      </c>
    </row>
    <row r="197" spans="1:5" x14ac:dyDescent="0.25">
      <c r="A197" s="2">
        <v>44690</v>
      </c>
      <c r="B197" s="3" t="s">
        <v>37</v>
      </c>
      <c r="C197">
        <v>2431</v>
      </c>
      <c r="D197" t="s">
        <v>6</v>
      </c>
      <c r="E197" t="str">
        <f>IF(may[[#This Row],[ShiftCounter]]&gt;0, "Running", "Down")</f>
        <v>Running</v>
      </c>
    </row>
    <row r="198" spans="1:5" x14ac:dyDescent="0.25">
      <c r="A198" s="2">
        <v>44690</v>
      </c>
      <c r="B198" s="3" t="s">
        <v>37</v>
      </c>
      <c r="C198">
        <v>2186</v>
      </c>
      <c r="D198" t="s">
        <v>7</v>
      </c>
      <c r="E198" t="str">
        <f>IF(may[[#This Row],[ShiftCounter]]&gt;0, "Running", "Down")</f>
        <v>Running</v>
      </c>
    </row>
    <row r="199" spans="1:5" x14ac:dyDescent="0.25">
      <c r="A199" s="2">
        <v>44690</v>
      </c>
      <c r="B199" s="3" t="s">
        <v>37</v>
      </c>
      <c r="C199">
        <v>2102</v>
      </c>
      <c r="D199" t="s">
        <v>8</v>
      </c>
      <c r="E199" t="str">
        <f>IF(may[[#This Row],[ShiftCounter]]&gt;0, "Running", "Down")</f>
        <v>Running</v>
      </c>
    </row>
    <row r="200" spans="1:5" x14ac:dyDescent="0.25">
      <c r="A200" s="2">
        <v>44689</v>
      </c>
      <c r="B200" s="4" t="s">
        <v>40</v>
      </c>
      <c r="C200">
        <v>2291</v>
      </c>
      <c r="D200" t="s">
        <v>6</v>
      </c>
      <c r="E200" t="str">
        <f>IF(may[[#This Row],[ShiftCounter]]&gt;0, "Running", "Down")</f>
        <v>Running</v>
      </c>
    </row>
    <row r="201" spans="1:5" x14ac:dyDescent="0.25">
      <c r="A201" s="2">
        <v>44689</v>
      </c>
      <c r="B201" s="4" t="s">
        <v>40</v>
      </c>
      <c r="C201">
        <v>2289</v>
      </c>
      <c r="D201" t="s">
        <v>7</v>
      </c>
      <c r="E201" t="str">
        <f>IF(may[[#This Row],[ShiftCounter]]&gt;0, "Running", "Down")</f>
        <v>Running</v>
      </c>
    </row>
    <row r="202" spans="1:5" x14ac:dyDescent="0.25">
      <c r="A202" s="2">
        <v>44689</v>
      </c>
      <c r="B202" s="4" t="s">
        <v>40</v>
      </c>
      <c r="C202">
        <v>2205</v>
      </c>
      <c r="D202" t="s">
        <v>8</v>
      </c>
      <c r="E202" t="str">
        <f>IF(may[[#This Row],[ShiftCounter]]&gt;0, "Running", "Down")</f>
        <v>Running</v>
      </c>
    </row>
    <row r="203" spans="1:5" x14ac:dyDescent="0.25">
      <c r="A203" s="2">
        <v>44689</v>
      </c>
      <c r="B203" s="4" t="s">
        <v>39</v>
      </c>
      <c r="C203">
        <v>2065</v>
      </c>
      <c r="D203" t="s">
        <v>6</v>
      </c>
      <c r="E203" t="str">
        <f>IF(may[[#This Row],[ShiftCounter]]&gt;0, "Running", "Down")</f>
        <v>Running</v>
      </c>
    </row>
    <row r="204" spans="1:5" x14ac:dyDescent="0.25">
      <c r="A204" s="2">
        <v>44689</v>
      </c>
      <c r="B204" s="4" t="s">
        <v>39</v>
      </c>
      <c r="C204">
        <v>2009</v>
      </c>
      <c r="D204" t="s">
        <v>7</v>
      </c>
      <c r="E204" t="str">
        <f>IF(may[[#This Row],[ShiftCounter]]&gt;0, "Running", "Down")</f>
        <v>Running</v>
      </c>
    </row>
    <row r="205" spans="1:5" x14ac:dyDescent="0.25">
      <c r="A205" s="2">
        <v>44689</v>
      </c>
      <c r="B205" s="4" t="s">
        <v>39</v>
      </c>
      <c r="C205">
        <v>1926</v>
      </c>
      <c r="D205" t="s">
        <v>8</v>
      </c>
      <c r="E205" t="str">
        <f>IF(may[[#This Row],[ShiftCounter]]&gt;0, "Running", "Down")</f>
        <v>Running</v>
      </c>
    </row>
    <row r="206" spans="1:5" x14ac:dyDescent="0.25">
      <c r="A206" s="2">
        <v>44689</v>
      </c>
      <c r="B206" s="4" t="s">
        <v>41</v>
      </c>
      <c r="C206">
        <v>2138</v>
      </c>
      <c r="D206" t="s">
        <v>6</v>
      </c>
      <c r="E206" t="str">
        <f>IF(may[[#This Row],[ShiftCounter]]&gt;0, "Running", "Down")</f>
        <v>Running</v>
      </c>
    </row>
    <row r="207" spans="1:5" x14ac:dyDescent="0.25">
      <c r="A207" s="2">
        <v>44689</v>
      </c>
      <c r="B207" s="4" t="s">
        <v>41</v>
      </c>
      <c r="C207">
        <v>2422</v>
      </c>
      <c r="D207" t="s">
        <v>7</v>
      </c>
      <c r="E207" t="str">
        <f>IF(may[[#This Row],[ShiftCounter]]&gt;0, "Running", "Down")</f>
        <v>Running</v>
      </c>
    </row>
    <row r="208" spans="1:5" x14ac:dyDescent="0.25">
      <c r="A208" s="2">
        <v>44689</v>
      </c>
      <c r="B208" s="4" t="s">
        <v>41</v>
      </c>
      <c r="C208">
        <v>426</v>
      </c>
      <c r="D208" t="s">
        <v>8</v>
      </c>
      <c r="E208" t="str">
        <f>IF(may[[#This Row],[ShiftCounter]]&gt;0, "Running", "Down")</f>
        <v>Running</v>
      </c>
    </row>
    <row r="209" spans="1:5" x14ac:dyDescent="0.25">
      <c r="A209" s="2">
        <v>44688</v>
      </c>
      <c r="B209" s="4" t="s">
        <v>5</v>
      </c>
      <c r="C209">
        <v>2375</v>
      </c>
      <c r="D209" t="s">
        <v>6</v>
      </c>
      <c r="E209" t="str">
        <f>IF(may[[#This Row],[ShiftCounter]]&gt;0, "Running", "Down")</f>
        <v>Running</v>
      </c>
    </row>
    <row r="210" spans="1:5" x14ac:dyDescent="0.25">
      <c r="A210" s="2">
        <v>44688</v>
      </c>
      <c r="B210" s="4" t="s">
        <v>5</v>
      </c>
      <c r="C210">
        <v>2465</v>
      </c>
      <c r="D210" t="s">
        <v>7</v>
      </c>
      <c r="E210" t="str">
        <f>IF(may[[#This Row],[ShiftCounter]]&gt;0, "Running", "Down")</f>
        <v>Running</v>
      </c>
    </row>
    <row r="211" spans="1:5" x14ac:dyDescent="0.25">
      <c r="A211" s="2">
        <v>44688</v>
      </c>
      <c r="B211" s="4" t="s">
        <v>5</v>
      </c>
      <c r="C211">
        <v>2259</v>
      </c>
      <c r="D211" t="s">
        <v>8</v>
      </c>
      <c r="E211" t="str">
        <f>IF(may[[#This Row],[ShiftCounter]]&gt;0, "Running", "Down")</f>
        <v>Running</v>
      </c>
    </row>
    <row r="212" spans="1:5" x14ac:dyDescent="0.25">
      <c r="A212" s="2">
        <v>44689</v>
      </c>
      <c r="B212" s="4" t="s">
        <v>5</v>
      </c>
      <c r="C212">
        <v>2456</v>
      </c>
      <c r="D212" t="s">
        <v>6</v>
      </c>
      <c r="E212" t="str">
        <f>IF(may[[#This Row],[ShiftCounter]]&gt;0, "Running", "Down")</f>
        <v>Running</v>
      </c>
    </row>
    <row r="213" spans="1:5" x14ac:dyDescent="0.25">
      <c r="A213" s="2">
        <v>44689</v>
      </c>
      <c r="B213" s="4" t="s">
        <v>5</v>
      </c>
      <c r="C213">
        <v>2364</v>
      </c>
      <c r="D213" t="s">
        <v>7</v>
      </c>
      <c r="E213" t="str">
        <f>IF(may[[#This Row],[ShiftCounter]]&gt;0, "Running", "Down")</f>
        <v>Running</v>
      </c>
    </row>
    <row r="214" spans="1:5" x14ac:dyDescent="0.25">
      <c r="A214" s="2">
        <v>44689</v>
      </c>
      <c r="B214" s="4" t="s">
        <v>5</v>
      </c>
      <c r="C214">
        <v>2387</v>
      </c>
      <c r="D214" t="s">
        <v>8</v>
      </c>
      <c r="E214" t="str">
        <f>IF(may[[#This Row],[ShiftCounter]]&gt;0, "Running", "Down")</f>
        <v>Running</v>
      </c>
    </row>
    <row r="215" spans="1:5" x14ac:dyDescent="0.25">
      <c r="A215" s="2">
        <v>44689</v>
      </c>
      <c r="B215" s="4" t="s">
        <v>9</v>
      </c>
      <c r="C215">
        <v>2315</v>
      </c>
      <c r="D215" t="s">
        <v>6</v>
      </c>
      <c r="E215" t="str">
        <f>IF(may[[#This Row],[ShiftCounter]]&gt;0, "Running", "Down")</f>
        <v>Running</v>
      </c>
    </row>
    <row r="216" spans="1:5" x14ac:dyDescent="0.25">
      <c r="A216" s="2">
        <v>44689</v>
      </c>
      <c r="B216" s="4" t="s">
        <v>9</v>
      </c>
      <c r="C216">
        <v>2320</v>
      </c>
      <c r="D216" t="s">
        <v>7</v>
      </c>
      <c r="E216" t="str">
        <f>IF(may[[#This Row],[ShiftCounter]]&gt;0, "Running", "Down")</f>
        <v>Running</v>
      </c>
    </row>
    <row r="217" spans="1:5" x14ac:dyDescent="0.25">
      <c r="A217" s="2">
        <v>44689</v>
      </c>
      <c r="B217" s="4" t="s">
        <v>9</v>
      </c>
      <c r="C217">
        <v>2327</v>
      </c>
      <c r="D217" t="s">
        <v>8</v>
      </c>
      <c r="E217" t="str">
        <f>IF(may[[#This Row],[ShiftCounter]]&gt;0, "Running", "Down")</f>
        <v>Running</v>
      </c>
    </row>
    <row r="218" spans="1:5" x14ac:dyDescent="0.25">
      <c r="A218" s="2">
        <v>44689</v>
      </c>
      <c r="B218" s="4" t="s">
        <v>10</v>
      </c>
      <c r="C218">
        <v>2254</v>
      </c>
      <c r="D218" t="s">
        <v>6</v>
      </c>
      <c r="E218" t="str">
        <f>IF(may[[#This Row],[ShiftCounter]]&gt;0, "Running", "Down")</f>
        <v>Running</v>
      </c>
    </row>
    <row r="219" spans="1:5" x14ac:dyDescent="0.25">
      <c r="A219" s="2">
        <v>44689</v>
      </c>
      <c r="B219" s="4" t="s">
        <v>10</v>
      </c>
      <c r="C219">
        <v>2257</v>
      </c>
      <c r="D219" t="s">
        <v>7</v>
      </c>
      <c r="E219" t="str">
        <f>IF(may[[#This Row],[ShiftCounter]]&gt;0, "Running", "Down")</f>
        <v>Running</v>
      </c>
    </row>
    <row r="220" spans="1:5" x14ac:dyDescent="0.25">
      <c r="A220" s="2">
        <v>44689</v>
      </c>
      <c r="B220" s="4" t="s">
        <v>10</v>
      </c>
      <c r="C220">
        <v>2196</v>
      </c>
      <c r="D220" t="s">
        <v>8</v>
      </c>
      <c r="E220" t="str">
        <f>IF(may[[#This Row],[ShiftCounter]]&gt;0, "Running", "Down")</f>
        <v>Running</v>
      </c>
    </row>
    <row r="221" spans="1:5" x14ac:dyDescent="0.25">
      <c r="A221" s="2">
        <v>44689</v>
      </c>
      <c r="B221" s="4" t="s">
        <v>11</v>
      </c>
      <c r="C221">
        <v>2345</v>
      </c>
      <c r="D221" t="s">
        <v>6</v>
      </c>
      <c r="E221" t="str">
        <f>IF(may[[#This Row],[ShiftCounter]]&gt;0, "Running", "Down")</f>
        <v>Running</v>
      </c>
    </row>
    <row r="222" spans="1:5" x14ac:dyDescent="0.25">
      <c r="A222" s="2">
        <v>44689</v>
      </c>
      <c r="B222" s="4" t="s">
        <v>11</v>
      </c>
      <c r="C222">
        <v>2367</v>
      </c>
      <c r="D222" t="s">
        <v>7</v>
      </c>
      <c r="E222" t="str">
        <f>IF(may[[#This Row],[ShiftCounter]]&gt;0, "Running", "Down")</f>
        <v>Running</v>
      </c>
    </row>
    <row r="223" spans="1:5" x14ac:dyDescent="0.25">
      <c r="A223" s="2">
        <v>44689</v>
      </c>
      <c r="B223" s="4" t="s">
        <v>11</v>
      </c>
      <c r="C223">
        <v>2323</v>
      </c>
      <c r="D223" t="s">
        <v>8</v>
      </c>
      <c r="E223" t="str">
        <f>IF(may[[#This Row],[ShiftCounter]]&gt;0, "Running", "Down")</f>
        <v>Running</v>
      </c>
    </row>
    <row r="224" spans="1:5" x14ac:dyDescent="0.25">
      <c r="A224" s="2">
        <v>44689</v>
      </c>
      <c r="B224" s="4" t="s">
        <v>12</v>
      </c>
      <c r="C224">
        <v>2182</v>
      </c>
      <c r="D224" t="s">
        <v>6</v>
      </c>
      <c r="E224" t="str">
        <f>IF(may[[#This Row],[ShiftCounter]]&gt;0, "Running", "Down")</f>
        <v>Running</v>
      </c>
    </row>
    <row r="225" spans="1:5" x14ac:dyDescent="0.25">
      <c r="A225" s="2">
        <v>44689</v>
      </c>
      <c r="B225" s="4" t="s">
        <v>12</v>
      </c>
      <c r="C225">
        <v>2078</v>
      </c>
      <c r="D225" t="s">
        <v>7</v>
      </c>
      <c r="E225" t="str">
        <f>IF(may[[#This Row],[ShiftCounter]]&gt;0, "Running", "Down")</f>
        <v>Running</v>
      </c>
    </row>
    <row r="226" spans="1:5" x14ac:dyDescent="0.25">
      <c r="A226" s="2">
        <v>44689</v>
      </c>
      <c r="B226" s="4" t="s">
        <v>12</v>
      </c>
      <c r="C226">
        <v>2183</v>
      </c>
      <c r="D226" t="s">
        <v>8</v>
      </c>
      <c r="E226" t="str">
        <f>IF(may[[#This Row],[ShiftCounter]]&gt;0, "Running", "Down")</f>
        <v>Running</v>
      </c>
    </row>
    <row r="227" spans="1:5" x14ac:dyDescent="0.25">
      <c r="A227" s="2">
        <v>44689</v>
      </c>
      <c r="B227" s="4" t="s">
        <v>13</v>
      </c>
      <c r="C227">
        <v>2423</v>
      </c>
      <c r="D227" t="s">
        <v>6</v>
      </c>
      <c r="E227" t="str">
        <f>IF(may[[#This Row],[ShiftCounter]]&gt;0, "Running", "Down")</f>
        <v>Running</v>
      </c>
    </row>
    <row r="228" spans="1:5" x14ac:dyDescent="0.25">
      <c r="A228" s="2">
        <v>44689</v>
      </c>
      <c r="B228" s="4" t="s">
        <v>13</v>
      </c>
      <c r="C228">
        <v>2440</v>
      </c>
      <c r="D228" t="s">
        <v>7</v>
      </c>
      <c r="E228" t="str">
        <f>IF(may[[#This Row],[ShiftCounter]]&gt;0, "Running", "Down")</f>
        <v>Running</v>
      </c>
    </row>
    <row r="229" spans="1:5" x14ac:dyDescent="0.25">
      <c r="A229" s="2">
        <v>44689</v>
      </c>
      <c r="B229" s="4" t="s">
        <v>13</v>
      </c>
      <c r="C229">
        <v>2073</v>
      </c>
      <c r="D229" t="s">
        <v>8</v>
      </c>
      <c r="E229" t="str">
        <f>IF(may[[#This Row],[ShiftCounter]]&gt;0, "Running", "Down")</f>
        <v>Running</v>
      </c>
    </row>
    <row r="230" spans="1:5" x14ac:dyDescent="0.25">
      <c r="A230" s="2">
        <v>44689</v>
      </c>
      <c r="B230" s="4" t="s">
        <v>14</v>
      </c>
      <c r="C230">
        <v>1902</v>
      </c>
      <c r="D230" t="s">
        <v>6</v>
      </c>
      <c r="E230" t="str">
        <f>IF(may[[#This Row],[ShiftCounter]]&gt;0, "Running", "Down")</f>
        <v>Running</v>
      </c>
    </row>
    <row r="231" spans="1:5" x14ac:dyDescent="0.25">
      <c r="A231" s="2">
        <v>44689</v>
      </c>
      <c r="B231" s="4" t="s">
        <v>14</v>
      </c>
      <c r="C231">
        <v>1992</v>
      </c>
      <c r="D231" t="s">
        <v>7</v>
      </c>
      <c r="E231" t="str">
        <f>IF(may[[#This Row],[ShiftCounter]]&gt;0, "Running", "Down")</f>
        <v>Running</v>
      </c>
    </row>
    <row r="232" spans="1:5" x14ac:dyDescent="0.25">
      <c r="A232" s="2">
        <v>44689</v>
      </c>
      <c r="B232" s="4" t="s">
        <v>14</v>
      </c>
      <c r="C232">
        <v>1631</v>
      </c>
      <c r="D232" t="s">
        <v>8</v>
      </c>
      <c r="E232" t="str">
        <f>IF(may[[#This Row],[ShiftCounter]]&gt;0, "Running", "Down")</f>
        <v>Running</v>
      </c>
    </row>
    <row r="233" spans="1:5" x14ac:dyDescent="0.25">
      <c r="A233" s="2">
        <v>44689</v>
      </c>
      <c r="B233" s="4" t="s">
        <v>15</v>
      </c>
      <c r="C233">
        <v>2213</v>
      </c>
      <c r="D233" t="s">
        <v>6</v>
      </c>
      <c r="E233" t="str">
        <f>IF(may[[#This Row],[ShiftCounter]]&gt;0, "Running", "Down")</f>
        <v>Running</v>
      </c>
    </row>
    <row r="234" spans="1:5" x14ac:dyDescent="0.25">
      <c r="A234" s="2">
        <v>44689</v>
      </c>
      <c r="B234" s="4" t="s">
        <v>15</v>
      </c>
      <c r="C234">
        <v>2248</v>
      </c>
      <c r="D234" t="s">
        <v>7</v>
      </c>
      <c r="E234" t="str">
        <f>IF(may[[#This Row],[ShiftCounter]]&gt;0, "Running", "Down")</f>
        <v>Running</v>
      </c>
    </row>
    <row r="235" spans="1:5" x14ac:dyDescent="0.25">
      <c r="A235" s="2">
        <v>44689</v>
      </c>
      <c r="B235" s="4" t="s">
        <v>15</v>
      </c>
      <c r="C235">
        <v>1926</v>
      </c>
      <c r="D235" t="s">
        <v>8</v>
      </c>
      <c r="E235" t="str">
        <f>IF(may[[#This Row],[ShiftCounter]]&gt;0, "Running", "Down")</f>
        <v>Running</v>
      </c>
    </row>
    <row r="236" spans="1:5" x14ac:dyDescent="0.25">
      <c r="A236" s="2">
        <v>44689</v>
      </c>
      <c r="B236" s="4" t="s">
        <v>16</v>
      </c>
      <c r="C236">
        <v>2479</v>
      </c>
      <c r="D236" t="s">
        <v>6</v>
      </c>
      <c r="E236" t="str">
        <f>IF(may[[#This Row],[ShiftCounter]]&gt;0, "Running", "Down")</f>
        <v>Running</v>
      </c>
    </row>
    <row r="237" spans="1:5" x14ac:dyDescent="0.25">
      <c r="A237" s="2">
        <v>44689</v>
      </c>
      <c r="B237" s="4" t="s">
        <v>16</v>
      </c>
      <c r="C237">
        <v>2269</v>
      </c>
      <c r="D237" t="s">
        <v>7</v>
      </c>
      <c r="E237" t="str">
        <f>IF(may[[#This Row],[ShiftCounter]]&gt;0, "Running", "Down")</f>
        <v>Running</v>
      </c>
    </row>
    <row r="238" spans="1:5" x14ac:dyDescent="0.25">
      <c r="A238" s="2">
        <v>44689</v>
      </c>
      <c r="B238" s="4" t="s">
        <v>16</v>
      </c>
      <c r="C238">
        <v>2153</v>
      </c>
      <c r="D238" t="s">
        <v>8</v>
      </c>
      <c r="E238" t="str">
        <f>IF(may[[#This Row],[ShiftCounter]]&gt;0, "Running", "Down")</f>
        <v>Running</v>
      </c>
    </row>
    <row r="239" spans="1:5" x14ac:dyDescent="0.25">
      <c r="A239" s="2">
        <v>44689</v>
      </c>
      <c r="B239" s="4" t="s">
        <v>17</v>
      </c>
      <c r="C239">
        <v>2388</v>
      </c>
      <c r="D239" t="s">
        <v>6</v>
      </c>
      <c r="E239" t="str">
        <f>IF(may[[#This Row],[ShiftCounter]]&gt;0, "Running", "Down")</f>
        <v>Running</v>
      </c>
    </row>
    <row r="240" spans="1:5" x14ac:dyDescent="0.25">
      <c r="A240" s="2">
        <v>44689</v>
      </c>
      <c r="B240" s="4" t="s">
        <v>17</v>
      </c>
      <c r="C240">
        <v>2425</v>
      </c>
      <c r="D240" t="s">
        <v>7</v>
      </c>
      <c r="E240" t="str">
        <f>IF(may[[#This Row],[ShiftCounter]]&gt;0, "Running", "Down")</f>
        <v>Running</v>
      </c>
    </row>
    <row r="241" spans="1:5" x14ac:dyDescent="0.25">
      <c r="A241" s="2">
        <v>44689</v>
      </c>
      <c r="B241" s="4" t="s">
        <v>17</v>
      </c>
      <c r="C241">
        <v>2211</v>
      </c>
      <c r="D241" t="s">
        <v>8</v>
      </c>
      <c r="E241" t="str">
        <f>IF(may[[#This Row],[ShiftCounter]]&gt;0, "Running", "Down")</f>
        <v>Running</v>
      </c>
    </row>
    <row r="242" spans="1:5" x14ac:dyDescent="0.25">
      <c r="A242" s="2">
        <v>44689</v>
      </c>
      <c r="B242" s="4" t="s">
        <v>19</v>
      </c>
      <c r="C242">
        <v>1762</v>
      </c>
      <c r="D242" t="s">
        <v>6</v>
      </c>
      <c r="E242" t="str">
        <f>IF(may[[#This Row],[ShiftCounter]]&gt;0, "Running", "Down")</f>
        <v>Running</v>
      </c>
    </row>
    <row r="243" spans="1:5" x14ac:dyDescent="0.25">
      <c r="A243" s="2">
        <v>44689</v>
      </c>
      <c r="B243" s="4" t="s">
        <v>19</v>
      </c>
      <c r="C243">
        <v>1969</v>
      </c>
      <c r="D243" t="s">
        <v>7</v>
      </c>
      <c r="E243" t="str">
        <f>IF(may[[#This Row],[ShiftCounter]]&gt;0, "Running", "Down")</f>
        <v>Running</v>
      </c>
    </row>
    <row r="244" spans="1:5" x14ac:dyDescent="0.25">
      <c r="A244" s="2">
        <v>44689</v>
      </c>
      <c r="B244" s="4" t="s">
        <v>19</v>
      </c>
      <c r="C244">
        <v>1753</v>
      </c>
      <c r="D244" t="s">
        <v>8</v>
      </c>
      <c r="E244" t="str">
        <f>IF(may[[#This Row],[ShiftCounter]]&gt;0, "Running", "Down")</f>
        <v>Running</v>
      </c>
    </row>
    <row r="245" spans="1:5" x14ac:dyDescent="0.25">
      <c r="A245" s="2">
        <v>44689</v>
      </c>
      <c r="B245" s="4" t="s">
        <v>18</v>
      </c>
      <c r="C245">
        <v>2414</v>
      </c>
      <c r="D245" t="s">
        <v>6</v>
      </c>
      <c r="E245" t="str">
        <f>IF(may[[#This Row],[ShiftCounter]]&gt;0, "Running", "Down")</f>
        <v>Running</v>
      </c>
    </row>
    <row r="246" spans="1:5" x14ac:dyDescent="0.25">
      <c r="A246" s="2">
        <v>44689</v>
      </c>
      <c r="B246" s="4" t="s">
        <v>18</v>
      </c>
      <c r="C246">
        <v>2475</v>
      </c>
      <c r="D246" t="s">
        <v>7</v>
      </c>
      <c r="E246" t="str">
        <f>IF(may[[#This Row],[ShiftCounter]]&gt;0, "Running", "Down")</f>
        <v>Running</v>
      </c>
    </row>
    <row r="247" spans="1:5" x14ac:dyDescent="0.25">
      <c r="A247" s="2">
        <v>44689</v>
      </c>
      <c r="B247" s="4" t="s">
        <v>18</v>
      </c>
      <c r="C247">
        <v>1887</v>
      </c>
      <c r="D247" t="s">
        <v>8</v>
      </c>
      <c r="E247" t="str">
        <f>IF(may[[#This Row],[ShiftCounter]]&gt;0, "Running", "Down")</f>
        <v>Running</v>
      </c>
    </row>
    <row r="248" spans="1:5" x14ac:dyDescent="0.25">
      <c r="A248" s="2">
        <v>44689</v>
      </c>
      <c r="B248" s="4" t="s">
        <v>38</v>
      </c>
      <c r="C248">
        <v>2103</v>
      </c>
      <c r="D248" t="s">
        <v>6</v>
      </c>
      <c r="E248" t="str">
        <f>IF(may[[#This Row],[ShiftCounter]]&gt;0, "Running", "Down")</f>
        <v>Running</v>
      </c>
    </row>
    <row r="249" spans="1:5" x14ac:dyDescent="0.25">
      <c r="A249" s="2">
        <v>44689</v>
      </c>
      <c r="B249" s="4" t="s">
        <v>38</v>
      </c>
      <c r="C249">
        <v>2047</v>
      </c>
      <c r="D249" t="s">
        <v>7</v>
      </c>
      <c r="E249" t="str">
        <f>IF(may[[#This Row],[ShiftCounter]]&gt;0, "Running", "Down")</f>
        <v>Running</v>
      </c>
    </row>
    <row r="250" spans="1:5" x14ac:dyDescent="0.25">
      <c r="A250" s="2">
        <v>44689</v>
      </c>
      <c r="B250" s="4" t="s">
        <v>38</v>
      </c>
      <c r="C250">
        <v>1865</v>
      </c>
      <c r="D250" t="s">
        <v>8</v>
      </c>
      <c r="E250" t="str">
        <f>IF(may[[#This Row],[ShiftCounter]]&gt;0, "Running", "Down")</f>
        <v>Running</v>
      </c>
    </row>
    <row r="251" spans="1:5" x14ac:dyDescent="0.25">
      <c r="A251" s="2">
        <v>44689</v>
      </c>
      <c r="B251" s="4" t="s">
        <v>20</v>
      </c>
      <c r="C251">
        <v>2044</v>
      </c>
      <c r="D251" t="s">
        <v>6</v>
      </c>
      <c r="E251" t="str">
        <f>IF(may[[#This Row],[ShiftCounter]]&gt;0, "Running", "Down")</f>
        <v>Running</v>
      </c>
    </row>
    <row r="252" spans="1:5" x14ac:dyDescent="0.25">
      <c r="A252" s="2">
        <v>44689</v>
      </c>
      <c r="B252" s="4" t="s">
        <v>20</v>
      </c>
      <c r="C252">
        <v>2045</v>
      </c>
      <c r="D252" t="s">
        <v>7</v>
      </c>
      <c r="E252" t="str">
        <f>IF(may[[#This Row],[ShiftCounter]]&gt;0, "Running", "Down")</f>
        <v>Running</v>
      </c>
    </row>
    <row r="253" spans="1:5" x14ac:dyDescent="0.25">
      <c r="A253" s="2">
        <v>44689</v>
      </c>
      <c r="B253" s="4" t="s">
        <v>20</v>
      </c>
      <c r="C253">
        <v>1838</v>
      </c>
      <c r="D253" t="s">
        <v>8</v>
      </c>
      <c r="E253" t="str">
        <f>IF(may[[#This Row],[ShiftCounter]]&gt;0, "Running", "Down")</f>
        <v>Running</v>
      </c>
    </row>
    <row r="254" spans="1:5" x14ac:dyDescent="0.25">
      <c r="A254" s="2">
        <v>44689</v>
      </c>
      <c r="B254" s="4" t="s">
        <v>21</v>
      </c>
      <c r="C254">
        <v>2130</v>
      </c>
      <c r="D254" t="s">
        <v>6</v>
      </c>
      <c r="E254" t="str">
        <f>IF(may[[#This Row],[ShiftCounter]]&gt;0, "Running", "Down")</f>
        <v>Running</v>
      </c>
    </row>
    <row r="255" spans="1:5" x14ac:dyDescent="0.25">
      <c r="A255" s="2">
        <v>44689</v>
      </c>
      <c r="B255" s="4" t="s">
        <v>21</v>
      </c>
      <c r="C255">
        <v>2052</v>
      </c>
      <c r="D255" t="s">
        <v>7</v>
      </c>
      <c r="E255" t="str">
        <f>IF(may[[#This Row],[ShiftCounter]]&gt;0, "Running", "Down")</f>
        <v>Running</v>
      </c>
    </row>
    <row r="256" spans="1:5" x14ac:dyDescent="0.25">
      <c r="A256" s="2">
        <v>44689</v>
      </c>
      <c r="B256" s="4" t="s">
        <v>21</v>
      </c>
      <c r="C256">
        <v>1852</v>
      </c>
      <c r="D256" t="s">
        <v>8</v>
      </c>
      <c r="E256" t="str">
        <f>IF(may[[#This Row],[ShiftCounter]]&gt;0, "Running", "Down")</f>
        <v>Running</v>
      </c>
    </row>
    <row r="257" spans="1:5" x14ac:dyDescent="0.25">
      <c r="A257" s="2">
        <v>44689</v>
      </c>
      <c r="B257" s="4" t="s">
        <v>22</v>
      </c>
      <c r="C257">
        <v>2130</v>
      </c>
      <c r="D257" t="s">
        <v>6</v>
      </c>
      <c r="E257" t="str">
        <f>IF(may[[#This Row],[ShiftCounter]]&gt;0, "Running", "Down")</f>
        <v>Running</v>
      </c>
    </row>
    <row r="258" spans="1:5" x14ac:dyDescent="0.25">
      <c r="A258" s="2">
        <v>44689</v>
      </c>
      <c r="B258" s="4" t="s">
        <v>22</v>
      </c>
      <c r="C258">
        <v>2156</v>
      </c>
      <c r="D258" t="s">
        <v>7</v>
      </c>
      <c r="E258" t="str">
        <f>IF(may[[#This Row],[ShiftCounter]]&gt;0, "Running", "Down")</f>
        <v>Running</v>
      </c>
    </row>
    <row r="259" spans="1:5" x14ac:dyDescent="0.25">
      <c r="A259" s="2">
        <v>44689</v>
      </c>
      <c r="B259" s="4" t="s">
        <v>22</v>
      </c>
      <c r="C259">
        <v>2009</v>
      </c>
      <c r="D259" t="s">
        <v>8</v>
      </c>
      <c r="E259" t="str">
        <f>IF(may[[#This Row],[ShiftCounter]]&gt;0, "Running", "Down")</f>
        <v>Running</v>
      </c>
    </row>
    <row r="260" spans="1:5" x14ac:dyDescent="0.25">
      <c r="A260" s="2">
        <v>44689</v>
      </c>
      <c r="B260" s="4" t="s">
        <v>23</v>
      </c>
      <c r="C260">
        <v>2241</v>
      </c>
      <c r="D260" t="s">
        <v>6</v>
      </c>
      <c r="E260" t="str">
        <f>IF(may[[#This Row],[ShiftCounter]]&gt;0, "Running", "Down")</f>
        <v>Running</v>
      </c>
    </row>
    <row r="261" spans="1:5" x14ac:dyDescent="0.25">
      <c r="A261" s="2">
        <v>44689</v>
      </c>
      <c r="B261" s="4" t="s">
        <v>23</v>
      </c>
      <c r="C261">
        <v>2371</v>
      </c>
      <c r="D261" t="s">
        <v>7</v>
      </c>
      <c r="E261" t="str">
        <f>IF(may[[#This Row],[ShiftCounter]]&gt;0, "Running", "Down")</f>
        <v>Running</v>
      </c>
    </row>
    <row r="262" spans="1:5" x14ac:dyDescent="0.25">
      <c r="A262" s="2">
        <v>44689</v>
      </c>
      <c r="B262" s="4" t="s">
        <v>23</v>
      </c>
      <c r="C262">
        <v>2117</v>
      </c>
      <c r="D262" t="s">
        <v>8</v>
      </c>
      <c r="E262" t="str">
        <f>IF(may[[#This Row],[ShiftCounter]]&gt;0, "Running", "Down")</f>
        <v>Running</v>
      </c>
    </row>
    <row r="263" spans="1:5" x14ac:dyDescent="0.25">
      <c r="A263" s="2">
        <v>44689</v>
      </c>
      <c r="B263" s="4" t="s">
        <v>24</v>
      </c>
      <c r="C263">
        <v>2024</v>
      </c>
      <c r="D263" t="s">
        <v>6</v>
      </c>
      <c r="E263" t="str">
        <f>IF(may[[#This Row],[ShiftCounter]]&gt;0, "Running", "Down")</f>
        <v>Running</v>
      </c>
    </row>
    <row r="264" spans="1:5" x14ac:dyDescent="0.25">
      <c r="A264" s="2">
        <v>44689</v>
      </c>
      <c r="B264" s="4" t="s">
        <v>24</v>
      </c>
      <c r="C264">
        <v>2146</v>
      </c>
      <c r="D264" t="s">
        <v>7</v>
      </c>
      <c r="E264" t="str">
        <f>IF(may[[#This Row],[ShiftCounter]]&gt;0, "Running", "Down")</f>
        <v>Running</v>
      </c>
    </row>
    <row r="265" spans="1:5" x14ac:dyDescent="0.25">
      <c r="A265" s="2">
        <v>44689</v>
      </c>
      <c r="B265" s="4" t="s">
        <v>24</v>
      </c>
      <c r="C265">
        <v>1888</v>
      </c>
      <c r="D265" t="s">
        <v>8</v>
      </c>
      <c r="E265" t="str">
        <f>IF(may[[#This Row],[ShiftCounter]]&gt;0, "Running", "Down")</f>
        <v>Running</v>
      </c>
    </row>
    <row r="266" spans="1:5" x14ac:dyDescent="0.25">
      <c r="A266" s="2">
        <v>44689</v>
      </c>
      <c r="B266" s="4" t="s">
        <v>25</v>
      </c>
      <c r="C266">
        <v>2057</v>
      </c>
      <c r="D266" t="s">
        <v>6</v>
      </c>
      <c r="E266" t="str">
        <f>IF(may[[#This Row],[ShiftCounter]]&gt;0, "Running", "Down")</f>
        <v>Running</v>
      </c>
    </row>
    <row r="267" spans="1:5" x14ac:dyDescent="0.25">
      <c r="A267" s="2">
        <v>44689</v>
      </c>
      <c r="B267" s="4" t="s">
        <v>25</v>
      </c>
      <c r="C267">
        <v>2237</v>
      </c>
      <c r="D267" t="s">
        <v>7</v>
      </c>
      <c r="E267" t="str">
        <f>IF(may[[#This Row],[ShiftCounter]]&gt;0, "Running", "Down")</f>
        <v>Running</v>
      </c>
    </row>
    <row r="268" spans="1:5" x14ac:dyDescent="0.25">
      <c r="A268" s="2">
        <v>44689</v>
      </c>
      <c r="B268" s="4" t="s">
        <v>25</v>
      </c>
      <c r="C268">
        <v>2010</v>
      </c>
      <c r="D268" t="s">
        <v>8</v>
      </c>
      <c r="E268" t="str">
        <f>IF(may[[#This Row],[ShiftCounter]]&gt;0, "Running", "Down")</f>
        <v>Running</v>
      </c>
    </row>
    <row r="269" spans="1:5" x14ac:dyDescent="0.25">
      <c r="A269" s="2">
        <v>44689</v>
      </c>
      <c r="B269" s="4" t="s">
        <v>26</v>
      </c>
      <c r="C269">
        <v>2201</v>
      </c>
      <c r="D269" t="s">
        <v>6</v>
      </c>
      <c r="E269" t="str">
        <f>IF(may[[#This Row],[ShiftCounter]]&gt;0, "Running", "Down")</f>
        <v>Running</v>
      </c>
    </row>
    <row r="270" spans="1:5" x14ac:dyDescent="0.25">
      <c r="A270" s="2">
        <v>44689</v>
      </c>
      <c r="B270" s="4" t="s">
        <v>26</v>
      </c>
      <c r="C270">
        <v>2206</v>
      </c>
      <c r="D270" t="s">
        <v>7</v>
      </c>
      <c r="E270" t="str">
        <f>IF(may[[#This Row],[ShiftCounter]]&gt;0, "Running", "Down")</f>
        <v>Running</v>
      </c>
    </row>
    <row r="271" spans="1:5" x14ac:dyDescent="0.25">
      <c r="A271" s="2">
        <v>44689</v>
      </c>
      <c r="B271" s="4" t="s">
        <v>26</v>
      </c>
      <c r="C271">
        <v>1964</v>
      </c>
      <c r="D271" t="s">
        <v>8</v>
      </c>
      <c r="E271" t="str">
        <f>IF(may[[#This Row],[ShiftCounter]]&gt;0, "Running", "Down")</f>
        <v>Running</v>
      </c>
    </row>
    <row r="272" spans="1:5" x14ac:dyDescent="0.25">
      <c r="A272" s="2">
        <v>44689</v>
      </c>
      <c r="B272" s="4" t="s">
        <v>27</v>
      </c>
      <c r="C272">
        <v>2121</v>
      </c>
      <c r="D272" t="s">
        <v>6</v>
      </c>
      <c r="E272" t="str">
        <f>IF(may[[#This Row],[ShiftCounter]]&gt;0, "Running", "Down")</f>
        <v>Running</v>
      </c>
    </row>
    <row r="273" spans="1:5" x14ac:dyDescent="0.25">
      <c r="A273" s="2">
        <v>44689</v>
      </c>
      <c r="B273" s="4" t="s">
        <v>27</v>
      </c>
      <c r="C273">
        <v>2262</v>
      </c>
      <c r="D273" t="s">
        <v>7</v>
      </c>
      <c r="E273" t="str">
        <f>IF(may[[#This Row],[ShiftCounter]]&gt;0, "Running", "Down")</f>
        <v>Running</v>
      </c>
    </row>
    <row r="274" spans="1:5" x14ac:dyDescent="0.25">
      <c r="A274" s="2">
        <v>44689</v>
      </c>
      <c r="B274" s="4" t="s">
        <v>27</v>
      </c>
      <c r="C274">
        <v>1875</v>
      </c>
      <c r="D274" t="s">
        <v>8</v>
      </c>
      <c r="E274" t="str">
        <f>IF(may[[#This Row],[ShiftCounter]]&gt;0, "Running", "Down")</f>
        <v>Running</v>
      </c>
    </row>
    <row r="275" spans="1:5" x14ac:dyDescent="0.25">
      <c r="A275" s="2">
        <v>44689</v>
      </c>
      <c r="B275" s="4" t="s">
        <v>28</v>
      </c>
      <c r="C275">
        <v>1962</v>
      </c>
      <c r="D275" t="s">
        <v>6</v>
      </c>
      <c r="E275" t="str">
        <f>IF(may[[#This Row],[ShiftCounter]]&gt;0, "Running", "Down")</f>
        <v>Running</v>
      </c>
    </row>
    <row r="276" spans="1:5" x14ac:dyDescent="0.25">
      <c r="A276" s="2">
        <v>44689</v>
      </c>
      <c r="B276" s="4" t="s">
        <v>28</v>
      </c>
      <c r="C276">
        <v>2142</v>
      </c>
      <c r="D276" t="s">
        <v>7</v>
      </c>
      <c r="E276" t="str">
        <f>IF(may[[#This Row],[ShiftCounter]]&gt;0, "Running", "Down")</f>
        <v>Running</v>
      </c>
    </row>
    <row r="277" spans="1:5" x14ac:dyDescent="0.25">
      <c r="A277" s="2">
        <v>44689</v>
      </c>
      <c r="B277" s="4" t="s">
        <v>28</v>
      </c>
      <c r="C277">
        <v>1753</v>
      </c>
      <c r="D277" t="s">
        <v>8</v>
      </c>
      <c r="E277" t="str">
        <f>IF(may[[#This Row],[ShiftCounter]]&gt;0, "Running", "Down")</f>
        <v>Running</v>
      </c>
    </row>
    <row r="278" spans="1:5" x14ac:dyDescent="0.25">
      <c r="A278" s="2">
        <v>44689</v>
      </c>
      <c r="B278" s="4" t="s">
        <v>29</v>
      </c>
      <c r="C278">
        <v>2008</v>
      </c>
      <c r="D278" t="s">
        <v>6</v>
      </c>
      <c r="E278" t="str">
        <f>IF(may[[#This Row],[ShiftCounter]]&gt;0, "Running", "Down")</f>
        <v>Running</v>
      </c>
    </row>
    <row r="279" spans="1:5" x14ac:dyDescent="0.25">
      <c r="A279" s="2">
        <v>44689</v>
      </c>
      <c r="B279" s="4" t="s">
        <v>29</v>
      </c>
      <c r="C279">
        <v>2018</v>
      </c>
      <c r="D279" t="s">
        <v>7</v>
      </c>
      <c r="E279" t="str">
        <f>IF(may[[#This Row],[ShiftCounter]]&gt;0, "Running", "Down")</f>
        <v>Running</v>
      </c>
    </row>
    <row r="280" spans="1:5" x14ac:dyDescent="0.25">
      <c r="A280" s="2">
        <v>44689</v>
      </c>
      <c r="B280" s="4" t="s">
        <v>29</v>
      </c>
      <c r="C280">
        <v>1663</v>
      </c>
      <c r="D280" t="s">
        <v>8</v>
      </c>
      <c r="E280" t="str">
        <f>IF(may[[#This Row],[ShiftCounter]]&gt;0, "Running", "Down")</f>
        <v>Running</v>
      </c>
    </row>
    <row r="281" spans="1:5" x14ac:dyDescent="0.25">
      <c r="A281" s="2">
        <v>44689</v>
      </c>
      <c r="B281" s="4" t="s">
        <v>30</v>
      </c>
      <c r="C281">
        <v>2236</v>
      </c>
      <c r="D281" t="s">
        <v>6</v>
      </c>
      <c r="E281" t="str">
        <f>IF(may[[#This Row],[ShiftCounter]]&gt;0, "Running", "Down")</f>
        <v>Running</v>
      </c>
    </row>
    <row r="282" spans="1:5" x14ac:dyDescent="0.25">
      <c r="A282" s="2">
        <v>44689</v>
      </c>
      <c r="B282" s="4" t="s">
        <v>30</v>
      </c>
      <c r="C282">
        <v>1856</v>
      </c>
      <c r="D282" t="s">
        <v>7</v>
      </c>
      <c r="E282" t="str">
        <f>IF(may[[#This Row],[ShiftCounter]]&gt;0, "Running", "Down")</f>
        <v>Running</v>
      </c>
    </row>
    <row r="283" spans="1:5" x14ac:dyDescent="0.25">
      <c r="A283" s="2">
        <v>44689</v>
      </c>
      <c r="B283" s="4" t="s">
        <v>30</v>
      </c>
      <c r="C283">
        <v>1907</v>
      </c>
      <c r="D283" t="s">
        <v>8</v>
      </c>
      <c r="E283" t="str">
        <f>IF(may[[#This Row],[ShiftCounter]]&gt;0, "Running", "Down")</f>
        <v>Running</v>
      </c>
    </row>
    <row r="284" spans="1:5" x14ac:dyDescent="0.25">
      <c r="A284" s="2">
        <v>44689</v>
      </c>
      <c r="B284" s="4" t="s">
        <v>31</v>
      </c>
      <c r="C284">
        <v>2218</v>
      </c>
      <c r="D284" t="s">
        <v>6</v>
      </c>
      <c r="E284" t="str">
        <f>IF(may[[#This Row],[ShiftCounter]]&gt;0, "Running", "Down")</f>
        <v>Running</v>
      </c>
    </row>
    <row r="285" spans="1:5" x14ac:dyDescent="0.25">
      <c r="A285" s="2">
        <v>44689</v>
      </c>
      <c r="B285" s="4" t="s">
        <v>31</v>
      </c>
      <c r="C285">
        <v>2038</v>
      </c>
      <c r="D285" t="s">
        <v>7</v>
      </c>
      <c r="E285" t="str">
        <f>IF(may[[#This Row],[ShiftCounter]]&gt;0, "Running", "Down")</f>
        <v>Running</v>
      </c>
    </row>
    <row r="286" spans="1:5" x14ac:dyDescent="0.25">
      <c r="A286" s="2">
        <v>44689</v>
      </c>
      <c r="B286" s="4" t="s">
        <v>31</v>
      </c>
      <c r="C286">
        <v>1822</v>
      </c>
      <c r="D286" t="s">
        <v>8</v>
      </c>
      <c r="E286" t="str">
        <f>IF(may[[#This Row],[ShiftCounter]]&gt;0, "Running", "Down")</f>
        <v>Running</v>
      </c>
    </row>
    <row r="287" spans="1:5" x14ac:dyDescent="0.25">
      <c r="A287" s="2">
        <v>44689</v>
      </c>
      <c r="B287" s="4" t="s">
        <v>32</v>
      </c>
      <c r="C287">
        <v>2456</v>
      </c>
      <c r="D287" t="s">
        <v>6</v>
      </c>
      <c r="E287" t="str">
        <f>IF(may[[#This Row],[ShiftCounter]]&gt;0, "Running", "Down")</f>
        <v>Running</v>
      </c>
    </row>
    <row r="288" spans="1:5" x14ac:dyDescent="0.25">
      <c r="A288" s="2">
        <v>44689</v>
      </c>
      <c r="B288" s="4" t="s">
        <v>32</v>
      </c>
      <c r="C288">
        <v>2351</v>
      </c>
      <c r="D288" t="s">
        <v>7</v>
      </c>
      <c r="E288" t="str">
        <f>IF(may[[#This Row],[ShiftCounter]]&gt;0, "Running", "Down")</f>
        <v>Running</v>
      </c>
    </row>
    <row r="289" spans="1:5" x14ac:dyDescent="0.25">
      <c r="A289" s="2">
        <v>44689</v>
      </c>
      <c r="B289" s="4" t="s">
        <v>32</v>
      </c>
      <c r="C289">
        <v>2037</v>
      </c>
      <c r="D289" t="s">
        <v>8</v>
      </c>
      <c r="E289" t="str">
        <f>IF(may[[#This Row],[ShiftCounter]]&gt;0, "Running", "Down")</f>
        <v>Running</v>
      </c>
    </row>
    <row r="290" spans="1:5" x14ac:dyDescent="0.25">
      <c r="A290" s="2">
        <v>44689</v>
      </c>
      <c r="B290" s="4" t="s">
        <v>33</v>
      </c>
      <c r="C290">
        <v>2459</v>
      </c>
      <c r="D290" t="s">
        <v>6</v>
      </c>
      <c r="E290" t="str">
        <f>IF(may[[#This Row],[ShiftCounter]]&gt;0, "Running", "Down")</f>
        <v>Running</v>
      </c>
    </row>
    <row r="291" spans="1:5" x14ac:dyDescent="0.25">
      <c r="A291" s="2">
        <v>44689</v>
      </c>
      <c r="B291" s="4" t="s">
        <v>33</v>
      </c>
      <c r="C291">
        <v>2302</v>
      </c>
      <c r="D291" t="s">
        <v>7</v>
      </c>
      <c r="E291" t="str">
        <f>IF(may[[#This Row],[ShiftCounter]]&gt;0, "Running", "Down")</f>
        <v>Running</v>
      </c>
    </row>
    <row r="292" spans="1:5" x14ac:dyDescent="0.25">
      <c r="A292" s="2">
        <v>44689</v>
      </c>
      <c r="B292" s="4" t="s">
        <v>33</v>
      </c>
      <c r="C292">
        <v>2105</v>
      </c>
      <c r="D292" t="s">
        <v>8</v>
      </c>
      <c r="E292" t="str">
        <f>IF(may[[#This Row],[ShiftCounter]]&gt;0, "Running", "Down")</f>
        <v>Running</v>
      </c>
    </row>
    <row r="293" spans="1:5" x14ac:dyDescent="0.25">
      <c r="A293" s="2">
        <v>44689</v>
      </c>
      <c r="B293" s="4" t="s">
        <v>34</v>
      </c>
      <c r="C293">
        <v>2100</v>
      </c>
      <c r="D293" t="s">
        <v>6</v>
      </c>
      <c r="E293" t="str">
        <f>IF(may[[#This Row],[ShiftCounter]]&gt;0, "Running", "Down")</f>
        <v>Running</v>
      </c>
    </row>
    <row r="294" spans="1:5" x14ac:dyDescent="0.25">
      <c r="A294" s="2">
        <v>44689</v>
      </c>
      <c r="B294" s="4" t="s">
        <v>34</v>
      </c>
      <c r="C294">
        <v>1991</v>
      </c>
      <c r="D294" t="s">
        <v>7</v>
      </c>
      <c r="E294" t="str">
        <f>IF(may[[#This Row],[ShiftCounter]]&gt;0, "Running", "Down")</f>
        <v>Running</v>
      </c>
    </row>
    <row r="295" spans="1:5" x14ac:dyDescent="0.25">
      <c r="A295" s="2">
        <v>44689</v>
      </c>
      <c r="B295" s="4" t="s">
        <v>34</v>
      </c>
      <c r="C295">
        <v>1804</v>
      </c>
      <c r="D295" t="s">
        <v>8</v>
      </c>
      <c r="E295" t="str">
        <f>IF(may[[#This Row],[ShiftCounter]]&gt;0, "Running", "Down")</f>
        <v>Running</v>
      </c>
    </row>
    <row r="296" spans="1:5" x14ac:dyDescent="0.25">
      <c r="A296" s="2">
        <v>44689</v>
      </c>
      <c r="B296" s="4" t="s">
        <v>35</v>
      </c>
      <c r="C296">
        <v>2612</v>
      </c>
      <c r="D296" t="s">
        <v>6</v>
      </c>
      <c r="E296" t="str">
        <f>IF(may[[#This Row],[ShiftCounter]]&gt;0, "Running", "Down")</f>
        <v>Running</v>
      </c>
    </row>
    <row r="297" spans="1:5" x14ac:dyDescent="0.25">
      <c r="A297" s="2">
        <v>44689</v>
      </c>
      <c r="B297" s="4" t="s">
        <v>35</v>
      </c>
      <c r="C297">
        <v>2452</v>
      </c>
      <c r="D297" t="s">
        <v>7</v>
      </c>
      <c r="E297" t="str">
        <f>IF(may[[#This Row],[ShiftCounter]]&gt;0, "Running", "Down")</f>
        <v>Running</v>
      </c>
    </row>
    <row r="298" spans="1:5" x14ac:dyDescent="0.25">
      <c r="A298" s="2">
        <v>44689</v>
      </c>
      <c r="B298" s="4" t="s">
        <v>35</v>
      </c>
      <c r="C298">
        <v>2238</v>
      </c>
      <c r="D298" t="s">
        <v>8</v>
      </c>
      <c r="E298" t="str">
        <f>IF(may[[#This Row],[ShiftCounter]]&gt;0, "Running", "Down")</f>
        <v>Running</v>
      </c>
    </row>
    <row r="299" spans="1:5" x14ac:dyDescent="0.25">
      <c r="A299" s="2">
        <v>44689</v>
      </c>
      <c r="B299" s="4" t="s">
        <v>36</v>
      </c>
      <c r="C299">
        <v>2314</v>
      </c>
      <c r="D299" t="s">
        <v>6</v>
      </c>
      <c r="E299" t="str">
        <f>IF(may[[#This Row],[ShiftCounter]]&gt;0, "Running", "Down")</f>
        <v>Running</v>
      </c>
    </row>
    <row r="300" spans="1:5" x14ac:dyDescent="0.25">
      <c r="A300" s="2">
        <v>44689</v>
      </c>
      <c r="B300" s="4" t="s">
        <v>36</v>
      </c>
      <c r="C300">
        <v>2228</v>
      </c>
      <c r="D300" t="s">
        <v>7</v>
      </c>
      <c r="E300" t="str">
        <f>IF(may[[#This Row],[ShiftCounter]]&gt;0, "Running", "Down")</f>
        <v>Running</v>
      </c>
    </row>
    <row r="301" spans="1:5" x14ac:dyDescent="0.25">
      <c r="A301" s="2">
        <v>44689</v>
      </c>
      <c r="B301" s="4" t="s">
        <v>36</v>
      </c>
      <c r="C301">
        <v>1997</v>
      </c>
      <c r="D301" t="s">
        <v>8</v>
      </c>
      <c r="E301" t="str">
        <f>IF(may[[#This Row],[ShiftCounter]]&gt;0, "Running", "Down")</f>
        <v>Running</v>
      </c>
    </row>
    <row r="302" spans="1:5" x14ac:dyDescent="0.25">
      <c r="A302" s="2">
        <v>44689</v>
      </c>
      <c r="B302" s="4" t="s">
        <v>37</v>
      </c>
      <c r="C302">
        <v>2138</v>
      </c>
      <c r="D302" t="s">
        <v>6</v>
      </c>
      <c r="E302" t="str">
        <f>IF(may[[#This Row],[ShiftCounter]]&gt;0, "Running", "Down")</f>
        <v>Running</v>
      </c>
    </row>
    <row r="303" spans="1:5" x14ac:dyDescent="0.25">
      <c r="A303" s="2">
        <v>44689</v>
      </c>
      <c r="B303" s="4" t="s">
        <v>37</v>
      </c>
      <c r="C303">
        <v>2124</v>
      </c>
      <c r="D303" t="s">
        <v>7</v>
      </c>
      <c r="E303" t="str">
        <f>IF(may[[#This Row],[ShiftCounter]]&gt;0, "Running", "Down")</f>
        <v>Running</v>
      </c>
    </row>
    <row r="304" spans="1:5" x14ac:dyDescent="0.25">
      <c r="A304" s="2">
        <v>44689</v>
      </c>
      <c r="B304" s="4" t="s">
        <v>37</v>
      </c>
      <c r="C304">
        <v>2708</v>
      </c>
      <c r="D304" t="s">
        <v>8</v>
      </c>
      <c r="E304" t="str">
        <f>IF(may[[#This Row],[ShiftCounter]]&gt;0, "Running", "Down")</f>
        <v>Running</v>
      </c>
    </row>
    <row r="305" spans="1:5" x14ac:dyDescent="0.25">
      <c r="A305" s="2">
        <v>44688</v>
      </c>
      <c r="B305" s="4" t="s">
        <v>40</v>
      </c>
      <c r="C305">
        <v>2338</v>
      </c>
      <c r="D305" t="s">
        <v>6</v>
      </c>
      <c r="E305" t="str">
        <f>IF(may[[#This Row],[ShiftCounter]]&gt;0, "Running", "Down")</f>
        <v>Running</v>
      </c>
    </row>
    <row r="306" spans="1:5" x14ac:dyDescent="0.25">
      <c r="A306" s="2">
        <v>44688</v>
      </c>
      <c r="B306" s="4" t="s">
        <v>40</v>
      </c>
      <c r="C306">
        <v>2346</v>
      </c>
      <c r="D306" t="s">
        <v>7</v>
      </c>
      <c r="E306" t="str">
        <f>IF(may[[#This Row],[ShiftCounter]]&gt;0, "Running", "Down")</f>
        <v>Running</v>
      </c>
    </row>
    <row r="307" spans="1:5" x14ac:dyDescent="0.25">
      <c r="A307" s="2">
        <v>44688</v>
      </c>
      <c r="B307" s="4" t="s">
        <v>40</v>
      </c>
      <c r="C307">
        <v>2158</v>
      </c>
      <c r="D307" t="s">
        <v>8</v>
      </c>
      <c r="E307" t="str">
        <f>IF(may[[#This Row],[ShiftCounter]]&gt;0, "Running", "Down")</f>
        <v>Running</v>
      </c>
    </row>
    <row r="308" spans="1:5" x14ac:dyDescent="0.25">
      <c r="A308" s="2">
        <v>44688</v>
      </c>
      <c r="B308" s="4" t="s">
        <v>39</v>
      </c>
      <c r="C308">
        <v>2038</v>
      </c>
      <c r="D308" t="s">
        <v>6</v>
      </c>
      <c r="E308" t="str">
        <f>IF(may[[#This Row],[ShiftCounter]]&gt;0, "Running", "Down")</f>
        <v>Running</v>
      </c>
    </row>
    <row r="309" spans="1:5" x14ac:dyDescent="0.25">
      <c r="A309" s="2">
        <v>44688</v>
      </c>
      <c r="B309" s="4" t="s">
        <v>39</v>
      </c>
      <c r="C309">
        <v>2048</v>
      </c>
      <c r="D309" t="s">
        <v>7</v>
      </c>
      <c r="E309" t="str">
        <f>IF(may[[#This Row],[ShiftCounter]]&gt;0, "Running", "Down")</f>
        <v>Running</v>
      </c>
    </row>
    <row r="310" spans="1:5" x14ac:dyDescent="0.25">
      <c r="A310" s="2">
        <v>44688</v>
      </c>
      <c r="B310" s="4" t="s">
        <v>39</v>
      </c>
      <c r="C310">
        <v>1886</v>
      </c>
      <c r="D310" t="s">
        <v>8</v>
      </c>
      <c r="E310" t="str">
        <f>IF(may[[#This Row],[ShiftCounter]]&gt;0, "Running", "Down")</f>
        <v>Running</v>
      </c>
    </row>
    <row r="311" spans="1:5" x14ac:dyDescent="0.25">
      <c r="A311" s="2">
        <v>44688</v>
      </c>
      <c r="B311" s="4" t="s">
        <v>41</v>
      </c>
      <c r="C311">
        <v>2482</v>
      </c>
      <c r="D311" t="s">
        <v>6</v>
      </c>
      <c r="E311" t="str">
        <f>IF(may[[#This Row],[ShiftCounter]]&gt;0, "Running", "Down")</f>
        <v>Running</v>
      </c>
    </row>
    <row r="312" spans="1:5" x14ac:dyDescent="0.25">
      <c r="A312" s="2">
        <v>44688</v>
      </c>
      <c r="B312" s="4" t="s">
        <v>41</v>
      </c>
      <c r="C312">
        <v>2514</v>
      </c>
      <c r="D312" t="s">
        <v>7</v>
      </c>
      <c r="E312" t="str">
        <f>IF(may[[#This Row],[ShiftCounter]]&gt;0, "Running", "Down")</f>
        <v>Running</v>
      </c>
    </row>
    <row r="313" spans="1:5" x14ac:dyDescent="0.25">
      <c r="A313" s="2">
        <v>44688</v>
      </c>
      <c r="B313" s="4" t="s">
        <v>41</v>
      </c>
      <c r="C313">
        <v>2278</v>
      </c>
      <c r="D313" t="s">
        <v>8</v>
      </c>
      <c r="E313" t="str">
        <f>IF(may[[#This Row],[ShiftCounter]]&gt;0, "Running", "Down")</f>
        <v>Running</v>
      </c>
    </row>
    <row r="314" spans="1:5" x14ac:dyDescent="0.25">
      <c r="A314" s="2">
        <v>44688</v>
      </c>
      <c r="B314" s="4" t="s">
        <v>9</v>
      </c>
      <c r="C314">
        <v>2347</v>
      </c>
      <c r="D314" t="s">
        <v>6</v>
      </c>
      <c r="E314" t="str">
        <f>IF(may[[#This Row],[ShiftCounter]]&gt;0, "Running", "Down")</f>
        <v>Running</v>
      </c>
    </row>
    <row r="315" spans="1:5" x14ac:dyDescent="0.25">
      <c r="A315" s="2">
        <v>44688</v>
      </c>
      <c r="B315" s="4" t="s">
        <v>9</v>
      </c>
      <c r="C315">
        <v>2379</v>
      </c>
      <c r="D315" t="s">
        <v>7</v>
      </c>
      <c r="E315" t="str">
        <f>IF(may[[#This Row],[ShiftCounter]]&gt;0, "Running", "Down")</f>
        <v>Running</v>
      </c>
    </row>
    <row r="316" spans="1:5" x14ac:dyDescent="0.25">
      <c r="A316" s="2">
        <v>44688</v>
      </c>
      <c r="B316" s="4" t="s">
        <v>9</v>
      </c>
      <c r="C316">
        <v>2146</v>
      </c>
      <c r="D316" t="s">
        <v>8</v>
      </c>
      <c r="E316" t="str">
        <f>IF(may[[#This Row],[ShiftCounter]]&gt;0, "Running", "Down")</f>
        <v>Running</v>
      </c>
    </row>
    <row r="317" spans="1:5" x14ac:dyDescent="0.25">
      <c r="A317" s="2">
        <v>44688</v>
      </c>
      <c r="B317" s="4" t="s">
        <v>10</v>
      </c>
      <c r="C317">
        <v>2342</v>
      </c>
      <c r="D317" t="s">
        <v>6</v>
      </c>
      <c r="E317" t="str">
        <f>IF(may[[#This Row],[ShiftCounter]]&gt;0, "Running", "Down")</f>
        <v>Running</v>
      </c>
    </row>
    <row r="318" spans="1:5" x14ac:dyDescent="0.25">
      <c r="A318" s="2">
        <v>44688</v>
      </c>
      <c r="B318" s="4" t="s">
        <v>10</v>
      </c>
      <c r="C318">
        <v>2378</v>
      </c>
      <c r="D318" t="s">
        <v>7</v>
      </c>
      <c r="E318" t="str">
        <f>IF(may[[#This Row],[ShiftCounter]]&gt;0, "Running", "Down")</f>
        <v>Running</v>
      </c>
    </row>
    <row r="319" spans="1:5" x14ac:dyDescent="0.25">
      <c r="A319" s="2">
        <v>44688</v>
      </c>
      <c r="B319" s="4" t="s">
        <v>10</v>
      </c>
      <c r="C319">
        <v>2163</v>
      </c>
      <c r="D319" t="s">
        <v>8</v>
      </c>
      <c r="E319" t="str">
        <f>IF(may[[#This Row],[ShiftCounter]]&gt;0, "Running", "Down")</f>
        <v>Running</v>
      </c>
    </row>
    <row r="320" spans="1:5" x14ac:dyDescent="0.25">
      <c r="A320" s="2">
        <v>44688</v>
      </c>
      <c r="B320" s="4" t="s">
        <v>11</v>
      </c>
      <c r="C320">
        <v>2445</v>
      </c>
      <c r="D320" t="s">
        <v>6</v>
      </c>
      <c r="E320" t="str">
        <f>IF(may[[#This Row],[ShiftCounter]]&gt;0, "Running", "Down")</f>
        <v>Running</v>
      </c>
    </row>
    <row r="321" spans="1:5" x14ac:dyDescent="0.25">
      <c r="A321" s="2">
        <v>44688</v>
      </c>
      <c r="B321" s="4" t="s">
        <v>11</v>
      </c>
      <c r="C321">
        <v>2478</v>
      </c>
      <c r="D321" t="s">
        <v>7</v>
      </c>
      <c r="E321" t="str">
        <f>IF(may[[#This Row],[ShiftCounter]]&gt;0, "Running", "Down")</f>
        <v>Running</v>
      </c>
    </row>
    <row r="322" spans="1:5" x14ac:dyDescent="0.25">
      <c r="A322" s="2">
        <v>44688</v>
      </c>
      <c r="B322" s="4" t="s">
        <v>11</v>
      </c>
      <c r="C322">
        <v>2234</v>
      </c>
      <c r="D322" t="s">
        <v>8</v>
      </c>
      <c r="E322" t="str">
        <f>IF(may[[#This Row],[ShiftCounter]]&gt;0, "Running", "Down")</f>
        <v>Running</v>
      </c>
    </row>
    <row r="323" spans="1:5" x14ac:dyDescent="0.25">
      <c r="A323" s="2">
        <v>44688</v>
      </c>
      <c r="B323" s="4" t="s">
        <v>12</v>
      </c>
      <c r="C323">
        <v>2177</v>
      </c>
      <c r="D323" t="s">
        <v>6</v>
      </c>
      <c r="E323" t="str">
        <f>IF(may[[#This Row],[ShiftCounter]]&gt;0, "Running", "Down")</f>
        <v>Running</v>
      </c>
    </row>
    <row r="324" spans="1:5" x14ac:dyDescent="0.25">
      <c r="A324" s="2">
        <v>44688</v>
      </c>
      <c r="B324" s="4" t="s">
        <v>12</v>
      </c>
      <c r="C324">
        <v>2255</v>
      </c>
      <c r="D324" t="s">
        <v>7</v>
      </c>
      <c r="E324" t="str">
        <f>IF(may[[#This Row],[ShiftCounter]]&gt;0, "Running", "Down")</f>
        <v>Running</v>
      </c>
    </row>
    <row r="325" spans="1:5" x14ac:dyDescent="0.25">
      <c r="A325" s="2">
        <v>44688</v>
      </c>
      <c r="B325" s="4" t="s">
        <v>12</v>
      </c>
      <c r="C325">
        <v>2045</v>
      </c>
      <c r="D325" t="s">
        <v>8</v>
      </c>
      <c r="E325" t="str">
        <f>IF(may[[#This Row],[ShiftCounter]]&gt;0, "Running", "Down")</f>
        <v>Running</v>
      </c>
    </row>
    <row r="326" spans="1:5" x14ac:dyDescent="0.25">
      <c r="A326" s="2">
        <v>44688</v>
      </c>
      <c r="B326" s="4" t="s">
        <v>13</v>
      </c>
      <c r="C326">
        <v>2402</v>
      </c>
      <c r="D326" t="s">
        <v>6</v>
      </c>
      <c r="E326" t="str">
        <f>IF(may[[#This Row],[ShiftCounter]]&gt;0, "Running", "Down")</f>
        <v>Running</v>
      </c>
    </row>
    <row r="327" spans="1:5" x14ac:dyDescent="0.25">
      <c r="A327" s="2">
        <v>44688</v>
      </c>
      <c r="B327" s="4" t="s">
        <v>13</v>
      </c>
      <c r="C327">
        <v>2259</v>
      </c>
      <c r="D327" t="s">
        <v>7</v>
      </c>
      <c r="E327" t="str">
        <f>IF(may[[#This Row],[ShiftCounter]]&gt;0, "Running", "Down")</f>
        <v>Running</v>
      </c>
    </row>
    <row r="328" spans="1:5" x14ac:dyDescent="0.25">
      <c r="A328" s="2">
        <v>44688</v>
      </c>
      <c r="B328" s="4" t="s">
        <v>13</v>
      </c>
      <c r="C328">
        <v>1997</v>
      </c>
      <c r="D328" t="s">
        <v>8</v>
      </c>
      <c r="E328" t="str">
        <f>IF(may[[#This Row],[ShiftCounter]]&gt;0, "Running", "Down")</f>
        <v>Running</v>
      </c>
    </row>
    <row r="329" spans="1:5" x14ac:dyDescent="0.25">
      <c r="A329" s="2">
        <v>44688</v>
      </c>
      <c r="B329" s="4" t="s">
        <v>14</v>
      </c>
      <c r="C329">
        <v>1884</v>
      </c>
      <c r="D329" t="s">
        <v>6</v>
      </c>
      <c r="E329" t="str">
        <f>IF(may[[#This Row],[ShiftCounter]]&gt;0, "Running", "Down")</f>
        <v>Running</v>
      </c>
    </row>
    <row r="330" spans="1:5" x14ac:dyDescent="0.25">
      <c r="A330" s="2">
        <v>44688</v>
      </c>
      <c r="B330" s="4" t="s">
        <v>14</v>
      </c>
      <c r="C330">
        <v>1815</v>
      </c>
      <c r="D330" t="s">
        <v>7</v>
      </c>
      <c r="E330" t="str">
        <f>IF(may[[#This Row],[ShiftCounter]]&gt;0, "Running", "Down")</f>
        <v>Running</v>
      </c>
    </row>
    <row r="331" spans="1:5" x14ac:dyDescent="0.25">
      <c r="A331" s="2">
        <v>44688</v>
      </c>
      <c r="B331" s="4" t="s">
        <v>14</v>
      </c>
      <c r="C331">
        <v>1570</v>
      </c>
      <c r="D331" t="s">
        <v>8</v>
      </c>
      <c r="E331" t="str">
        <f>IF(may[[#This Row],[ShiftCounter]]&gt;0, "Running", "Down")</f>
        <v>Running</v>
      </c>
    </row>
    <row r="332" spans="1:5" x14ac:dyDescent="0.25">
      <c r="A332" s="2">
        <v>44688</v>
      </c>
      <c r="B332" s="4" t="s">
        <v>15</v>
      </c>
      <c r="C332">
        <v>2061</v>
      </c>
      <c r="D332" t="s">
        <v>6</v>
      </c>
      <c r="E332" t="str">
        <f>IF(may[[#This Row],[ShiftCounter]]&gt;0, "Running", "Down")</f>
        <v>Running</v>
      </c>
    </row>
    <row r="333" spans="1:5" x14ac:dyDescent="0.25">
      <c r="A333" s="2">
        <v>44688</v>
      </c>
      <c r="B333" s="4" t="s">
        <v>15</v>
      </c>
      <c r="C333">
        <v>2116</v>
      </c>
      <c r="D333" t="s">
        <v>7</v>
      </c>
      <c r="E333" t="str">
        <f>IF(may[[#This Row],[ShiftCounter]]&gt;0, "Running", "Down")</f>
        <v>Running</v>
      </c>
    </row>
    <row r="334" spans="1:5" x14ac:dyDescent="0.25">
      <c r="A334" s="2">
        <v>44688</v>
      </c>
      <c r="B334" s="4" t="s">
        <v>15</v>
      </c>
      <c r="C334">
        <v>1745</v>
      </c>
      <c r="D334" t="s">
        <v>8</v>
      </c>
      <c r="E334" t="str">
        <f>IF(may[[#This Row],[ShiftCounter]]&gt;0, "Running", "Down")</f>
        <v>Running</v>
      </c>
    </row>
    <row r="335" spans="1:5" x14ac:dyDescent="0.25">
      <c r="A335" s="2">
        <v>44688</v>
      </c>
      <c r="B335" s="4" t="s">
        <v>16</v>
      </c>
      <c r="C335">
        <v>2444</v>
      </c>
      <c r="D335" t="s">
        <v>6</v>
      </c>
      <c r="E335" t="str">
        <f>IF(may[[#This Row],[ShiftCounter]]&gt;0, "Running", "Down")</f>
        <v>Running</v>
      </c>
    </row>
    <row r="336" spans="1:5" x14ac:dyDescent="0.25">
      <c r="A336" s="2">
        <v>44688</v>
      </c>
      <c r="B336" s="4" t="s">
        <v>16</v>
      </c>
      <c r="C336">
        <v>2416</v>
      </c>
      <c r="D336" t="s">
        <v>7</v>
      </c>
      <c r="E336" t="str">
        <f>IF(may[[#This Row],[ShiftCounter]]&gt;0, "Running", "Down")</f>
        <v>Running</v>
      </c>
    </row>
    <row r="337" spans="1:5" x14ac:dyDescent="0.25">
      <c r="A337" s="2">
        <v>44688</v>
      </c>
      <c r="B337" s="4" t="s">
        <v>16</v>
      </c>
      <c r="C337">
        <v>2001</v>
      </c>
      <c r="D337" t="s">
        <v>8</v>
      </c>
      <c r="E337" t="str">
        <f>IF(may[[#This Row],[ShiftCounter]]&gt;0, "Running", "Down")</f>
        <v>Running</v>
      </c>
    </row>
    <row r="338" spans="1:5" x14ac:dyDescent="0.25">
      <c r="A338" s="2">
        <v>44688</v>
      </c>
      <c r="B338" s="4" t="s">
        <v>17</v>
      </c>
      <c r="C338">
        <v>2415</v>
      </c>
      <c r="D338" t="s">
        <v>6</v>
      </c>
      <c r="E338" t="str">
        <f>IF(may[[#This Row],[ShiftCounter]]&gt;0, "Running", "Down")</f>
        <v>Running</v>
      </c>
    </row>
    <row r="339" spans="1:5" x14ac:dyDescent="0.25">
      <c r="A339" s="2">
        <v>44688</v>
      </c>
      <c r="B339" s="4" t="s">
        <v>17</v>
      </c>
      <c r="C339">
        <v>2430</v>
      </c>
      <c r="D339" t="s">
        <v>7</v>
      </c>
      <c r="E339" t="str">
        <f>IF(may[[#This Row],[ShiftCounter]]&gt;0, "Running", "Down")</f>
        <v>Running</v>
      </c>
    </row>
    <row r="340" spans="1:5" x14ac:dyDescent="0.25">
      <c r="A340" s="2">
        <v>44688</v>
      </c>
      <c r="B340" s="4" t="s">
        <v>17</v>
      </c>
      <c r="C340">
        <v>2045</v>
      </c>
      <c r="D340" t="s">
        <v>8</v>
      </c>
      <c r="E340" t="str">
        <f>IF(may[[#This Row],[ShiftCounter]]&gt;0, "Running", "Down")</f>
        <v>Running</v>
      </c>
    </row>
    <row r="341" spans="1:5" x14ac:dyDescent="0.25">
      <c r="A341" s="2">
        <v>44688</v>
      </c>
      <c r="B341" s="4" t="s">
        <v>19</v>
      </c>
      <c r="C341">
        <v>2042</v>
      </c>
      <c r="D341" t="s">
        <v>6</v>
      </c>
      <c r="E341" t="str">
        <f>IF(may[[#This Row],[ShiftCounter]]&gt;0, "Running", "Down")</f>
        <v>Running</v>
      </c>
    </row>
    <row r="342" spans="1:5" x14ac:dyDescent="0.25">
      <c r="A342" s="2">
        <v>44688</v>
      </c>
      <c r="B342" s="4" t="s">
        <v>19</v>
      </c>
      <c r="C342">
        <v>2092</v>
      </c>
      <c r="D342" t="s">
        <v>7</v>
      </c>
      <c r="E342" t="str">
        <f>IF(may[[#This Row],[ShiftCounter]]&gt;0, "Running", "Down")</f>
        <v>Running</v>
      </c>
    </row>
    <row r="343" spans="1:5" x14ac:dyDescent="0.25">
      <c r="A343" s="2">
        <v>44688</v>
      </c>
      <c r="B343" s="4" t="s">
        <v>19</v>
      </c>
      <c r="C343">
        <v>1547</v>
      </c>
      <c r="D343" t="s">
        <v>8</v>
      </c>
      <c r="E343" t="str">
        <f>IF(may[[#This Row],[ShiftCounter]]&gt;0, "Running", "Down")</f>
        <v>Running</v>
      </c>
    </row>
    <row r="344" spans="1:5" x14ac:dyDescent="0.25">
      <c r="A344" s="2">
        <v>44688</v>
      </c>
      <c r="B344" s="4" t="s">
        <v>18</v>
      </c>
      <c r="C344">
        <v>2328</v>
      </c>
      <c r="D344" t="s">
        <v>6</v>
      </c>
      <c r="E344" t="str">
        <f>IF(may[[#This Row],[ShiftCounter]]&gt;0, "Running", "Down")</f>
        <v>Running</v>
      </c>
    </row>
    <row r="345" spans="1:5" x14ac:dyDescent="0.25">
      <c r="A345" s="2">
        <v>44688</v>
      </c>
      <c r="B345" s="4" t="s">
        <v>18</v>
      </c>
      <c r="C345">
        <v>2208</v>
      </c>
      <c r="D345" t="s">
        <v>7</v>
      </c>
      <c r="E345" t="str">
        <f>IF(may[[#This Row],[ShiftCounter]]&gt;0, "Running", "Down")</f>
        <v>Running</v>
      </c>
    </row>
    <row r="346" spans="1:5" x14ac:dyDescent="0.25">
      <c r="A346" s="2">
        <v>44688</v>
      </c>
      <c r="B346" s="4" t="s">
        <v>18</v>
      </c>
      <c r="C346">
        <v>1967</v>
      </c>
      <c r="D346" t="s">
        <v>8</v>
      </c>
      <c r="E346" t="str">
        <f>IF(may[[#This Row],[ShiftCounter]]&gt;0, "Running", "Down")</f>
        <v>Running</v>
      </c>
    </row>
    <row r="347" spans="1:5" x14ac:dyDescent="0.25">
      <c r="A347" s="2">
        <v>44688</v>
      </c>
      <c r="B347" s="4" t="s">
        <v>38</v>
      </c>
      <c r="C347">
        <v>2057</v>
      </c>
      <c r="D347" t="s">
        <v>6</v>
      </c>
      <c r="E347" t="str">
        <f>IF(may[[#This Row],[ShiftCounter]]&gt;0, "Running", "Down")</f>
        <v>Running</v>
      </c>
    </row>
    <row r="348" spans="1:5" x14ac:dyDescent="0.25">
      <c r="A348" s="2">
        <v>44688</v>
      </c>
      <c r="B348" s="4" t="s">
        <v>38</v>
      </c>
      <c r="C348">
        <v>2120</v>
      </c>
      <c r="D348" t="s">
        <v>7</v>
      </c>
      <c r="E348" t="str">
        <f>IF(may[[#This Row],[ShiftCounter]]&gt;0, "Running", "Down")</f>
        <v>Running</v>
      </c>
    </row>
    <row r="349" spans="1:5" x14ac:dyDescent="0.25">
      <c r="A349" s="2">
        <v>44688</v>
      </c>
      <c r="B349" s="4" t="s">
        <v>38</v>
      </c>
      <c r="C349">
        <v>1889</v>
      </c>
      <c r="D349" t="s">
        <v>8</v>
      </c>
      <c r="E349" t="str">
        <f>IF(may[[#This Row],[ShiftCounter]]&gt;0, "Running", "Down")</f>
        <v>Running</v>
      </c>
    </row>
    <row r="350" spans="1:5" x14ac:dyDescent="0.25">
      <c r="A350" s="2">
        <v>44688</v>
      </c>
      <c r="B350" s="4" t="s">
        <v>20</v>
      </c>
      <c r="C350">
        <v>944</v>
      </c>
      <c r="D350" t="s">
        <v>6</v>
      </c>
      <c r="E350" t="str">
        <f>IF(may[[#This Row],[ShiftCounter]]&gt;0, "Running", "Down")</f>
        <v>Running</v>
      </c>
    </row>
    <row r="351" spans="1:5" x14ac:dyDescent="0.25">
      <c r="A351" s="2">
        <v>44688</v>
      </c>
      <c r="B351" s="4" t="s">
        <v>20</v>
      </c>
      <c r="C351">
        <v>1869</v>
      </c>
      <c r="D351" t="s">
        <v>7</v>
      </c>
      <c r="E351" t="str">
        <f>IF(may[[#This Row],[ShiftCounter]]&gt;0, "Running", "Down")</f>
        <v>Running</v>
      </c>
    </row>
    <row r="352" spans="1:5" x14ac:dyDescent="0.25">
      <c r="A352" s="2">
        <v>44688</v>
      </c>
      <c r="B352" s="4" t="s">
        <v>20</v>
      </c>
      <c r="C352">
        <v>1850</v>
      </c>
      <c r="D352" t="s">
        <v>8</v>
      </c>
      <c r="E352" t="str">
        <f>IF(may[[#This Row],[ShiftCounter]]&gt;0, "Running", "Down")</f>
        <v>Running</v>
      </c>
    </row>
    <row r="353" spans="1:5" x14ac:dyDescent="0.25">
      <c r="A353" s="2">
        <v>44688</v>
      </c>
      <c r="B353" s="4" t="s">
        <v>21</v>
      </c>
      <c r="C353">
        <v>2027</v>
      </c>
      <c r="D353" t="s">
        <v>6</v>
      </c>
      <c r="E353" t="str">
        <f>IF(may[[#This Row],[ShiftCounter]]&gt;0, "Running", "Down")</f>
        <v>Running</v>
      </c>
    </row>
    <row r="354" spans="1:5" x14ac:dyDescent="0.25">
      <c r="A354" s="2">
        <v>44688</v>
      </c>
      <c r="B354" s="4" t="s">
        <v>21</v>
      </c>
      <c r="C354">
        <v>2104</v>
      </c>
      <c r="D354" t="s">
        <v>7</v>
      </c>
      <c r="E354" t="str">
        <f>IF(may[[#This Row],[ShiftCounter]]&gt;0, "Running", "Down")</f>
        <v>Running</v>
      </c>
    </row>
    <row r="355" spans="1:5" x14ac:dyDescent="0.25">
      <c r="A355" s="2">
        <v>44688</v>
      </c>
      <c r="B355" s="4" t="s">
        <v>21</v>
      </c>
      <c r="C355">
        <v>1871</v>
      </c>
      <c r="D355" t="s">
        <v>8</v>
      </c>
      <c r="E355" t="str">
        <f>IF(may[[#This Row],[ShiftCounter]]&gt;0, "Running", "Down")</f>
        <v>Running</v>
      </c>
    </row>
    <row r="356" spans="1:5" x14ac:dyDescent="0.25">
      <c r="A356" s="2">
        <v>44688</v>
      </c>
      <c r="B356" s="4" t="s">
        <v>22</v>
      </c>
      <c r="C356">
        <v>1840</v>
      </c>
      <c r="D356" t="s">
        <v>6</v>
      </c>
      <c r="E356" t="str">
        <f>IF(may[[#This Row],[ShiftCounter]]&gt;0, "Running", "Down")</f>
        <v>Running</v>
      </c>
    </row>
    <row r="357" spans="1:5" x14ac:dyDescent="0.25">
      <c r="A357" s="2">
        <v>44688</v>
      </c>
      <c r="B357" s="4" t="s">
        <v>22</v>
      </c>
      <c r="C357">
        <v>2178</v>
      </c>
      <c r="D357" t="s">
        <v>7</v>
      </c>
      <c r="E357" t="str">
        <f>IF(may[[#This Row],[ShiftCounter]]&gt;0, "Running", "Down")</f>
        <v>Running</v>
      </c>
    </row>
    <row r="358" spans="1:5" x14ac:dyDescent="0.25">
      <c r="A358" s="2">
        <v>44688</v>
      </c>
      <c r="B358" s="4" t="s">
        <v>22</v>
      </c>
      <c r="C358">
        <v>1924</v>
      </c>
      <c r="D358" t="s">
        <v>8</v>
      </c>
      <c r="E358" t="str">
        <f>IF(may[[#This Row],[ShiftCounter]]&gt;0, "Running", "Down")</f>
        <v>Running</v>
      </c>
    </row>
    <row r="359" spans="1:5" x14ac:dyDescent="0.25">
      <c r="A359" s="2">
        <v>44688</v>
      </c>
      <c r="B359" s="4" t="s">
        <v>23</v>
      </c>
      <c r="C359">
        <v>2386</v>
      </c>
      <c r="D359" t="s">
        <v>6</v>
      </c>
      <c r="E359" t="str">
        <f>IF(may[[#This Row],[ShiftCounter]]&gt;0, "Running", "Down")</f>
        <v>Running</v>
      </c>
    </row>
    <row r="360" spans="1:5" x14ac:dyDescent="0.25">
      <c r="A360" s="2">
        <v>44688</v>
      </c>
      <c r="B360" s="4" t="s">
        <v>23</v>
      </c>
      <c r="C360">
        <v>2296</v>
      </c>
      <c r="D360" t="s">
        <v>7</v>
      </c>
      <c r="E360" t="str">
        <f>IF(may[[#This Row],[ShiftCounter]]&gt;0, "Running", "Down")</f>
        <v>Running</v>
      </c>
    </row>
    <row r="361" spans="1:5" x14ac:dyDescent="0.25">
      <c r="A361" s="2">
        <v>44688</v>
      </c>
      <c r="B361" s="4" t="s">
        <v>23</v>
      </c>
      <c r="C361">
        <v>2115</v>
      </c>
      <c r="D361" t="s">
        <v>8</v>
      </c>
      <c r="E361" t="str">
        <f>IF(may[[#This Row],[ShiftCounter]]&gt;0, "Running", "Down")</f>
        <v>Running</v>
      </c>
    </row>
    <row r="362" spans="1:5" x14ac:dyDescent="0.25">
      <c r="A362" s="2">
        <v>44688</v>
      </c>
      <c r="B362" s="4" t="s">
        <v>24</v>
      </c>
      <c r="C362">
        <v>3992</v>
      </c>
      <c r="D362" t="s">
        <v>6</v>
      </c>
      <c r="E362" t="str">
        <f>IF(may[[#This Row],[ShiftCounter]]&gt;0, "Running", "Down")</f>
        <v>Running</v>
      </c>
    </row>
    <row r="363" spans="1:5" x14ac:dyDescent="0.25">
      <c r="A363" s="2">
        <v>44688</v>
      </c>
      <c r="B363" s="4" t="s">
        <v>24</v>
      </c>
      <c r="C363">
        <v>2040</v>
      </c>
      <c r="D363" t="s">
        <v>7</v>
      </c>
      <c r="E363" t="str">
        <f>IF(may[[#This Row],[ShiftCounter]]&gt;0, "Running", "Down")</f>
        <v>Running</v>
      </c>
    </row>
    <row r="364" spans="1:5" x14ac:dyDescent="0.25">
      <c r="A364" s="2">
        <v>44688</v>
      </c>
      <c r="B364" s="4" t="s">
        <v>24</v>
      </c>
      <c r="C364">
        <v>1888</v>
      </c>
      <c r="D364" t="s">
        <v>8</v>
      </c>
      <c r="E364" t="str">
        <f>IF(may[[#This Row],[ShiftCounter]]&gt;0, "Running", "Down")</f>
        <v>Running</v>
      </c>
    </row>
    <row r="365" spans="1:5" x14ac:dyDescent="0.25">
      <c r="A365" s="2">
        <v>44688</v>
      </c>
      <c r="B365" s="4" t="s">
        <v>25</v>
      </c>
      <c r="C365">
        <v>1995</v>
      </c>
      <c r="D365" t="s">
        <v>6</v>
      </c>
      <c r="E365" t="str">
        <f>IF(may[[#This Row],[ShiftCounter]]&gt;0, "Running", "Down")</f>
        <v>Running</v>
      </c>
    </row>
    <row r="366" spans="1:5" x14ac:dyDescent="0.25">
      <c r="A366" s="2">
        <v>44688</v>
      </c>
      <c r="B366" s="4" t="s">
        <v>25</v>
      </c>
      <c r="C366">
        <v>2124</v>
      </c>
      <c r="D366" t="s">
        <v>7</v>
      </c>
      <c r="E366" t="str">
        <f>IF(may[[#This Row],[ShiftCounter]]&gt;0, "Running", "Down")</f>
        <v>Running</v>
      </c>
    </row>
    <row r="367" spans="1:5" x14ac:dyDescent="0.25">
      <c r="A367" s="2">
        <v>44688</v>
      </c>
      <c r="B367" s="4" t="s">
        <v>25</v>
      </c>
      <c r="C367">
        <v>1657</v>
      </c>
      <c r="D367" t="s">
        <v>8</v>
      </c>
      <c r="E367" t="str">
        <f>IF(may[[#This Row],[ShiftCounter]]&gt;0, "Running", "Down")</f>
        <v>Running</v>
      </c>
    </row>
    <row r="368" spans="1:5" x14ac:dyDescent="0.25">
      <c r="A368" s="2">
        <v>44688</v>
      </c>
      <c r="B368" s="4" t="s">
        <v>26</v>
      </c>
      <c r="C368">
        <v>2219</v>
      </c>
      <c r="D368" t="s">
        <v>6</v>
      </c>
      <c r="E368" t="str">
        <f>IF(may[[#This Row],[ShiftCounter]]&gt;0, "Running", "Down")</f>
        <v>Running</v>
      </c>
    </row>
    <row r="369" spans="1:5" x14ac:dyDescent="0.25">
      <c r="A369" s="2">
        <v>44688</v>
      </c>
      <c r="B369" s="4" t="s">
        <v>26</v>
      </c>
      <c r="C369">
        <v>2109</v>
      </c>
      <c r="D369" t="s">
        <v>7</v>
      </c>
      <c r="E369" t="str">
        <f>IF(may[[#This Row],[ShiftCounter]]&gt;0, "Running", "Down")</f>
        <v>Running</v>
      </c>
    </row>
    <row r="370" spans="1:5" x14ac:dyDescent="0.25">
      <c r="A370" s="2">
        <v>44688</v>
      </c>
      <c r="B370" s="4" t="s">
        <v>26</v>
      </c>
      <c r="C370">
        <v>1954</v>
      </c>
      <c r="D370" t="s">
        <v>8</v>
      </c>
      <c r="E370" t="str">
        <f>IF(may[[#This Row],[ShiftCounter]]&gt;0, "Running", "Down")</f>
        <v>Running</v>
      </c>
    </row>
    <row r="371" spans="1:5" x14ac:dyDescent="0.25">
      <c r="A371" s="2">
        <v>44688</v>
      </c>
      <c r="B371" s="4" t="s">
        <v>27</v>
      </c>
      <c r="C371">
        <v>2135</v>
      </c>
      <c r="D371" t="s">
        <v>6</v>
      </c>
      <c r="E371" t="str">
        <f>IF(may[[#This Row],[ShiftCounter]]&gt;0, "Running", "Down")</f>
        <v>Running</v>
      </c>
    </row>
    <row r="372" spans="1:5" x14ac:dyDescent="0.25">
      <c r="A372" s="2">
        <v>44688</v>
      </c>
      <c r="B372" s="4" t="s">
        <v>27</v>
      </c>
      <c r="C372">
        <v>2173</v>
      </c>
      <c r="D372" t="s">
        <v>7</v>
      </c>
      <c r="E372" t="str">
        <f>IF(may[[#This Row],[ShiftCounter]]&gt;0, "Running", "Down")</f>
        <v>Running</v>
      </c>
    </row>
    <row r="373" spans="1:5" x14ac:dyDescent="0.25">
      <c r="A373" s="2">
        <v>44688</v>
      </c>
      <c r="B373" s="4" t="s">
        <v>27</v>
      </c>
      <c r="C373">
        <v>1536</v>
      </c>
      <c r="D373" t="s">
        <v>8</v>
      </c>
      <c r="E373" t="str">
        <f>IF(may[[#This Row],[ShiftCounter]]&gt;0, "Running", "Down")</f>
        <v>Running</v>
      </c>
    </row>
    <row r="374" spans="1:5" x14ac:dyDescent="0.25">
      <c r="A374" s="2">
        <v>44688</v>
      </c>
      <c r="B374" s="4" t="s">
        <v>28</v>
      </c>
      <c r="C374">
        <v>1380</v>
      </c>
      <c r="D374" t="s">
        <v>6</v>
      </c>
      <c r="E374" t="str">
        <f>IF(may[[#This Row],[ShiftCounter]]&gt;0, "Running", "Down")</f>
        <v>Running</v>
      </c>
    </row>
    <row r="375" spans="1:5" x14ac:dyDescent="0.25">
      <c r="A375" s="2">
        <v>44688</v>
      </c>
      <c r="B375" s="4" t="s">
        <v>28</v>
      </c>
      <c r="C375">
        <v>2094</v>
      </c>
      <c r="D375" t="s">
        <v>7</v>
      </c>
      <c r="E375" t="str">
        <f>IF(may[[#This Row],[ShiftCounter]]&gt;0, "Running", "Down")</f>
        <v>Running</v>
      </c>
    </row>
    <row r="376" spans="1:5" x14ac:dyDescent="0.25">
      <c r="A376" s="2">
        <v>44688</v>
      </c>
      <c r="B376" s="4" t="s">
        <v>28</v>
      </c>
      <c r="C376">
        <v>1915</v>
      </c>
      <c r="D376" t="s">
        <v>8</v>
      </c>
      <c r="E376" t="str">
        <f>IF(may[[#This Row],[ShiftCounter]]&gt;0, "Running", "Down")</f>
        <v>Running</v>
      </c>
    </row>
    <row r="377" spans="1:5" x14ac:dyDescent="0.25">
      <c r="A377" s="2">
        <v>44688</v>
      </c>
      <c r="B377" s="4" t="s">
        <v>29</v>
      </c>
      <c r="C377">
        <v>1224</v>
      </c>
      <c r="D377" t="s">
        <v>6</v>
      </c>
      <c r="E377" t="str">
        <f>IF(may[[#This Row],[ShiftCounter]]&gt;0, "Running", "Down")</f>
        <v>Running</v>
      </c>
    </row>
    <row r="378" spans="1:5" x14ac:dyDescent="0.25">
      <c r="A378" s="2">
        <v>44688</v>
      </c>
      <c r="B378" s="4" t="s">
        <v>29</v>
      </c>
      <c r="C378">
        <v>1950</v>
      </c>
      <c r="D378" t="s">
        <v>7</v>
      </c>
      <c r="E378" t="str">
        <f>IF(may[[#This Row],[ShiftCounter]]&gt;0, "Running", "Down")</f>
        <v>Running</v>
      </c>
    </row>
    <row r="379" spans="1:5" x14ac:dyDescent="0.25">
      <c r="A379" s="2">
        <v>44688</v>
      </c>
      <c r="B379" s="4" t="s">
        <v>29</v>
      </c>
      <c r="C379">
        <v>1796</v>
      </c>
      <c r="D379" t="s">
        <v>8</v>
      </c>
      <c r="E379" t="str">
        <f>IF(may[[#This Row],[ShiftCounter]]&gt;0, "Running", "Down")</f>
        <v>Running</v>
      </c>
    </row>
    <row r="380" spans="1:5" x14ac:dyDescent="0.25">
      <c r="A380" s="2">
        <v>44688</v>
      </c>
      <c r="B380" s="4" t="s">
        <v>30</v>
      </c>
      <c r="C380">
        <v>2217</v>
      </c>
      <c r="D380" t="s">
        <v>6</v>
      </c>
      <c r="E380" t="str">
        <f>IF(may[[#This Row],[ShiftCounter]]&gt;0, "Running", "Down")</f>
        <v>Running</v>
      </c>
    </row>
    <row r="381" spans="1:5" x14ac:dyDescent="0.25">
      <c r="A381" s="2">
        <v>44688</v>
      </c>
      <c r="B381" s="4" t="s">
        <v>30</v>
      </c>
      <c r="C381">
        <v>2157</v>
      </c>
      <c r="D381" t="s">
        <v>7</v>
      </c>
      <c r="E381" t="str">
        <f>IF(may[[#This Row],[ShiftCounter]]&gt;0, "Running", "Down")</f>
        <v>Running</v>
      </c>
    </row>
    <row r="382" spans="1:5" x14ac:dyDescent="0.25">
      <c r="A382" s="2">
        <v>44688</v>
      </c>
      <c r="B382" s="4" t="s">
        <v>30</v>
      </c>
      <c r="C382">
        <v>1952</v>
      </c>
      <c r="D382" t="s">
        <v>8</v>
      </c>
      <c r="E382" t="str">
        <f>IF(may[[#This Row],[ShiftCounter]]&gt;0, "Running", "Down")</f>
        <v>Running</v>
      </c>
    </row>
    <row r="383" spans="1:5" x14ac:dyDescent="0.25">
      <c r="A383" s="2">
        <v>44688</v>
      </c>
      <c r="B383" s="4" t="s">
        <v>31</v>
      </c>
      <c r="C383">
        <v>2165</v>
      </c>
      <c r="D383" t="s">
        <v>6</v>
      </c>
      <c r="E383" t="str">
        <f>IF(may[[#This Row],[ShiftCounter]]&gt;0, "Running", "Down")</f>
        <v>Running</v>
      </c>
    </row>
    <row r="384" spans="1:5" x14ac:dyDescent="0.25">
      <c r="A384" s="2">
        <v>44688</v>
      </c>
      <c r="B384" s="4" t="s">
        <v>31</v>
      </c>
      <c r="C384">
        <v>2156</v>
      </c>
      <c r="D384" t="s">
        <v>7</v>
      </c>
      <c r="E384" t="str">
        <f>IF(may[[#This Row],[ShiftCounter]]&gt;0, "Running", "Down")</f>
        <v>Running</v>
      </c>
    </row>
    <row r="385" spans="1:5" x14ac:dyDescent="0.25">
      <c r="A385" s="2">
        <v>44688</v>
      </c>
      <c r="B385" s="4" t="s">
        <v>31</v>
      </c>
      <c r="C385">
        <v>1930</v>
      </c>
      <c r="D385" t="s">
        <v>8</v>
      </c>
      <c r="E385" t="str">
        <f>IF(may[[#This Row],[ShiftCounter]]&gt;0, "Running", "Down")</f>
        <v>Running</v>
      </c>
    </row>
    <row r="386" spans="1:5" x14ac:dyDescent="0.25">
      <c r="A386" s="2">
        <v>44688</v>
      </c>
      <c r="B386" s="4" t="s">
        <v>32</v>
      </c>
      <c r="C386">
        <v>2350</v>
      </c>
      <c r="D386" t="s">
        <v>7</v>
      </c>
      <c r="E386" t="str">
        <f>IF(may[[#This Row],[ShiftCounter]]&gt;0, "Running", "Down")</f>
        <v>Running</v>
      </c>
    </row>
    <row r="387" spans="1:5" x14ac:dyDescent="0.25">
      <c r="A387" s="2">
        <v>44688</v>
      </c>
      <c r="B387" s="4" t="s">
        <v>32</v>
      </c>
      <c r="C387">
        <v>2022</v>
      </c>
      <c r="D387" t="s">
        <v>8</v>
      </c>
      <c r="E387" t="str">
        <f>IF(may[[#This Row],[ShiftCounter]]&gt;0, "Running", "Down")</f>
        <v>Running</v>
      </c>
    </row>
    <row r="388" spans="1:5" x14ac:dyDescent="0.25">
      <c r="A388" s="2">
        <v>44688</v>
      </c>
      <c r="B388" s="4" t="s">
        <v>33</v>
      </c>
      <c r="C388">
        <v>2015</v>
      </c>
      <c r="D388" t="s">
        <v>6</v>
      </c>
      <c r="E388" t="str">
        <f>IF(may[[#This Row],[ShiftCounter]]&gt;0, "Running", "Down")</f>
        <v>Running</v>
      </c>
    </row>
    <row r="389" spans="1:5" x14ac:dyDescent="0.25">
      <c r="A389" s="2">
        <v>44688</v>
      </c>
      <c r="B389" s="4" t="s">
        <v>33</v>
      </c>
      <c r="C389">
        <v>2387</v>
      </c>
      <c r="D389" t="s">
        <v>7</v>
      </c>
      <c r="E389" t="str">
        <f>IF(may[[#This Row],[ShiftCounter]]&gt;0, "Running", "Down")</f>
        <v>Running</v>
      </c>
    </row>
    <row r="390" spans="1:5" x14ac:dyDescent="0.25">
      <c r="A390" s="2">
        <v>44688</v>
      </c>
      <c r="B390" s="4" t="s">
        <v>33</v>
      </c>
      <c r="C390">
        <v>2107</v>
      </c>
      <c r="D390" t="s">
        <v>8</v>
      </c>
      <c r="E390" t="str">
        <f>IF(may[[#This Row],[ShiftCounter]]&gt;0, "Running", "Down")</f>
        <v>Running</v>
      </c>
    </row>
    <row r="391" spans="1:5" x14ac:dyDescent="0.25">
      <c r="A391" s="2">
        <v>44688</v>
      </c>
      <c r="B391" s="4" t="s">
        <v>34</v>
      </c>
      <c r="C391">
        <v>2016</v>
      </c>
      <c r="D391" t="s">
        <v>6</v>
      </c>
      <c r="E391" t="str">
        <f>IF(may[[#This Row],[ShiftCounter]]&gt;0, "Running", "Down")</f>
        <v>Running</v>
      </c>
    </row>
    <row r="392" spans="1:5" x14ac:dyDescent="0.25">
      <c r="A392" s="2">
        <v>44688</v>
      </c>
      <c r="B392" s="4" t="s">
        <v>34</v>
      </c>
      <c r="C392">
        <v>1992</v>
      </c>
      <c r="D392" t="s">
        <v>7</v>
      </c>
      <c r="E392" t="str">
        <f>IF(may[[#This Row],[ShiftCounter]]&gt;0, "Running", "Down")</f>
        <v>Running</v>
      </c>
    </row>
    <row r="393" spans="1:5" x14ac:dyDescent="0.25">
      <c r="A393" s="2">
        <v>44688</v>
      </c>
      <c r="B393" s="4" t="s">
        <v>34</v>
      </c>
      <c r="C393">
        <v>1802</v>
      </c>
      <c r="D393" t="s">
        <v>8</v>
      </c>
      <c r="E393" t="str">
        <f>IF(may[[#This Row],[ShiftCounter]]&gt;0, "Running", "Down")</f>
        <v>Running</v>
      </c>
    </row>
    <row r="394" spans="1:5" x14ac:dyDescent="0.25">
      <c r="A394" s="2">
        <v>44688</v>
      </c>
      <c r="B394" s="4" t="s">
        <v>35</v>
      </c>
      <c r="C394">
        <v>1654</v>
      </c>
      <c r="D394" t="s">
        <v>6</v>
      </c>
      <c r="E394" t="str">
        <f>IF(may[[#This Row],[ShiftCounter]]&gt;0, "Running", "Down")</f>
        <v>Running</v>
      </c>
    </row>
    <row r="395" spans="1:5" x14ac:dyDescent="0.25">
      <c r="A395" s="2">
        <v>44688</v>
      </c>
      <c r="B395" s="4" t="s">
        <v>35</v>
      </c>
      <c r="C395">
        <v>2438</v>
      </c>
      <c r="D395" t="s">
        <v>7</v>
      </c>
      <c r="E395" t="str">
        <f>IF(may[[#This Row],[ShiftCounter]]&gt;0, "Running", "Down")</f>
        <v>Running</v>
      </c>
    </row>
    <row r="396" spans="1:5" x14ac:dyDescent="0.25">
      <c r="A396" s="2">
        <v>44688</v>
      </c>
      <c r="B396" s="4" t="s">
        <v>35</v>
      </c>
      <c r="C396">
        <v>2070</v>
      </c>
      <c r="D396" t="s">
        <v>8</v>
      </c>
      <c r="E396" t="str">
        <f>IF(may[[#This Row],[ShiftCounter]]&gt;0, "Running", "Down")</f>
        <v>Running</v>
      </c>
    </row>
    <row r="397" spans="1:5" x14ac:dyDescent="0.25">
      <c r="A397" s="2">
        <v>44688</v>
      </c>
      <c r="B397" s="4" t="s">
        <v>36</v>
      </c>
      <c r="C397">
        <v>2210</v>
      </c>
      <c r="D397" t="s">
        <v>6</v>
      </c>
      <c r="E397" t="str">
        <f>IF(may[[#This Row],[ShiftCounter]]&gt;0, "Running", "Down")</f>
        <v>Running</v>
      </c>
    </row>
    <row r="398" spans="1:5" x14ac:dyDescent="0.25">
      <c r="A398" s="2">
        <v>44688</v>
      </c>
      <c r="B398" s="4" t="s">
        <v>36</v>
      </c>
      <c r="C398">
        <v>2294</v>
      </c>
      <c r="D398" t="s">
        <v>7</v>
      </c>
      <c r="E398" t="str">
        <f>IF(may[[#This Row],[ShiftCounter]]&gt;0, "Running", "Down")</f>
        <v>Running</v>
      </c>
    </row>
    <row r="399" spans="1:5" x14ac:dyDescent="0.25">
      <c r="A399" s="2">
        <v>44688</v>
      </c>
      <c r="B399" s="4" t="s">
        <v>36</v>
      </c>
      <c r="C399">
        <v>1984</v>
      </c>
      <c r="D399" t="s">
        <v>8</v>
      </c>
      <c r="E399" t="str">
        <f>IF(may[[#This Row],[ShiftCounter]]&gt;0, "Running", "Down")</f>
        <v>Running</v>
      </c>
    </row>
    <row r="400" spans="1:5" x14ac:dyDescent="0.25">
      <c r="A400" s="2">
        <v>44688</v>
      </c>
      <c r="B400" s="4" t="s">
        <v>37</v>
      </c>
      <c r="C400">
        <v>2375</v>
      </c>
      <c r="D400" t="s">
        <v>6</v>
      </c>
      <c r="E400" t="str">
        <f>IF(may[[#This Row],[ShiftCounter]]&gt;0, "Running", "Down")</f>
        <v>Running</v>
      </c>
    </row>
    <row r="401" spans="1:5" x14ac:dyDescent="0.25">
      <c r="A401" s="2">
        <v>44688</v>
      </c>
      <c r="B401" s="4" t="s">
        <v>37</v>
      </c>
      <c r="C401">
        <v>2387</v>
      </c>
      <c r="D401" t="s">
        <v>7</v>
      </c>
      <c r="E401" t="str">
        <f>IF(may[[#This Row],[ShiftCounter]]&gt;0, "Running", "Down")</f>
        <v>Running</v>
      </c>
    </row>
    <row r="402" spans="1:5" x14ac:dyDescent="0.25">
      <c r="A402" s="2">
        <v>44688</v>
      </c>
      <c r="B402" s="4" t="s">
        <v>37</v>
      </c>
      <c r="C402">
        <v>1986</v>
      </c>
      <c r="D402" t="s">
        <v>8</v>
      </c>
      <c r="E402" t="str">
        <f>IF(may[[#This Row],[ShiftCounter]]&gt;0, "Running", "Down")</f>
        <v>Running</v>
      </c>
    </row>
    <row r="403" spans="1:5" x14ac:dyDescent="0.25">
      <c r="A403" s="2">
        <v>44687</v>
      </c>
      <c r="B403" s="4" t="s">
        <v>40</v>
      </c>
      <c r="C403">
        <v>1873</v>
      </c>
      <c r="D403" t="s">
        <v>6</v>
      </c>
      <c r="E403" t="str">
        <f>IF(may[[#This Row],[ShiftCounter]]&gt;0, "Running", "Down")</f>
        <v>Running</v>
      </c>
    </row>
    <row r="404" spans="1:5" x14ac:dyDescent="0.25">
      <c r="A404" s="2">
        <v>44687</v>
      </c>
      <c r="B404" s="4" t="s">
        <v>40</v>
      </c>
      <c r="C404">
        <v>2228</v>
      </c>
      <c r="D404" t="s">
        <v>7</v>
      </c>
      <c r="E404" t="str">
        <f>IF(may[[#This Row],[ShiftCounter]]&gt;0, "Running", "Down")</f>
        <v>Running</v>
      </c>
    </row>
    <row r="405" spans="1:5" x14ac:dyDescent="0.25">
      <c r="A405" s="2">
        <v>44687</v>
      </c>
      <c r="B405" s="4" t="s">
        <v>40</v>
      </c>
      <c r="C405">
        <v>2117</v>
      </c>
      <c r="D405" t="s">
        <v>8</v>
      </c>
      <c r="E405" t="str">
        <f>IF(may[[#This Row],[ShiftCounter]]&gt;0, "Running", "Down")</f>
        <v>Running</v>
      </c>
    </row>
    <row r="406" spans="1:5" x14ac:dyDescent="0.25">
      <c r="A406" s="2">
        <v>44687</v>
      </c>
      <c r="B406" s="4" t="s">
        <v>39</v>
      </c>
      <c r="C406">
        <v>1189</v>
      </c>
      <c r="D406" t="s">
        <v>6</v>
      </c>
      <c r="E406" t="str">
        <f>IF(may[[#This Row],[ShiftCounter]]&gt;0, "Running", "Down")</f>
        <v>Running</v>
      </c>
    </row>
    <row r="407" spans="1:5" x14ac:dyDescent="0.25">
      <c r="A407" s="2">
        <v>44687</v>
      </c>
      <c r="B407" s="4" t="s">
        <v>39</v>
      </c>
      <c r="C407">
        <v>1937</v>
      </c>
      <c r="D407" t="s">
        <v>7</v>
      </c>
      <c r="E407" t="str">
        <f>IF(may[[#This Row],[ShiftCounter]]&gt;0, "Running", "Down")</f>
        <v>Running</v>
      </c>
    </row>
    <row r="408" spans="1:5" x14ac:dyDescent="0.25">
      <c r="A408" s="2">
        <v>44687</v>
      </c>
      <c r="B408" s="4" t="s">
        <v>39</v>
      </c>
      <c r="C408">
        <v>1849</v>
      </c>
      <c r="D408" t="s">
        <v>8</v>
      </c>
      <c r="E408" t="str">
        <f>IF(may[[#This Row],[ShiftCounter]]&gt;0, "Running", "Down")</f>
        <v>Running</v>
      </c>
    </row>
    <row r="409" spans="1:5" x14ac:dyDescent="0.25">
      <c r="A409" s="2">
        <v>44687</v>
      </c>
      <c r="B409" s="4" t="s">
        <v>41</v>
      </c>
      <c r="C409">
        <v>2513</v>
      </c>
      <c r="D409" t="s">
        <v>6</v>
      </c>
      <c r="E409" t="str">
        <f>IF(may[[#This Row],[ShiftCounter]]&gt;0, "Running", "Down")</f>
        <v>Running</v>
      </c>
    </row>
    <row r="410" spans="1:5" x14ac:dyDescent="0.25">
      <c r="A410" s="2">
        <v>44687</v>
      </c>
      <c r="B410" s="4" t="s">
        <v>41</v>
      </c>
      <c r="C410">
        <v>2197</v>
      </c>
      <c r="D410" t="s">
        <v>7</v>
      </c>
      <c r="E410" t="str">
        <f>IF(may[[#This Row],[ShiftCounter]]&gt;0, "Running", "Down")</f>
        <v>Running</v>
      </c>
    </row>
    <row r="411" spans="1:5" x14ac:dyDescent="0.25">
      <c r="A411" s="2">
        <v>44687</v>
      </c>
      <c r="B411" s="4" t="s">
        <v>41</v>
      </c>
      <c r="C411">
        <v>2215</v>
      </c>
      <c r="D411" t="s">
        <v>8</v>
      </c>
      <c r="E411" t="str">
        <f>IF(may[[#This Row],[ShiftCounter]]&gt;0, "Running", "Down")</f>
        <v>Running</v>
      </c>
    </row>
    <row r="412" spans="1:5" x14ac:dyDescent="0.25">
      <c r="A412" s="2">
        <v>44687</v>
      </c>
      <c r="B412" s="4" t="s">
        <v>5</v>
      </c>
      <c r="C412">
        <v>2253</v>
      </c>
      <c r="D412" t="s">
        <v>6</v>
      </c>
      <c r="E412" t="str">
        <f>IF(may[[#This Row],[ShiftCounter]]&gt;0, "Running", "Down")</f>
        <v>Running</v>
      </c>
    </row>
    <row r="413" spans="1:5" x14ac:dyDescent="0.25">
      <c r="A413" s="2">
        <v>44687</v>
      </c>
      <c r="B413" s="4" t="s">
        <v>5</v>
      </c>
      <c r="C413">
        <v>2351</v>
      </c>
      <c r="D413" t="s">
        <v>7</v>
      </c>
      <c r="E413" t="str">
        <f>IF(may[[#This Row],[ShiftCounter]]&gt;0, "Running", "Down")</f>
        <v>Running</v>
      </c>
    </row>
    <row r="414" spans="1:5" x14ac:dyDescent="0.25">
      <c r="A414" s="2">
        <v>44687</v>
      </c>
      <c r="B414" s="4" t="s">
        <v>5</v>
      </c>
      <c r="C414">
        <v>1886</v>
      </c>
      <c r="D414" t="s">
        <v>8</v>
      </c>
      <c r="E414" t="str">
        <f>IF(may[[#This Row],[ShiftCounter]]&gt;0, "Running", "Down")</f>
        <v>Running</v>
      </c>
    </row>
    <row r="415" spans="1:5" x14ac:dyDescent="0.25">
      <c r="A415" s="2">
        <v>44687</v>
      </c>
      <c r="B415" s="4" t="s">
        <v>9</v>
      </c>
      <c r="C415">
        <v>2391</v>
      </c>
      <c r="D415" t="s">
        <v>6</v>
      </c>
      <c r="E415" t="str">
        <f>IF(may[[#This Row],[ShiftCounter]]&gt;0, "Running", "Down")</f>
        <v>Running</v>
      </c>
    </row>
    <row r="416" spans="1:5" x14ac:dyDescent="0.25">
      <c r="A416" s="2">
        <v>44687</v>
      </c>
      <c r="B416" s="4" t="s">
        <v>9</v>
      </c>
      <c r="C416">
        <v>2257</v>
      </c>
      <c r="D416" t="s">
        <v>7</v>
      </c>
      <c r="E416" t="str">
        <f>IF(may[[#This Row],[ShiftCounter]]&gt;0, "Running", "Down")</f>
        <v>Running</v>
      </c>
    </row>
    <row r="417" spans="1:5" x14ac:dyDescent="0.25">
      <c r="A417" s="2">
        <v>44687</v>
      </c>
      <c r="B417" s="4" t="s">
        <v>9</v>
      </c>
      <c r="C417">
        <v>2103</v>
      </c>
      <c r="D417" t="s">
        <v>8</v>
      </c>
      <c r="E417" t="str">
        <f>IF(may[[#This Row],[ShiftCounter]]&gt;0, "Running", "Down")</f>
        <v>Running</v>
      </c>
    </row>
    <row r="418" spans="1:5" x14ac:dyDescent="0.25">
      <c r="A418" s="2">
        <v>44687</v>
      </c>
      <c r="B418" s="4" t="s">
        <v>10</v>
      </c>
      <c r="C418">
        <v>2384</v>
      </c>
      <c r="D418" t="s">
        <v>6</v>
      </c>
      <c r="E418" t="str">
        <f>IF(may[[#This Row],[ShiftCounter]]&gt;0, "Running", "Down")</f>
        <v>Running</v>
      </c>
    </row>
    <row r="419" spans="1:5" x14ac:dyDescent="0.25">
      <c r="A419" s="2">
        <v>44687</v>
      </c>
      <c r="B419" s="4" t="s">
        <v>10</v>
      </c>
      <c r="C419">
        <v>2265</v>
      </c>
      <c r="D419" t="s">
        <v>7</v>
      </c>
      <c r="E419" t="str">
        <f>IF(may[[#This Row],[ShiftCounter]]&gt;0, "Running", "Down")</f>
        <v>Running</v>
      </c>
    </row>
    <row r="420" spans="1:5" x14ac:dyDescent="0.25">
      <c r="A420" s="2">
        <v>44687</v>
      </c>
      <c r="B420" s="4" t="s">
        <v>10</v>
      </c>
      <c r="C420">
        <v>2095</v>
      </c>
      <c r="D420" t="s">
        <v>8</v>
      </c>
      <c r="E420" t="str">
        <f>IF(may[[#This Row],[ShiftCounter]]&gt;0, "Running", "Down")</f>
        <v>Running</v>
      </c>
    </row>
    <row r="421" spans="1:5" x14ac:dyDescent="0.25">
      <c r="A421" s="2">
        <v>44687</v>
      </c>
      <c r="B421" s="4" t="s">
        <v>11</v>
      </c>
      <c r="C421">
        <v>2501</v>
      </c>
      <c r="D421" t="s">
        <v>6</v>
      </c>
      <c r="E421" t="str">
        <f>IF(may[[#This Row],[ShiftCounter]]&gt;0, "Running", "Down")</f>
        <v>Running</v>
      </c>
    </row>
    <row r="422" spans="1:5" x14ac:dyDescent="0.25">
      <c r="A422" s="2">
        <v>44687</v>
      </c>
      <c r="B422" s="4" t="s">
        <v>11</v>
      </c>
      <c r="C422">
        <v>2349</v>
      </c>
      <c r="D422" t="s">
        <v>7</v>
      </c>
      <c r="E422" t="str">
        <f>IF(may[[#This Row],[ShiftCounter]]&gt;0, "Running", "Down")</f>
        <v>Running</v>
      </c>
    </row>
    <row r="423" spans="1:5" x14ac:dyDescent="0.25">
      <c r="A423" s="2">
        <v>44687</v>
      </c>
      <c r="B423" s="4" t="s">
        <v>11</v>
      </c>
      <c r="C423">
        <v>2183</v>
      </c>
      <c r="D423" t="s">
        <v>8</v>
      </c>
      <c r="E423" t="str">
        <f>IF(may[[#This Row],[ShiftCounter]]&gt;0, "Running", "Down")</f>
        <v>Running</v>
      </c>
    </row>
    <row r="424" spans="1:5" x14ac:dyDescent="0.25">
      <c r="A424" s="2">
        <v>44687</v>
      </c>
      <c r="B424" s="4" t="s">
        <v>12</v>
      </c>
      <c r="C424">
        <v>2178</v>
      </c>
      <c r="D424" t="s">
        <v>6</v>
      </c>
      <c r="E424" t="str">
        <f>IF(may[[#This Row],[ShiftCounter]]&gt;0, "Running", "Down")</f>
        <v>Running</v>
      </c>
    </row>
    <row r="425" spans="1:5" x14ac:dyDescent="0.25">
      <c r="A425" s="2">
        <v>44687</v>
      </c>
      <c r="B425" s="4" t="s">
        <v>12</v>
      </c>
      <c r="C425">
        <v>2237</v>
      </c>
      <c r="D425" t="s">
        <v>7</v>
      </c>
      <c r="E425" t="str">
        <f>IF(may[[#This Row],[ShiftCounter]]&gt;0, "Running", "Down")</f>
        <v>Running</v>
      </c>
    </row>
    <row r="426" spans="1:5" x14ac:dyDescent="0.25">
      <c r="A426" s="2">
        <v>44687</v>
      </c>
      <c r="B426" s="4" t="s">
        <v>12</v>
      </c>
      <c r="C426">
        <v>1990</v>
      </c>
      <c r="D426" t="s">
        <v>8</v>
      </c>
      <c r="E426" t="str">
        <f>IF(may[[#This Row],[ShiftCounter]]&gt;0, "Running", "Down")</f>
        <v>Running</v>
      </c>
    </row>
    <row r="427" spans="1:5" x14ac:dyDescent="0.25">
      <c r="A427" s="2">
        <v>44687</v>
      </c>
      <c r="B427" s="4" t="s">
        <v>13</v>
      </c>
      <c r="C427">
        <v>2218</v>
      </c>
      <c r="D427" t="s">
        <v>6</v>
      </c>
      <c r="E427" t="str">
        <f>IF(may[[#This Row],[ShiftCounter]]&gt;0, "Running", "Down")</f>
        <v>Running</v>
      </c>
    </row>
    <row r="428" spans="1:5" x14ac:dyDescent="0.25">
      <c r="A428" s="2">
        <v>44687</v>
      </c>
      <c r="B428" s="4" t="s">
        <v>13</v>
      </c>
      <c r="C428">
        <v>2335</v>
      </c>
      <c r="D428" t="s">
        <v>7</v>
      </c>
      <c r="E428" t="str">
        <f>IF(may[[#This Row],[ShiftCounter]]&gt;0, "Running", "Down")</f>
        <v>Running</v>
      </c>
    </row>
    <row r="429" spans="1:5" x14ac:dyDescent="0.25">
      <c r="A429" s="2">
        <v>44687</v>
      </c>
      <c r="B429" s="4" t="s">
        <v>13</v>
      </c>
      <c r="C429">
        <v>1956</v>
      </c>
      <c r="D429" t="s">
        <v>8</v>
      </c>
      <c r="E429" t="str">
        <f>IF(may[[#This Row],[ShiftCounter]]&gt;0, "Running", "Down")</f>
        <v>Running</v>
      </c>
    </row>
    <row r="430" spans="1:5" x14ac:dyDescent="0.25">
      <c r="A430" s="2">
        <v>44687</v>
      </c>
      <c r="B430" s="4" t="s">
        <v>14</v>
      </c>
      <c r="C430">
        <v>1734</v>
      </c>
      <c r="D430" t="s">
        <v>6</v>
      </c>
      <c r="E430" t="str">
        <f>IF(may[[#This Row],[ShiftCounter]]&gt;0, "Running", "Down")</f>
        <v>Running</v>
      </c>
    </row>
    <row r="431" spans="1:5" x14ac:dyDescent="0.25">
      <c r="A431" s="2">
        <v>44687</v>
      </c>
      <c r="B431" s="4" t="s">
        <v>14</v>
      </c>
      <c r="C431">
        <v>1877</v>
      </c>
      <c r="D431" t="s">
        <v>7</v>
      </c>
      <c r="E431" t="str">
        <f>IF(may[[#This Row],[ShiftCounter]]&gt;0, "Running", "Down")</f>
        <v>Running</v>
      </c>
    </row>
    <row r="432" spans="1:5" x14ac:dyDescent="0.25">
      <c r="A432" s="2">
        <v>44687</v>
      </c>
      <c r="B432" s="4" t="s">
        <v>14</v>
      </c>
      <c r="C432">
        <v>1541</v>
      </c>
      <c r="D432" t="s">
        <v>8</v>
      </c>
      <c r="E432" t="str">
        <f>IF(may[[#This Row],[ShiftCounter]]&gt;0, "Running", "Down")</f>
        <v>Running</v>
      </c>
    </row>
    <row r="433" spans="1:5" x14ac:dyDescent="0.25">
      <c r="A433" s="2">
        <v>44687</v>
      </c>
      <c r="B433" s="4" t="s">
        <v>15</v>
      </c>
      <c r="C433">
        <v>2053</v>
      </c>
      <c r="D433" t="s">
        <v>6</v>
      </c>
      <c r="E433" t="str">
        <f>IF(may[[#This Row],[ShiftCounter]]&gt;0, "Running", "Down")</f>
        <v>Running</v>
      </c>
    </row>
    <row r="434" spans="1:5" x14ac:dyDescent="0.25">
      <c r="A434" s="2">
        <v>44687</v>
      </c>
      <c r="B434" s="4" t="s">
        <v>15</v>
      </c>
      <c r="C434">
        <v>2198</v>
      </c>
      <c r="D434" t="s">
        <v>7</v>
      </c>
      <c r="E434" t="str">
        <f>IF(may[[#This Row],[ShiftCounter]]&gt;0, "Running", "Down")</f>
        <v>Running</v>
      </c>
    </row>
    <row r="435" spans="1:5" x14ac:dyDescent="0.25">
      <c r="A435" s="2">
        <v>44687</v>
      </c>
      <c r="B435" s="4" t="s">
        <v>15</v>
      </c>
      <c r="C435">
        <v>1810</v>
      </c>
      <c r="D435" t="s">
        <v>8</v>
      </c>
      <c r="E435" t="str">
        <f>IF(may[[#This Row],[ShiftCounter]]&gt;0, "Running", "Down")</f>
        <v>Running</v>
      </c>
    </row>
    <row r="436" spans="1:5" x14ac:dyDescent="0.25">
      <c r="A436" s="2">
        <v>44687</v>
      </c>
      <c r="B436" s="4" t="s">
        <v>16</v>
      </c>
      <c r="C436">
        <v>2253</v>
      </c>
      <c r="D436" t="s">
        <v>6</v>
      </c>
      <c r="E436" t="str">
        <f>IF(may[[#This Row],[ShiftCounter]]&gt;0, "Running", "Down")</f>
        <v>Running</v>
      </c>
    </row>
    <row r="437" spans="1:5" x14ac:dyDescent="0.25">
      <c r="A437" s="2">
        <v>44687</v>
      </c>
      <c r="B437" s="4" t="s">
        <v>16</v>
      </c>
      <c r="C437">
        <v>2432</v>
      </c>
      <c r="D437" t="s">
        <v>7</v>
      </c>
      <c r="E437" t="str">
        <f>IF(may[[#This Row],[ShiftCounter]]&gt;0, "Running", "Down")</f>
        <v>Running</v>
      </c>
    </row>
    <row r="438" spans="1:5" x14ac:dyDescent="0.25">
      <c r="A438" s="2">
        <v>44687</v>
      </c>
      <c r="B438" s="4" t="s">
        <v>16</v>
      </c>
      <c r="C438">
        <v>2035</v>
      </c>
      <c r="D438" t="s">
        <v>8</v>
      </c>
      <c r="E438" t="str">
        <f>IF(may[[#This Row],[ShiftCounter]]&gt;0, "Running", "Down")</f>
        <v>Running</v>
      </c>
    </row>
    <row r="439" spans="1:5" x14ac:dyDescent="0.25">
      <c r="A439" s="2">
        <v>44687</v>
      </c>
      <c r="B439" s="4" t="s">
        <v>17</v>
      </c>
      <c r="C439">
        <v>4660</v>
      </c>
      <c r="D439" t="s">
        <v>7</v>
      </c>
      <c r="E439" t="str">
        <f>IF(may[[#This Row],[ShiftCounter]]&gt;0, "Running", "Down")</f>
        <v>Running</v>
      </c>
    </row>
    <row r="440" spans="1:5" x14ac:dyDescent="0.25">
      <c r="A440" s="2">
        <v>44687</v>
      </c>
      <c r="B440" s="4" t="s">
        <v>17</v>
      </c>
      <c r="C440">
        <v>2061</v>
      </c>
      <c r="D440" t="s">
        <v>8</v>
      </c>
      <c r="E440" t="str">
        <f>IF(may[[#This Row],[ShiftCounter]]&gt;0, "Running", "Down")</f>
        <v>Running</v>
      </c>
    </row>
    <row r="441" spans="1:5" x14ac:dyDescent="0.25">
      <c r="A441" s="2">
        <v>44687</v>
      </c>
      <c r="B441" s="4" t="s">
        <v>19</v>
      </c>
      <c r="C441">
        <v>1947</v>
      </c>
      <c r="D441" t="s">
        <v>6</v>
      </c>
      <c r="E441" t="str">
        <f>IF(may[[#This Row],[ShiftCounter]]&gt;0, "Running", "Down")</f>
        <v>Running</v>
      </c>
    </row>
    <row r="442" spans="1:5" x14ac:dyDescent="0.25">
      <c r="A442" s="2">
        <v>44687</v>
      </c>
      <c r="B442" s="4" t="s">
        <v>19</v>
      </c>
      <c r="C442">
        <v>2012</v>
      </c>
      <c r="D442" t="s">
        <v>7</v>
      </c>
      <c r="E442" t="str">
        <f>IF(may[[#This Row],[ShiftCounter]]&gt;0, "Running", "Down")</f>
        <v>Running</v>
      </c>
    </row>
    <row r="443" spans="1:5" x14ac:dyDescent="0.25">
      <c r="A443" s="2">
        <v>44687</v>
      </c>
      <c r="B443" s="4" t="s">
        <v>19</v>
      </c>
      <c r="C443">
        <v>1730</v>
      </c>
      <c r="D443" t="s">
        <v>8</v>
      </c>
      <c r="E443" t="str">
        <f>IF(may[[#This Row],[ShiftCounter]]&gt;0, "Running", "Down")</f>
        <v>Running</v>
      </c>
    </row>
    <row r="444" spans="1:5" x14ac:dyDescent="0.25">
      <c r="A444" s="2">
        <v>44687</v>
      </c>
      <c r="B444" s="4" t="s">
        <v>18</v>
      </c>
      <c r="C444">
        <v>2304</v>
      </c>
      <c r="D444" t="s">
        <v>6</v>
      </c>
      <c r="E444" t="str">
        <f>IF(may[[#This Row],[ShiftCounter]]&gt;0, "Running", "Down")</f>
        <v>Running</v>
      </c>
    </row>
    <row r="445" spans="1:5" x14ac:dyDescent="0.25">
      <c r="A445" s="2">
        <v>44687</v>
      </c>
      <c r="B445" s="4" t="s">
        <v>18</v>
      </c>
      <c r="C445">
        <v>2345</v>
      </c>
      <c r="D445" t="s">
        <v>7</v>
      </c>
      <c r="E445" t="str">
        <f>IF(may[[#This Row],[ShiftCounter]]&gt;0, "Running", "Down")</f>
        <v>Running</v>
      </c>
    </row>
    <row r="446" spans="1:5" x14ac:dyDescent="0.25">
      <c r="A446" s="2">
        <v>44687</v>
      </c>
      <c r="B446" s="4" t="s">
        <v>18</v>
      </c>
      <c r="C446">
        <v>1890</v>
      </c>
      <c r="D446" t="s">
        <v>8</v>
      </c>
      <c r="E446" t="str">
        <f>IF(may[[#This Row],[ShiftCounter]]&gt;0, "Running", "Down")</f>
        <v>Running</v>
      </c>
    </row>
    <row r="447" spans="1:5" x14ac:dyDescent="0.25">
      <c r="A447" s="2">
        <v>44687</v>
      </c>
      <c r="B447" s="4" t="s">
        <v>42</v>
      </c>
      <c r="C447">
        <v>0</v>
      </c>
      <c r="D447" t="s">
        <v>8</v>
      </c>
      <c r="E447" t="str">
        <f>IF(may[[#This Row],[ShiftCounter]]&gt;0, "Running", "Down")</f>
        <v>Down</v>
      </c>
    </row>
    <row r="448" spans="1:5" x14ac:dyDescent="0.25">
      <c r="A448" s="2">
        <v>44687</v>
      </c>
      <c r="B448" s="4" t="s">
        <v>38</v>
      </c>
      <c r="C448">
        <v>1987</v>
      </c>
      <c r="D448" t="s">
        <v>6</v>
      </c>
      <c r="E448" t="str">
        <f>IF(may[[#This Row],[ShiftCounter]]&gt;0, "Running", "Down")</f>
        <v>Running</v>
      </c>
    </row>
    <row r="449" spans="1:5" x14ac:dyDescent="0.25">
      <c r="A449" s="2">
        <v>44687</v>
      </c>
      <c r="B449" s="4" t="s">
        <v>38</v>
      </c>
      <c r="C449">
        <v>2127</v>
      </c>
      <c r="D449" t="s">
        <v>7</v>
      </c>
      <c r="E449" t="str">
        <f>IF(may[[#This Row],[ShiftCounter]]&gt;0, "Running", "Down")</f>
        <v>Running</v>
      </c>
    </row>
    <row r="450" spans="1:5" x14ac:dyDescent="0.25">
      <c r="A450" s="2">
        <v>44687</v>
      </c>
      <c r="B450" s="4" t="s">
        <v>38</v>
      </c>
      <c r="C450">
        <v>1878</v>
      </c>
      <c r="D450" t="s">
        <v>8</v>
      </c>
      <c r="E450" t="str">
        <f>IF(may[[#This Row],[ShiftCounter]]&gt;0, "Running", "Down")</f>
        <v>Running</v>
      </c>
    </row>
    <row r="451" spans="1:5" x14ac:dyDescent="0.25">
      <c r="A451" s="2">
        <v>44687</v>
      </c>
      <c r="B451" s="4" t="s">
        <v>20</v>
      </c>
      <c r="C451">
        <v>2111</v>
      </c>
      <c r="D451" t="s">
        <v>6</v>
      </c>
      <c r="E451" t="str">
        <f>IF(may[[#This Row],[ShiftCounter]]&gt;0, "Running", "Down")</f>
        <v>Running</v>
      </c>
    </row>
    <row r="452" spans="1:5" x14ac:dyDescent="0.25">
      <c r="A452" s="2">
        <v>44687</v>
      </c>
      <c r="B452" s="4" t="s">
        <v>20</v>
      </c>
      <c r="C452">
        <v>2147</v>
      </c>
      <c r="D452" t="s">
        <v>7</v>
      </c>
      <c r="E452" t="str">
        <f>IF(may[[#This Row],[ShiftCounter]]&gt;0, "Running", "Down")</f>
        <v>Running</v>
      </c>
    </row>
    <row r="453" spans="1:5" x14ac:dyDescent="0.25">
      <c r="A453" s="2">
        <v>44687</v>
      </c>
      <c r="B453" s="4" t="s">
        <v>20</v>
      </c>
      <c r="C453">
        <v>1888</v>
      </c>
      <c r="D453" t="s">
        <v>8</v>
      </c>
      <c r="E453" t="str">
        <f>IF(may[[#This Row],[ShiftCounter]]&gt;0, "Running", "Down")</f>
        <v>Running</v>
      </c>
    </row>
    <row r="454" spans="1:5" x14ac:dyDescent="0.25">
      <c r="A454" s="2">
        <v>44687</v>
      </c>
      <c r="B454" s="4" t="s">
        <v>21</v>
      </c>
      <c r="C454">
        <v>1978</v>
      </c>
      <c r="D454" t="s">
        <v>6</v>
      </c>
      <c r="E454" t="str">
        <f>IF(may[[#This Row],[ShiftCounter]]&gt;0, "Running", "Down")</f>
        <v>Running</v>
      </c>
    </row>
    <row r="455" spans="1:5" x14ac:dyDescent="0.25">
      <c r="A455" s="2">
        <v>44687</v>
      </c>
      <c r="B455" s="4" t="s">
        <v>21</v>
      </c>
      <c r="C455">
        <v>2063</v>
      </c>
      <c r="D455" t="s">
        <v>7</v>
      </c>
      <c r="E455" t="str">
        <f>IF(may[[#This Row],[ShiftCounter]]&gt;0, "Running", "Down")</f>
        <v>Running</v>
      </c>
    </row>
    <row r="456" spans="1:5" x14ac:dyDescent="0.25">
      <c r="A456" s="2">
        <v>44687</v>
      </c>
      <c r="B456" s="4" t="s">
        <v>21</v>
      </c>
      <c r="C456">
        <v>1840</v>
      </c>
      <c r="D456" t="s">
        <v>8</v>
      </c>
      <c r="E456" t="str">
        <f>IF(may[[#This Row],[ShiftCounter]]&gt;0, "Running", "Down")</f>
        <v>Running</v>
      </c>
    </row>
    <row r="457" spans="1:5" x14ac:dyDescent="0.25">
      <c r="A457" s="2">
        <v>44687</v>
      </c>
      <c r="B457" s="4" t="s">
        <v>22</v>
      </c>
      <c r="C457">
        <v>2184</v>
      </c>
      <c r="D457" t="s">
        <v>6</v>
      </c>
      <c r="E457" t="str">
        <f>IF(may[[#This Row],[ShiftCounter]]&gt;0, "Running", "Down")</f>
        <v>Running</v>
      </c>
    </row>
    <row r="458" spans="1:5" x14ac:dyDescent="0.25">
      <c r="A458" s="2">
        <v>44687</v>
      </c>
      <c r="B458" s="4" t="s">
        <v>22</v>
      </c>
      <c r="C458">
        <v>2195</v>
      </c>
      <c r="D458" t="s">
        <v>7</v>
      </c>
      <c r="E458" t="str">
        <f>IF(may[[#This Row],[ShiftCounter]]&gt;0, "Running", "Down")</f>
        <v>Running</v>
      </c>
    </row>
    <row r="459" spans="1:5" x14ac:dyDescent="0.25">
      <c r="A459" s="2">
        <v>44687</v>
      </c>
      <c r="B459" s="4" t="s">
        <v>22</v>
      </c>
      <c r="C459">
        <v>1985</v>
      </c>
      <c r="D459" t="s">
        <v>8</v>
      </c>
      <c r="E459" t="str">
        <f>IF(may[[#This Row],[ShiftCounter]]&gt;0, "Running", "Down")</f>
        <v>Running</v>
      </c>
    </row>
    <row r="460" spans="1:5" x14ac:dyDescent="0.25">
      <c r="A460" s="2">
        <v>44687</v>
      </c>
      <c r="B460" s="4" t="s">
        <v>23</v>
      </c>
      <c r="C460">
        <v>2216</v>
      </c>
      <c r="D460" t="s">
        <v>6</v>
      </c>
      <c r="E460" t="str">
        <f>IF(may[[#This Row],[ShiftCounter]]&gt;0, "Running", "Down")</f>
        <v>Running</v>
      </c>
    </row>
    <row r="461" spans="1:5" x14ac:dyDescent="0.25">
      <c r="A461" s="2">
        <v>44687</v>
      </c>
      <c r="B461" s="4" t="s">
        <v>23</v>
      </c>
      <c r="C461">
        <v>2296</v>
      </c>
      <c r="D461" t="s">
        <v>7</v>
      </c>
      <c r="E461" t="str">
        <f>IF(may[[#This Row],[ShiftCounter]]&gt;0, "Running", "Down")</f>
        <v>Running</v>
      </c>
    </row>
    <row r="462" spans="1:5" x14ac:dyDescent="0.25">
      <c r="A462" s="2">
        <v>44687</v>
      </c>
      <c r="B462" s="4" t="s">
        <v>23</v>
      </c>
      <c r="C462">
        <v>2068</v>
      </c>
      <c r="D462" t="s">
        <v>8</v>
      </c>
      <c r="E462" t="str">
        <f>IF(may[[#This Row],[ShiftCounter]]&gt;0, "Running", "Down")</f>
        <v>Running</v>
      </c>
    </row>
    <row r="463" spans="1:5" x14ac:dyDescent="0.25">
      <c r="A463" s="2">
        <v>44687</v>
      </c>
      <c r="B463" s="4" t="s">
        <v>24</v>
      </c>
      <c r="C463">
        <v>2097</v>
      </c>
      <c r="D463" t="s">
        <v>6</v>
      </c>
      <c r="E463" t="str">
        <f>IF(may[[#This Row],[ShiftCounter]]&gt;0, "Running", "Down")</f>
        <v>Running</v>
      </c>
    </row>
    <row r="464" spans="1:5" x14ac:dyDescent="0.25">
      <c r="A464" s="2">
        <v>44687</v>
      </c>
      <c r="B464" s="4" t="s">
        <v>24</v>
      </c>
      <c r="C464">
        <v>2080</v>
      </c>
      <c r="D464" t="s">
        <v>7</v>
      </c>
      <c r="E464" t="str">
        <f>IF(may[[#This Row],[ShiftCounter]]&gt;0, "Running", "Down")</f>
        <v>Running</v>
      </c>
    </row>
    <row r="465" spans="1:5" x14ac:dyDescent="0.25">
      <c r="A465" s="2">
        <v>44687</v>
      </c>
      <c r="B465" s="4" t="s">
        <v>24</v>
      </c>
      <c r="C465">
        <v>1855</v>
      </c>
      <c r="D465" t="s">
        <v>8</v>
      </c>
      <c r="E465" t="str">
        <f>IF(may[[#This Row],[ShiftCounter]]&gt;0, "Running", "Down")</f>
        <v>Running</v>
      </c>
    </row>
    <row r="466" spans="1:5" x14ac:dyDescent="0.25">
      <c r="A466" s="2">
        <v>44687</v>
      </c>
      <c r="B466" s="4" t="s">
        <v>25</v>
      </c>
      <c r="C466">
        <v>2315</v>
      </c>
      <c r="D466" t="s">
        <v>6</v>
      </c>
      <c r="E466" t="str">
        <f>IF(may[[#This Row],[ShiftCounter]]&gt;0, "Running", "Down")</f>
        <v>Running</v>
      </c>
    </row>
    <row r="467" spans="1:5" x14ac:dyDescent="0.25">
      <c r="A467" s="2">
        <v>44687</v>
      </c>
      <c r="B467" s="4" t="s">
        <v>25</v>
      </c>
      <c r="C467">
        <v>2233</v>
      </c>
      <c r="D467" t="s">
        <v>7</v>
      </c>
      <c r="E467" t="str">
        <f>IF(may[[#This Row],[ShiftCounter]]&gt;0, "Running", "Down")</f>
        <v>Running</v>
      </c>
    </row>
    <row r="468" spans="1:5" x14ac:dyDescent="0.25">
      <c r="A468" s="2">
        <v>44687</v>
      </c>
      <c r="B468" s="4" t="s">
        <v>25</v>
      </c>
      <c r="C468">
        <v>1958</v>
      </c>
      <c r="D468" t="s">
        <v>8</v>
      </c>
      <c r="E468" t="str">
        <f>IF(may[[#This Row],[ShiftCounter]]&gt;0, "Running", "Down")</f>
        <v>Running</v>
      </c>
    </row>
    <row r="469" spans="1:5" x14ac:dyDescent="0.25">
      <c r="A469" s="2">
        <v>44687</v>
      </c>
      <c r="B469" s="4" t="s">
        <v>26</v>
      </c>
      <c r="C469">
        <v>2184</v>
      </c>
      <c r="D469" t="s">
        <v>6</v>
      </c>
      <c r="E469" t="str">
        <f>IF(may[[#This Row],[ShiftCounter]]&gt;0, "Running", "Down")</f>
        <v>Running</v>
      </c>
    </row>
    <row r="470" spans="1:5" x14ac:dyDescent="0.25">
      <c r="A470" s="2">
        <v>44687</v>
      </c>
      <c r="B470" s="4" t="s">
        <v>26</v>
      </c>
      <c r="C470">
        <v>2118</v>
      </c>
      <c r="D470" t="s">
        <v>7</v>
      </c>
      <c r="E470" t="str">
        <f>IF(may[[#This Row],[ShiftCounter]]&gt;0, "Running", "Down")</f>
        <v>Running</v>
      </c>
    </row>
    <row r="471" spans="1:5" x14ac:dyDescent="0.25">
      <c r="A471" s="2">
        <v>44687</v>
      </c>
      <c r="B471" s="4" t="s">
        <v>26</v>
      </c>
      <c r="C471">
        <v>1983</v>
      </c>
      <c r="D471" t="s">
        <v>8</v>
      </c>
      <c r="E471" t="str">
        <f>IF(may[[#This Row],[ShiftCounter]]&gt;0, "Running", "Down")</f>
        <v>Running</v>
      </c>
    </row>
    <row r="472" spans="1:5" x14ac:dyDescent="0.25">
      <c r="A472" s="2">
        <v>44687</v>
      </c>
      <c r="B472" s="4" t="s">
        <v>27</v>
      </c>
      <c r="C472">
        <v>2285</v>
      </c>
      <c r="D472" t="s">
        <v>6</v>
      </c>
      <c r="E472" t="str">
        <f>IF(may[[#This Row],[ShiftCounter]]&gt;0, "Running", "Down")</f>
        <v>Running</v>
      </c>
    </row>
    <row r="473" spans="1:5" x14ac:dyDescent="0.25">
      <c r="A473" s="2">
        <v>44687</v>
      </c>
      <c r="B473" s="4" t="s">
        <v>27</v>
      </c>
      <c r="C473">
        <v>2212</v>
      </c>
      <c r="D473" t="s">
        <v>7</v>
      </c>
      <c r="E473" t="str">
        <f>IF(may[[#This Row],[ShiftCounter]]&gt;0, "Running", "Down")</f>
        <v>Running</v>
      </c>
    </row>
    <row r="474" spans="1:5" x14ac:dyDescent="0.25">
      <c r="A474" s="2">
        <v>44687</v>
      </c>
      <c r="B474" s="4" t="s">
        <v>27</v>
      </c>
      <c r="C474">
        <v>2098</v>
      </c>
      <c r="D474" t="s">
        <v>8</v>
      </c>
      <c r="E474" t="str">
        <f>IF(may[[#This Row],[ShiftCounter]]&gt;0, "Running", "Down")</f>
        <v>Running</v>
      </c>
    </row>
    <row r="475" spans="1:5" x14ac:dyDescent="0.25">
      <c r="A475" s="2">
        <v>44687</v>
      </c>
      <c r="B475" s="4" t="s">
        <v>28</v>
      </c>
      <c r="C475">
        <v>2315</v>
      </c>
      <c r="D475" t="s">
        <v>6</v>
      </c>
      <c r="E475" t="str">
        <f>IF(may[[#This Row],[ShiftCounter]]&gt;0, "Running", "Down")</f>
        <v>Running</v>
      </c>
    </row>
    <row r="476" spans="1:5" x14ac:dyDescent="0.25">
      <c r="A476" s="2">
        <v>44687</v>
      </c>
      <c r="B476" s="4" t="s">
        <v>28</v>
      </c>
      <c r="C476">
        <v>2008</v>
      </c>
      <c r="D476" t="s">
        <v>7</v>
      </c>
      <c r="E476" t="str">
        <f>IF(may[[#This Row],[ShiftCounter]]&gt;0, "Running", "Down")</f>
        <v>Running</v>
      </c>
    </row>
    <row r="477" spans="1:5" x14ac:dyDescent="0.25">
      <c r="A477" s="2">
        <v>44687</v>
      </c>
      <c r="B477" s="4" t="s">
        <v>28</v>
      </c>
      <c r="C477">
        <v>1953</v>
      </c>
      <c r="D477" t="s">
        <v>8</v>
      </c>
      <c r="E477" t="str">
        <f>IF(may[[#This Row],[ShiftCounter]]&gt;0, "Running", "Down")</f>
        <v>Running</v>
      </c>
    </row>
    <row r="478" spans="1:5" x14ac:dyDescent="0.25">
      <c r="A478" s="2">
        <v>44687</v>
      </c>
      <c r="B478" s="4" t="s">
        <v>29</v>
      </c>
      <c r="C478">
        <v>2210</v>
      </c>
      <c r="D478" t="s">
        <v>6</v>
      </c>
      <c r="E478" t="str">
        <f>IF(may[[#This Row],[ShiftCounter]]&gt;0, "Running", "Down")</f>
        <v>Running</v>
      </c>
    </row>
    <row r="479" spans="1:5" x14ac:dyDescent="0.25">
      <c r="A479" s="2">
        <v>44687</v>
      </c>
      <c r="B479" s="4" t="s">
        <v>29</v>
      </c>
      <c r="C479">
        <v>1930</v>
      </c>
      <c r="D479" t="s">
        <v>7</v>
      </c>
      <c r="E479" t="str">
        <f>IF(may[[#This Row],[ShiftCounter]]&gt;0, "Running", "Down")</f>
        <v>Running</v>
      </c>
    </row>
    <row r="480" spans="1:5" x14ac:dyDescent="0.25">
      <c r="A480" s="2">
        <v>44687</v>
      </c>
      <c r="B480" s="4" t="s">
        <v>29</v>
      </c>
      <c r="C480">
        <v>1863</v>
      </c>
      <c r="D480" t="s">
        <v>8</v>
      </c>
      <c r="E480" t="str">
        <f>IF(may[[#This Row],[ShiftCounter]]&gt;0, "Running", "Down")</f>
        <v>Running</v>
      </c>
    </row>
    <row r="481" spans="1:5" x14ac:dyDescent="0.25">
      <c r="A481" s="2">
        <v>44687</v>
      </c>
      <c r="B481" s="4" t="s">
        <v>30</v>
      </c>
      <c r="C481">
        <v>2094</v>
      </c>
      <c r="D481" t="s">
        <v>6</v>
      </c>
      <c r="E481" t="str">
        <f>IF(may[[#This Row],[ShiftCounter]]&gt;0, "Running", "Down")</f>
        <v>Running</v>
      </c>
    </row>
    <row r="482" spans="1:5" x14ac:dyDescent="0.25">
      <c r="A482" s="2">
        <v>44687</v>
      </c>
      <c r="B482" s="4" t="s">
        <v>30</v>
      </c>
      <c r="C482">
        <v>2174</v>
      </c>
      <c r="D482" t="s">
        <v>7</v>
      </c>
      <c r="E482" t="str">
        <f>IF(may[[#This Row],[ShiftCounter]]&gt;0, "Running", "Down")</f>
        <v>Running</v>
      </c>
    </row>
    <row r="483" spans="1:5" x14ac:dyDescent="0.25">
      <c r="A483" s="2">
        <v>44687</v>
      </c>
      <c r="B483" s="4" t="s">
        <v>30</v>
      </c>
      <c r="C483">
        <v>2033</v>
      </c>
      <c r="D483" t="s">
        <v>8</v>
      </c>
      <c r="E483" t="str">
        <f>IF(may[[#This Row],[ShiftCounter]]&gt;0, "Running", "Down")</f>
        <v>Running</v>
      </c>
    </row>
    <row r="484" spans="1:5" x14ac:dyDescent="0.25">
      <c r="A484" s="2">
        <v>44687</v>
      </c>
      <c r="B484" s="4" t="s">
        <v>31</v>
      </c>
      <c r="C484">
        <v>2144</v>
      </c>
      <c r="D484" t="s">
        <v>6</v>
      </c>
      <c r="E484" t="str">
        <f>IF(may[[#This Row],[ShiftCounter]]&gt;0, "Running", "Down")</f>
        <v>Running</v>
      </c>
    </row>
    <row r="485" spans="1:5" x14ac:dyDescent="0.25">
      <c r="A485" s="2">
        <v>44687</v>
      </c>
      <c r="B485" s="4" t="s">
        <v>31</v>
      </c>
      <c r="C485">
        <v>2015</v>
      </c>
      <c r="D485" t="s">
        <v>7</v>
      </c>
      <c r="E485" t="str">
        <f>IF(may[[#This Row],[ShiftCounter]]&gt;0, "Running", "Down")</f>
        <v>Running</v>
      </c>
    </row>
    <row r="486" spans="1:5" x14ac:dyDescent="0.25">
      <c r="A486" s="2">
        <v>44687</v>
      </c>
      <c r="B486" s="4" t="s">
        <v>31</v>
      </c>
      <c r="C486">
        <v>1951</v>
      </c>
      <c r="D486" t="s">
        <v>8</v>
      </c>
      <c r="E486" t="str">
        <f>IF(may[[#This Row],[ShiftCounter]]&gt;0, "Running", "Down")</f>
        <v>Running</v>
      </c>
    </row>
    <row r="487" spans="1:5" x14ac:dyDescent="0.25">
      <c r="A487" s="2">
        <v>44687</v>
      </c>
      <c r="B487" s="4" t="s">
        <v>32</v>
      </c>
      <c r="C487">
        <v>2346</v>
      </c>
      <c r="D487" t="s">
        <v>6</v>
      </c>
      <c r="E487" t="str">
        <f>IF(may[[#This Row],[ShiftCounter]]&gt;0, "Running", "Down")</f>
        <v>Running</v>
      </c>
    </row>
    <row r="488" spans="1:5" x14ac:dyDescent="0.25">
      <c r="A488" s="2">
        <v>44687</v>
      </c>
      <c r="B488" s="4" t="s">
        <v>32</v>
      </c>
      <c r="C488">
        <v>2265</v>
      </c>
      <c r="D488" t="s">
        <v>7</v>
      </c>
      <c r="E488" t="str">
        <f>IF(may[[#This Row],[ShiftCounter]]&gt;0, "Running", "Down")</f>
        <v>Running</v>
      </c>
    </row>
    <row r="489" spans="1:5" x14ac:dyDescent="0.25">
      <c r="A489" s="2">
        <v>44687</v>
      </c>
      <c r="B489" s="4" t="s">
        <v>32</v>
      </c>
      <c r="C489">
        <v>1708</v>
      </c>
      <c r="D489" t="s">
        <v>8</v>
      </c>
      <c r="E489" t="str">
        <f>IF(may[[#This Row],[ShiftCounter]]&gt;0, "Running", "Down")</f>
        <v>Running</v>
      </c>
    </row>
    <row r="490" spans="1:5" x14ac:dyDescent="0.25">
      <c r="A490" s="2">
        <v>44687</v>
      </c>
      <c r="B490" s="4" t="s">
        <v>33</v>
      </c>
      <c r="C490">
        <v>2356</v>
      </c>
      <c r="D490" t="s">
        <v>6</v>
      </c>
      <c r="E490" t="str">
        <f>IF(may[[#This Row],[ShiftCounter]]&gt;0, "Running", "Down")</f>
        <v>Running</v>
      </c>
    </row>
    <row r="491" spans="1:5" x14ac:dyDescent="0.25">
      <c r="A491" s="2">
        <v>44687</v>
      </c>
      <c r="B491" s="4" t="s">
        <v>33</v>
      </c>
      <c r="C491">
        <v>2301</v>
      </c>
      <c r="D491" t="s">
        <v>7</v>
      </c>
      <c r="E491" t="str">
        <f>IF(may[[#This Row],[ShiftCounter]]&gt;0, "Running", "Down")</f>
        <v>Running</v>
      </c>
    </row>
    <row r="492" spans="1:5" x14ac:dyDescent="0.25">
      <c r="A492" s="2">
        <v>44687</v>
      </c>
      <c r="B492" s="4" t="s">
        <v>33</v>
      </c>
      <c r="C492">
        <v>2155</v>
      </c>
      <c r="D492" t="s">
        <v>8</v>
      </c>
      <c r="E492" t="str">
        <f>IF(may[[#This Row],[ShiftCounter]]&gt;0, "Running", "Down")</f>
        <v>Running</v>
      </c>
    </row>
    <row r="493" spans="1:5" x14ac:dyDescent="0.25">
      <c r="A493" s="2">
        <v>44687</v>
      </c>
      <c r="B493" s="4" t="s">
        <v>34</v>
      </c>
      <c r="C493">
        <v>2023</v>
      </c>
      <c r="D493" t="s">
        <v>6</v>
      </c>
      <c r="E493" t="str">
        <f>IF(may[[#This Row],[ShiftCounter]]&gt;0, "Running", "Down")</f>
        <v>Running</v>
      </c>
    </row>
    <row r="494" spans="1:5" x14ac:dyDescent="0.25">
      <c r="A494" s="2">
        <v>44687</v>
      </c>
      <c r="B494" s="4" t="s">
        <v>34</v>
      </c>
      <c r="C494">
        <v>1982</v>
      </c>
      <c r="D494" t="s">
        <v>7</v>
      </c>
      <c r="E494" t="str">
        <f>IF(may[[#This Row],[ShiftCounter]]&gt;0, "Running", "Down")</f>
        <v>Running</v>
      </c>
    </row>
    <row r="495" spans="1:5" x14ac:dyDescent="0.25">
      <c r="A495" s="2">
        <v>44687</v>
      </c>
      <c r="B495" s="4" t="s">
        <v>34</v>
      </c>
      <c r="C495">
        <v>1852</v>
      </c>
      <c r="D495" t="s">
        <v>8</v>
      </c>
      <c r="E495" t="str">
        <f>IF(may[[#This Row],[ShiftCounter]]&gt;0, "Running", "Down")</f>
        <v>Running</v>
      </c>
    </row>
    <row r="496" spans="1:5" x14ac:dyDescent="0.25">
      <c r="A496" s="2">
        <v>44687</v>
      </c>
      <c r="B496" s="4" t="s">
        <v>35</v>
      </c>
      <c r="C496">
        <v>1740</v>
      </c>
      <c r="D496" t="s">
        <v>6</v>
      </c>
      <c r="E496" t="str">
        <f>IF(may[[#This Row],[ShiftCounter]]&gt;0, "Running", "Down")</f>
        <v>Running</v>
      </c>
    </row>
    <row r="497" spans="1:5" x14ac:dyDescent="0.25">
      <c r="A497" s="2">
        <v>44687</v>
      </c>
      <c r="B497" s="4" t="s">
        <v>35</v>
      </c>
      <c r="C497">
        <v>2430</v>
      </c>
      <c r="D497" t="s">
        <v>7</v>
      </c>
      <c r="E497" t="str">
        <f>IF(may[[#This Row],[ShiftCounter]]&gt;0, "Running", "Down")</f>
        <v>Running</v>
      </c>
    </row>
    <row r="498" spans="1:5" x14ac:dyDescent="0.25">
      <c r="A498" s="2">
        <v>44687</v>
      </c>
      <c r="B498" s="4" t="s">
        <v>35</v>
      </c>
      <c r="C498">
        <v>2304</v>
      </c>
      <c r="D498" t="s">
        <v>8</v>
      </c>
      <c r="E498" t="str">
        <f>IF(may[[#This Row],[ShiftCounter]]&gt;0, "Running", "Down")</f>
        <v>Running</v>
      </c>
    </row>
    <row r="499" spans="1:5" x14ac:dyDescent="0.25">
      <c r="A499" s="2">
        <v>44687</v>
      </c>
      <c r="B499" s="4" t="s">
        <v>36</v>
      </c>
      <c r="C499">
        <v>2251</v>
      </c>
      <c r="D499" t="s">
        <v>6</v>
      </c>
      <c r="E499" t="str">
        <f>IF(may[[#This Row],[ShiftCounter]]&gt;0, "Running", "Down")</f>
        <v>Running</v>
      </c>
    </row>
    <row r="500" spans="1:5" x14ac:dyDescent="0.25">
      <c r="A500" s="2">
        <v>44687</v>
      </c>
      <c r="B500" s="4" t="s">
        <v>36</v>
      </c>
      <c r="C500">
        <v>2247</v>
      </c>
      <c r="D500" t="s">
        <v>7</v>
      </c>
      <c r="E500" t="str">
        <f>IF(may[[#This Row],[ShiftCounter]]&gt;0, "Running", "Down")</f>
        <v>Running</v>
      </c>
    </row>
    <row r="501" spans="1:5" x14ac:dyDescent="0.25">
      <c r="A501" s="2">
        <v>44687</v>
      </c>
      <c r="B501" s="4" t="s">
        <v>36</v>
      </c>
      <c r="C501">
        <v>2137</v>
      </c>
      <c r="D501" t="s">
        <v>8</v>
      </c>
      <c r="E501" t="str">
        <f>IF(may[[#This Row],[ShiftCounter]]&gt;0, "Running", "Down")</f>
        <v>Running</v>
      </c>
    </row>
    <row r="502" spans="1:5" x14ac:dyDescent="0.25">
      <c r="A502" s="2">
        <v>44687</v>
      </c>
      <c r="B502" s="4" t="s">
        <v>37</v>
      </c>
      <c r="C502">
        <v>2107</v>
      </c>
      <c r="D502" t="s">
        <v>6</v>
      </c>
      <c r="E502" t="str">
        <f>IF(may[[#This Row],[ShiftCounter]]&gt;0, "Running", "Down")</f>
        <v>Running</v>
      </c>
    </row>
    <row r="503" spans="1:5" x14ac:dyDescent="0.25">
      <c r="A503" s="2">
        <v>44687</v>
      </c>
      <c r="B503" s="4" t="s">
        <v>37</v>
      </c>
      <c r="C503">
        <v>2129</v>
      </c>
      <c r="D503" t="s">
        <v>7</v>
      </c>
      <c r="E503" t="str">
        <f>IF(may[[#This Row],[ShiftCounter]]&gt;0, "Running", "Down")</f>
        <v>Running</v>
      </c>
    </row>
    <row r="504" spans="1:5" x14ac:dyDescent="0.25">
      <c r="A504" s="2">
        <v>44687</v>
      </c>
      <c r="B504" s="4" t="s">
        <v>37</v>
      </c>
      <c r="C504">
        <v>2158</v>
      </c>
      <c r="D504" t="s">
        <v>8</v>
      </c>
      <c r="E504" t="str">
        <f>IF(may[[#This Row],[ShiftCounter]]&gt;0, "Running", "Down")</f>
        <v>Running</v>
      </c>
    </row>
    <row r="505" spans="1:5" x14ac:dyDescent="0.25">
      <c r="A505" s="2">
        <v>44685</v>
      </c>
      <c r="B505" s="4" t="s">
        <v>20</v>
      </c>
      <c r="C505">
        <v>1952</v>
      </c>
      <c r="D505" t="s">
        <v>6</v>
      </c>
      <c r="E505" t="str">
        <f>IF(may[[#This Row],[ShiftCounter]]&gt;0, "Running", "Down")</f>
        <v>Running</v>
      </c>
    </row>
    <row r="506" spans="1:5" x14ac:dyDescent="0.25">
      <c r="A506" s="2">
        <v>44685</v>
      </c>
      <c r="B506" s="4" t="s">
        <v>20</v>
      </c>
      <c r="C506">
        <v>2110</v>
      </c>
      <c r="D506" t="s">
        <v>7</v>
      </c>
      <c r="E506" t="str">
        <f>IF(may[[#This Row],[ShiftCounter]]&gt;0, "Running", "Down")</f>
        <v>Running</v>
      </c>
    </row>
    <row r="507" spans="1:5" x14ac:dyDescent="0.25">
      <c r="A507" s="2">
        <v>44685</v>
      </c>
      <c r="B507" s="4" t="s">
        <v>20</v>
      </c>
      <c r="C507">
        <v>4171</v>
      </c>
      <c r="D507" t="s">
        <v>8</v>
      </c>
      <c r="E507" t="str">
        <f>IF(may[[#This Row],[ShiftCounter]]&gt;0, "Running", "Down")</f>
        <v>Running</v>
      </c>
    </row>
    <row r="508" spans="1:5" x14ac:dyDescent="0.25">
      <c r="A508" s="2">
        <v>44685</v>
      </c>
      <c r="B508" s="4" t="s">
        <v>21</v>
      </c>
      <c r="C508">
        <v>2158</v>
      </c>
      <c r="D508" t="s">
        <v>6</v>
      </c>
      <c r="E508" t="str">
        <f>IF(may[[#This Row],[ShiftCounter]]&gt;0, "Running", "Down")</f>
        <v>Running</v>
      </c>
    </row>
    <row r="509" spans="1:5" x14ac:dyDescent="0.25">
      <c r="A509" s="2">
        <v>44685</v>
      </c>
      <c r="B509" s="4" t="s">
        <v>21</v>
      </c>
      <c r="C509">
        <v>2198</v>
      </c>
      <c r="D509" t="s">
        <v>7</v>
      </c>
      <c r="E509" t="str">
        <f>IF(may[[#This Row],[ShiftCounter]]&gt;0, "Running", "Down")</f>
        <v>Running</v>
      </c>
    </row>
    <row r="510" spans="1:5" x14ac:dyDescent="0.25">
      <c r="A510" s="2">
        <v>44685</v>
      </c>
      <c r="B510" s="4" t="s">
        <v>21</v>
      </c>
      <c r="C510">
        <v>1893</v>
      </c>
      <c r="D510" t="s">
        <v>8</v>
      </c>
      <c r="E510" t="str">
        <f>IF(may[[#This Row],[ShiftCounter]]&gt;0, "Running", "Down")</f>
        <v>Running</v>
      </c>
    </row>
    <row r="511" spans="1:5" x14ac:dyDescent="0.25">
      <c r="A511" s="2">
        <v>44685</v>
      </c>
      <c r="B511" s="4" t="s">
        <v>22</v>
      </c>
      <c r="C511">
        <v>2319</v>
      </c>
      <c r="D511" t="s">
        <v>6</v>
      </c>
      <c r="E511" t="str">
        <f>IF(may[[#This Row],[ShiftCounter]]&gt;0, "Running", "Down")</f>
        <v>Running</v>
      </c>
    </row>
    <row r="512" spans="1:5" x14ac:dyDescent="0.25">
      <c r="A512" s="2">
        <v>44685</v>
      </c>
      <c r="B512" s="4" t="s">
        <v>22</v>
      </c>
      <c r="C512">
        <v>2436</v>
      </c>
      <c r="D512" t="s">
        <v>7</v>
      </c>
      <c r="E512" t="str">
        <f>IF(may[[#This Row],[ShiftCounter]]&gt;0, "Running", "Down")</f>
        <v>Running</v>
      </c>
    </row>
    <row r="513" spans="1:5" x14ac:dyDescent="0.25">
      <c r="A513" s="2">
        <v>44685</v>
      </c>
      <c r="B513" s="4" t="s">
        <v>22</v>
      </c>
      <c r="C513">
        <v>2050</v>
      </c>
      <c r="D513" t="s">
        <v>8</v>
      </c>
      <c r="E513" t="str">
        <f>IF(may[[#This Row],[ShiftCounter]]&gt;0, "Running", "Down")</f>
        <v>Running</v>
      </c>
    </row>
    <row r="514" spans="1:5" x14ac:dyDescent="0.25">
      <c r="A514" s="2">
        <v>44685</v>
      </c>
      <c r="B514" s="4" t="s">
        <v>23</v>
      </c>
      <c r="C514">
        <v>2065</v>
      </c>
      <c r="D514" t="s">
        <v>6</v>
      </c>
      <c r="E514" t="str">
        <f>IF(may[[#This Row],[ShiftCounter]]&gt;0, "Running", "Down")</f>
        <v>Running</v>
      </c>
    </row>
    <row r="515" spans="1:5" x14ac:dyDescent="0.25">
      <c r="A515" s="2">
        <v>44685</v>
      </c>
      <c r="B515" s="4" t="s">
        <v>23</v>
      </c>
      <c r="C515">
        <v>2309</v>
      </c>
      <c r="D515" t="s">
        <v>7</v>
      </c>
      <c r="E515" t="str">
        <f>IF(may[[#This Row],[ShiftCounter]]&gt;0, "Running", "Down")</f>
        <v>Running</v>
      </c>
    </row>
    <row r="516" spans="1:5" x14ac:dyDescent="0.25">
      <c r="A516" s="2">
        <v>44685</v>
      </c>
      <c r="B516" s="4" t="s">
        <v>23</v>
      </c>
      <c r="C516">
        <v>2150</v>
      </c>
      <c r="D516" t="s">
        <v>8</v>
      </c>
      <c r="E516" t="str">
        <f>IF(may[[#This Row],[ShiftCounter]]&gt;0, "Running", "Down")</f>
        <v>Running</v>
      </c>
    </row>
    <row r="517" spans="1:5" x14ac:dyDescent="0.25">
      <c r="A517" s="2">
        <v>44685</v>
      </c>
      <c r="B517" s="4" t="s">
        <v>24</v>
      </c>
      <c r="C517">
        <v>1952</v>
      </c>
      <c r="D517" t="s">
        <v>6</v>
      </c>
      <c r="E517" t="str">
        <f>IF(may[[#This Row],[ShiftCounter]]&gt;0, "Running", "Down")</f>
        <v>Running</v>
      </c>
    </row>
    <row r="518" spans="1:5" x14ac:dyDescent="0.25">
      <c r="A518" s="2">
        <v>44685</v>
      </c>
      <c r="B518" s="4" t="s">
        <v>24</v>
      </c>
      <c r="C518">
        <v>2032</v>
      </c>
      <c r="D518" t="s">
        <v>7</v>
      </c>
      <c r="E518" t="str">
        <f>IF(may[[#This Row],[ShiftCounter]]&gt;0, "Running", "Down")</f>
        <v>Running</v>
      </c>
    </row>
    <row r="519" spans="1:5" x14ac:dyDescent="0.25">
      <c r="A519" s="2">
        <v>44685</v>
      </c>
      <c r="B519" s="4" t="s">
        <v>24</v>
      </c>
      <c r="C519">
        <v>1870</v>
      </c>
      <c r="D519" t="s">
        <v>8</v>
      </c>
      <c r="E519" t="str">
        <f>IF(may[[#This Row],[ShiftCounter]]&gt;0, "Running", "Down")</f>
        <v>Running</v>
      </c>
    </row>
    <row r="520" spans="1:5" x14ac:dyDescent="0.25">
      <c r="A520" s="2">
        <v>44685</v>
      </c>
      <c r="B520" s="4" t="s">
        <v>25</v>
      </c>
      <c r="C520">
        <v>2259</v>
      </c>
      <c r="D520" t="s">
        <v>6</v>
      </c>
      <c r="E520" t="str">
        <f>IF(may[[#This Row],[ShiftCounter]]&gt;0, "Running", "Down")</f>
        <v>Running</v>
      </c>
    </row>
    <row r="521" spans="1:5" x14ac:dyDescent="0.25">
      <c r="A521" s="2">
        <v>44685</v>
      </c>
      <c r="B521" s="4" t="s">
        <v>25</v>
      </c>
      <c r="C521">
        <v>2270</v>
      </c>
      <c r="D521" t="s">
        <v>7</v>
      </c>
      <c r="E521" t="str">
        <f>IF(may[[#This Row],[ShiftCounter]]&gt;0, "Running", "Down")</f>
        <v>Running</v>
      </c>
    </row>
    <row r="522" spans="1:5" x14ac:dyDescent="0.25">
      <c r="A522" s="2">
        <v>44685</v>
      </c>
      <c r="B522" s="4" t="s">
        <v>25</v>
      </c>
      <c r="C522">
        <v>1975</v>
      </c>
      <c r="D522" t="s">
        <v>8</v>
      </c>
      <c r="E522" t="str">
        <f>IF(may[[#This Row],[ShiftCounter]]&gt;0, "Running", "Down")</f>
        <v>Running</v>
      </c>
    </row>
    <row r="523" spans="1:5" x14ac:dyDescent="0.25">
      <c r="A523" s="2">
        <v>44685</v>
      </c>
      <c r="B523" s="4" t="s">
        <v>26</v>
      </c>
      <c r="C523">
        <v>2196</v>
      </c>
      <c r="D523" t="s">
        <v>6</v>
      </c>
      <c r="E523" t="str">
        <f>IF(may[[#This Row],[ShiftCounter]]&gt;0, "Running", "Down")</f>
        <v>Running</v>
      </c>
    </row>
    <row r="524" spans="1:5" x14ac:dyDescent="0.25">
      <c r="A524" s="2">
        <v>44685</v>
      </c>
      <c r="B524" s="4" t="s">
        <v>26</v>
      </c>
      <c r="C524">
        <v>2118</v>
      </c>
      <c r="D524" t="s">
        <v>7</v>
      </c>
      <c r="E524" t="str">
        <f>IF(may[[#This Row],[ShiftCounter]]&gt;0, "Running", "Down")</f>
        <v>Running</v>
      </c>
    </row>
    <row r="525" spans="1:5" x14ac:dyDescent="0.25">
      <c r="A525" s="2">
        <v>44685</v>
      </c>
      <c r="B525" s="4" t="s">
        <v>26</v>
      </c>
      <c r="C525">
        <v>332</v>
      </c>
      <c r="D525" t="s">
        <v>8</v>
      </c>
      <c r="E525" t="str">
        <f>IF(may[[#This Row],[ShiftCounter]]&gt;0, "Running", "Down")</f>
        <v>Running</v>
      </c>
    </row>
    <row r="526" spans="1:5" x14ac:dyDescent="0.25">
      <c r="A526" s="2">
        <v>44685</v>
      </c>
      <c r="B526" s="4" t="s">
        <v>14</v>
      </c>
      <c r="C526">
        <v>1974</v>
      </c>
      <c r="D526" t="s">
        <v>6</v>
      </c>
      <c r="E526" t="str">
        <f>IF(may[[#This Row],[ShiftCounter]]&gt;0, "Running", "Down")</f>
        <v>Running</v>
      </c>
    </row>
    <row r="527" spans="1:5" x14ac:dyDescent="0.25">
      <c r="A527" s="2">
        <v>44685</v>
      </c>
      <c r="B527" s="4" t="s">
        <v>14</v>
      </c>
      <c r="C527">
        <v>1776</v>
      </c>
      <c r="D527" t="s">
        <v>7</v>
      </c>
      <c r="E527" t="str">
        <f>IF(may[[#This Row],[ShiftCounter]]&gt;0, "Running", "Down")</f>
        <v>Running</v>
      </c>
    </row>
    <row r="528" spans="1:5" x14ac:dyDescent="0.25">
      <c r="A528" s="2">
        <v>44685</v>
      </c>
      <c r="B528" s="4" t="s">
        <v>14</v>
      </c>
      <c r="C528">
        <v>1742</v>
      </c>
      <c r="D528" t="s">
        <v>8</v>
      </c>
      <c r="E528" t="str">
        <f>IF(may[[#This Row],[ShiftCounter]]&gt;0, "Running", "Down")</f>
        <v>Running</v>
      </c>
    </row>
    <row r="529" spans="1:5" x14ac:dyDescent="0.25">
      <c r="A529" s="2">
        <v>44685</v>
      </c>
      <c r="B529" s="4" t="s">
        <v>15</v>
      </c>
      <c r="C529">
        <v>2216</v>
      </c>
      <c r="D529" t="s">
        <v>6</v>
      </c>
      <c r="E529" t="str">
        <f>IF(may[[#This Row],[ShiftCounter]]&gt;0, "Running", "Down")</f>
        <v>Running</v>
      </c>
    </row>
    <row r="530" spans="1:5" x14ac:dyDescent="0.25">
      <c r="A530" s="2">
        <v>44685</v>
      </c>
      <c r="B530" s="4" t="s">
        <v>15</v>
      </c>
      <c r="C530">
        <v>2067</v>
      </c>
      <c r="D530" t="s">
        <v>7</v>
      </c>
      <c r="E530" t="str">
        <f>IF(may[[#This Row],[ShiftCounter]]&gt;0, "Running", "Down")</f>
        <v>Running</v>
      </c>
    </row>
    <row r="531" spans="1:5" x14ac:dyDescent="0.25">
      <c r="A531" s="2">
        <v>44685</v>
      </c>
      <c r="B531" s="4" t="s">
        <v>15</v>
      </c>
      <c r="C531">
        <v>2064</v>
      </c>
      <c r="D531" t="s">
        <v>8</v>
      </c>
      <c r="E531" t="str">
        <f>IF(may[[#This Row],[ShiftCounter]]&gt;0, "Running", "Down")</f>
        <v>Running</v>
      </c>
    </row>
    <row r="532" spans="1:5" x14ac:dyDescent="0.25">
      <c r="A532" s="2">
        <v>44685</v>
      </c>
      <c r="B532" s="4" t="s">
        <v>16</v>
      </c>
      <c r="C532">
        <v>2467</v>
      </c>
      <c r="D532" t="s">
        <v>6</v>
      </c>
      <c r="E532" t="str">
        <f>IF(may[[#This Row],[ShiftCounter]]&gt;0, "Running", "Down")</f>
        <v>Running</v>
      </c>
    </row>
    <row r="533" spans="1:5" x14ac:dyDescent="0.25">
      <c r="A533" s="2">
        <v>44685</v>
      </c>
      <c r="B533" s="4" t="s">
        <v>16</v>
      </c>
      <c r="C533">
        <v>2291</v>
      </c>
      <c r="D533" t="s">
        <v>7</v>
      </c>
      <c r="E533" t="str">
        <f>IF(may[[#This Row],[ShiftCounter]]&gt;0, "Running", "Down")</f>
        <v>Running</v>
      </c>
    </row>
    <row r="534" spans="1:5" x14ac:dyDescent="0.25">
      <c r="A534" s="2">
        <v>44685</v>
      </c>
      <c r="B534" s="4" t="s">
        <v>16</v>
      </c>
      <c r="C534">
        <v>2242</v>
      </c>
      <c r="D534" t="s">
        <v>8</v>
      </c>
      <c r="E534" t="str">
        <f>IF(may[[#This Row],[ShiftCounter]]&gt;0, "Running", "Down")</f>
        <v>Running</v>
      </c>
    </row>
    <row r="535" spans="1:5" x14ac:dyDescent="0.25">
      <c r="A535" s="2">
        <v>44685</v>
      </c>
      <c r="B535" s="4" t="s">
        <v>17</v>
      </c>
      <c r="C535">
        <v>2317</v>
      </c>
      <c r="D535" t="s">
        <v>6</v>
      </c>
      <c r="E535" t="str">
        <f>IF(may[[#This Row],[ShiftCounter]]&gt;0, "Running", "Down")</f>
        <v>Running</v>
      </c>
    </row>
    <row r="536" spans="1:5" x14ac:dyDescent="0.25">
      <c r="A536" s="2">
        <v>44685</v>
      </c>
      <c r="B536" s="4" t="s">
        <v>17</v>
      </c>
      <c r="C536">
        <v>2365</v>
      </c>
      <c r="D536" t="s">
        <v>7</v>
      </c>
      <c r="E536" t="str">
        <f>IF(may[[#This Row],[ShiftCounter]]&gt;0, "Running", "Down")</f>
        <v>Running</v>
      </c>
    </row>
    <row r="537" spans="1:5" x14ac:dyDescent="0.25">
      <c r="A537" s="2">
        <v>44685</v>
      </c>
      <c r="B537" s="4" t="s">
        <v>17</v>
      </c>
      <c r="C537">
        <v>2479</v>
      </c>
      <c r="D537" t="s">
        <v>8</v>
      </c>
      <c r="E537" t="str">
        <f>IF(may[[#This Row],[ShiftCounter]]&gt;0, "Running", "Down")</f>
        <v>Running</v>
      </c>
    </row>
    <row r="538" spans="1:5" x14ac:dyDescent="0.25">
      <c r="A538" s="2">
        <v>44685</v>
      </c>
      <c r="B538" s="4" t="s">
        <v>19</v>
      </c>
      <c r="C538">
        <v>3606</v>
      </c>
      <c r="D538" t="s">
        <v>6</v>
      </c>
      <c r="E538" t="str">
        <f>IF(may[[#This Row],[ShiftCounter]]&gt;0, "Running", "Down")</f>
        <v>Running</v>
      </c>
    </row>
    <row r="539" spans="1:5" x14ac:dyDescent="0.25">
      <c r="A539" s="2">
        <v>44685</v>
      </c>
      <c r="B539" s="4" t="s">
        <v>19</v>
      </c>
      <c r="C539">
        <v>1887</v>
      </c>
      <c r="D539" t="s">
        <v>7</v>
      </c>
      <c r="E539" t="str">
        <f>IF(may[[#This Row],[ShiftCounter]]&gt;0, "Running", "Down")</f>
        <v>Running</v>
      </c>
    </row>
    <row r="540" spans="1:5" x14ac:dyDescent="0.25">
      <c r="A540" s="2">
        <v>44685</v>
      </c>
      <c r="B540" s="4" t="s">
        <v>19</v>
      </c>
      <c r="C540">
        <v>1842</v>
      </c>
      <c r="D540" t="s">
        <v>8</v>
      </c>
      <c r="E540" t="str">
        <f>IF(may[[#This Row],[ShiftCounter]]&gt;0, "Running", "Down")</f>
        <v>Running</v>
      </c>
    </row>
    <row r="541" spans="1:5" x14ac:dyDescent="0.25">
      <c r="A541" s="2">
        <v>44685</v>
      </c>
      <c r="B541" s="4" t="s">
        <v>18</v>
      </c>
      <c r="C541">
        <v>2404</v>
      </c>
      <c r="D541" t="s">
        <v>6</v>
      </c>
      <c r="E541" t="str">
        <f>IF(may[[#This Row],[ShiftCounter]]&gt;0, "Running", "Down")</f>
        <v>Running</v>
      </c>
    </row>
    <row r="542" spans="1:5" x14ac:dyDescent="0.25">
      <c r="A542" s="2">
        <v>44685</v>
      </c>
      <c r="B542" s="4" t="s">
        <v>18</v>
      </c>
      <c r="C542">
        <v>2300</v>
      </c>
      <c r="D542" t="s">
        <v>7</v>
      </c>
      <c r="E542" t="str">
        <f>IF(may[[#This Row],[ShiftCounter]]&gt;0, "Running", "Down")</f>
        <v>Running</v>
      </c>
    </row>
    <row r="543" spans="1:5" x14ac:dyDescent="0.25">
      <c r="A543" s="2">
        <v>44685</v>
      </c>
      <c r="B543" s="4" t="s">
        <v>18</v>
      </c>
      <c r="C543">
        <v>2228</v>
      </c>
      <c r="D543" t="s">
        <v>8</v>
      </c>
      <c r="E543" t="str">
        <f>IF(may[[#This Row],[ShiftCounter]]&gt;0, "Running", "Down")</f>
        <v>Running</v>
      </c>
    </row>
    <row r="544" spans="1:5" x14ac:dyDescent="0.25">
      <c r="A544" s="2">
        <v>44685</v>
      </c>
      <c r="B544" s="4" t="s">
        <v>42</v>
      </c>
      <c r="C544">
        <v>2240</v>
      </c>
      <c r="D544" t="s">
        <v>6</v>
      </c>
      <c r="E544" t="str">
        <f>IF(may[[#This Row],[ShiftCounter]]&gt;0, "Running", "Down")</f>
        <v>Running</v>
      </c>
    </row>
    <row r="545" spans="1:5" x14ac:dyDescent="0.25">
      <c r="A545" s="2">
        <v>44685</v>
      </c>
      <c r="B545" s="4" t="s">
        <v>42</v>
      </c>
      <c r="C545">
        <v>2132</v>
      </c>
      <c r="D545" t="s">
        <v>7</v>
      </c>
      <c r="E545" t="str">
        <f>IF(may[[#This Row],[ShiftCounter]]&gt;0, "Running", "Down")</f>
        <v>Running</v>
      </c>
    </row>
    <row r="546" spans="1:5" x14ac:dyDescent="0.25">
      <c r="A546" s="2">
        <v>44685</v>
      </c>
      <c r="B546" s="4" t="s">
        <v>42</v>
      </c>
      <c r="C546">
        <v>1986</v>
      </c>
      <c r="D546" t="s">
        <v>8</v>
      </c>
      <c r="E546" t="str">
        <f>IF(may[[#This Row],[ShiftCounter]]&gt;0, "Running", "Down")</f>
        <v>Running</v>
      </c>
    </row>
    <row r="547" spans="1:5" x14ac:dyDescent="0.25">
      <c r="A547" s="2">
        <v>44685</v>
      </c>
      <c r="B547" s="4" t="s">
        <v>38</v>
      </c>
      <c r="C547">
        <v>2185</v>
      </c>
      <c r="D547" t="s">
        <v>6</v>
      </c>
      <c r="E547" t="str">
        <f>IF(may[[#This Row],[ShiftCounter]]&gt;0, "Running", "Down")</f>
        <v>Running</v>
      </c>
    </row>
    <row r="548" spans="1:5" x14ac:dyDescent="0.25">
      <c r="A548" s="2">
        <v>44685</v>
      </c>
      <c r="B548" s="4" t="s">
        <v>38</v>
      </c>
      <c r="C548">
        <v>2230</v>
      </c>
      <c r="D548" t="s">
        <v>7</v>
      </c>
      <c r="E548" t="str">
        <f>IF(may[[#This Row],[ShiftCounter]]&gt;0, "Running", "Down")</f>
        <v>Running</v>
      </c>
    </row>
    <row r="549" spans="1:5" x14ac:dyDescent="0.25">
      <c r="A549" s="2">
        <v>44685</v>
      </c>
      <c r="B549" s="4" t="s">
        <v>38</v>
      </c>
      <c r="C549">
        <v>1903</v>
      </c>
      <c r="D549" t="s">
        <v>8</v>
      </c>
      <c r="E549" t="str">
        <f>IF(may[[#This Row],[ShiftCounter]]&gt;0, "Running", "Down")</f>
        <v>Running</v>
      </c>
    </row>
    <row r="550" spans="1:5" x14ac:dyDescent="0.25">
      <c r="A550" s="2">
        <v>44685</v>
      </c>
      <c r="B550" s="4" t="s">
        <v>40</v>
      </c>
      <c r="C550">
        <v>2288</v>
      </c>
      <c r="D550" t="s">
        <v>6</v>
      </c>
      <c r="E550" t="str">
        <f>IF(may[[#This Row],[ShiftCounter]]&gt;0, "Running", "Down")</f>
        <v>Running</v>
      </c>
    </row>
    <row r="551" spans="1:5" x14ac:dyDescent="0.25">
      <c r="A551" s="2">
        <v>44685</v>
      </c>
      <c r="B551" s="4" t="s">
        <v>40</v>
      </c>
      <c r="C551">
        <v>2199</v>
      </c>
      <c r="D551" t="s">
        <v>7</v>
      </c>
      <c r="E551" t="str">
        <f>IF(may[[#This Row],[ShiftCounter]]&gt;0, "Running", "Down")</f>
        <v>Running</v>
      </c>
    </row>
    <row r="552" spans="1:5" x14ac:dyDescent="0.25">
      <c r="A552" s="2">
        <v>44685</v>
      </c>
      <c r="B552" s="4" t="s">
        <v>40</v>
      </c>
      <c r="C552">
        <v>2090</v>
      </c>
      <c r="D552" t="s">
        <v>8</v>
      </c>
      <c r="E552" t="str">
        <f>IF(may[[#This Row],[ShiftCounter]]&gt;0, "Running", "Down")</f>
        <v>Running</v>
      </c>
    </row>
    <row r="553" spans="1:5" x14ac:dyDescent="0.25">
      <c r="A553" s="2">
        <v>44685</v>
      </c>
      <c r="B553" s="4" t="s">
        <v>39</v>
      </c>
      <c r="C553">
        <v>1500</v>
      </c>
      <c r="D553" t="s">
        <v>6</v>
      </c>
      <c r="E553" t="str">
        <f>IF(may[[#This Row],[ShiftCounter]]&gt;0, "Running", "Down")</f>
        <v>Running</v>
      </c>
    </row>
    <row r="554" spans="1:5" x14ac:dyDescent="0.25">
      <c r="A554" s="2">
        <v>44685</v>
      </c>
      <c r="B554" s="4" t="s">
        <v>39</v>
      </c>
      <c r="C554">
        <v>2063</v>
      </c>
      <c r="D554" t="s">
        <v>7</v>
      </c>
      <c r="E554" t="str">
        <f>IF(may[[#This Row],[ShiftCounter]]&gt;0, "Running", "Down")</f>
        <v>Running</v>
      </c>
    </row>
    <row r="555" spans="1:5" x14ac:dyDescent="0.25">
      <c r="A555" s="2">
        <v>44685</v>
      </c>
      <c r="B555" s="4" t="s">
        <v>39</v>
      </c>
      <c r="C555">
        <v>1899</v>
      </c>
      <c r="D555" t="s">
        <v>8</v>
      </c>
      <c r="E555" t="str">
        <f>IF(may[[#This Row],[ShiftCounter]]&gt;0, "Running", "Down")</f>
        <v>Running</v>
      </c>
    </row>
    <row r="556" spans="1:5" x14ac:dyDescent="0.25">
      <c r="A556" s="2">
        <v>44685</v>
      </c>
      <c r="B556" s="4" t="s">
        <v>41</v>
      </c>
      <c r="C556">
        <v>2424</v>
      </c>
      <c r="D556" t="s">
        <v>6</v>
      </c>
      <c r="E556" t="str">
        <f>IF(may[[#This Row],[ShiftCounter]]&gt;0, "Running", "Down")</f>
        <v>Running</v>
      </c>
    </row>
    <row r="557" spans="1:5" x14ac:dyDescent="0.25">
      <c r="A557" s="2">
        <v>44685</v>
      </c>
      <c r="B557" s="4" t="s">
        <v>41</v>
      </c>
      <c r="C557">
        <v>2488</v>
      </c>
      <c r="D557" t="s">
        <v>7</v>
      </c>
      <c r="E557" t="str">
        <f>IF(may[[#This Row],[ShiftCounter]]&gt;0, "Running", "Down")</f>
        <v>Running</v>
      </c>
    </row>
    <row r="558" spans="1:5" x14ac:dyDescent="0.25">
      <c r="A558" s="2">
        <v>44685</v>
      </c>
      <c r="B558" s="4" t="s">
        <v>41</v>
      </c>
      <c r="C558">
        <v>2238</v>
      </c>
      <c r="D558" t="s">
        <v>8</v>
      </c>
      <c r="E558" t="str">
        <f>IF(may[[#This Row],[ShiftCounter]]&gt;0, "Running", "Down")</f>
        <v>Running</v>
      </c>
    </row>
    <row r="559" spans="1:5" x14ac:dyDescent="0.25">
      <c r="A559" s="2">
        <v>44685</v>
      </c>
      <c r="B559" s="4" t="s">
        <v>5</v>
      </c>
      <c r="C559">
        <v>2377</v>
      </c>
      <c r="D559" t="s">
        <v>6</v>
      </c>
      <c r="E559" t="str">
        <f>IF(may[[#This Row],[ShiftCounter]]&gt;0, "Running", "Down")</f>
        <v>Running</v>
      </c>
    </row>
    <row r="560" spans="1:5" x14ac:dyDescent="0.25">
      <c r="A560" s="2">
        <v>44685</v>
      </c>
      <c r="B560" s="4" t="s">
        <v>5</v>
      </c>
      <c r="C560">
        <v>2389</v>
      </c>
      <c r="D560" t="s">
        <v>7</v>
      </c>
      <c r="E560" t="str">
        <f>IF(may[[#This Row],[ShiftCounter]]&gt;0, "Running", "Down")</f>
        <v>Running</v>
      </c>
    </row>
    <row r="561" spans="1:5" x14ac:dyDescent="0.25">
      <c r="A561" s="2">
        <v>44685</v>
      </c>
      <c r="B561" s="4" t="s">
        <v>5</v>
      </c>
      <c r="C561">
        <v>2046</v>
      </c>
      <c r="D561" t="s">
        <v>8</v>
      </c>
      <c r="E561" t="str">
        <f>IF(may[[#This Row],[ShiftCounter]]&gt;0, "Running", "Down")</f>
        <v>Running</v>
      </c>
    </row>
    <row r="562" spans="1:5" x14ac:dyDescent="0.25">
      <c r="A562" s="2">
        <v>44685</v>
      </c>
      <c r="B562" s="4" t="s">
        <v>9</v>
      </c>
      <c r="C562">
        <v>2314</v>
      </c>
      <c r="D562" t="s">
        <v>6</v>
      </c>
      <c r="E562" t="str">
        <f>IF(may[[#This Row],[ShiftCounter]]&gt;0, "Running", "Down")</f>
        <v>Running</v>
      </c>
    </row>
    <row r="563" spans="1:5" x14ac:dyDescent="0.25">
      <c r="A563" s="2">
        <v>44685</v>
      </c>
      <c r="B563" s="4" t="s">
        <v>9</v>
      </c>
      <c r="C563">
        <v>2298</v>
      </c>
      <c r="D563" t="s">
        <v>7</v>
      </c>
      <c r="E563" t="str">
        <f>IF(may[[#This Row],[ShiftCounter]]&gt;0, "Running", "Down")</f>
        <v>Running</v>
      </c>
    </row>
    <row r="564" spans="1:5" x14ac:dyDescent="0.25">
      <c r="A564" s="2">
        <v>44685</v>
      </c>
      <c r="B564" s="4" t="s">
        <v>9</v>
      </c>
      <c r="C564">
        <v>2140</v>
      </c>
      <c r="D564" t="s">
        <v>8</v>
      </c>
      <c r="E564" t="str">
        <f>IF(may[[#This Row],[ShiftCounter]]&gt;0, "Running", "Down")</f>
        <v>Running</v>
      </c>
    </row>
    <row r="565" spans="1:5" x14ac:dyDescent="0.25">
      <c r="A565" s="2">
        <v>44685</v>
      </c>
      <c r="B565" s="4" t="s">
        <v>10</v>
      </c>
      <c r="C565">
        <v>2228</v>
      </c>
      <c r="D565" t="s">
        <v>6</v>
      </c>
      <c r="E565" t="str">
        <f>IF(may[[#This Row],[ShiftCounter]]&gt;0, "Running", "Down")</f>
        <v>Running</v>
      </c>
    </row>
    <row r="566" spans="1:5" x14ac:dyDescent="0.25">
      <c r="A566" s="2">
        <v>44685</v>
      </c>
      <c r="B566" s="4" t="s">
        <v>10</v>
      </c>
      <c r="C566">
        <v>2275</v>
      </c>
      <c r="D566" t="s">
        <v>7</v>
      </c>
      <c r="E566" t="str">
        <f>IF(may[[#This Row],[ShiftCounter]]&gt;0, "Running", "Down")</f>
        <v>Running</v>
      </c>
    </row>
    <row r="567" spans="1:5" x14ac:dyDescent="0.25">
      <c r="A567" s="2">
        <v>44685</v>
      </c>
      <c r="B567" s="4" t="s">
        <v>10</v>
      </c>
      <c r="C567">
        <v>2157</v>
      </c>
      <c r="D567" t="s">
        <v>8</v>
      </c>
      <c r="E567" t="str">
        <f>IF(may[[#This Row],[ShiftCounter]]&gt;0, "Running", "Down")</f>
        <v>Running</v>
      </c>
    </row>
    <row r="568" spans="1:5" x14ac:dyDescent="0.25">
      <c r="A568" s="2">
        <v>44685</v>
      </c>
      <c r="B568" s="4" t="s">
        <v>11</v>
      </c>
      <c r="C568">
        <v>2448</v>
      </c>
      <c r="D568" t="s">
        <v>6</v>
      </c>
      <c r="E568" t="str">
        <f>IF(may[[#This Row],[ShiftCounter]]&gt;0, "Running", "Down")</f>
        <v>Running</v>
      </c>
    </row>
    <row r="569" spans="1:5" x14ac:dyDescent="0.25">
      <c r="A569" s="2">
        <v>44685</v>
      </c>
      <c r="B569" s="4" t="s">
        <v>11</v>
      </c>
      <c r="C569">
        <v>2398</v>
      </c>
      <c r="D569" t="s">
        <v>7</v>
      </c>
      <c r="E569" t="str">
        <f>IF(may[[#This Row],[ShiftCounter]]&gt;0, "Running", "Down")</f>
        <v>Running</v>
      </c>
    </row>
    <row r="570" spans="1:5" x14ac:dyDescent="0.25">
      <c r="A570" s="2">
        <v>44685</v>
      </c>
      <c r="B570" s="4" t="s">
        <v>11</v>
      </c>
      <c r="C570">
        <v>2251</v>
      </c>
      <c r="D570" t="s">
        <v>8</v>
      </c>
      <c r="E570" t="str">
        <f>IF(may[[#This Row],[ShiftCounter]]&gt;0, "Running", "Down")</f>
        <v>Running</v>
      </c>
    </row>
    <row r="571" spans="1:5" x14ac:dyDescent="0.25">
      <c r="A571" s="2">
        <v>44685</v>
      </c>
      <c r="B571" s="4" t="s">
        <v>12</v>
      </c>
      <c r="C571">
        <v>2174</v>
      </c>
      <c r="D571" t="s">
        <v>6</v>
      </c>
      <c r="E571" t="str">
        <f>IF(may[[#This Row],[ShiftCounter]]&gt;0, "Running", "Down")</f>
        <v>Running</v>
      </c>
    </row>
    <row r="572" spans="1:5" x14ac:dyDescent="0.25">
      <c r="A572" s="2">
        <v>44685</v>
      </c>
      <c r="B572" s="4" t="s">
        <v>12</v>
      </c>
      <c r="C572">
        <v>2197</v>
      </c>
      <c r="D572" t="s">
        <v>7</v>
      </c>
      <c r="E572" t="str">
        <f>IF(may[[#This Row],[ShiftCounter]]&gt;0, "Running", "Down")</f>
        <v>Running</v>
      </c>
    </row>
    <row r="573" spans="1:5" x14ac:dyDescent="0.25">
      <c r="A573" s="2">
        <v>44685</v>
      </c>
      <c r="B573" s="4" t="s">
        <v>12</v>
      </c>
      <c r="C573">
        <v>2094</v>
      </c>
      <c r="D573" t="s">
        <v>8</v>
      </c>
      <c r="E573" t="str">
        <f>IF(may[[#This Row],[ShiftCounter]]&gt;0, "Running", "Down")</f>
        <v>Running</v>
      </c>
    </row>
    <row r="574" spans="1:5" x14ac:dyDescent="0.25">
      <c r="A574" s="2">
        <v>44685</v>
      </c>
      <c r="B574" s="4" t="s">
        <v>13</v>
      </c>
      <c r="C574">
        <v>2364</v>
      </c>
      <c r="D574" t="s">
        <v>6</v>
      </c>
      <c r="E574" t="str">
        <f>IF(may[[#This Row],[ShiftCounter]]&gt;0, "Running", "Down")</f>
        <v>Running</v>
      </c>
    </row>
    <row r="575" spans="1:5" x14ac:dyDescent="0.25">
      <c r="A575" s="2">
        <v>44685</v>
      </c>
      <c r="B575" s="4" t="s">
        <v>13</v>
      </c>
      <c r="C575">
        <v>2286</v>
      </c>
      <c r="D575" t="s">
        <v>7</v>
      </c>
      <c r="E575" t="str">
        <f>IF(may[[#This Row],[ShiftCounter]]&gt;0, "Running", "Down")</f>
        <v>Running</v>
      </c>
    </row>
    <row r="576" spans="1:5" x14ac:dyDescent="0.25">
      <c r="A576" s="2">
        <v>44685</v>
      </c>
      <c r="B576" s="4" t="s">
        <v>13</v>
      </c>
      <c r="C576">
        <v>2148</v>
      </c>
      <c r="D576" t="s">
        <v>8</v>
      </c>
      <c r="E576" t="str">
        <f>IF(may[[#This Row],[ShiftCounter]]&gt;0, "Running", "Down")</f>
        <v>Running</v>
      </c>
    </row>
    <row r="577" spans="1:5" x14ac:dyDescent="0.25">
      <c r="A577" s="2">
        <v>44685</v>
      </c>
      <c r="B577" s="4" t="s">
        <v>27</v>
      </c>
      <c r="C577">
        <v>1092</v>
      </c>
      <c r="D577" t="s">
        <v>6</v>
      </c>
      <c r="E577" t="str">
        <f>IF(may[[#This Row],[ShiftCounter]]&gt;0, "Running", "Down")</f>
        <v>Running</v>
      </c>
    </row>
    <row r="578" spans="1:5" x14ac:dyDescent="0.25">
      <c r="A578" s="2">
        <v>44685</v>
      </c>
      <c r="B578" s="4" t="s">
        <v>27</v>
      </c>
      <c r="C578">
        <v>1383</v>
      </c>
      <c r="D578" t="s">
        <v>7</v>
      </c>
      <c r="E578" t="str">
        <f>IF(may[[#This Row],[ShiftCounter]]&gt;0, "Running", "Down")</f>
        <v>Running</v>
      </c>
    </row>
    <row r="579" spans="1:5" x14ac:dyDescent="0.25">
      <c r="A579" s="2">
        <v>44685</v>
      </c>
      <c r="B579" s="4" t="s">
        <v>27</v>
      </c>
      <c r="C579">
        <v>1930</v>
      </c>
      <c r="D579" t="s">
        <v>8</v>
      </c>
      <c r="E579" t="str">
        <f>IF(may[[#This Row],[ShiftCounter]]&gt;0, "Running", "Down")</f>
        <v>Running</v>
      </c>
    </row>
    <row r="580" spans="1:5" x14ac:dyDescent="0.25">
      <c r="A580" s="2">
        <v>44685</v>
      </c>
      <c r="B580" s="4" t="s">
        <v>28</v>
      </c>
      <c r="C580">
        <v>2109</v>
      </c>
      <c r="D580" t="s">
        <v>6</v>
      </c>
      <c r="E580" t="str">
        <f>IF(may[[#This Row],[ShiftCounter]]&gt;0, "Running", "Down")</f>
        <v>Running</v>
      </c>
    </row>
    <row r="581" spans="1:5" x14ac:dyDescent="0.25">
      <c r="A581" s="2">
        <v>44685</v>
      </c>
      <c r="B581" s="4" t="s">
        <v>28</v>
      </c>
      <c r="C581">
        <v>2109</v>
      </c>
      <c r="D581" t="s">
        <v>7</v>
      </c>
      <c r="E581" t="str">
        <f>IF(may[[#This Row],[ShiftCounter]]&gt;0, "Running", "Down")</f>
        <v>Running</v>
      </c>
    </row>
    <row r="582" spans="1:5" x14ac:dyDescent="0.25">
      <c r="A582" s="2">
        <v>44685</v>
      </c>
      <c r="B582" s="4" t="s">
        <v>28</v>
      </c>
      <c r="C582">
        <v>1887</v>
      </c>
      <c r="D582" t="s">
        <v>8</v>
      </c>
      <c r="E582" t="str">
        <f>IF(may[[#This Row],[ShiftCounter]]&gt;0, "Running", "Down")</f>
        <v>Running</v>
      </c>
    </row>
    <row r="583" spans="1:5" x14ac:dyDescent="0.25">
      <c r="A583" s="2">
        <v>44685</v>
      </c>
      <c r="B583" s="4" t="s">
        <v>29</v>
      </c>
      <c r="C583">
        <v>2052</v>
      </c>
      <c r="D583" t="s">
        <v>6</v>
      </c>
      <c r="E583" t="str">
        <f>IF(may[[#This Row],[ShiftCounter]]&gt;0, "Running", "Down")</f>
        <v>Running</v>
      </c>
    </row>
    <row r="584" spans="1:5" x14ac:dyDescent="0.25">
      <c r="A584" s="2">
        <v>44685</v>
      </c>
      <c r="B584" s="4" t="s">
        <v>29</v>
      </c>
      <c r="C584">
        <v>2009</v>
      </c>
      <c r="D584" t="s">
        <v>7</v>
      </c>
      <c r="E584" t="str">
        <f>IF(may[[#This Row],[ShiftCounter]]&gt;0, "Running", "Down")</f>
        <v>Running</v>
      </c>
    </row>
    <row r="585" spans="1:5" x14ac:dyDescent="0.25">
      <c r="A585" s="2">
        <v>44685</v>
      </c>
      <c r="B585" s="4" t="s">
        <v>29</v>
      </c>
      <c r="C585">
        <v>1812</v>
      </c>
      <c r="D585" t="s">
        <v>8</v>
      </c>
      <c r="E585" t="str">
        <f>IF(may[[#This Row],[ShiftCounter]]&gt;0, "Running", "Down")</f>
        <v>Running</v>
      </c>
    </row>
    <row r="586" spans="1:5" x14ac:dyDescent="0.25">
      <c r="A586" s="2">
        <v>44685</v>
      </c>
      <c r="B586" s="4" t="s">
        <v>30</v>
      </c>
      <c r="C586">
        <v>1987</v>
      </c>
      <c r="D586" t="s">
        <v>6</v>
      </c>
      <c r="E586" t="str">
        <f>IF(may[[#This Row],[ShiftCounter]]&gt;0, "Running", "Down")</f>
        <v>Running</v>
      </c>
    </row>
    <row r="587" spans="1:5" x14ac:dyDescent="0.25">
      <c r="A587" s="2">
        <v>44685</v>
      </c>
      <c r="B587" s="4" t="s">
        <v>30</v>
      </c>
      <c r="C587">
        <v>2122</v>
      </c>
      <c r="D587" t="s">
        <v>7</v>
      </c>
      <c r="E587" t="str">
        <f>IF(may[[#This Row],[ShiftCounter]]&gt;0, "Running", "Down")</f>
        <v>Running</v>
      </c>
    </row>
    <row r="588" spans="1:5" x14ac:dyDescent="0.25">
      <c r="A588" s="2">
        <v>44685</v>
      </c>
      <c r="B588" s="4" t="s">
        <v>30</v>
      </c>
      <c r="C588">
        <v>2025</v>
      </c>
      <c r="D588" t="s">
        <v>8</v>
      </c>
      <c r="E588" t="str">
        <f>IF(may[[#This Row],[ShiftCounter]]&gt;0, "Running", "Down")</f>
        <v>Running</v>
      </c>
    </row>
    <row r="589" spans="1:5" x14ac:dyDescent="0.25">
      <c r="A589" s="2">
        <v>44685</v>
      </c>
      <c r="B589" s="4" t="s">
        <v>31</v>
      </c>
      <c r="C589">
        <v>1516</v>
      </c>
      <c r="D589" t="s">
        <v>6</v>
      </c>
      <c r="E589" t="str">
        <f>IF(may[[#This Row],[ShiftCounter]]&gt;0, "Running", "Down")</f>
        <v>Running</v>
      </c>
    </row>
    <row r="590" spans="1:5" x14ac:dyDescent="0.25">
      <c r="A590" s="2">
        <v>44685</v>
      </c>
      <c r="B590" s="4" t="s">
        <v>31</v>
      </c>
      <c r="C590">
        <v>2095</v>
      </c>
      <c r="D590" t="s">
        <v>7</v>
      </c>
      <c r="E590" t="str">
        <f>IF(may[[#This Row],[ShiftCounter]]&gt;0, "Running", "Down")</f>
        <v>Running</v>
      </c>
    </row>
    <row r="591" spans="1:5" x14ac:dyDescent="0.25">
      <c r="A591" s="2">
        <v>44685</v>
      </c>
      <c r="B591" s="4" t="s">
        <v>31</v>
      </c>
      <c r="C591">
        <v>1953</v>
      </c>
      <c r="D591" t="s">
        <v>8</v>
      </c>
      <c r="E591" t="str">
        <f>IF(may[[#This Row],[ShiftCounter]]&gt;0, "Running", "Down")</f>
        <v>Running</v>
      </c>
    </row>
    <row r="592" spans="1:5" x14ac:dyDescent="0.25">
      <c r="A592" s="2">
        <v>44685</v>
      </c>
      <c r="B592" s="4" t="s">
        <v>32</v>
      </c>
      <c r="C592">
        <v>2014</v>
      </c>
      <c r="D592" t="s">
        <v>6</v>
      </c>
      <c r="E592" t="str">
        <f>IF(may[[#This Row],[ShiftCounter]]&gt;0, "Running", "Down")</f>
        <v>Running</v>
      </c>
    </row>
    <row r="593" spans="1:5" x14ac:dyDescent="0.25">
      <c r="A593" s="2">
        <v>44685</v>
      </c>
      <c r="B593" s="4" t="s">
        <v>32</v>
      </c>
      <c r="C593">
        <v>2247</v>
      </c>
      <c r="D593" t="s">
        <v>7</v>
      </c>
      <c r="E593" t="str">
        <f>IF(may[[#This Row],[ShiftCounter]]&gt;0, "Running", "Down")</f>
        <v>Running</v>
      </c>
    </row>
    <row r="594" spans="1:5" x14ac:dyDescent="0.25">
      <c r="A594" s="2">
        <v>44685</v>
      </c>
      <c r="B594" s="4" t="s">
        <v>32</v>
      </c>
      <c r="C594">
        <v>2088</v>
      </c>
      <c r="D594" t="s">
        <v>8</v>
      </c>
      <c r="E594" t="str">
        <f>IF(may[[#This Row],[ShiftCounter]]&gt;0, "Running", "Down")</f>
        <v>Running</v>
      </c>
    </row>
    <row r="595" spans="1:5" x14ac:dyDescent="0.25">
      <c r="A595" s="2">
        <v>44685</v>
      </c>
      <c r="B595" s="4" t="s">
        <v>33</v>
      </c>
      <c r="C595">
        <v>2486</v>
      </c>
      <c r="D595" t="s">
        <v>6</v>
      </c>
      <c r="E595" t="str">
        <f>IF(may[[#This Row],[ShiftCounter]]&gt;0, "Running", "Down")</f>
        <v>Running</v>
      </c>
    </row>
    <row r="596" spans="1:5" x14ac:dyDescent="0.25">
      <c r="A596" s="2">
        <v>44685</v>
      </c>
      <c r="B596" s="4" t="s">
        <v>33</v>
      </c>
      <c r="C596">
        <v>2567</v>
      </c>
      <c r="D596" t="s">
        <v>7</v>
      </c>
      <c r="E596" t="str">
        <f>IF(may[[#This Row],[ShiftCounter]]&gt;0, "Running", "Down")</f>
        <v>Running</v>
      </c>
    </row>
    <row r="597" spans="1:5" x14ac:dyDescent="0.25">
      <c r="A597" s="2">
        <v>44685</v>
      </c>
      <c r="B597" s="4" t="s">
        <v>33</v>
      </c>
      <c r="C597">
        <v>2275</v>
      </c>
      <c r="D597" t="s">
        <v>8</v>
      </c>
      <c r="E597" t="str">
        <f>IF(may[[#This Row],[ShiftCounter]]&gt;0, "Running", "Down")</f>
        <v>Running</v>
      </c>
    </row>
    <row r="598" spans="1:5" x14ac:dyDescent="0.25">
      <c r="A598" s="2">
        <v>44685</v>
      </c>
      <c r="B598" s="4" t="s">
        <v>34</v>
      </c>
      <c r="C598">
        <v>1994</v>
      </c>
      <c r="D598" t="s">
        <v>6</v>
      </c>
      <c r="E598" t="str">
        <f>IF(may[[#This Row],[ShiftCounter]]&gt;0, "Running", "Down")</f>
        <v>Running</v>
      </c>
    </row>
    <row r="599" spans="1:5" x14ac:dyDescent="0.25">
      <c r="A599" s="2">
        <v>44685</v>
      </c>
      <c r="B599" s="4" t="s">
        <v>34</v>
      </c>
      <c r="C599">
        <v>2637</v>
      </c>
      <c r="D599" t="s">
        <v>7</v>
      </c>
      <c r="E599" t="str">
        <f>IF(may[[#This Row],[ShiftCounter]]&gt;0, "Running", "Down")</f>
        <v>Running</v>
      </c>
    </row>
    <row r="600" spans="1:5" x14ac:dyDescent="0.25">
      <c r="A600" s="2">
        <v>44685</v>
      </c>
      <c r="B600" s="4" t="s">
        <v>34</v>
      </c>
      <c r="C600">
        <v>1861</v>
      </c>
      <c r="D600" t="s">
        <v>8</v>
      </c>
      <c r="E600" t="str">
        <f>IF(may[[#This Row],[ShiftCounter]]&gt;0, "Running", "Down")</f>
        <v>Running</v>
      </c>
    </row>
    <row r="601" spans="1:5" x14ac:dyDescent="0.25">
      <c r="A601" s="2">
        <v>44685</v>
      </c>
      <c r="B601" s="4" t="s">
        <v>35</v>
      </c>
      <c r="C601">
        <v>2223</v>
      </c>
      <c r="D601" t="s">
        <v>6</v>
      </c>
      <c r="E601" t="str">
        <f>IF(may[[#This Row],[ShiftCounter]]&gt;0, "Running", "Down")</f>
        <v>Running</v>
      </c>
    </row>
    <row r="602" spans="1:5" x14ac:dyDescent="0.25">
      <c r="A602" s="2">
        <v>44685</v>
      </c>
      <c r="B602" s="4" t="s">
        <v>35</v>
      </c>
      <c r="C602">
        <v>2076</v>
      </c>
      <c r="D602" t="s">
        <v>7</v>
      </c>
      <c r="E602" t="str">
        <f>IF(may[[#This Row],[ShiftCounter]]&gt;0, "Running", "Down")</f>
        <v>Running</v>
      </c>
    </row>
    <row r="603" spans="1:5" x14ac:dyDescent="0.25">
      <c r="A603" s="2">
        <v>44685</v>
      </c>
      <c r="B603" s="4" t="s">
        <v>35</v>
      </c>
      <c r="C603">
        <v>1855</v>
      </c>
      <c r="D603" t="s">
        <v>8</v>
      </c>
      <c r="E603" t="str">
        <f>IF(may[[#This Row],[ShiftCounter]]&gt;0, "Running", "Down")</f>
        <v>Running</v>
      </c>
    </row>
    <row r="604" spans="1:5" x14ac:dyDescent="0.25">
      <c r="A604" s="2">
        <v>44685</v>
      </c>
      <c r="B604" s="4" t="s">
        <v>36</v>
      </c>
      <c r="C604">
        <v>2424</v>
      </c>
      <c r="D604" t="s">
        <v>6</v>
      </c>
      <c r="E604" t="str">
        <f>IF(may[[#This Row],[ShiftCounter]]&gt;0, "Running", "Down")</f>
        <v>Running</v>
      </c>
    </row>
    <row r="605" spans="1:5" x14ac:dyDescent="0.25">
      <c r="A605" s="2">
        <v>44685</v>
      </c>
      <c r="B605" s="4" t="s">
        <v>36</v>
      </c>
      <c r="C605">
        <v>2457</v>
      </c>
      <c r="D605" t="s">
        <v>7</v>
      </c>
      <c r="E605" t="str">
        <f>IF(may[[#This Row],[ShiftCounter]]&gt;0, "Running", "Down")</f>
        <v>Running</v>
      </c>
    </row>
    <row r="606" spans="1:5" x14ac:dyDescent="0.25">
      <c r="A606" s="2">
        <v>44685</v>
      </c>
      <c r="B606" s="4" t="s">
        <v>36</v>
      </c>
      <c r="C606">
        <v>2202</v>
      </c>
      <c r="D606" t="s">
        <v>8</v>
      </c>
      <c r="E606" t="str">
        <f>IF(may[[#This Row],[ShiftCounter]]&gt;0, "Running", "Down")</f>
        <v>Running</v>
      </c>
    </row>
    <row r="607" spans="1:5" x14ac:dyDescent="0.25">
      <c r="A607" s="2">
        <v>44685</v>
      </c>
      <c r="B607" s="4" t="s">
        <v>37</v>
      </c>
      <c r="C607">
        <v>1927</v>
      </c>
      <c r="D607" t="s">
        <v>6</v>
      </c>
      <c r="E607" t="str">
        <f>IF(may[[#This Row],[ShiftCounter]]&gt;0, "Running", "Down")</f>
        <v>Running</v>
      </c>
    </row>
    <row r="608" spans="1:5" x14ac:dyDescent="0.25">
      <c r="A608" s="2">
        <v>44685</v>
      </c>
      <c r="B608" s="4" t="s">
        <v>37</v>
      </c>
      <c r="C608">
        <v>2191</v>
      </c>
      <c r="D608" t="s">
        <v>7</v>
      </c>
      <c r="E608" t="str">
        <f>IF(may[[#This Row],[ShiftCounter]]&gt;0, "Running", "Down")</f>
        <v>Running</v>
      </c>
    </row>
    <row r="609" spans="1:5" x14ac:dyDescent="0.25">
      <c r="A609" s="2">
        <v>44685</v>
      </c>
      <c r="B609" s="4" t="s">
        <v>37</v>
      </c>
      <c r="C609">
        <v>2122</v>
      </c>
      <c r="D609" t="s">
        <v>8</v>
      </c>
      <c r="E609" t="str">
        <f>IF(may[[#This Row],[ShiftCounter]]&gt;0, "Running", "Down")</f>
        <v>Running</v>
      </c>
    </row>
    <row r="610" spans="1:5" x14ac:dyDescent="0.25">
      <c r="A610" s="2">
        <v>44686</v>
      </c>
      <c r="B610" s="4" t="s">
        <v>40</v>
      </c>
      <c r="C610">
        <v>2241</v>
      </c>
      <c r="D610" t="s">
        <v>6</v>
      </c>
      <c r="E610" t="str">
        <f>IF(may[[#This Row],[ShiftCounter]]&gt;0, "Running", "Down")</f>
        <v>Running</v>
      </c>
    </row>
    <row r="611" spans="1:5" x14ac:dyDescent="0.25">
      <c r="A611" s="2">
        <v>44686</v>
      </c>
      <c r="B611" s="4" t="s">
        <v>40</v>
      </c>
      <c r="C611">
        <v>2360</v>
      </c>
      <c r="D611" t="s">
        <v>7</v>
      </c>
      <c r="E611" t="str">
        <f>IF(may[[#This Row],[ShiftCounter]]&gt;0, "Running", "Down")</f>
        <v>Running</v>
      </c>
    </row>
    <row r="612" spans="1:5" x14ac:dyDescent="0.25">
      <c r="A612" s="2">
        <v>44686</v>
      </c>
      <c r="B612" s="4" t="s">
        <v>40</v>
      </c>
      <c r="C612">
        <v>2065</v>
      </c>
      <c r="D612" t="s">
        <v>8</v>
      </c>
      <c r="E612" t="str">
        <f>IF(may[[#This Row],[ShiftCounter]]&gt;0, "Running", "Down")</f>
        <v>Running</v>
      </c>
    </row>
    <row r="613" spans="1:5" x14ac:dyDescent="0.25">
      <c r="A613" s="2">
        <v>44686</v>
      </c>
      <c r="B613" s="4" t="s">
        <v>41</v>
      </c>
      <c r="C613">
        <v>2355</v>
      </c>
      <c r="D613" t="s">
        <v>6</v>
      </c>
      <c r="E613" t="str">
        <f>IF(may[[#This Row],[ShiftCounter]]&gt;0, "Running", "Down")</f>
        <v>Running</v>
      </c>
    </row>
    <row r="614" spans="1:5" x14ac:dyDescent="0.25">
      <c r="A614" s="2">
        <v>44686</v>
      </c>
      <c r="B614" s="4" t="s">
        <v>41</v>
      </c>
      <c r="C614">
        <v>2460</v>
      </c>
      <c r="D614" t="s">
        <v>7</v>
      </c>
      <c r="E614" t="str">
        <f>IF(may[[#This Row],[ShiftCounter]]&gt;0, "Running", "Down")</f>
        <v>Running</v>
      </c>
    </row>
    <row r="615" spans="1:5" x14ac:dyDescent="0.25">
      <c r="A615" s="2">
        <v>44686</v>
      </c>
      <c r="B615" s="4" t="s">
        <v>41</v>
      </c>
      <c r="C615">
        <v>2175</v>
      </c>
      <c r="D615" t="s">
        <v>8</v>
      </c>
      <c r="E615" t="str">
        <f>IF(may[[#This Row],[ShiftCounter]]&gt;0, "Running", "Down")</f>
        <v>Running</v>
      </c>
    </row>
    <row r="616" spans="1:5" x14ac:dyDescent="0.25">
      <c r="A616" s="2">
        <v>44686</v>
      </c>
      <c r="B616" s="4" t="s">
        <v>5</v>
      </c>
      <c r="C616">
        <v>2175</v>
      </c>
      <c r="D616" t="s">
        <v>6</v>
      </c>
      <c r="E616" t="str">
        <f>IF(may[[#This Row],[ShiftCounter]]&gt;0, "Running", "Down")</f>
        <v>Running</v>
      </c>
    </row>
    <row r="617" spans="1:5" x14ac:dyDescent="0.25">
      <c r="A617" s="2">
        <v>44686</v>
      </c>
      <c r="B617" s="4" t="s">
        <v>5</v>
      </c>
      <c r="C617">
        <v>2382</v>
      </c>
      <c r="D617" t="s">
        <v>7</v>
      </c>
      <c r="E617" t="str">
        <f>IF(may[[#This Row],[ShiftCounter]]&gt;0, "Running", "Down")</f>
        <v>Running</v>
      </c>
    </row>
    <row r="618" spans="1:5" x14ac:dyDescent="0.25">
      <c r="A618" s="2">
        <v>44686</v>
      </c>
      <c r="B618" s="4" t="s">
        <v>5</v>
      </c>
      <c r="C618">
        <v>2045</v>
      </c>
      <c r="D618" t="s">
        <v>8</v>
      </c>
      <c r="E618" t="str">
        <f>IF(may[[#This Row],[ShiftCounter]]&gt;0, "Running", "Down")</f>
        <v>Running</v>
      </c>
    </row>
    <row r="619" spans="1:5" x14ac:dyDescent="0.25">
      <c r="A619" s="2">
        <v>44686</v>
      </c>
      <c r="B619" s="4" t="s">
        <v>9</v>
      </c>
      <c r="C619">
        <v>1798</v>
      </c>
      <c r="D619" t="s">
        <v>6</v>
      </c>
      <c r="E619" t="str">
        <f>IF(may[[#This Row],[ShiftCounter]]&gt;0, "Running", "Down")</f>
        <v>Running</v>
      </c>
    </row>
    <row r="620" spans="1:5" x14ac:dyDescent="0.25">
      <c r="A620" s="2">
        <v>44686</v>
      </c>
      <c r="B620" s="4" t="s">
        <v>9</v>
      </c>
      <c r="C620">
        <v>2317</v>
      </c>
      <c r="D620" t="s">
        <v>7</v>
      </c>
      <c r="E620" t="str">
        <f>IF(may[[#This Row],[ShiftCounter]]&gt;0, "Running", "Down")</f>
        <v>Running</v>
      </c>
    </row>
    <row r="621" spans="1:5" x14ac:dyDescent="0.25">
      <c r="A621" s="2">
        <v>44686</v>
      </c>
      <c r="B621" s="4" t="s">
        <v>9</v>
      </c>
      <c r="C621">
        <v>2055</v>
      </c>
      <c r="D621" t="s">
        <v>8</v>
      </c>
      <c r="E621" t="str">
        <f>IF(may[[#This Row],[ShiftCounter]]&gt;0, "Running", "Down")</f>
        <v>Running</v>
      </c>
    </row>
    <row r="622" spans="1:5" x14ac:dyDescent="0.25">
      <c r="A622" s="2">
        <v>44686</v>
      </c>
      <c r="B622" s="4" t="s">
        <v>11</v>
      </c>
      <c r="C622">
        <v>2391</v>
      </c>
      <c r="D622" t="s">
        <v>6</v>
      </c>
      <c r="E622" t="str">
        <f>IF(may[[#This Row],[ShiftCounter]]&gt;0, "Running", "Down")</f>
        <v>Running</v>
      </c>
    </row>
    <row r="623" spans="1:5" x14ac:dyDescent="0.25">
      <c r="A623" s="2">
        <v>44686</v>
      </c>
      <c r="B623" s="4" t="s">
        <v>11</v>
      </c>
      <c r="C623">
        <v>2418</v>
      </c>
      <c r="D623" t="s">
        <v>7</v>
      </c>
      <c r="E623" t="str">
        <f>IF(may[[#This Row],[ShiftCounter]]&gt;0, "Running", "Down")</f>
        <v>Running</v>
      </c>
    </row>
    <row r="624" spans="1:5" x14ac:dyDescent="0.25">
      <c r="A624" s="2">
        <v>44686</v>
      </c>
      <c r="B624" s="4" t="s">
        <v>11</v>
      </c>
      <c r="C624">
        <v>2120</v>
      </c>
      <c r="D624" t="s">
        <v>8</v>
      </c>
      <c r="E624" t="str">
        <f>IF(may[[#This Row],[ShiftCounter]]&gt;0, "Running", "Down")</f>
        <v>Running</v>
      </c>
    </row>
    <row r="625" spans="1:5" x14ac:dyDescent="0.25">
      <c r="A625" s="2">
        <v>44686</v>
      </c>
      <c r="B625" s="4" t="s">
        <v>10</v>
      </c>
      <c r="C625">
        <v>1933</v>
      </c>
      <c r="D625" t="s">
        <v>6</v>
      </c>
      <c r="E625" t="str">
        <f>IF(may[[#This Row],[ShiftCounter]]&gt;0, "Running", "Down")</f>
        <v>Running</v>
      </c>
    </row>
    <row r="626" spans="1:5" x14ac:dyDescent="0.25">
      <c r="A626" s="2">
        <v>44686</v>
      </c>
      <c r="B626" s="4" t="s">
        <v>10</v>
      </c>
      <c r="C626">
        <v>2283</v>
      </c>
      <c r="D626" t="s">
        <v>7</v>
      </c>
      <c r="E626" t="str">
        <f>IF(may[[#This Row],[ShiftCounter]]&gt;0, "Running", "Down")</f>
        <v>Running</v>
      </c>
    </row>
    <row r="627" spans="1:5" x14ac:dyDescent="0.25">
      <c r="A627" s="2">
        <v>44686</v>
      </c>
      <c r="B627" s="4" t="s">
        <v>10</v>
      </c>
      <c r="C627">
        <v>2045</v>
      </c>
      <c r="D627" t="s">
        <v>8</v>
      </c>
      <c r="E627" t="str">
        <f>IF(may[[#This Row],[ShiftCounter]]&gt;0, "Running", "Down")</f>
        <v>Running</v>
      </c>
    </row>
    <row r="628" spans="1:5" x14ac:dyDescent="0.25">
      <c r="A628" s="2">
        <v>44686</v>
      </c>
      <c r="B628" s="4" t="s">
        <v>12</v>
      </c>
      <c r="C628">
        <v>1880</v>
      </c>
      <c r="D628" t="s">
        <v>6</v>
      </c>
      <c r="E628" t="str">
        <f>IF(may[[#This Row],[ShiftCounter]]&gt;0, "Running", "Down")</f>
        <v>Running</v>
      </c>
    </row>
    <row r="629" spans="1:5" x14ac:dyDescent="0.25">
      <c r="A629" s="2">
        <v>44686</v>
      </c>
      <c r="B629" s="4" t="s">
        <v>12</v>
      </c>
      <c r="C629">
        <v>2195</v>
      </c>
      <c r="D629" t="s">
        <v>7</v>
      </c>
      <c r="E629" t="str">
        <f>IF(may[[#This Row],[ShiftCounter]]&gt;0, "Running", "Down")</f>
        <v>Running</v>
      </c>
    </row>
    <row r="630" spans="1:5" x14ac:dyDescent="0.25">
      <c r="A630" s="2">
        <v>44686</v>
      </c>
      <c r="B630" s="4" t="s">
        <v>12</v>
      </c>
      <c r="C630">
        <v>1935</v>
      </c>
      <c r="D630" t="s">
        <v>8</v>
      </c>
      <c r="E630" t="str">
        <f>IF(may[[#This Row],[ShiftCounter]]&gt;0, "Running", "Down")</f>
        <v>Running</v>
      </c>
    </row>
    <row r="631" spans="1:5" x14ac:dyDescent="0.25">
      <c r="A631" s="2">
        <v>44686</v>
      </c>
      <c r="B631" s="4" t="s">
        <v>13</v>
      </c>
      <c r="C631">
        <v>2248</v>
      </c>
      <c r="D631" t="s">
        <v>6</v>
      </c>
      <c r="E631" t="str">
        <f>IF(may[[#This Row],[ShiftCounter]]&gt;0, "Running", "Down")</f>
        <v>Running</v>
      </c>
    </row>
    <row r="632" spans="1:5" x14ac:dyDescent="0.25">
      <c r="A632" s="2">
        <v>44686</v>
      </c>
      <c r="B632" s="4" t="s">
        <v>13</v>
      </c>
      <c r="C632">
        <v>2304</v>
      </c>
      <c r="D632" t="s">
        <v>7</v>
      </c>
      <c r="E632" t="str">
        <f>IF(may[[#This Row],[ShiftCounter]]&gt;0, "Running", "Down")</f>
        <v>Running</v>
      </c>
    </row>
    <row r="633" spans="1:5" x14ac:dyDescent="0.25">
      <c r="A633" s="2">
        <v>44686</v>
      </c>
      <c r="B633" s="4" t="s">
        <v>13</v>
      </c>
      <c r="C633">
        <v>2075</v>
      </c>
      <c r="D633" t="s">
        <v>8</v>
      </c>
      <c r="E633" t="str">
        <f>IF(may[[#This Row],[ShiftCounter]]&gt;0, "Running", "Down")</f>
        <v>Running</v>
      </c>
    </row>
    <row r="634" spans="1:5" x14ac:dyDescent="0.25">
      <c r="A634" s="2">
        <v>44686</v>
      </c>
      <c r="B634" s="4" t="s">
        <v>14</v>
      </c>
      <c r="C634">
        <v>1770</v>
      </c>
      <c r="D634" t="s">
        <v>6</v>
      </c>
      <c r="E634" t="str">
        <f>IF(may[[#This Row],[ShiftCounter]]&gt;0, "Running", "Down")</f>
        <v>Running</v>
      </c>
    </row>
    <row r="635" spans="1:5" x14ac:dyDescent="0.25">
      <c r="A635" s="2">
        <v>44686</v>
      </c>
      <c r="B635" s="4" t="s">
        <v>14</v>
      </c>
      <c r="C635">
        <v>1812</v>
      </c>
      <c r="D635" t="s">
        <v>7</v>
      </c>
      <c r="E635" t="str">
        <f>IF(may[[#This Row],[ShiftCounter]]&gt;0, "Running", "Down")</f>
        <v>Running</v>
      </c>
    </row>
    <row r="636" spans="1:5" x14ac:dyDescent="0.25">
      <c r="A636" s="2">
        <v>44686</v>
      </c>
      <c r="B636" s="4" t="s">
        <v>14</v>
      </c>
      <c r="C636">
        <v>1588</v>
      </c>
      <c r="D636" t="s">
        <v>8</v>
      </c>
      <c r="E636" t="str">
        <f>IF(may[[#This Row],[ShiftCounter]]&gt;0, "Running", "Down")</f>
        <v>Running</v>
      </c>
    </row>
    <row r="637" spans="1:5" x14ac:dyDescent="0.25">
      <c r="A637" s="2">
        <v>44686</v>
      </c>
      <c r="B637" s="4" t="s">
        <v>15</v>
      </c>
      <c r="C637">
        <v>995</v>
      </c>
      <c r="D637" t="s">
        <v>6</v>
      </c>
      <c r="E637" t="str">
        <f>IF(may[[#This Row],[ShiftCounter]]&gt;0, "Running", "Down")</f>
        <v>Running</v>
      </c>
    </row>
    <row r="638" spans="1:5" x14ac:dyDescent="0.25">
      <c r="A638" s="2">
        <v>44686</v>
      </c>
      <c r="B638" s="4" t="s">
        <v>15</v>
      </c>
      <c r="C638">
        <v>2163</v>
      </c>
      <c r="D638" t="s">
        <v>7</v>
      </c>
      <c r="E638" t="str">
        <f>IF(may[[#This Row],[ShiftCounter]]&gt;0, "Running", "Down")</f>
        <v>Running</v>
      </c>
    </row>
    <row r="639" spans="1:5" x14ac:dyDescent="0.25">
      <c r="A639" s="2">
        <v>44686</v>
      </c>
      <c r="B639" s="4" t="s">
        <v>15</v>
      </c>
      <c r="C639">
        <v>1911</v>
      </c>
      <c r="D639" t="s">
        <v>8</v>
      </c>
      <c r="E639" t="str">
        <f>IF(may[[#This Row],[ShiftCounter]]&gt;0, "Running", "Down")</f>
        <v>Running</v>
      </c>
    </row>
    <row r="640" spans="1:5" x14ac:dyDescent="0.25">
      <c r="A640" s="2">
        <v>44686</v>
      </c>
      <c r="B640" s="4" t="s">
        <v>16</v>
      </c>
      <c r="C640">
        <v>2335</v>
      </c>
      <c r="D640" t="s">
        <v>6</v>
      </c>
      <c r="E640" t="str">
        <f>IF(may[[#This Row],[ShiftCounter]]&gt;0, "Running", "Down")</f>
        <v>Running</v>
      </c>
    </row>
    <row r="641" spans="1:5" x14ac:dyDescent="0.25">
      <c r="A641" s="2">
        <v>44686</v>
      </c>
      <c r="B641" s="4" t="s">
        <v>16</v>
      </c>
      <c r="C641">
        <v>2230</v>
      </c>
      <c r="D641" t="s">
        <v>7</v>
      </c>
      <c r="E641" t="str">
        <f>IF(may[[#This Row],[ShiftCounter]]&gt;0, "Running", "Down")</f>
        <v>Running</v>
      </c>
    </row>
    <row r="642" spans="1:5" x14ac:dyDescent="0.25">
      <c r="A642" s="2">
        <v>44686</v>
      </c>
      <c r="B642" s="4" t="s">
        <v>16</v>
      </c>
      <c r="C642">
        <v>2070</v>
      </c>
      <c r="D642" t="s">
        <v>8</v>
      </c>
      <c r="E642" t="str">
        <f>IF(may[[#This Row],[ShiftCounter]]&gt;0, "Running", "Down")</f>
        <v>Running</v>
      </c>
    </row>
    <row r="643" spans="1:5" x14ac:dyDescent="0.25">
      <c r="A643" s="2">
        <v>44686</v>
      </c>
      <c r="B643" s="4" t="s">
        <v>17</v>
      </c>
      <c r="C643">
        <v>2027</v>
      </c>
      <c r="D643" t="s">
        <v>6</v>
      </c>
      <c r="E643" t="str">
        <f>IF(may[[#This Row],[ShiftCounter]]&gt;0, "Running", "Down")</f>
        <v>Running</v>
      </c>
    </row>
    <row r="644" spans="1:5" x14ac:dyDescent="0.25">
      <c r="A644" s="2">
        <v>44686</v>
      </c>
      <c r="B644" s="4" t="s">
        <v>17</v>
      </c>
      <c r="C644">
        <v>2323</v>
      </c>
      <c r="D644" t="s">
        <v>7</v>
      </c>
      <c r="E644" t="str">
        <f>IF(may[[#This Row],[ShiftCounter]]&gt;0, "Running", "Down")</f>
        <v>Running</v>
      </c>
    </row>
    <row r="645" spans="1:5" x14ac:dyDescent="0.25">
      <c r="A645" s="2">
        <v>44686</v>
      </c>
      <c r="B645" s="4" t="s">
        <v>17</v>
      </c>
      <c r="C645">
        <v>2166</v>
      </c>
      <c r="D645" t="s">
        <v>8</v>
      </c>
      <c r="E645" t="str">
        <f>IF(may[[#This Row],[ShiftCounter]]&gt;0, "Running", "Down")</f>
        <v>Running</v>
      </c>
    </row>
    <row r="646" spans="1:5" x14ac:dyDescent="0.25">
      <c r="A646" s="2">
        <v>44686</v>
      </c>
      <c r="B646" s="4" t="s">
        <v>19</v>
      </c>
      <c r="C646">
        <v>2183</v>
      </c>
      <c r="D646" t="s">
        <v>6</v>
      </c>
      <c r="E646" t="str">
        <f>IF(may[[#This Row],[ShiftCounter]]&gt;0, "Running", "Down")</f>
        <v>Running</v>
      </c>
    </row>
    <row r="647" spans="1:5" x14ac:dyDescent="0.25">
      <c r="A647" s="2">
        <v>44686</v>
      </c>
      <c r="B647" s="4" t="s">
        <v>19</v>
      </c>
      <c r="C647">
        <v>1959</v>
      </c>
      <c r="D647" t="s">
        <v>7</v>
      </c>
      <c r="E647" t="str">
        <f>IF(may[[#This Row],[ShiftCounter]]&gt;0, "Running", "Down")</f>
        <v>Running</v>
      </c>
    </row>
    <row r="648" spans="1:5" x14ac:dyDescent="0.25">
      <c r="A648" s="2">
        <v>44686</v>
      </c>
      <c r="B648" s="4" t="s">
        <v>19</v>
      </c>
      <c r="C648">
        <v>1815</v>
      </c>
      <c r="D648" t="s">
        <v>8</v>
      </c>
      <c r="E648" t="str">
        <f>IF(may[[#This Row],[ShiftCounter]]&gt;0, "Running", "Down")</f>
        <v>Running</v>
      </c>
    </row>
    <row r="649" spans="1:5" x14ac:dyDescent="0.25">
      <c r="A649" s="2">
        <v>44686</v>
      </c>
      <c r="B649" s="4" t="s">
        <v>18</v>
      </c>
      <c r="C649">
        <v>2274</v>
      </c>
      <c r="D649" t="s">
        <v>6</v>
      </c>
      <c r="E649" t="str">
        <f>IF(may[[#This Row],[ShiftCounter]]&gt;0, "Running", "Down")</f>
        <v>Running</v>
      </c>
    </row>
    <row r="650" spans="1:5" x14ac:dyDescent="0.25">
      <c r="A650" s="2">
        <v>44686</v>
      </c>
      <c r="B650" s="4" t="s">
        <v>18</v>
      </c>
      <c r="C650">
        <v>2366</v>
      </c>
      <c r="D650" t="s">
        <v>7</v>
      </c>
      <c r="E650" t="str">
        <f>IF(may[[#This Row],[ShiftCounter]]&gt;0, "Running", "Down")</f>
        <v>Running</v>
      </c>
    </row>
    <row r="651" spans="1:5" x14ac:dyDescent="0.25">
      <c r="A651" s="2">
        <v>44686</v>
      </c>
      <c r="B651" s="4" t="s">
        <v>18</v>
      </c>
      <c r="C651">
        <v>2109</v>
      </c>
      <c r="D651" t="s">
        <v>8</v>
      </c>
      <c r="E651" t="str">
        <f>IF(may[[#This Row],[ShiftCounter]]&gt;0, "Running", "Down")</f>
        <v>Running</v>
      </c>
    </row>
    <row r="652" spans="1:5" x14ac:dyDescent="0.25">
      <c r="A652" s="2">
        <v>44686</v>
      </c>
      <c r="B652" s="4" t="s">
        <v>42</v>
      </c>
      <c r="C652">
        <v>2218</v>
      </c>
      <c r="D652" t="s">
        <v>6</v>
      </c>
      <c r="E652" t="str">
        <f>IF(may[[#This Row],[ShiftCounter]]&gt;0, "Running", "Down")</f>
        <v>Running</v>
      </c>
    </row>
    <row r="653" spans="1:5" x14ac:dyDescent="0.25">
      <c r="A653" s="2">
        <v>44686</v>
      </c>
      <c r="B653" s="4" t="s">
        <v>42</v>
      </c>
      <c r="C653">
        <v>2095</v>
      </c>
      <c r="D653" t="s">
        <v>7</v>
      </c>
      <c r="E653" t="str">
        <f>IF(may[[#This Row],[ShiftCounter]]&gt;0, "Running", "Down")</f>
        <v>Running</v>
      </c>
    </row>
    <row r="654" spans="1:5" x14ac:dyDescent="0.25">
      <c r="A654" s="2">
        <v>44686</v>
      </c>
      <c r="B654" s="4" t="s">
        <v>42</v>
      </c>
      <c r="C654">
        <v>1877</v>
      </c>
      <c r="D654" t="s">
        <v>8</v>
      </c>
      <c r="E654" t="str">
        <f>IF(may[[#This Row],[ShiftCounter]]&gt;0, "Running", "Down")</f>
        <v>Running</v>
      </c>
    </row>
    <row r="655" spans="1:5" x14ac:dyDescent="0.25">
      <c r="A655" s="2">
        <v>44686</v>
      </c>
      <c r="B655" s="4" t="s">
        <v>38</v>
      </c>
      <c r="C655">
        <v>2195</v>
      </c>
      <c r="D655" t="s">
        <v>6</v>
      </c>
      <c r="E655" t="str">
        <f>IF(may[[#This Row],[ShiftCounter]]&gt;0, "Running", "Down")</f>
        <v>Running</v>
      </c>
    </row>
    <row r="656" spans="1:5" x14ac:dyDescent="0.25">
      <c r="A656" s="2">
        <v>44686</v>
      </c>
      <c r="B656" s="4" t="s">
        <v>38</v>
      </c>
      <c r="C656">
        <v>2124</v>
      </c>
      <c r="D656" t="s">
        <v>7</v>
      </c>
      <c r="E656" t="str">
        <f>IF(may[[#This Row],[ShiftCounter]]&gt;0, "Running", "Down")</f>
        <v>Running</v>
      </c>
    </row>
    <row r="657" spans="1:5" x14ac:dyDescent="0.25">
      <c r="A657" s="2">
        <v>44686</v>
      </c>
      <c r="B657" s="4" t="s">
        <v>38</v>
      </c>
      <c r="C657">
        <v>1966</v>
      </c>
      <c r="D657" t="s">
        <v>8</v>
      </c>
      <c r="E657" t="str">
        <f>IF(may[[#This Row],[ShiftCounter]]&gt;0, "Running", "Down")</f>
        <v>Running</v>
      </c>
    </row>
    <row r="658" spans="1:5" x14ac:dyDescent="0.25">
      <c r="A658" s="2">
        <v>44686</v>
      </c>
      <c r="B658" s="4" t="s">
        <v>20</v>
      </c>
      <c r="C658">
        <v>2164</v>
      </c>
      <c r="D658" t="s">
        <v>6</v>
      </c>
      <c r="E658" t="str">
        <f>IF(may[[#This Row],[ShiftCounter]]&gt;0, "Running", "Down")</f>
        <v>Running</v>
      </c>
    </row>
    <row r="659" spans="1:5" x14ac:dyDescent="0.25">
      <c r="A659" s="2">
        <v>44686</v>
      </c>
      <c r="B659" s="4" t="s">
        <v>20</v>
      </c>
      <c r="C659">
        <v>2144</v>
      </c>
      <c r="D659" t="s">
        <v>7</v>
      </c>
      <c r="E659" t="str">
        <f>IF(may[[#This Row],[ShiftCounter]]&gt;0, "Running", "Down")</f>
        <v>Running</v>
      </c>
    </row>
    <row r="660" spans="1:5" x14ac:dyDescent="0.25">
      <c r="A660" s="2">
        <v>44686</v>
      </c>
      <c r="B660" s="4" t="s">
        <v>20</v>
      </c>
      <c r="C660">
        <v>1969</v>
      </c>
      <c r="D660" t="s">
        <v>8</v>
      </c>
      <c r="E660" t="str">
        <f>IF(may[[#This Row],[ShiftCounter]]&gt;0, "Running", "Down")</f>
        <v>Running</v>
      </c>
    </row>
    <row r="661" spans="1:5" x14ac:dyDescent="0.25">
      <c r="A661" s="2">
        <v>44686</v>
      </c>
      <c r="B661" s="4" t="s">
        <v>21</v>
      </c>
      <c r="C661">
        <v>2236</v>
      </c>
      <c r="D661" t="s">
        <v>6</v>
      </c>
      <c r="E661" t="str">
        <f>IF(may[[#This Row],[ShiftCounter]]&gt;0, "Running", "Down")</f>
        <v>Running</v>
      </c>
    </row>
    <row r="662" spans="1:5" x14ac:dyDescent="0.25">
      <c r="A662" s="2">
        <v>44686</v>
      </c>
      <c r="B662" s="4" t="s">
        <v>21</v>
      </c>
      <c r="C662">
        <v>2155</v>
      </c>
      <c r="D662" t="s">
        <v>7</v>
      </c>
      <c r="E662" t="str">
        <f>IF(may[[#This Row],[ShiftCounter]]&gt;0, "Running", "Down")</f>
        <v>Running</v>
      </c>
    </row>
    <row r="663" spans="1:5" x14ac:dyDescent="0.25">
      <c r="A663" s="2">
        <v>44686</v>
      </c>
      <c r="B663" s="4" t="s">
        <v>21</v>
      </c>
      <c r="C663">
        <v>1907</v>
      </c>
      <c r="D663" t="s">
        <v>8</v>
      </c>
      <c r="E663" t="str">
        <f>IF(may[[#This Row],[ShiftCounter]]&gt;0, "Running", "Down")</f>
        <v>Running</v>
      </c>
    </row>
    <row r="664" spans="1:5" x14ac:dyDescent="0.25">
      <c r="A664" s="2">
        <v>44686</v>
      </c>
      <c r="B664" s="4" t="s">
        <v>22</v>
      </c>
      <c r="C664">
        <v>2264</v>
      </c>
      <c r="D664" t="s">
        <v>6</v>
      </c>
      <c r="E664" t="str">
        <f>IF(may[[#This Row],[ShiftCounter]]&gt;0, "Running", "Down")</f>
        <v>Running</v>
      </c>
    </row>
    <row r="665" spans="1:5" x14ac:dyDescent="0.25">
      <c r="A665" s="2">
        <v>44686</v>
      </c>
      <c r="B665" s="4" t="s">
        <v>22</v>
      </c>
      <c r="C665">
        <v>1943</v>
      </c>
      <c r="D665" t="s">
        <v>7</v>
      </c>
      <c r="E665" t="str">
        <f>IF(may[[#This Row],[ShiftCounter]]&gt;0, "Running", "Down")</f>
        <v>Running</v>
      </c>
    </row>
    <row r="666" spans="1:5" x14ac:dyDescent="0.25">
      <c r="A666" s="2">
        <v>44686</v>
      </c>
      <c r="B666" s="4" t="s">
        <v>22</v>
      </c>
      <c r="C666">
        <v>2074</v>
      </c>
      <c r="D666" t="s">
        <v>8</v>
      </c>
      <c r="E666" t="str">
        <f>IF(may[[#This Row],[ShiftCounter]]&gt;0, "Running", "Down")</f>
        <v>Running</v>
      </c>
    </row>
    <row r="667" spans="1:5" x14ac:dyDescent="0.25">
      <c r="A667" s="2">
        <v>44686</v>
      </c>
      <c r="B667" s="4" t="s">
        <v>23</v>
      </c>
      <c r="C667">
        <v>2387</v>
      </c>
      <c r="D667" t="s">
        <v>6</v>
      </c>
      <c r="E667" t="str">
        <f>IF(may[[#This Row],[ShiftCounter]]&gt;0, "Running", "Down")</f>
        <v>Running</v>
      </c>
    </row>
    <row r="668" spans="1:5" x14ac:dyDescent="0.25">
      <c r="A668" s="2">
        <v>44686</v>
      </c>
      <c r="B668" s="4" t="s">
        <v>23</v>
      </c>
      <c r="C668">
        <v>2285</v>
      </c>
      <c r="D668" t="s">
        <v>7</v>
      </c>
      <c r="E668" t="str">
        <f>IF(may[[#This Row],[ShiftCounter]]&gt;0, "Running", "Down")</f>
        <v>Running</v>
      </c>
    </row>
    <row r="669" spans="1:5" x14ac:dyDescent="0.25">
      <c r="A669" s="2">
        <v>44686</v>
      </c>
      <c r="B669" s="4" t="s">
        <v>23</v>
      </c>
      <c r="C669">
        <v>2181</v>
      </c>
      <c r="D669" t="s">
        <v>8</v>
      </c>
      <c r="E669" t="str">
        <f>IF(may[[#This Row],[ShiftCounter]]&gt;0, "Running", "Down")</f>
        <v>Running</v>
      </c>
    </row>
    <row r="670" spans="1:5" x14ac:dyDescent="0.25">
      <c r="A670" s="2">
        <v>44686</v>
      </c>
      <c r="B670" s="4" t="s">
        <v>24</v>
      </c>
      <c r="C670">
        <v>2174</v>
      </c>
      <c r="D670" t="s">
        <v>6</v>
      </c>
      <c r="E670" t="str">
        <f>IF(may[[#This Row],[ShiftCounter]]&gt;0, "Running", "Down")</f>
        <v>Running</v>
      </c>
    </row>
    <row r="671" spans="1:5" x14ac:dyDescent="0.25">
      <c r="A671" s="2">
        <v>44686</v>
      </c>
      <c r="B671" s="4" t="s">
        <v>24</v>
      </c>
      <c r="C671">
        <v>1983</v>
      </c>
      <c r="D671" t="s">
        <v>7</v>
      </c>
      <c r="E671" t="str">
        <f>IF(may[[#This Row],[ShiftCounter]]&gt;0, "Running", "Down")</f>
        <v>Running</v>
      </c>
    </row>
    <row r="672" spans="1:5" x14ac:dyDescent="0.25">
      <c r="A672" s="2">
        <v>44686</v>
      </c>
      <c r="B672" s="4" t="s">
        <v>24</v>
      </c>
      <c r="C672">
        <v>1884</v>
      </c>
      <c r="D672" t="s">
        <v>8</v>
      </c>
      <c r="E672" t="str">
        <f>IF(may[[#This Row],[ShiftCounter]]&gt;0, "Running", "Down")</f>
        <v>Running</v>
      </c>
    </row>
    <row r="673" spans="1:5" x14ac:dyDescent="0.25">
      <c r="A673" s="2">
        <v>44686</v>
      </c>
      <c r="B673" s="4" t="s">
        <v>25</v>
      </c>
      <c r="C673">
        <v>2358</v>
      </c>
      <c r="D673" t="s">
        <v>6</v>
      </c>
      <c r="E673" t="str">
        <f>IF(may[[#This Row],[ShiftCounter]]&gt;0, "Running", "Down")</f>
        <v>Running</v>
      </c>
    </row>
    <row r="674" spans="1:5" x14ac:dyDescent="0.25">
      <c r="A674" s="2">
        <v>44686</v>
      </c>
      <c r="B674" s="4" t="s">
        <v>25</v>
      </c>
      <c r="C674">
        <v>2233</v>
      </c>
      <c r="D674" t="s">
        <v>7</v>
      </c>
      <c r="E674" t="str">
        <f>IF(may[[#This Row],[ShiftCounter]]&gt;0, "Running", "Down")</f>
        <v>Running</v>
      </c>
    </row>
    <row r="675" spans="1:5" x14ac:dyDescent="0.25">
      <c r="A675" s="2">
        <v>44686</v>
      </c>
      <c r="B675" s="4" t="s">
        <v>25</v>
      </c>
      <c r="C675">
        <v>2025</v>
      </c>
      <c r="D675" t="s">
        <v>8</v>
      </c>
      <c r="E675" t="str">
        <f>IF(may[[#This Row],[ShiftCounter]]&gt;0, "Running", "Down")</f>
        <v>Running</v>
      </c>
    </row>
    <row r="676" spans="1:5" x14ac:dyDescent="0.25">
      <c r="A676" s="2">
        <v>44686</v>
      </c>
      <c r="B676" s="4" t="s">
        <v>26</v>
      </c>
      <c r="C676">
        <v>1597</v>
      </c>
      <c r="D676" t="s">
        <v>6</v>
      </c>
      <c r="E676" t="str">
        <f>IF(may[[#This Row],[ShiftCounter]]&gt;0, "Running", "Down")</f>
        <v>Running</v>
      </c>
    </row>
    <row r="677" spans="1:5" x14ac:dyDescent="0.25">
      <c r="A677" s="2">
        <v>44686</v>
      </c>
      <c r="B677" s="4" t="s">
        <v>26</v>
      </c>
      <c r="C677">
        <v>2116</v>
      </c>
      <c r="D677" t="s">
        <v>7</v>
      </c>
      <c r="E677" t="str">
        <f>IF(may[[#This Row],[ShiftCounter]]&gt;0, "Running", "Down")</f>
        <v>Running</v>
      </c>
    </row>
    <row r="678" spans="1:5" x14ac:dyDescent="0.25">
      <c r="A678" s="2">
        <v>44686</v>
      </c>
      <c r="B678" s="4" t="s">
        <v>26</v>
      </c>
      <c r="C678">
        <v>2010</v>
      </c>
      <c r="D678" t="s">
        <v>8</v>
      </c>
      <c r="E678" t="str">
        <f>IF(may[[#This Row],[ShiftCounter]]&gt;0, "Running", "Down")</f>
        <v>Running</v>
      </c>
    </row>
    <row r="679" spans="1:5" x14ac:dyDescent="0.25">
      <c r="A679" s="2">
        <v>44686</v>
      </c>
      <c r="B679" s="4" t="s">
        <v>27</v>
      </c>
      <c r="C679">
        <v>2149</v>
      </c>
      <c r="D679" t="s">
        <v>6</v>
      </c>
      <c r="E679" t="str">
        <f>IF(may[[#This Row],[ShiftCounter]]&gt;0, "Running", "Down")</f>
        <v>Running</v>
      </c>
    </row>
    <row r="680" spans="1:5" x14ac:dyDescent="0.25">
      <c r="A680" s="2">
        <v>44686</v>
      </c>
      <c r="B680" s="4" t="s">
        <v>27</v>
      </c>
      <c r="C680">
        <v>2167</v>
      </c>
      <c r="D680" t="s">
        <v>7</v>
      </c>
      <c r="E680" t="str">
        <f>IF(may[[#This Row],[ShiftCounter]]&gt;0, "Running", "Down")</f>
        <v>Running</v>
      </c>
    </row>
    <row r="681" spans="1:5" x14ac:dyDescent="0.25">
      <c r="A681" s="2">
        <v>44686</v>
      </c>
      <c r="B681" s="4" t="s">
        <v>27</v>
      </c>
      <c r="C681">
        <v>2057</v>
      </c>
      <c r="D681" t="s">
        <v>8</v>
      </c>
      <c r="E681" t="str">
        <f>IF(may[[#This Row],[ShiftCounter]]&gt;0, "Running", "Down")</f>
        <v>Running</v>
      </c>
    </row>
    <row r="682" spans="1:5" x14ac:dyDescent="0.25">
      <c r="A682" s="2">
        <v>44686</v>
      </c>
      <c r="B682" s="4" t="s">
        <v>28</v>
      </c>
      <c r="C682">
        <v>2240</v>
      </c>
      <c r="D682" t="s">
        <v>6</v>
      </c>
      <c r="E682" t="str">
        <f>IF(may[[#This Row],[ShiftCounter]]&gt;0, "Running", "Down")</f>
        <v>Running</v>
      </c>
    </row>
    <row r="683" spans="1:5" x14ac:dyDescent="0.25">
      <c r="A683" s="2">
        <v>44686</v>
      </c>
      <c r="B683" s="4" t="s">
        <v>28</v>
      </c>
      <c r="C683">
        <v>2259</v>
      </c>
      <c r="D683" t="s">
        <v>7</v>
      </c>
      <c r="E683" t="str">
        <f>IF(may[[#This Row],[ShiftCounter]]&gt;0, "Running", "Down")</f>
        <v>Running</v>
      </c>
    </row>
    <row r="684" spans="1:5" x14ac:dyDescent="0.25">
      <c r="A684" s="2">
        <v>44686</v>
      </c>
      <c r="B684" s="4" t="s">
        <v>28</v>
      </c>
      <c r="C684">
        <v>1935</v>
      </c>
      <c r="D684" t="s">
        <v>8</v>
      </c>
      <c r="E684" t="str">
        <f>IF(may[[#This Row],[ShiftCounter]]&gt;0, "Running", "Down")</f>
        <v>Running</v>
      </c>
    </row>
    <row r="685" spans="1:5" x14ac:dyDescent="0.25">
      <c r="A685" s="2">
        <v>44686</v>
      </c>
      <c r="B685" s="4" t="s">
        <v>29</v>
      </c>
      <c r="C685">
        <v>2136</v>
      </c>
      <c r="D685" t="s">
        <v>6</v>
      </c>
      <c r="E685" t="str">
        <f>IF(may[[#This Row],[ShiftCounter]]&gt;0, "Running", "Down")</f>
        <v>Running</v>
      </c>
    </row>
    <row r="686" spans="1:5" x14ac:dyDescent="0.25">
      <c r="A686" s="2">
        <v>44686</v>
      </c>
      <c r="B686" s="4" t="s">
        <v>29</v>
      </c>
      <c r="C686">
        <v>2271</v>
      </c>
      <c r="D686" t="s">
        <v>7</v>
      </c>
      <c r="E686" t="str">
        <f>IF(may[[#This Row],[ShiftCounter]]&gt;0, "Running", "Down")</f>
        <v>Running</v>
      </c>
    </row>
    <row r="687" spans="1:5" x14ac:dyDescent="0.25">
      <c r="A687" s="2">
        <v>44686</v>
      </c>
      <c r="B687" s="4" t="s">
        <v>29</v>
      </c>
      <c r="C687">
        <v>1858</v>
      </c>
      <c r="D687" t="s">
        <v>8</v>
      </c>
      <c r="E687" t="str">
        <f>IF(may[[#This Row],[ShiftCounter]]&gt;0, "Running", "Down")</f>
        <v>Running</v>
      </c>
    </row>
    <row r="688" spans="1:5" x14ac:dyDescent="0.25">
      <c r="A688" s="2">
        <v>44686</v>
      </c>
      <c r="B688" s="4" t="s">
        <v>30</v>
      </c>
      <c r="C688">
        <v>2234</v>
      </c>
      <c r="D688" t="s">
        <v>6</v>
      </c>
      <c r="E688" t="str">
        <f>IF(may[[#This Row],[ShiftCounter]]&gt;0, "Running", "Down")</f>
        <v>Running</v>
      </c>
    </row>
    <row r="689" spans="1:5" x14ac:dyDescent="0.25">
      <c r="A689" s="2">
        <v>44686</v>
      </c>
      <c r="B689" s="4" t="s">
        <v>30</v>
      </c>
      <c r="C689">
        <v>2292</v>
      </c>
      <c r="D689" t="s">
        <v>7</v>
      </c>
      <c r="E689" t="str">
        <f>IF(may[[#This Row],[ShiftCounter]]&gt;0, "Running", "Down")</f>
        <v>Running</v>
      </c>
    </row>
    <row r="690" spans="1:5" x14ac:dyDescent="0.25">
      <c r="A690" s="2">
        <v>44686</v>
      </c>
      <c r="B690" s="4" t="s">
        <v>30</v>
      </c>
      <c r="C690">
        <v>2033</v>
      </c>
      <c r="D690" t="s">
        <v>8</v>
      </c>
      <c r="E690" t="str">
        <f>IF(may[[#This Row],[ShiftCounter]]&gt;0, "Running", "Down")</f>
        <v>Running</v>
      </c>
    </row>
    <row r="691" spans="1:5" x14ac:dyDescent="0.25">
      <c r="A691" s="2">
        <v>44686</v>
      </c>
      <c r="B691" s="4" t="s">
        <v>31</v>
      </c>
      <c r="C691">
        <v>1169</v>
      </c>
      <c r="D691" t="s">
        <v>6</v>
      </c>
      <c r="E691" t="str">
        <f>IF(may[[#This Row],[ShiftCounter]]&gt;0, "Running", "Down")</f>
        <v>Running</v>
      </c>
    </row>
    <row r="692" spans="1:5" x14ac:dyDescent="0.25">
      <c r="A692" s="2">
        <v>44686</v>
      </c>
      <c r="B692" s="4" t="s">
        <v>31</v>
      </c>
      <c r="C692">
        <v>1991</v>
      </c>
      <c r="D692" t="s">
        <v>8</v>
      </c>
      <c r="E692" t="str">
        <f>IF(may[[#This Row],[ShiftCounter]]&gt;0, "Running", "Down")</f>
        <v>Running</v>
      </c>
    </row>
    <row r="693" spans="1:5" x14ac:dyDescent="0.25">
      <c r="A693" s="2">
        <v>44686</v>
      </c>
      <c r="B693" s="4" t="s">
        <v>32</v>
      </c>
      <c r="C693">
        <v>2218</v>
      </c>
      <c r="D693" t="s">
        <v>6</v>
      </c>
      <c r="E693" t="str">
        <f>IF(may[[#This Row],[ShiftCounter]]&gt;0, "Running", "Down")</f>
        <v>Running</v>
      </c>
    </row>
    <row r="694" spans="1:5" x14ac:dyDescent="0.25">
      <c r="A694" s="2">
        <v>44686</v>
      </c>
      <c r="B694" s="4" t="s">
        <v>32</v>
      </c>
      <c r="C694">
        <v>2295</v>
      </c>
      <c r="D694" t="s">
        <v>7</v>
      </c>
      <c r="E694" t="str">
        <f>IF(may[[#This Row],[ShiftCounter]]&gt;0, "Running", "Down")</f>
        <v>Running</v>
      </c>
    </row>
    <row r="695" spans="1:5" x14ac:dyDescent="0.25">
      <c r="A695" s="2">
        <v>44686</v>
      </c>
      <c r="B695" s="4" t="s">
        <v>32</v>
      </c>
      <c r="C695">
        <v>2230</v>
      </c>
      <c r="D695" t="s">
        <v>8</v>
      </c>
      <c r="E695" t="str">
        <f>IF(may[[#This Row],[ShiftCounter]]&gt;0, "Running", "Down")</f>
        <v>Running</v>
      </c>
    </row>
    <row r="696" spans="1:5" x14ac:dyDescent="0.25">
      <c r="A696" s="2">
        <v>44686</v>
      </c>
      <c r="B696" s="4" t="s">
        <v>33</v>
      </c>
      <c r="C696">
        <v>553</v>
      </c>
      <c r="D696" t="s">
        <v>6</v>
      </c>
      <c r="E696" t="str">
        <f>IF(may[[#This Row],[ShiftCounter]]&gt;0, "Running", "Down")</f>
        <v>Running</v>
      </c>
    </row>
    <row r="697" spans="1:5" x14ac:dyDescent="0.25">
      <c r="A697" s="2">
        <v>44686</v>
      </c>
      <c r="B697" s="4" t="s">
        <v>33</v>
      </c>
      <c r="C697">
        <v>2252</v>
      </c>
      <c r="D697" t="s">
        <v>7</v>
      </c>
      <c r="E697" t="str">
        <f>IF(may[[#This Row],[ShiftCounter]]&gt;0, "Running", "Down")</f>
        <v>Running</v>
      </c>
    </row>
    <row r="698" spans="1:5" x14ac:dyDescent="0.25">
      <c r="A698" s="2">
        <v>44686</v>
      </c>
      <c r="B698" s="4" t="s">
        <v>33</v>
      </c>
      <c r="C698">
        <v>2155</v>
      </c>
      <c r="D698" t="s">
        <v>8</v>
      </c>
      <c r="E698" t="str">
        <f>IF(may[[#This Row],[ShiftCounter]]&gt;0, "Running", "Down")</f>
        <v>Running</v>
      </c>
    </row>
    <row r="699" spans="1:5" x14ac:dyDescent="0.25">
      <c r="A699" s="2">
        <v>44686</v>
      </c>
      <c r="B699" s="4" t="s">
        <v>34</v>
      </c>
      <c r="C699">
        <v>1802</v>
      </c>
      <c r="D699" t="s">
        <v>6</v>
      </c>
      <c r="E699" t="str">
        <f>IF(may[[#This Row],[ShiftCounter]]&gt;0, "Running", "Down")</f>
        <v>Running</v>
      </c>
    </row>
    <row r="700" spans="1:5" x14ac:dyDescent="0.25">
      <c r="A700" s="2">
        <v>44686</v>
      </c>
      <c r="B700" s="4" t="s">
        <v>34</v>
      </c>
      <c r="C700">
        <v>1764</v>
      </c>
      <c r="D700" t="s">
        <v>7</v>
      </c>
      <c r="E700" t="str">
        <f>IF(may[[#This Row],[ShiftCounter]]&gt;0, "Running", "Down")</f>
        <v>Running</v>
      </c>
    </row>
    <row r="701" spans="1:5" x14ac:dyDescent="0.25">
      <c r="A701" s="2">
        <v>44686</v>
      </c>
      <c r="B701" s="4" t="s">
        <v>34</v>
      </c>
      <c r="C701">
        <v>1884</v>
      </c>
      <c r="D701" t="s">
        <v>8</v>
      </c>
      <c r="E701" t="str">
        <f>IF(may[[#This Row],[ShiftCounter]]&gt;0, "Running", "Down")</f>
        <v>Running</v>
      </c>
    </row>
    <row r="702" spans="1:5" x14ac:dyDescent="0.25">
      <c r="A702" s="2">
        <v>44686</v>
      </c>
      <c r="B702" s="4" t="s">
        <v>35</v>
      </c>
      <c r="C702">
        <v>2098</v>
      </c>
      <c r="D702" t="s">
        <v>6</v>
      </c>
      <c r="E702" t="str">
        <f>IF(may[[#This Row],[ShiftCounter]]&gt;0, "Running", "Down")</f>
        <v>Running</v>
      </c>
    </row>
    <row r="703" spans="1:5" x14ac:dyDescent="0.25">
      <c r="A703" s="2">
        <v>44686</v>
      </c>
      <c r="B703" s="4" t="s">
        <v>35</v>
      </c>
      <c r="C703">
        <v>2041</v>
      </c>
      <c r="D703" t="s">
        <v>7</v>
      </c>
      <c r="E703" t="str">
        <f>IF(may[[#This Row],[ShiftCounter]]&gt;0, "Running", "Down")</f>
        <v>Running</v>
      </c>
    </row>
    <row r="704" spans="1:5" x14ac:dyDescent="0.25">
      <c r="A704" s="2">
        <v>44686</v>
      </c>
      <c r="B704" s="4" t="s">
        <v>35</v>
      </c>
      <c r="C704">
        <v>1947</v>
      </c>
      <c r="D704" t="s">
        <v>8</v>
      </c>
      <c r="E704" t="str">
        <f>IF(may[[#This Row],[ShiftCounter]]&gt;0, "Running", "Down")</f>
        <v>Running</v>
      </c>
    </row>
    <row r="705" spans="1:5" x14ac:dyDescent="0.25">
      <c r="A705" s="2">
        <v>44686</v>
      </c>
      <c r="B705" s="4" t="s">
        <v>36</v>
      </c>
      <c r="C705">
        <v>626</v>
      </c>
      <c r="D705" t="s">
        <v>6</v>
      </c>
      <c r="E705" t="str">
        <f>IF(may[[#This Row],[ShiftCounter]]&gt;0, "Running", "Down")</f>
        <v>Running</v>
      </c>
    </row>
    <row r="706" spans="1:5" x14ac:dyDescent="0.25">
      <c r="A706" s="2">
        <v>44686</v>
      </c>
      <c r="B706" s="4" t="s">
        <v>36</v>
      </c>
      <c r="C706">
        <v>2058</v>
      </c>
      <c r="D706" t="s">
        <v>7</v>
      </c>
      <c r="E706" t="str">
        <f>IF(may[[#This Row],[ShiftCounter]]&gt;0, "Running", "Down")</f>
        <v>Running</v>
      </c>
    </row>
    <row r="707" spans="1:5" x14ac:dyDescent="0.25">
      <c r="A707" s="2">
        <v>44686</v>
      </c>
      <c r="B707" s="4" t="s">
        <v>36</v>
      </c>
      <c r="C707">
        <v>2171</v>
      </c>
      <c r="D707" t="s">
        <v>8</v>
      </c>
      <c r="E707" t="str">
        <f>IF(may[[#This Row],[ShiftCounter]]&gt;0, "Running", "Down")</f>
        <v>Running</v>
      </c>
    </row>
    <row r="708" spans="1:5" x14ac:dyDescent="0.25">
      <c r="A708" s="2">
        <v>44686</v>
      </c>
      <c r="B708" s="4" t="s">
        <v>37</v>
      </c>
      <c r="C708">
        <v>2368</v>
      </c>
      <c r="D708" t="s">
        <v>6</v>
      </c>
      <c r="E708" t="str">
        <f>IF(may[[#This Row],[ShiftCounter]]&gt;0, "Running", "Down")</f>
        <v>Running</v>
      </c>
    </row>
    <row r="709" spans="1:5" x14ac:dyDescent="0.25">
      <c r="A709" s="2">
        <v>44686</v>
      </c>
      <c r="B709" s="4" t="s">
        <v>37</v>
      </c>
      <c r="C709">
        <v>2115</v>
      </c>
      <c r="D709" t="s">
        <v>7</v>
      </c>
      <c r="E709" t="str">
        <f>IF(may[[#This Row],[ShiftCounter]]&gt;0, "Running", "Down")</f>
        <v>Running</v>
      </c>
    </row>
    <row r="710" spans="1:5" x14ac:dyDescent="0.25">
      <c r="A710" s="2">
        <v>44686</v>
      </c>
      <c r="B710" s="4" t="s">
        <v>37</v>
      </c>
      <c r="C710">
        <v>2190</v>
      </c>
      <c r="D710" t="s">
        <v>8</v>
      </c>
      <c r="E710" t="str">
        <f>IF(may[[#This Row],[ShiftCounter]]&gt;0, "Running", "Down")</f>
        <v>Running</v>
      </c>
    </row>
    <row r="711" spans="1:5" x14ac:dyDescent="0.25">
      <c r="A711" s="2">
        <v>44684</v>
      </c>
      <c r="B711" s="4" t="s">
        <v>42</v>
      </c>
      <c r="C711">
        <v>1469</v>
      </c>
      <c r="D711" t="s">
        <v>6</v>
      </c>
      <c r="E711" t="str">
        <f>IF(may[[#This Row],[ShiftCounter]]&gt;0, "Running", "Down")</f>
        <v>Running</v>
      </c>
    </row>
    <row r="712" spans="1:5" x14ac:dyDescent="0.25">
      <c r="A712" s="2">
        <v>44684</v>
      </c>
      <c r="B712" s="4" t="s">
        <v>42</v>
      </c>
      <c r="C712">
        <v>2093</v>
      </c>
      <c r="D712" t="s">
        <v>7</v>
      </c>
      <c r="E712" t="str">
        <f>IF(may[[#This Row],[ShiftCounter]]&gt;0, "Running", "Down")</f>
        <v>Running</v>
      </c>
    </row>
    <row r="713" spans="1:5" x14ac:dyDescent="0.25">
      <c r="A713" s="2">
        <v>44684</v>
      </c>
      <c r="B713" s="4" t="s">
        <v>42</v>
      </c>
      <c r="C713">
        <v>1889</v>
      </c>
      <c r="D713" t="s">
        <v>8</v>
      </c>
      <c r="E713" t="str">
        <f>IF(may[[#This Row],[ShiftCounter]]&gt;0, "Running", "Down")</f>
        <v>Running</v>
      </c>
    </row>
    <row r="714" spans="1:5" x14ac:dyDescent="0.25">
      <c r="A714" s="2">
        <v>44684</v>
      </c>
      <c r="B714" s="4" t="s">
        <v>38</v>
      </c>
      <c r="C714">
        <v>1622</v>
      </c>
      <c r="D714" t="s">
        <v>6</v>
      </c>
      <c r="E714" t="str">
        <f>IF(may[[#This Row],[ShiftCounter]]&gt;0, "Running", "Down")</f>
        <v>Running</v>
      </c>
    </row>
    <row r="715" spans="1:5" x14ac:dyDescent="0.25">
      <c r="A715" s="2">
        <v>44684</v>
      </c>
      <c r="B715" s="4" t="s">
        <v>38</v>
      </c>
      <c r="C715">
        <v>2072</v>
      </c>
      <c r="D715" t="s">
        <v>7</v>
      </c>
      <c r="E715" t="str">
        <f>IF(may[[#This Row],[ShiftCounter]]&gt;0, "Running", "Down")</f>
        <v>Running</v>
      </c>
    </row>
    <row r="716" spans="1:5" x14ac:dyDescent="0.25">
      <c r="A716" s="2">
        <v>44684</v>
      </c>
      <c r="B716" s="4" t="s">
        <v>38</v>
      </c>
      <c r="C716">
        <v>1845</v>
      </c>
      <c r="D716" t="s">
        <v>8</v>
      </c>
      <c r="E716" t="str">
        <f>IF(may[[#This Row],[ShiftCounter]]&gt;0, "Running", "Down")</f>
        <v>Running</v>
      </c>
    </row>
    <row r="717" spans="1:5" x14ac:dyDescent="0.25">
      <c r="A717" s="2">
        <v>44684</v>
      </c>
      <c r="B717" s="4" t="s">
        <v>20</v>
      </c>
      <c r="C717">
        <v>1130</v>
      </c>
      <c r="D717" t="s">
        <v>6</v>
      </c>
      <c r="E717" t="str">
        <f>IF(may[[#This Row],[ShiftCounter]]&gt;0, "Running", "Down")</f>
        <v>Running</v>
      </c>
    </row>
    <row r="718" spans="1:5" x14ac:dyDescent="0.25">
      <c r="A718" s="2">
        <v>44684</v>
      </c>
      <c r="B718" s="4" t="s">
        <v>20</v>
      </c>
      <c r="C718">
        <v>1770</v>
      </c>
      <c r="D718" t="s">
        <v>7</v>
      </c>
      <c r="E718" t="str">
        <f>IF(may[[#This Row],[ShiftCounter]]&gt;0, "Running", "Down")</f>
        <v>Running</v>
      </c>
    </row>
    <row r="719" spans="1:5" x14ac:dyDescent="0.25">
      <c r="A719" s="2">
        <v>44684</v>
      </c>
      <c r="B719" s="4" t="s">
        <v>20</v>
      </c>
      <c r="C719">
        <v>1898</v>
      </c>
      <c r="D719" t="s">
        <v>8</v>
      </c>
      <c r="E719" t="str">
        <f>IF(may[[#This Row],[ShiftCounter]]&gt;0, "Running", "Down")</f>
        <v>Running</v>
      </c>
    </row>
    <row r="720" spans="1:5" x14ac:dyDescent="0.25">
      <c r="A720" s="2">
        <v>44684</v>
      </c>
      <c r="B720" s="4" t="s">
        <v>21</v>
      </c>
      <c r="C720">
        <v>2155</v>
      </c>
      <c r="D720" t="s">
        <v>6</v>
      </c>
      <c r="E720" t="str">
        <f>IF(may[[#This Row],[ShiftCounter]]&gt;0, "Running", "Down")</f>
        <v>Running</v>
      </c>
    </row>
    <row r="721" spans="1:5" x14ac:dyDescent="0.25">
      <c r="A721" s="2">
        <v>44684</v>
      </c>
      <c r="B721" s="4" t="s">
        <v>21</v>
      </c>
      <c r="C721">
        <v>2111</v>
      </c>
      <c r="D721" t="s">
        <v>7</v>
      </c>
      <c r="E721" t="str">
        <f>IF(may[[#This Row],[ShiftCounter]]&gt;0, "Running", "Down")</f>
        <v>Running</v>
      </c>
    </row>
    <row r="722" spans="1:5" x14ac:dyDescent="0.25">
      <c r="A722" s="2">
        <v>44684</v>
      </c>
      <c r="B722" s="4" t="s">
        <v>21</v>
      </c>
      <c r="C722">
        <v>1792</v>
      </c>
      <c r="D722" t="s">
        <v>8</v>
      </c>
      <c r="E722" t="str">
        <f>IF(may[[#This Row],[ShiftCounter]]&gt;0, "Running", "Down")</f>
        <v>Running</v>
      </c>
    </row>
    <row r="723" spans="1:5" x14ac:dyDescent="0.25">
      <c r="A723" s="2">
        <v>44684</v>
      </c>
      <c r="B723" s="4" t="s">
        <v>22</v>
      </c>
      <c r="C723">
        <v>1881</v>
      </c>
      <c r="D723" t="s">
        <v>6</v>
      </c>
      <c r="E723" t="str">
        <f>IF(may[[#This Row],[ShiftCounter]]&gt;0, "Running", "Down")</f>
        <v>Running</v>
      </c>
    </row>
    <row r="724" spans="1:5" x14ac:dyDescent="0.25">
      <c r="A724" s="2">
        <v>44684</v>
      </c>
      <c r="B724" s="4" t="s">
        <v>22</v>
      </c>
      <c r="C724">
        <v>2252</v>
      </c>
      <c r="D724" t="s">
        <v>7</v>
      </c>
      <c r="E724" t="str">
        <f>IF(may[[#This Row],[ShiftCounter]]&gt;0, "Running", "Down")</f>
        <v>Running</v>
      </c>
    </row>
    <row r="725" spans="1:5" x14ac:dyDescent="0.25">
      <c r="A725" s="2">
        <v>44684</v>
      </c>
      <c r="B725" s="4" t="s">
        <v>22</v>
      </c>
      <c r="C725">
        <v>1937</v>
      </c>
      <c r="D725" t="s">
        <v>8</v>
      </c>
      <c r="E725" t="str">
        <f>IF(may[[#This Row],[ShiftCounter]]&gt;0, "Running", "Down")</f>
        <v>Running</v>
      </c>
    </row>
    <row r="726" spans="1:5" x14ac:dyDescent="0.25">
      <c r="A726" s="2">
        <v>44684</v>
      </c>
      <c r="B726" s="4" t="s">
        <v>23</v>
      </c>
      <c r="C726">
        <v>2052</v>
      </c>
      <c r="D726" t="s">
        <v>6</v>
      </c>
      <c r="E726" t="str">
        <f>IF(may[[#This Row],[ShiftCounter]]&gt;0, "Running", "Down")</f>
        <v>Running</v>
      </c>
    </row>
    <row r="727" spans="1:5" x14ac:dyDescent="0.25">
      <c r="A727" s="2">
        <v>44684</v>
      </c>
      <c r="B727" s="4" t="s">
        <v>23</v>
      </c>
      <c r="C727">
        <v>2366</v>
      </c>
      <c r="D727" t="s">
        <v>7</v>
      </c>
      <c r="E727" t="str">
        <f>IF(may[[#This Row],[ShiftCounter]]&gt;0, "Running", "Down")</f>
        <v>Running</v>
      </c>
    </row>
    <row r="728" spans="1:5" x14ac:dyDescent="0.25">
      <c r="A728" s="2">
        <v>44684</v>
      </c>
      <c r="B728" s="4" t="s">
        <v>23</v>
      </c>
      <c r="C728">
        <v>2105</v>
      </c>
      <c r="D728" t="s">
        <v>8</v>
      </c>
      <c r="E728" t="str">
        <f>IF(may[[#This Row],[ShiftCounter]]&gt;0, "Running", "Down")</f>
        <v>Running</v>
      </c>
    </row>
    <row r="729" spans="1:5" x14ac:dyDescent="0.25">
      <c r="A729" s="2">
        <v>44684</v>
      </c>
      <c r="B729" s="4" t="s">
        <v>24</v>
      </c>
      <c r="C729">
        <v>2103</v>
      </c>
      <c r="D729" t="s">
        <v>6</v>
      </c>
      <c r="E729" t="str">
        <f>IF(may[[#This Row],[ShiftCounter]]&gt;0, "Running", "Down")</f>
        <v>Running</v>
      </c>
    </row>
    <row r="730" spans="1:5" x14ac:dyDescent="0.25">
      <c r="A730" s="2">
        <v>44684</v>
      </c>
      <c r="B730" s="4" t="s">
        <v>24</v>
      </c>
      <c r="C730">
        <v>2042</v>
      </c>
      <c r="D730" t="s">
        <v>7</v>
      </c>
      <c r="E730" t="str">
        <f>IF(may[[#This Row],[ShiftCounter]]&gt;0, "Running", "Down")</f>
        <v>Running</v>
      </c>
    </row>
    <row r="731" spans="1:5" x14ac:dyDescent="0.25">
      <c r="A731" s="2">
        <v>44684</v>
      </c>
      <c r="B731" s="4" t="s">
        <v>24</v>
      </c>
      <c r="C731">
        <v>1873</v>
      </c>
      <c r="D731" t="s">
        <v>8</v>
      </c>
      <c r="E731" t="str">
        <f>IF(may[[#This Row],[ShiftCounter]]&gt;0, "Running", "Down")</f>
        <v>Running</v>
      </c>
    </row>
    <row r="732" spans="1:5" x14ac:dyDescent="0.25">
      <c r="A732" s="2">
        <v>44684</v>
      </c>
      <c r="B732" s="4" t="s">
        <v>25</v>
      </c>
      <c r="C732">
        <v>2264</v>
      </c>
      <c r="D732" t="s">
        <v>6</v>
      </c>
      <c r="E732" t="str">
        <f>IF(may[[#This Row],[ShiftCounter]]&gt;0, "Running", "Down")</f>
        <v>Running</v>
      </c>
    </row>
    <row r="733" spans="1:5" x14ac:dyDescent="0.25">
      <c r="A733" s="2">
        <v>44684</v>
      </c>
      <c r="B733" s="4" t="s">
        <v>25</v>
      </c>
      <c r="C733">
        <v>2225</v>
      </c>
      <c r="D733" t="s">
        <v>7</v>
      </c>
      <c r="E733" t="str">
        <f>IF(may[[#This Row],[ShiftCounter]]&gt;0, "Running", "Down")</f>
        <v>Running</v>
      </c>
    </row>
    <row r="734" spans="1:5" x14ac:dyDescent="0.25">
      <c r="A734" s="2">
        <v>44684</v>
      </c>
      <c r="B734" s="4" t="s">
        <v>25</v>
      </c>
      <c r="C734">
        <v>2033</v>
      </c>
      <c r="D734" t="s">
        <v>8</v>
      </c>
      <c r="E734" t="str">
        <f>IF(may[[#This Row],[ShiftCounter]]&gt;0, "Running", "Down")</f>
        <v>Running</v>
      </c>
    </row>
    <row r="735" spans="1:5" x14ac:dyDescent="0.25">
      <c r="A735" s="2">
        <v>44684</v>
      </c>
      <c r="B735" s="4" t="s">
        <v>26</v>
      </c>
      <c r="C735">
        <v>2214</v>
      </c>
      <c r="D735" t="s">
        <v>6</v>
      </c>
      <c r="E735" t="str">
        <f>IF(may[[#This Row],[ShiftCounter]]&gt;0, "Running", "Down")</f>
        <v>Running</v>
      </c>
    </row>
    <row r="736" spans="1:5" x14ac:dyDescent="0.25">
      <c r="A736" s="2">
        <v>44684</v>
      </c>
      <c r="B736" s="4" t="s">
        <v>26</v>
      </c>
      <c r="C736">
        <v>2110</v>
      </c>
      <c r="D736" t="s">
        <v>7</v>
      </c>
      <c r="E736" t="str">
        <f>IF(may[[#This Row],[ShiftCounter]]&gt;0, "Running", "Down")</f>
        <v>Running</v>
      </c>
    </row>
    <row r="737" spans="1:5" x14ac:dyDescent="0.25">
      <c r="A737" s="2">
        <v>44684</v>
      </c>
      <c r="B737" s="4" t="s">
        <v>26</v>
      </c>
      <c r="C737">
        <v>2046</v>
      </c>
      <c r="D737" t="s">
        <v>8</v>
      </c>
      <c r="E737" t="str">
        <f>IF(may[[#This Row],[ShiftCounter]]&gt;0, "Running", "Down")</f>
        <v>Running</v>
      </c>
    </row>
    <row r="738" spans="1:5" x14ac:dyDescent="0.25">
      <c r="A738" s="2">
        <v>44684</v>
      </c>
      <c r="B738" s="4" t="s">
        <v>27</v>
      </c>
      <c r="C738">
        <v>2711</v>
      </c>
      <c r="D738" t="s">
        <v>7</v>
      </c>
      <c r="E738" t="str">
        <f>IF(may[[#This Row],[ShiftCounter]]&gt;0, "Running", "Down")</f>
        <v>Running</v>
      </c>
    </row>
    <row r="739" spans="1:5" x14ac:dyDescent="0.25">
      <c r="A739" s="2">
        <v>44684</v>
      </c>
      <c r="B739" s="4" t="s">
        <v>27</v>
      </c>
      <c r="C739">
        <v>2181</v>
      </c>
      <c r="D739" t="s">
        <v>8</v>
      </c>
      <c r="E739" t="str">
        <f>IF(may[[#This Row],[ShiftCounter]]&gt;0, "Running", "Down")</f>
        <v>Running</v>
      </c>
    </row>
    <row r="740" spans="1:5" x14ac:dyDescent="0.25">
      <c r="A740" s="2">
        <v>44684</v>
      </c>
      <c r="B740" s="4" t="s">
        <v>28</v>
      </c>
      <c r="C740">
        <v>2240</v>
      </c>
      <c r="D740" t="s">
        <v>6</v>
      </c>
      <c r="E740" t="str">
        <f>IF(may[[#This Row],[ShiftCounter]]&gt;0, "Running", "Down")</f>
        <v>Running</v>
      </c>
    </row>
    <row r="741" spans="1:5" x14ac:dyDescent="0.25">
      <c r="A741" s="2">
        <v>44684</v>
      </c>
      <c r="B741" s="4" t="s">
        <v>28</v>
      </c>
      <c r="C741">
        <v>2169</v>
      </c>
      <c r="D741" t="s">
        <v>7</v>
      </c>
      <c r="E741" t="str">
        <f>IF(may[[#This Row],[ShiftCounter]]&gt;0, "Running", "Down")</f>
        <v>Running</v>
      </c>
    </row>
    <row r="742" spans="1:5" x14ac:dyDescent="0.25">
      <c r="A742" s="2">
        <v>44684</v>
      </c>
      <c r="B742" s="4" t="s">
        <v>28</v>
      </c>
      <c r="C742">
        <v>2064</v>
      </c>
      <c r="D742" t="s">
        <v>8</v>
      </c>
      <c r="E742" t="str">
        <f>IF(may[[#This Row],[ShiftCounter]]&gt;0, "Running", "Down")</f>
        <v>Running</v>
      </c>
    </row>
    <row r="743" spans="1:5" x14ac:dyDescent="0.25">
      <c r="A743" s="2">
        <v>44684</v>
      </c>
      <c r="B743" s="4" t="s">
        <v>29</v>
      </c>
      <c r="C743">
        <v>2087</v>
      </c>
      <c r="D743" t="s">
        <v>6</v>
      </c>
      <c r="E743" t="str">
        <f>IF(may[[#This Row],[ShiftCounter]]&gt;0, "Running", "Down")</f>
        <v>Running</v>
      </c>
    </row>
    <row r="744" spans="1:5" x14ac:dyDescent="0.25">
      <c r="A744" s="2">
        <v>44684</v>
      </c>
      <c r="B744" s="4" t="s">
        <v>29</v>
      </c>
      <c r="C744">
        <v>2018</v>
      </c>
      <c r="D744" t="s">
        <v>7</v>
      </c>
      <c r="E744" t="str">
        <f>IF(may[[#This Row],[ShiftCounter]]&gt;0, "Running", "Down")</f>
        <v>Running</v>
      </c>
    </row>
    <row r="745" spans="1:5" x14ac:dyDescent="0.25">
      <c r="A745" s="2">
        <v>44684</v>
      </c>
      <c r="B745" s="4" t="s">
        <v>29</v>
      </c>
      <c r="C745">
        <v>1842</v>
      </c>
      <c r="D745" t="s">
        <v>8</v>
      </c>
      <c r="E745" t="str">
        <f>IF(may[[#This Row],[ShiftCounter]]&gt;0, "Running", "Down")</f>
        <v>Running</v>
      </c>
    </row>
    <row r="746" spans="1:5" x14ac:dyDescent="0.25">
      <c r="A746" s="2">
        <v>44684</v>
      </c>
      <c r="B746" s="4" t="s">
        <v>32</v>
      </c>
      <c r="C746">
        <v>1339</v>
      </c>
      <c r="D746" t="s">
        <v>6</v>
      </c>
      <c r="E746" t="str">
        <f>IF(may[[#This Row],[ShiftCounter]]&gt;0, "Running", "Down")</f>
        <v>Running</v>
      </c>
    </row>
    <row r="747" spans="1:5" x14ac:dyDescent="0.25">
      <c r="A747" s="2">
        <v>44684</v>
      </c>
      <c r="B747" s="4" t="s">
        <v>32</v>
      </c>
      <c r="C747">
        <v>2273</v>
      </c>
      <c r="D747" t="s">
        <v>7</v>
      </c>
      <c r="E747" t="str">
        <f>IF(may[[#This Row],[ShiftCounter]]&gt;0, "Running", "Down")</f>
        <v>Running</v>
      </c>
    </row>
    <row r="748" spans="1:5" x14ac:dyDescent="0.25">
      <c r="A748" s="2">
        <v>44684</v>
      </c>
      <c r="B748" s="4" t="s">
        <v>32</v>
      </c>
      <c r="C748">
        <v>2195</v>
      </c>
      <c r="D748" t="s">
        <v>8</v>
      </c>
      <c r="E748" t="str">
        <f>IF(may[[#This Row],[ShiftCounter]]&gt;0, "Running", "Down")</f>
        <v>Running</v>
      </c>
    </row>
    <row r="749" spans="1:5" x14ac:dyDescent="0.25">
      <c r="A749" s="2">
        <v>44684</v>
      </c>
      <c r="B749" s="4" t="s">
        <v>31</v>
      </c>
      <c r="C749">
        <v>2115</v>
      </c>
      <c r="D749" t="s">
        <v>6</v>
      </c>
      <c r="E749" t="str">
        <f>IF(may[[#This Row],[ShiftCounter]]&gt;0, "Running", "Down")</f>
        <v>Running</v>
      </c>
    </row>
    <row r="750" spans="1:5" x14ac:dyDescent="0.25">
      <c r="A750" s="2">
        <v>44684</v>
      </c>
      <c r="B750" s="4" t="s">
        <v>31</v>
      </c>
      <c r="C750">
        <v>2150</v>
      </c>
      <c r="D750" t="s">
        <v>7</v>
      </c>
      <c r="E750" t="str">
        <f>IF(may[[#This Row],[ShiftCounter]]&gt;0, "Running", "Down")</f>
        <v>Running</v>
      </c>
    </row>
    <row r="751" spans="1:5" x14ac:dyDescent="0.25">
      <c r="A751" s="2">
        <v>44684</v>
      </c>
      <c r="B751" s="4" t="s">
        <v>31</v>
      </c>
      <c r="C751">
        <v>2034</v>
      </c>
      <c r="D751" t="s">
        <v>8</v>
      </c>
      <c r="E751" t="str">
        <f>IF(may[[#This Row],[ShiftCounter]]&gt;0, "Running", "Down")</f>
        <v>Running</v>
      </c>
    </row>
    <row r="752" spans="1:5" x14ac:dyDescent="0.25">
      <c r="A752" s="2">
        <v>44684</v>
      </c>
      <c r="B752" s="4" t="s">
        <v>34</v>
      </c>
      <c r="C752">
        <v>2008</v>
      </c>
      <c r="D752" t="s">
        <v>6</v>
      </c>
      <c r="E752" t="str">
        <f>IF(may[[#This Row],[ShiftCounter]]&gt;0, "Running", "Down")</f>
        <v>Running</v>
      </c>
    </row>
    <row r="753" spans="1:5" x14ac:dyDescent="0.25">
      <c r="A753" s="2">
        <v>44684</v>
      </c>
      <c r="B753" s="4" t="s">
        <v>34</v>
      </c>
      <c r="C753">
        <v>2031</v>
      </c>
      <c r="D753" t="s">
        <v>7</v>
      </c>
      <c r="E753" t="str">
        <f>IF(may[[#This Row],[ShiftCounter]]&gt;0, "Running", "Down")</f>
        <v>Running</v>
      </c>
    </row>
    <row r="754" spans="1:5" x14ac:dyDescent="0.25">
      <c r="A754" s="2">
        <v>44684</v>
      </c>
      <c r="B754" s="4" t="s">
        <v>34</v>
      </c>
      <c r="C754">
        <v>1801</v>
      </c>
      <c r="D754" t="s">
        <v>8</v>
      </c>
      <c r="E754" t="str">
        <f>IF(may[[#This Row],[ShiftCounter]]&gt;0, "Running", "Down")</f>
        <v>Running</v>
      </c>
    </row>
    <row r="755" spans="1:5" x14ac:dyDescent="0.25">
      <c r="A755" s="2">
        <v>44684</v>
      </c>
      <c r="B755" s="4" t="s">
        <v>33</v>
      </c>
      <c r="C755">
        <v>565</v>
      </c>
      <c r="D755" t="s">
        <v>6</v>
      </c>
      <c r="E755" t="str">
        <f>IF(may[[#This Row],[ShiftCounter]]&gt;0, "Running", "Down")</f>
        <v>Running</v>
      </c>
    </row>
    <row r="756" spans="1:5" x14ac:dyDescent="0.25">
      <c r="A756" s="2">
        <v>44684</v>
      </c>
      <c r="B756" s="4" t="s">
        <v>33</v>
      </c>
      <c r="C756">
        <v>2551</v>
      </c>
      <c r="D756" t="s">
        <v>7</v>
      </c>
      <c r="E756" t="str">
        <f>IF(may[[#This Row],[ShiftCounter]]&gt;0, "Running", "Down")</f>
        <v>Running</v>
      </c>
    </row>
    <row r="757" spans="1:5" x14ac:dyDescent="0.25">
      <c r="A757" s="2">
        <v>44684</v>
      </c>
      <c r="B757" s="4" t="s">
        <v>33</v>
      </c>
      <c r="C757">
        <v>2226</v>
      </c>
      <c r="D757" t="s">
        <v>8</v>
      </c>
      <c r="E757" t="str">
        <f>IF(may[[#This Row],[ShiftCounter]]&gt;0, "Running", "Down")</f>
        <v>Running</v>
      </c>
    </row>
    <row r="758" spans="1:5" x14ac:dyDescent="0.25">
      <c r="A758" s="2">
        <v>44684</v>
      </c>
      <c r="B758" s="4" t="s">
        <v>30</v>
      </c>
      <c r="C758">
        <v>2272</v>
      </c>
      <c r="D758" t="s">
        <v>6</v>
      </c>
      <c r="E758" t="str">
        <f>IF(may[[#This Row],[ShiftCounter]]&gt;0, "Running", "Down")</f>
        <v>Running</v>
      </c>
    </row>
    <row r="759" spans="1:5" x14ac:dyDescent="0.25">
      <c r="A759" s="2">
        <v>44684</v>
      </c>
      <c r="B759" s="4" t="s">
        <v>30</v>
      </c>
      <c r="C759">
        <v>2185</v>
      </c>
      <c r="D759" t="s">
        <v>7</v>
      </c>
      <c r="E759" t="str">
        <f>IF(may[[#This Row],[ShiftCounter]]&gt;0, "Running", "Down")</f>
        <v>Running</v>
      </c>
    </row>
    <row r="760" spans="1:5" x14ac:dyDescent="0.25">
      <c r="A760" s="2">
        <v>44684</v>
      </c>
      <c r="B760" s="4" t="s">
        <v>30</v>
      </c>
      <c r="C760">
        <v>2030</v>
      </c>
      <c r="D760" t="s">
        <v>8</v>
      </c>
      <c r="E760" t="str">
        <f>IF(may[[#This Row],[ShiftCounter]]&gt;0, "Running", "Down")</f>
        <v>Running</v>
      </c>
    </row>
    <row r="761" spans="1:5" x14ac:dyDescent="0.25">
      <c r="A761" s="2">
        <v>44684</v>
      </c>
      <c r="B761" s="4" t="s">
        <v>35</v>
      </c>
      <c r="C761">
        <v>1605</v>
      </c>
      <c r="D761" t="s">
        <v>6</v>
      </c>
      <c r="E761" t="str">
        <f>IF(may[[#This Row],[ShiftCounter]]&gt;0, "Running", "Down")</f>
        <v>Running</v>
      </c>
    </row>
    <row r="762" spans="1:5" x14ac:dyDescent="0.25">
      <c r="A762" s="2">
        <v>44684</v>
      </c>
      <c r="B762" s="4" t="s">
        <v>35</v>
      </c>
      <c r="C762">
        <v>2458</v>
      </c>
      <c r="D762" t="s">
        <v>7</v>
      </c>
      <c r="E762" t="str">
        <f>IF(may[[#This Row],[ShiftCounter]]&gt;0, "Running", "Down")</f>
        <v>Running</v>
      </c>
    </row>
    <row r="763" spans="1:5" x14ac:dyDescent="0.25">
      <c r="A763" s="2">
        <v>44684</v>
      </c>
      <c r="B763" s="4" t="s">
        <v>35</v>
      </c>
      <c r="C763">
        <v>2036</v>
      </c>
      <c r="D763" t="s">
        <v>8</v>
      </c>
      <c r="E763" t="str">
        <f>IF(may[[#This Row],[ShiftCounter]]&gt;0, "Running", "Down")</f>
        <v>Running</v>
      </c>
    </row>
    <row r="764" spans="1:5" x14ac:dyDescent="0.25">
      <c r="A764" s="2">
        <v>44684</v>
      </c>
      <c r="B764" s="4" t="s">
        <v>36</v>
      </c>
      <c r="C764">
        <v>2440</v>
      </c>
      <c r="D764" t="s">
        <v>6</v>
      </c>
      <c r="E764" t="str">
        <f>IF(may[[#This Row],[ShiftCounter]]&gt;0, "Running", "Down")</f>
        <v>Running</v>
      </c>
    </row>
    <row r="765" spans="1:5" x14ac:dyDescent="0.25">
      <c r="A765" s="2">
        <v>44684</v>
      </c>
      <c r="B765" s="4" t="s">
        <v>36</v>
      </c>
      <c r="C765">
        <v>2398</v>
      </c>
      <c r="D765" t="s">
        <v>7</v>
      </c>
      <c r="E765" t="str">
        <f>IF(may[[#This Row],[ShiftCounter]]&gt;0, "Running", "Down")</f>
        <v>Running</v>
      </c>
    </row>
    <row r="766" spans="1:5" x14ac:dyDescent="0.25">
      <c r="A766" s="2">
        <v>44684</v>
      </c>
      <c r="B766" s="4" t="s">
        <v>36</v>
      </c>
      <c r="C766">
        <v>2223</v>
      </c>
      <c r="D766" t="s">
        <v>8</v>
      </c>
      <c r="E766" t="str">
        <f>IF(may[[#This Row],[ShiftCounter]]&gt;0, "Running", "Down")</f>
        <v>Running</v>
      </c>
    </row>
    <row r="767" spans="1:5" x14ac:dyDescent="0.25">
      <c r="A767" s="2">
        <v>44684</v>
      </c>
      <c r="B767" s="4" t="s">
        <v>37</v>
      </c>
      <c r="C767">
        <v>2352</v>
      </c>
      <c r="D767" t="s">
        <v>6</v>
      </c>
      <c r="E767" t="str">
        <f>IF(may[[#This Row],[ShiftCounter]]&gt;0, "Running", "Down")</f>
        <v>Running</v>
      </c>
    </row>
    <row r="768" spans="1:5" x14ac:dyDescent="0.25">
      <c r="A768" s="2">
        <v>44684</v>
      </c>
      <c r="B768" s="4" t="s">
        <v>37</v>
      </c>
      <c r="C768">
        <v>2335</v>
      </c>
      <c r="D768" t="s">
        <v>7</v>
      </c>
      <c r="E768" t="str">
        <f>IF(may[[#This Row],[ShiftCounter]]&gt;0, "Running", "Down")</f>
        <v>Running</v>
      </c>
    </row>
    <row r="769" spans="1:5" x14ac:dyDescent="0.25">
      <c r="A769" s="2">
        <v>44684</v>
      </c>
      <c r="B769" s="4" t="s">
        <v>37</v>
      </c>
      <c r="C769">
        <v>2188</v>
      </c>
      <c r="D769" t="s">
        <v>8</v>
      </c>
      <c r="E769" t="str">
        <f>IF(may[[#This Row],[ShiftCounter]]&gt;0, "Running", "Down")</f>
        <v>Running</v>
      </c>
    </row>
    <row r="770" spans="1:5" x14ac:dyDescent="0.25">
      <c r="A770" s="2">
        <v>44684</v>
      </c>
      <c r="B770" s="4" t="s">
        <v>40</v>
      </c>
      <c r="C770">
        <v>2074</v>
      </c>
      <c r="D770" t="s">
        <v>7</v>
      </c>
      <c r="E770" t="str">
        <f>IF(may[[#This Row],[ShiftCounter]]&gt;0, "Running", "Down")</f>
        <v>Running</v>
      </c>
    </row>
    <row r="771" spans="1:5" x14ac:dyDescent="0.25">
      <c r="A771" s="2">
        <v>44684</v>
      </c>
      <c r="B771" s="4" t="s">
        <v>40</v>
      </c>
      <c r="C771">
        <v>2152</v>
      </c>
      <c r="D771" t="s">
        <v>8</v>
      </c>
      <c r="E771" t="str">
        <f>IF(may[[#This Row],[ShiftCounter]]&gt;0, "Running", "Down")</f>
        <v>Running</v>
      </c>
    </row>
    <row r="772" spans="1:5" x14ac:dyDescent="0.25">
      <c r="A772" s="2">
        <v>44684</v>
      </c>
      <c r="B772" s="4" t="s">
        <v>39</v>
      </c>
      <c r="C772">
        <v>2231</v>
      </c>
      <c r="D772" t="s">
        <v>6</v>
      </c>
      <c r="E772" t="str">
        <f>IF(may[[#This Row],[ShiftCounter]]&gt;0, "Running", "Down")</f>
        <v>Running</v>
      </c>
    </row>
    <row r="773" spans="1:5" x14ac:dyDescent="0.25">
      <c r="A773" s="2">
        <v>44684</v>
      </c>
      <c r="B773" s="4" t="s">
        <v>39</v>
      </c>
      <c r="C773">
        <v>2080</v>
      </c>
      <c r="D773" t="s">
        <v>7</v>
      </c>
      <c r="E773" t="str">
        <f>IF(may[[#This Row],[ShiftCounter]]&gt;0, "Running", "Down")</f>
        <v>Running</v>
      </c>
    </row>
    <row r="774" spans="1:5" x14ac:dyDescent="0.25">
      <c r="A774" s="2">
        <v>44684</v>
      </c>
      <c r="B774" s="4" t="s">
        <v>39</v>
      </c>
      <c r="C774">
        <v>1975</v>
      </c>
      <c r="D774" t="s">
        <v>8</v>
      </c>
      <c r="E774" t="str">
        <f>IF(may[[#This Row],[ShiftCounter]]&gt;0, "Running", "Down")</f>
        <v>Running</v>
      </c>
    </row>
    <row r="775" spans="1:5" x14ac:dyDescent="0.25">
      <c r="A775" s="2">
        <v>44684</v>
      </c>
      <c r="B775" s="4" t="s">
        <v>41</v>
      </c>
      <c r="C775" s="1">
        <v>2066</v>
      </c>
      <c r="D775" t="s">
        <v>6</v>
      </c>
      <c r="E775" t="str">
        <f>IF(may[[#This Row],[ShiftCounter]]&gt;0, "Running", "Down")</f>
        <v>Running</v>
      </c>
    </row>
    <row r="776" spans="1:5" x14ac:dyDescent="0.25">
      <c r="A776" s="2">
        <v>44684</v>
      </c>
      <c r="B776" s="4" t="s">
        <v>41</v>
      </c>
      <c r="C776">
        <v>2374</v>
      </c>
      <c r="D776" t="s">
        <v>7</v>
      </c>
      <c r="E776" t="str">
        <f>IF(may[[#This Row],[ShiftCounter]]&gt;0, "Running", "Down")</f>
        <v>Running</v>
      </c>
    </row>
    <row r="777" spans="1:5" x14ac:dyDescent="0.25">
      <c r="A777" s="2">
        <v>44684</v>
      </c>
      <c r="B777" s="4" t="s">
        <v>41</v>
      </c>
      <c r="C777">
        <v>2275</v>
      </c>
      <c r="D777" t="s">
        <v>8</v>
      </c>
      <c r="E777" t="str">
        <f>IF(may[[#This Row],[ShiftCounter]]&gt;0, "Running", "Down")</f>
        <v>Running</v>
      </c>
    </row>
    <row r="778" spans="1:5" x14ac:dyDescent="0.25">
      <c r="A778" s="2">
        <v>44684</v>
      </c>
      <c r="B778" s="4" t="s">
        <v>43</v>
      </c>
      <c r="C778">
        <v>2036</v>
      </c>
      <c r="D778" t="s">
        <v>6</v>
      </c>
      <c r="E778" t="str">
        <f>IF(may[[#This Row],[ShiftCounter]]&gt;0, "Running", "Down")</f>
        <v>Running</v>
      </c>
    </row>
    <row r="779" spans="1:5" x14ac:dyDescent="0.25">
      <c r="A779" s="2">
        <v>44684</v>
      </c>
      <c r="B779" s="4" t="s">
        <v>43</v>
      </c>
      <c r="C779">
        <v>2078</v>
      </c>
      <c r="D779" t="s">
        <v>7</v>
      </c>
      <c r="E779" t="str">
        <f>IF(may[[#This Row],[ShiftCounter]]&gt;0, "Running", "Down")</f>
        <v>Running</v>
      </c>
    </row>
    <row r="780" spans="1:5" x14ac:dyDescent="0.25">
      <c r="A780" s="2">
        <v>44684</v>
      </c>
      <c r="B780" s="4" t="s">
        <v>43</v>
      </c>
      <c r="C780">
        <v>1960</v>
      </c>
      <c r="D780" t="s">
        <v>8</v>
      </c>
      <c r="E780" t="str">
        <f>IF(may[[#This Row],[ShiftCounter]]&gt;0, "Running", "Down")</f>
        <v>Running</v>
      </c>
    </row>
    <row r="781" spans="1:5" x14ac:dyDescent="0.25">
      <c r="A781" s="2">
        <v>44684</v>
      </c>
      <c r="B781" s="4" t="s">
        <v>5</v>
      </c>
      <c r="C781">
        <v>2514</v>
      </c>
      <c r="D781" t="s">
        <v>6</v>
      </c>
      <c r="E781" t="str">
        <f>IF(may[[#This Row],[ShiftCounter]]&gt;0, "Running", "Down")</f>
        <v>Running</v>
      </c>
    </row>
    <row r="782" spans="1:5" x14ac:dyDescent="0.25">
      <c r="A782" s="2">
        <v>44684</v>
      </c>
      <c r="B782" s="4" t="s">
        <v>5</v>
      </c>
      <c r="C782">
        <v>2324</v>
      </c>
      <c r="D782" t="s">
        <v>7</v>
      </c>
      <c r="E782" t="str">
        <f>IF(may[[#This Row],[ShiftCounter]]&gt;0, "Running", "Down")</f>
        <v>Running</v>
      </c>
    </row>
    <row r="783" spans="1:5" x14ac:dyDescent="0.25">
      <c r="A783" s="2">
        <v>44684</v>
      </c>
      <c r="B783" s="4" t="s">
        <v>5</v>
      </c>
      <c r="C783">
        <v>2212</v>
      </c>
      <c r="D783" t="s">
        <v>8</v>
      </c>
      <c r="E783" t="str">
        <f>IF(may[[#This Row],[ShiftCounter]]&gt;0, "Running", "Down")</f>
        <v>Running</v>
      </c>
    </row>
    <row r="784" spans="1:5" x14ac:dyDescent="0.25">
      <c r="A784" s="2">
        <v>44684</v>
      </c>
      <c r="B784" s="4" t="s">
        <v>9</v>
      </c>
      <c r="C784">
        <v>2440</v>
      </c>
      <c r="D784" t="s">
        <v>6</v>
      </c>
      <c r="E784" t="str">
        <f>IF(may[[#This Row],[ShiftCounter]]&gt;0, "Running", "Down")</f>
        <v>Running</v>
      </c>
    </row>
    <row r="785" spans="1:5" x14ac:dyDescent="0.25">
      <c r="A785" s="2">
        <v>44684</v>
      </c>
      <c r="B785" s="4" t="s">
        <v>9</v>
      </c>
      <c r="C785">
        <v>2274</v>
      </c>
      <c r="D785" t="s">
        <v>7</v>
      </c>
      <c r="E785" t="str">
        <f>IF(may[[#This Row],[ShiftCounter]]&gt;0, "Running", "Down")</f>
        <v>Running</v>
      </c>
    </row>
    <row r="786" spans="1:5" x14ac:dyDescent="0.25">
      <c r="A786" s="2">
        <v>44684</v>
      </c>
      <c r="B786" s="4" t="s">
        <v>9</v>
      </c>
      <c r="C786">
        <v>2170</v>
      </c>
      <c r="D786" t="s">
        <v>8</v>
      </c>
      <c r="E786" t="str">
        <f>IF(may[[#This Row],[ShiftCounter]]&gt;0, "Running", "Down")</f>
        <v>Running</v>
      </c>
    </row>
    <row r="787" spans="1:5" x14ac:dyDescent="0.25">
      <c r="A787" s="2">
        <v>44684</v>
      </c>
      <c r="B787" s="4" t="s">
        <v>10</v>
      </c>
      <c r="C787">
        <v>1965</v>
      </c>
      <c r="D787" t="s">
        <v>6</v>
      </c>
      <c r="E787" t="str">
        <f>IF(may[[#This Row],[ShiftCounter]]&gt;0, "Running", "Down")</f>
        <v>Running</v>
      </c>
    </row>
    <row r="788" spans="1:5" x14ac:dyDescent="0.25">
      <c r="A788" s="2">
        <v>44684</v>
      </c>
      <c r="B788" s="4" t="s">
        <v>10</v>
      </c>
      <c r="C788">
        <v>1934</v>
      </c>
      <c r="D788" t="s">
        <v>7</v>
      </c>
      <c r="E788" t="str">
        <f>IF(may[[#This Row],[ShiftCounter]]&gt;0, "Running", "Down")</f>
        <v>Running</v>
      </c>
    </row>
    <row r="789" spans="1:5" x14ac:dyDescent="0.25">
      <c r="A789" s="2">
        <v>44684</v>
      </c>
      <c r="B789" s="4" t="s">
        <v>10</v>
      </c>
      <c r="C789">
        <v>2327</v>
      </c>
      <c r="D789" t="s">
        <v>8</v>
      </c>
      <c r="E789" t="str">
        <f>IF(may[[#This Row],[ShiftCounter]]&gt;0, "Running", "Down")</f>
        <v>Running</v>
      </c>
    </row>
    <row r="790" spans="1:5" x14ac:dyDescent="0.25">
      <c r="A790" s="2">
        <v>44684</v>
      </c>
      <c r="B790" s="4" t="s">
        <v>11</v>
      </c>
      <c r="C790">
        <v>2502</v>
      </c>
      <c r="D790" t="s">
        <v>6</v>
      </c>
      <c r="E790" t="str">
        <f>IF(may[[#This Row],[ShiftCounter]]&gt;0, "Running", "Down")</f>
        <v>Running</v>
      </c>
    </row>
    <row r="791" spans="1:5" x14ac:dyDescent="0.25">
      <c r="A791" s="2">
        <v>44684</v>
      </c>
      <c r="B791" s="4" t="s">
        <v>11</v>
      </c>
      <c r="C791">
        <v>2384</v>
      </c>
      <c r="D791" t="s">
        <v>7</v>
      </c>
      <c r="E791" t="str">
        <f>IF(may[[#This Row],[ShiftCounter]]&gt;0, "Running", "Down")</f>
        <v>Running</v>
      </c>
    </row>
    <row r="792" spans="1:5" x14ac:dyDescent="0.25">
      <c r="A792" s="2">
        <v>44684</v>
      </c>
      <c r="B792" s="4" t="s">
        <v>11</v>
      </c>
      <c r="C792">
        <v>2260</v>
      </c>
      <c r="D792" t="s">
        <v>8</v>
      </c>
      <c r="E792" t="str">
        <f>IF(may[[#This Row],[ShiftCounter]]&gt;0, "Running", "Down")</f>
        <v>Running</v>
      </c>
    </row>
    <row r="793" spans="1:5" x14ac:dyDescent="0.25">
      <c r="A793" s="2">
        <v>44684</v>
      </c>
      <c r="B793" s="4" t="s">
        <v>12</v>
      </c>
      <c r="C793">
        <v>2283</v>
      </c>
      <c r="D793" t="s">
        <v>6</v>
      </c>
      <c r="E793" t="str">
        <f>IF(may[[#This Row],[ShiftCounter]]&gt;0, "Running", "Down")</f>
        <v>Running</v>
      </c>
    </row>
    <row r="794" spans="1:5" x14ac:dyDescent="0.25">
      <c r="A794" s="2">
        <v>44684</v>
      </c>
      <c r="B794" s="4" t="s">
        <v>12</v>
      </c>
      <c r="C794">
        <v>2189</v>
      </c>
      <c r="D794" t="s">
        <v>7</v>
      </c>
      <c r="E794" t="str">
        <f>IF(may[[#This Row],[ShiftCounter]]&gt;0, "Running", "Down")</f>
        <v>Running</v>
      </c>
    </row>
    <row r="795" spans="1:5" x14ac:dyDescent="0.25">
      <c r="A795" s="2">
        <v>44684</v>
      </c>
      <c r="B795" s="4" t="s">
        <v>12</v>
      </c>
      <c r="C795">
        <v>2039</v>
      </c>
      <c r="D795" t="s">
        <v>8</v>
      </c>
      <c r="E795" t="str">
        <f>IF(may[[#This Row],[ShiftCounter]]&gt;0, "Running", "Down")</f>
        <v>Running</v>
      </c>
    </row>
    <row r="796" spans="1:5" x14ac:dyDescent="0.25">
      <c r="A796" s="2">
        <v>44684</v>
      </c>
      <c r="B796" s="4" t="s">
        <v>13</v>
      </c>
      <c r="C796">
        <v>2308</v>
      </c>
      <c r="D796" t="s">
        <v>6</v>
      </c>
      <c r="E796" t="str">
        <f>IF(may[[#This Row],[ShiftCounter]]&gt;0, "Running", "Down")</f>
        <v>Running</v>
      </c>
    </row>
    <row r="797" spans="1:5" x14ac:dyDescent="0.25">
      <c r="A797" s="2">
        <v>44684</v>
      </c>
      <c r="B797" s="4" t="s">
        <v>13</v>
      </c>
      <c r="C797">
        <v>2264</v>
      </c>
      <c r="D797" t="s">
        <v>7</v>
      </c>
      <c r="E797" t="str">
        <f>IF(may[[#This Row],[ShiftCounter]]&gt;0, "Running", "Down")</f>
        <v>Running</v>
      </c>
    </row>
    <row r="798" spans="1:5" x14ac:dyDescent="0.25">
      <c r="A798" s="2">
        <v>44684</v>
      </c>
      <c r="B798" s="4" t="s">
        <v>13</v>
      </c>
      <c r="C798">
        <v>2075</v>
      </c>
      <c r="D798" t="s">
        <v>8</v>
      </c>
      <c r="E798" t="str">
        <f>IF(may[[#This Row],[ShiftCounter]]&gt;0, "Running", "Down")</f>
        <v>Running</v>
      </c>
    </row>
    <row r="799" spans="1:5" x14ac:dyDescent="0.25">
      <c r="A799" s="2">
        <v>44684</v>
      </c>
      <c r="B799" s="4" t="s">
        <v>14</v>
      </c>
      <c r="C799">
        <v>2167</v>
      </c>
      <c r="D799" t="s">
        <v>6</v>
      </c>
      <c r="E799" t="str">
        <f>IF(may[[#This Row],[ShiftCounter]]&gt;0, "Running", "Down")</f>
        <v>Running</v>
      </c>
    </row>
    <row r="800" spans="1:5" x14ac:dyDescent="0.25">
      <c r="A800" s="2">
        <v>44684</v>
      </c>
      <c r="B800" s="4" t="s">
        <v>14</v>
      </c>
      <c r="C800">
        <v>2196</v>
      </c>
      <c r="D800" t="s">
        <v>7</v>
      </c>
      <c r="E800" t="str">
        <f>IF(may[[#This Row],[ShiftCounter]]&gt;0, "Running", "Down")</f>
        <v>Running</v>
      </c>
    </row>
    <row r="801" spans="1:5" x14ac:dyDescent="0.25">
      <c r="A801" s="2">
        <v>44684</v>
      </c>
      <c r="B801" s="4" t="s">
        <v>14</v>
      </c>
      <c r="C801">
        <v>1927</v>
      </c>
      <c r="D801" t="s">
        <v>8</v>
      </c>
      <c r="E801" t="str">
        <f>IF(may[[#This Row],[ShiftCounter]]&gt;0, "Running", "Down")</f>
        <v>Running</v>
      </c>
    </row>
    <row r="802" spans="1:5" x14ac:dyDescent="0.25">
      <c r="A802" s="2">
        <v>44684</v>
      </c>
      <c r="B802" s="4" t="s">
        <v>15</v>
      </c>
      <c r="C802">
        <v>2160</v>
      </c>
      <c r="D802" t="s">
        <v>6</v>
      </c>
      <c r="E802" t="str">
        <f>IF(may[[#This Row],[ShiftCounter]]&gt;0, "Running", "Down")</f>
        <v>Running</v>
      </c>
    </row>
    <row r="803" spans="1:5" x14ac:dyDescent="0.25">
      <c r="A803" s="2">
        <v>44684</v>
      </c>
      <c r="B803" s="4" t="s">
        <v>15</v>
      </c>
      <c r="C803">
        <v>2193</v>
      </c>
      <c r="D803" t="s">
        <v>7</v>
      </c>
      <c r="E803" t="str">
        <f>IF(may[[#This Row],[ShiftCounter]]&gt;0, "Running", "Down")</f>
        <v>Running</v>
      </c>
    </row>
    <row r="804" spans="1:5" x14ac:dyDescent="0.25">
      <c r="A804" s="2">
        <v>44684</v>
      </c>
      <c r="B804" s="4" t="s">
        <v>15</v>
      </c>
      <c r="C804">
        <v>1907</v>
      </c>
      <c r="D804" t="s">
        <v>8</v>
      </c>
      <c r="E804" t="str">
        <f>IF(may[[#This Row],[ShiftCounter]]&gt;0, "Running", "Down")</f>
        <v>Running</v>
      </c>
    </row>
    <row r="805" spans="1:5" x14ac:dyDescent="0.25">
      <c r="A805" s="2">
        <v>44684</v>
      </c>
      <c r="B805" s="4" t="s">
        <v>16</v>
      </c>
      <c r="C805">
        <v>2362</v>
      </c>
      <c r="D805" t="s">
        <v>6</v>
      </c>
      <c r="E805" t="str">
        <f>IF(may[[#This Row],[ShiftCounter]]&gt;0, "Running", "Down")</f>
        <v>Running</v>
      </c>
    </row>
    <row r="806" spans="1:5" x14ac:dyDescent="0.25">
      <c r="A806" s="2">
        <v>44684</v>
      </c>
      <c r="B806" s="4" t="s">
        <v>16</v>
      </c>
      <c r="C806">
        <v>2380</v>
      </c>
      <c r="D806" t="s">
        <v>7</v>
      </c>
      <c r="E806" t="str">
        <f>IF(may[[#This Row],[ShiftCounter]]&gt;0, "Running", "Down")</f>
        <v>Running</v>
      </c>
    </row>
    <row r="807" spans="1:5" x14ac:dyDescent="0.25">
      <c r="A807" s="2">
        <v>44684</v>
      </c>
      <c r="B807" s="4" t="s">
        <v>16</v>
      </c>
      <c r="C807">
        <v>2087</v>
      </c>
      <c r="D807" t="s">
        <v>8</v>
      </c>
      <c r="E807" t="str">
        <f>IF(may[[#This Row],[ShiftCounter]]&gt;0, "Running", "Down")</f>
        <v>Running</v>
      </c>
    </row>
    <row r="808" spans="1:5" x14ac:dyDescent="0.25">
      <c r="A808" s="2">
        <v>44684</v>
      </c>
      <c r="B808" s="4" t="s">
        <v>17</v>
      </c>
      <c r="C808">
        <v>2392</v>
      </c>
      <c r="D808" t="s">
        <v>6</v>
      </c>
      <c r="E808" t="str">
        <f>IF(may[[#This Row],[ShiftCounter]]&gt;0, "Running", "Down")</f>
        <v>Running</v>
      </c>
    </row>
    <row r="809" spans="1:5" x14ac:dyDescent="0.25">
      <c r="A809" s="2">
        <v>44684</v>
      </c>
      <c r="B809" s="4" t="s">
        <v>17</v>
      </c>
      <c r="C809">
        <v>2445</v>
      </c>
      <c r="D809" t="s">
        <v>7</v>
      </c>
      <c r="E809" t="str">
        <f>IF(may[[#This Row],[ShiftCounter]]&gt;0, "Running", "Down")</f>
        <v>Running</v>
      </c>
    </row>
    <row r="810" spans="1:5" x14ac:dyDescent="0.25">
      <c r="A810" s="2">
        <v>44684</v>
      </c>
      <c r="B810" s="4" t="s">
        <v>17</v>
      </c>
      <c r="C810">
        <v>2151</v>
      </c>
      <c r="D810" t="s">
        <v>8</v>
      </c>
      <c r="E810" t="str">
        <f>IF(may[[#This Row],[ShiftCounter]]&gt;0, "Running", "Down")</f>
        <v>Running</v>
      </c>
    </row>
    <row r="811" spans="1:5" x14ac:dyDescent="0.25">
      <c r="A811" s="2">
        <v>44684</v>
      </c>
      <c r="B811" s="4" t="s">
        <v>19</v>
      </c>
      <c r="C811">
        <v>1956</v>
      </c>
      <c r="D811" t="s">
        <v>6</v>
      </c>
      <c r="E811" t="str">
        <f>IF(may[[#This Row],[ShiftCounter]]&gt;0, "Running", "Down")</f>
        <v>Running</v>
      </c>
    </row>
    <row r="812" spans="1:5" x14ac:dyDescent="0.25">
      <c r="A812" s="2">
        <v>44684</v>
      </c>
      <c r="B812" s="4" t="s">
        <v>19</v>
      </c>
      <c r="C812">
        <v>2022</v>
      </c>
      <c r="D812" t="s">
        <v>7</v>
      </c>
      <c r="E812" t="str">
        <f>IF(may[[#This Row],[ShiftCounter]]&gt;0, "Running", "Down")</f>
        <v>Running</v>
      </c>
    </row>
    <row r="813" spans="1:5" x14ac:dyDescent="0.25">
      <c r="A813" s="2">
        <v>44684</v>
      </c>
      <c r="B813" s="4" t="s">
        <v>19</v>
      </c>
      <c r="C813">
        <v>1550</v>
      </c>
      <c r="D813" t="s">
        <v>8</v>
      </c>
      <c r="E813" t="str">
        <f>IF(may[[#This Row],[ShiftCounter]]&gt;0, "Running", "Down")</f>
        <v>Running</v>
      </c>
    </row>
    <row r="814" spans="1:5" x14ac:dyDescent="0.25">
      <c r="A814" s="2">
        <v>44684</v>
      </c>
      <c r="B814" s="4" t="s">
        <v>18</v>
      </c>
      <c r="C814">
        <v>2405</v>
      </c>
      <c r="D814" t="s">
        <v>6</v>
      </c>
      <c r="E814" t="str">
        <f>IF(may[[#This Row],[ShiftCounter]]&gt;0, "Running", "Down")</f>
        <v>Running</v>
      </c>
    </row>
    <row r="815" spans="1:5" x14ac:dyDescent="0.25">
      <c r="A815" s="2">
        <v>44684</v>
      </c>
      <c r="B815" s="4" t="s">
        <v>18</v>
      </c>
      <c r="C815">
        <v>2468</v>
      </c>
      <c r="D815" t="s">
        <v>7</v>
      </c>
      <c r="E815" t="str">
        <f>IF(may[[#This Row],[ShiftCounter]]&gt;0, "Running", "Down")</f>
        <v>Running</v>
      </c>
    </row>
    <row r="816" spans="1:5" x14ac:dyDescent="0.25">
      <c r="A816" s="2">
        <v>44683</v>
      </c>
      <c r="B816" s="4" t="s">
        <v>18</v>
      </c>
      <c r="C816">
        <v>2082</v>
      </c>
      <c r="D816" t="s">
        <v>8</v>
      </c>
      <c r="E816" t="str">
        <f>IF(may[[#This Row],[ShiftCounter]]&gt;0, "Running", "Down")</f>
        <v>Running</v>
      </c>
    </row>
    <row r="817" spans="1:5" x14ac:dyDescent="0.25">
      <c r="A817" s="2">
        <v>44683</v>
      </c>
      <c r="B817" s="4" t="s">
        <v>42</v>
      </c>
      <c r="C817">
        <v>2205</v>
      </c>
      <c r="D817" t="s">
        <v>6</v>
      </c>
      <c r="E817" t="str">
        <f>IF(may[[#This Row],[ShiftCounter]]&gt;0, "Running", "Down")</f>
        <v>Running</v>
      </c>
    </row>
    <row r="818" spans="1:5" x14ac:dyDescent="0.25">
      <c r="A818" s="2">
        <v>44683</v>
      </c>
      <c r="B818" s="4" t="s">
        <v>42</v>
      </c>
      <c r="C818">
        <v>2018</v>
      </c>
      <c r="D818" t="s">
        <v>7</v>
      </c>
      <c r="E818" t="str">
        <f>IF(may[[#This Row],[ShiftCounter]]&gt;0, "Running", "Down")</f>
        <v>Running</v>
      </c>
    </row>
    <row r="819" spans="1:5" x14ac:dyDescent="0.25">
      <c r="A819" s="2">
        <v>44683</v>
      </c>
      <c r="B819" s="4" t="s">
        <v>42</v>
      </c>
      <c r="C819">
        <v>1975</v>
      </c>
      <c r="D819" t="s">
        <v>8</v>
      </c>
      <c r="E819" t="str">
        <f>IF(may[[#This Row],[ShiftCounter]]&gt;0, "Running", "Down")</f>
        <v>Running</v>
      </c>
    </row>
    <row r="820" spans="1:5" x14ac:dyDescent="0.25">
      <c r="A820" s="2">
        <v>44683</v>
      </c>
      <c r="B820" s="4" t="s">
        <v>38</v>
      </c>
      <c r="C820">
        <v>2165</v>
      </c>
      <c r="D820" t="s">
        <v>6</v>
      </c>
      <c r="E820" t="str">
        <f>IF(may[[#This Row],[ShiftCounter]]&gt;0, "Running", "Down")</f>
        <v>Running</v>
      </c>
    </row>
    <row r="821" spans="1:5" x14ac:dyDescent="0.25">
      <c r="A821" s="2">
        <v>44683</v>
      </c>
      <c r="B821" s="4" t="s">
        <v>38</v>
      </c>
      <c r="C821">
        <v>2000</v>
      </c>
      <c r="D821" t="s">
        <v>7</v>
      </c>
      <c r="E821" t="str">
        <f>IF(may[[#This Row],[ShiftCounter]]&gt;0, "Running", "Down")</f>
        <v>Running</v>
      </c>
    </row>
    <row r="822" spans="1:5" x14ac:dyDescent="0.25">
      <c r="A822" s="2">
        <v>44683</v>
      </c>
      <c r="B822" s="4" t="s">
        <v>38</v>
      </c>
      <c r="C822">
        <v>1878</v>
      </c>
      <c r="D822" t="s">
        <v>8</v>
      </c>
      <c r="E822" t="str">
        <f>IF(may[[#This Row],[ShiftCounter]]&gt;0, "Running", "Down")</f>
        <v>Running</v>
      </c>
    </row>
    <row r="823" spans="1:5" x14ac:dyDescent="0.25">
      <c r="A823" s="2">
        <v>44683</v>
      </c>
      <c r="B823" s="4" t="s">
        <v>20</v>
      </c>
      <c r="C823">
        <v>1717</v>
      </c>
      <c r="D823" t="s">
        <v>6</v>
      </c>
      <c r="E823" t="str">
        <f>IF(may[[#This Row],[ShiftCounter]]&gt;0, "Running", "Down")</f>
        <v>Running</v>
      </c>
    </row>
    <row r="824" spans="1:5" x14ac:dyDescent="0.25">
      <c r="A824" s="2">
        <v>44683</v>
      </c>
      <c r="B824" s="4" t="s">
        <v>20</v>
      </c>
      <c r="C824">
        <v>2076</v>
      </c>
      <c r="D824" t="s">
        <v>7</v>
      </c>
      <c r="E824" t="str">
        <f>IF(may[[#This Row],[ShiftCounter]]&gt;0, "Running", "Down")</f>
        <v>Running</v>
      </c>
    </row>
    <row r="825" spans="1:5" x14ac:dyDescent="0.25">
      <c r="A825" s="2">
        <v>44683</v>
      </c>
      <c r="B825" s="4" t="s">
        <v>20</v>
      </c>
      <c r="C825">
        <v>1992</v>
      </c>
      <c r="D825" t="s">
        <v>8</v>
      </c>
      <c r="E825" t="str">
        <f>IF(may[[#This Row],[ShiftCounter]]&gt;0, "Running", "Down")</f>
        <v>Running</v>
      </c>
    </row>
    <row r="826" spans="1:5" x14ac:dyDescent="0.25">
      <c r="A826" s="2">
        <v>44683</v>
      </c>
      <c r="B826" s="4" t="s">
        <v>21</v>
      </c>
      <c r="C826">
        <v>2148</v>
      </c>
      <c r="D826" t="s">
        <v>6</v>
      </c>
      <c r="E826" t="str">
        <f>IF(may[[#This Row],[ShiftCounter]]&gt;0, "Running", "Down")</f>
        <v>Running</v>
      </c>
    </row>
    <row r="827" spans="1:5" x14ac:dyDescent="0.25">
      <c r="A827" s="2">
        <v>44683</v>
      </c>
      <c r="B827" s="4" t="s">
        <v>21</v>
      </c>
      <c r="C827">
        <v>2009</v>
      </c>
      <c r="D827" t="s">
        <v>7</v>
      </c>
      <c r="E827" t="str">
        <f>IF(may[[#This Row],[ShiftCounter]]&gt;0, "Running", "Down")</f>
        <v>Running</v>
      </c>
    </row>
    <row r="828" spans="1:5" x14ac:dyDescent="0.25">
      <c r="A828" s="2">
        <v>44683</v>
      </c>
      <c r="B828" s="4" t="s">
        <v>21</v>
      </c>
      <c r="C828">
        <v>1812</v>
      </c>
      <c r="D828" t="s">
        <v>8</v>
      </c>
      <c r="E828" t="str">
        <f>IF(may[[#This Row],[ShiftCounter]]&gt;0, "Running", "Down")</f>
        <v>Running</v>
      </c>
    </row>
    <row r="829" spans="1:5" x14ac:dyDescent="0.25">
      <c r="A829" s="2">
        <v>44683</v>
      </c>
      <c r="B829" s="4" t="s">
        <v>22</v>
      </c>
      <c r="C829">
        <v>2351</v>
      </c>
      <c r="D829" t="s">
        <v>6</v>
      </c>
      <c r="E829" t="str">
        <f>IF(may[[#This Row],[ShiftCounter]]&gt;0, "Running", "Down")</f>
        <v>Running</v>
      </c>
    </row>
    <row r="830" spans="1:5" x14ac:dyDescent="0.25">
      <c r="A830" s="2">
        <v>44683</v>
      </c>
      <c r="B830" s="4" t="s">
        <v>22</v>
      </c>
      <c r="C830">
        <v>2247</v>
      </c>
      <c r="D830" t="s">
        <v>7</v>
      </c>
      <c r="E830" t="str">
        <f>IF(may[[#This Row],[ShiftCounter]]&gt;0, "Running", "Down")</f>
        <v>Running</v>
      </c>
    </row>
    <row r="831" spans="1:5" x14ac:dyDescent="0.25">
      <c r="A831" s="2">
        <v>44683</v>
      </c>
      <c r="B831" s="4" t="s">
        <v>22</v>
      </c>
      <c r="C831">
        <v>2003</v>
      </c>
      <c r="D831" t="s">
        <v>8</v>
      </c>
      <c r="E831" t="str">
        <f>IF(may[[#This Row],[ShiftCounter]]&gt;0, "Running", "Down")</f>
        <v>Running</v>
      </c>
    </row>
    <row r="832" spans="1:5" x14ac:dyDescent="0.25">
      <c r="A832" s="2">
        <v>44683</v>
      </c>
      <c r="B832" s="4" t="s">
        <v>23</v>
      </c>
      <c r="C832">
        <v>2379</v>
      </c>
      <c r="D832" t="s">
        <v>6</v>
      </c>
      <c r="E832" t="str">
        <f>IF(may[[#This Row],[ShiftCounter]]&gt;0, "Running", "Down")</f>
        <v>Running</v>
      </c>
    </row>
    <row r="833" spans="1:5" x14ac:dyDescent="0.25">
      <c r="A833" s="2">
        <v>44683</v>
      </c>
      <c r="B833" s="4" t="s">
        <v>23</v>
      </c>
      <c r="C833">
        <v>2371</v>
      </c>
      <c r="D833" t="s">
        <v>7</v>
      </c>
      <c r="E833" t="str">
        <f>IF(may[[#This Row],[ShiftCounter]]&gt;0, "Running", "Down")</f>
        <v>Running</v>
      </c>
    </row>
    <row r="834" spans="1:5" x14ac:dyDescent="0.25">
      <c r="A834" s="2">
        <v>44683</v>
      </c>
      <c r="B834" s="4" t="s">
        <v>23</v>
      </c>
      <c r="C834">
        <v>2106</v>
      </c>
      <c r="D834" t="s">
        <v>8</v>
      </c>
      <c r="E834" t="str">
        <f>IF(may[[#This Row],[ShiftCounter]]&gt;0, "Running", "Down")</f>
        <v>Running</v>
      </c>
    </row>
    <row r="835" spans="1:5" x14ac:dyDescent="0.25">
      <c r="A835" s="2">
        <v>44683</v>
      </c>
      <c r="B835" s="4" t="s">
        <v>24</v>
      </c>
      <c r="C835">
        <v>2135</v>
      </c>
      <c r="D835" t="s">
        <v>6</v>
      </c>
      <c r="E835" t="str">
        <f>IF(may[[#This Row],[ShiftCounter]]&gt;0, "Running", "Down")</f>
        <v>Running</v>
      </c>
    </row>
    <row r="836" spans="1:5" x14ac:dyDescent="0.25">
      <c r="A836" s="2">
        <v>44683</v>
      </c>
      <c r="B836" s="4" t="s">
        <v>24</v>
      </c>
      <c r="C836">
        <v>2010</v>
      </c>
      <c r="D836" t="s">
        <v>7</v>
      </c>
      <c r="E836" t="str">
        <f>IF(may[[#This Row],[ShiftCounter]]&gt;0, "Running", "Down")</f>
        <v>Running</v>
      </c>
    </row>
    <row r="837" spans="1:5" x14ac:dyDescent="0.25">
      <c r="A837" s="2">
        <v>44683</v>
      </c>
      <c r="B837" s="4" t="s">
        <v>24</v>
      </c>
      <c r="C837">
        <v>1874</v>
      </c>
      <c r="D837" t="s">
        <v>8</v>
      </c>
      <c r="E837" t="str">
        <f>IF(may[[#This Row],[ShiftCounter]]&gt;0, "Running", "Down")</f>
        <v>Running</v>
      </c>
    </row>
    <row r="838" spans="1:5" x14ac:dyDescent="0.25">
      <c r="A838" s="2">
        <v>44683</v>
      </c>
      <c r="B838" s="4" t="s">
        <v>25</v>
      </c>
      <c r="C838">
        <v>2252</v>
      </c>
      <c r="D838" t="s">
        <v>6</v>
      </c>
      <c r="E838" t="str">
        <f>IF(may[[#This Row],[ShiftCounter]]&gt;0, "Running", "Down")</f>
        <v>Running</v>
      </c>
    </row>
    <row r="839" spans="1:5" x14ac:dyDescent="0.25">
      <c r="A839" s="2">
        <v>44683</v>
      </c>
      <c r="B839" s="4" t="s">
        <v>25</v>
      </c>
      <c r="C839">
        <v>2188</v>
      </c>
      <c r="D839" t="s">
        <v>7</v>
      </c>
      <c r="E839" t="str">
        <f>IF(may[[#This Row],[ShiftCounter]]&gt;0, "Running", "Down")</f>
        <v>Running</v>
      </c>
    </row>
    <row r="840" spans="1:5" x14ac:dyDescent="0.25">
      <c r="A840" s="2">
        <v>44683</v>
      </c>
      <c r="B840" s="4" t="s">
        <v>25</v>
      </c>
      <c r="C840">
        <v>1953</v>
      </c>
      <c r="D840" t="s">
        <v>8</v>
      </c>
      <c r="E840" t="str">
        <f>IF(may[[#This Row],[ShiftCounter]]&gt;0, "Running", "Down")</f>
        <v>Running</v>
      </c>
    </row>
    <row r="841" spans="1:5" x14ac:dyDescent="0.25">
      <c r="A841" s="2">
        <v>44683</v>
      </c>
      <c r="B841" s="4" t="s">
        <v>26</v>
      </c>
      <c r="C841">
        <v>2191</v>
      </c>
      <c r="D841" t="s">
        <v>6</v>
      </c>
      <c r="E841" t="str">
        <f>IF(may[[#This Row],[ShiftCounter]]&gt;0, "Running", "Down")</f>
        <v>Running</v>
      </c>
    </row>
    <row r="842" spans="1:5" x14ac:dyDescent="0.25">
      <c r="A842" s="2">
        <v>44683</v>
      </c>
      <c r="B842" s="4" t="s">
        <v>26</v>
      </c>
      <c r="C842">
        <v>2258</v>
      </c>
      <c r="D842" t="s">
        <v>7</v>
      </c>
      <c r="E842" t="str">
        <f>IF(may[[#This Row],[ShiftCounter]]&gt;0, "Running", "Down")</f>
        <v>Running</v>
      </c>
    </row>
    <row r="843" spans="1:5" x14ac:dyDescent="0.25">
      <c r="A843" s="2">
        <v>44683</v>
      </c>
      <c r="B843" s="4" t="s">
        <v>26</v>
      </c>
      <c r="C843">
        <v>1898</v>
      </c>
      <c r="D843" t="s">
        <v>8</v>
      </c>
      <c r="E843" t="str">
        <f>IF(may[[#This Row],[ShiftCounter]]&gt;0, "Running", "Down")</f>
        <v>Running</v>
      </c>
    </row>
    <row r="844" spans="1:5" x14ac:dyDescent="0.25">
      <c r="A844" s="2">
        <v>44683</v>
      </c>
      <c r="B844" s="4" t="s">
        <v>27</v>
      </c>
      <c r="C844">
        <v>1678</v>
      </c>
      <c r="D844" t="s">
        <v>6</v>
      </c>
      <c r="E844" t="str">
        <f>IF(may[[#This Row],[ShiftCounter]]&gt;0, "Running", "Down")</f>
        <v>Running</v>
      </c>
    </row>
    <row r="845" spans="1:5" x14ac:dyDescent="0.25">
      <c r="A845" s="2">
        <v>44683</v>
      </c>
      <c r="B845" s="4" t="s">
        <v>27</v>
      </c>
      <c r="C845">
        <v>1752</v>
      </c>
      <c r="D845" t="s">
        <v>7</v>
      </c>
      <c r="E845" t="str">
        <f>IF(may[[#This Row],[ShiftCounter]]&gt;0, "Running", "Down")</f>
        <v>Running</v>
      </c>
    </row>
    <row r="846" spans="1:5" x14ac:dyDescent="0.25">
      <c r="A846" s="2">
        <v>44683</v>
      </c>
      <c r="B846" s="4" t="s">
        <v>27</v>
      </c>
      <c r="C846">
        <v>1734</v>
      </c>
      <c r="D846" t="s">
        <v>8</v>
      </c>
      <c r="E846" t="str">
        <f>IF(may[[#This Row],[ShiftCounter]]&gt;0, "Running", "Down")</f>
        <v>Running</v>
      </c>
    </row>
    <row r="847" spans="1:5" x14ac:dyDescent="0.25">
      <c r="A847" s="2">
        <v>44683</v>
      </c>
      <c r="B847" s="4" t="s">
        <v>28</v>
      </c>
      <c r="C847">
        <v>2264</v>
      </c>
      <c r="D847" t="s">
        <v>6</v>
      </c>
      <c r="E847" t="str">
        <f>IF(may[[#This Row],[ShiftCounter]]&gt;0, "Running", "Down")</f>
        <v>Running</v>
      </c>
    </row>
    <row r="848" spans="1:5" x14ac:dyDescent="0.25">
      <c r="A848" s="2">
        <v>44683</v>
      </c>
      <c r="B848" s="4" t="s">
        <v>28</v>
      </c>
      <c r="C848">
        <v>2186</v>
      </c>
      <c r="D848" t="s">
        <v>7</v>
      </c>
      <c r="E848" t="str">
        <f>IF(may[[#This Row],[ShiftCounter]]&gt;0, "Running", "Down")</f>
        <v>Running</v>
      </c>
    </row>
    <row r="849" spans="1:5" x14ac:dyDescent="0.25">
      <c r="A849" s="2">
        <v>44683</v>
      </c>
      <c r="B849" s="4" t="s">
        <v>28</v>
      </c>
      <c r="C849">
        <v>1862</v>
      </c>
      <c r="D849" t="s">
        <v>8</v>
      </c>
      <c r="E849" t="str">
        <f>IF(may[[#This Row],[ShiftCounter]]&gt;0, "Running", "Down")</f>
        <v>Running</v>
      </c>
    </row>
    <row r="850" spans="1:5" x14ac:dyDescent="0.25">
      <c r="A850" s="2">
        <v>44683</v>
      </c>
      <c r="B850" s="4" t="s">
        <v>29</v>
      </c>
      <c r="C850">
        <v>2135</v>
      </c>
      <c r="D850" t="s">
        <v>6</v>
      </c>
      <c r="E850" t="str">
        <f>IF(may[[#This Row],[ShiftCounter]]&gt;0, "Running", "Down")</f>
        <v>Running</v>
      </c>
    </row>
    <row r="851" spans="1:5" x14ac:dyDescent="0.25">
      <c r="A851" s="2">
        <v>44683</v>
      </c>
      <c r="B851" s="4" t="s">
        <v>29</v>
      </c>
      <c r="C851">
        <v>2098</v>
      </c>
      <c r="D851" t="s">
        <v>7</v>
      </c>
      <c r="E851" t="str">
        <f>IF(may[[#This Row],[ShiftCounter]]&gt;0, "Running", "Down")</f>
        <v>Running</v>
      </c>
    </row>
    <row r="852" spans="1:5" x14ac:dyDescent="0.25">
      <c r="A852" s="2">
        <v>44683</v>
      </c>
      <c r="B852" s="4" t="s">
        <v>29</v>
      </c>
      <c r="C852">
        <v>1683</v>
      </c>
      <c r="D852" t="s">
        <v>8</v>
      </c>
      <c r="E852" t="str">
        <f>IF(may[[#This Row],[ShiftCounter]]&gt;0, "Running", "Down")</f>
        <v>Running</v>
      </c>
    </row>
    <row r="853" spans="1:5" x14ac:dyDescent="0.25">
      <c r="A853" s="2">
        <v>44683</v>
      </c>
      <c r="B853" s="4" t="s">
        <v>30</v>
      </c>
      <c r="C853">
        <v>2304</v>
      </c>
      <c r="D853" t="s">
        <v>6</v>
      </c>
      <c r="E853" t="str">
        <f>IF(may[[#This Row],[ShiftCounter]]&gt;0, "Running", "Down")</f>
        <v>Running</v>
      </c>
    </row>
    <row r="854" spans="1:5" x14ac:dyDescent="0.25">
      <c r="A854" s="2">
        <v>44683</v>
      </c>
      <c r="B854" s="4" t="s">
        <v>30</v>
      </c>
      <c r="C854">
        <v>2199</v>
      </c>
      <c r="D854" t="s">
        <v>7</v>
      </c>
      <c r="E854" t="str">
        <f>IF(may[[#This Row],[ShiftCounter]]&gt;0, "Running", "Down")</f>
        <v>Running</v>
      </c>
    </row>
    <row r="855" spans="1:5" x14ac:dyDescent="0.25">
      <c r="A855" s="2">
        <v>44683</v>
      </c>
      <c r="B855" s="4" t="s">
        <v>30</v>
      </c>
      <c r="C855">
        <v>1876</v>
      </c>
      <c r="D855" t="s">
        <v>8</v>
      </c>
      <c r="E855" t="str">
        <f>IF(may[[#This Row],[ShiftCounter]]&gt;0, "Running", "Down")</f>
        <v>Running</v>
      </c>
    </row>
    <row r="856" spans="1:5" x14ac:dyDescent="0.25">
      <c r="A856" s="2">
        <v>44683</v>
      </c>
      <c r="B856" s="4" t="s">
        <v>31</v>
      </c>
      <c r="C856">
        <v>2326</v>
      </c>
      <c r="D856" t="s">
        <v>6</v>
      </c>
      <c r="E856" t="str">
        <f>IF(may[[#This Row],[ShiftCounter]]&gt;0, "Running", "Down")</f>
        <v>Running</v>
      </c>
    </row>
    <row r="857" spans="1:5" x14ac:dyDescent="0.25">
      <c r="A857" s="2">
        <v>44683</v>
      </c>
      <c r="B857" s="4" t="s">
        <v>31</v>
      </c>
      <c r="C857">
        <v>2295</v>
      </c>
      <c r="D857" t="s">
        <v>7</v>
      </c>
      <c r="E857" t="str">
        <f>IF(may[[#This Row],[ShiftCounter]]&gt;0, "Running", "Down")</f>
        <v>Running</v>
      </c>
    </row>
    <row r="858" spans="1:5" x14ac:dyDescent="0.25">
      <c r="A858" s="2">
        <v>44683</v>
      </c>
      <c r="B858" s="4" t="s">
        <v>31</v>
      </c>
      <c r="C858">
        <v>1904</v>
      </c>
      <c r="D858" t="s">
        <v>8</v>
      </c>
      <c r="E858" t="str">
        <f>IF(may[[#This Row],[ShiftCounter]]&gt;0, "Running", "Down")</f>
        <v>Running</v>
      </c>
    </row>
    <row r="859" spans="1:5" x14ac:dyDescent="0.25">
      <c r="A859" s="2">
        <v>44683</v>
      </c>
      <c r="B859" s="4" t="s">
        <v>32</v>
      </c>
      <c r="C859">
        <v>2233</v>
      </c>
      <c r="D859" t="s">
        <v>6</v>
      </c>
      <c r="E859" t="str">
        <f>IF(may[[#This Row],[ShiftCounter]]&gt;0, "Running", "Down")</f>
        <v>Running</v>
      </c>
    </row>
    <row r="860" spans="1:5" x14ac:dyDescent="0.25">
      <c r="A860" s="2">
        <v>44683</v>
      </c>
      <c r="B860" s="4" t="s">
        <v>32</v>
      </c>
      <c r="C860">
        <v>2181</v>
      </c>
      <c r="D860" t="s">
        <v>7</v>
      </c>
      <c r="E860" t="str">
        <f>IF(may[[#This Row],[ShiftCounter]]&gt;0, "Running", "Down")</f>
        <v>Running</v>
      </c>
    </row>
    <row r="861" spans="1:5" x14ac:dyDescent="0.25">
      <c r="A861" s="2">
        <v>44683</v>
      </c>
      <c r="B861" s="4" t="s">
        <v>32</v>
      </c>
      <c r="C861">
        <v>1831</v>
      </c>
      <c r="D861" t="s">
        <v>8</v>
      </c>
      <c r="E861" t="str">
        <f>IF(may[[#This Row],[ShiftCounter]]&gt;0, "Running", "Down")</f>
        <v>Running</v>
      </c>
    </row>
    <row r="862" spans="1:5" x14ac:dyDescent="0.25">
      <c r="A862" s="2">
        <v>44683</v>
      </c>
      <c r="B862" s="4" t="s">
        <v>33</v>
      </c>
      <c r="C862">
        <v>2520</v>
      </c>
      <c r="D862" t="s">
        <v>6</v>
      </c>
      <c r="E862" t="str">
        <f>IF(may[[#This Row],[ShiftCounter]]&gt;0, "Running", "Down")</f>
        <v>Running</v>
      </c>
    </row>
    <row r="863" spans="1:5" x14ac:dyDescent="0.25">
      <c r="A863" s="2">
        <v>44683</v>
      </c>
      <c r="B863" s="4" t="s">
        <v>33</v>
      </c>
      <c r="C863">
        <v>2370</v>
      </c>
      <c r="D863" t="s">
        <v>7</v>
      </c>
      <c r="E863" t="str">
        <f>IF(may[[#This Row],[ShiftCounter]]&gt;0, "Running", "Down")</f>
        <v>Running</v>
      </c>
    </row>
    <row r="864" spans="1:5" x14ac:dyDescent="0.25">
      <c r="A864" s="2">
        <v>44683</v>
      </c>
      <c r="B864" s="4" t="s">
        <v>33</v>
      </c>
      <c r="C864">
        <v>2195</v>
      </c>
      <c r="D864" t="s">
        <v>8</v>
      </c>
      <c r="E864" t="str">
        <f>IF(may[[#This Row],[ShiftCounter]]&gt;0, "Running", "Down")</f>
        <v>Running</v>
      </c>
    </row>
    <row r="865" spans="1:5" x14ac:dyDescent="0.25">
      <c r="A865" s="2">
        <v>44683</v>
      </c>
      <c r="B865" s="4" t="s">
        <v>34</v>
      </c>
      <c r="C865">
        <v>2099</v>
      </c>
      <c r="D865" t="s">
        <v>6</v>
      </c>
      <c r="E865" t="str">
        <f>IF(may[[#This Row],[ShiftCounter]]&gt;0, "Running", "Down")</f>
        <v>Running</v>
      </c>
    </row>
    <row r="866" spans="1:5" x14ac:dyDescent="0.25">
      <c r="A866" s="2">
        <v>44683</v>
      </c>
      <c r="B866" s="4" t="s">
        <v>34</v>
      </c>
      <c r="C866">
        <v>2005</v>
      </c>
      <c r="D866" t="s">
        <v>7</v>
      </c>
      <c r="E866" t="str">
        <f>IF(may[[#This Row],[ShiftCounter]]&gt;0, "Running", "Down")</f>
        <v>Running</v>
      </c>
    </row>
    <row r="867" spans="1:5" x14ac:dyDescent="0.25">
      <c r="A867" s="2">
        <v>44683</v>
      </c>
      <c r="B867" s="4" t="s">
        <v>34</v>
      </c>
      <c r="C867">
        <v>1778</v>
      </c>
      <c r="D867" t="s">
        <v>8</v>
      </c>
      <c r="E867" t="str">
        <f>IF(may[[#This Row],[ShiftCounter]]&gt;0, "Running", "Down")</f>
        <v>Running</v>
      </c>
    </row>
    <row r="868" spans="1:5" x14ac:dyDescent="0.25">
      <c r="A868" s="2">
        <v>44683</v>
      </c>
      <c r="B868" s="4" t="s">
        <v>35</v>
      </c>
      <c r="C868">
        <v>2314</v>
      </c>
      <c r="D868" t="s">
        <v>6</v>
      </c>
      <c r="E868" t="str">
        <f>IF(may[[#This Row],[ShiftCounter]]&gt;0, "Running", "Down")</f>
        <v>Running</v>
      </c>
    </row>
    <row r="869" spans="1:5" x14ac:dyDescent="0.25">
      <c r="A869" s="2">
        <v>44683</v>
      </c>
      <c r="B869" s="4" t="s">
        <v>35</v>
      </c>
      <c r="C869">
        <v>2226</v>
      </c>
      <c r="D869" t="s">
        <v>7</v>
      </c>
      <c r="E869" t="str">
        <f>IF(may[[#This Row],[ShiftCounter]]&gt;0, "Running", "Down")</f>
        <v>Running</v>
      </c>
    </row>
    <row r="870" spans="1:5" x14ac:dyDescent="0.25">
      <c r="A870" s="2">
        <v>44683</v>
      </c>
      <c r="B870" s="4" t="s">
        <v>35</v>
      </c>
      <c r="C870">
        <v>2096</v>
      </c>
      <c r="D870" t="s">
        <v>8</v>
      </c>
      <c r="E870" t="str">
        <f>IF(may[[#This Row],[ShiftCounter]]&gt;0, "Running", "Down")</f>
        <v>Running</v>
      </c>
    </row>
    <row r="871" spans="1:5" x14ac:dyDescent="0.25">
      <c r="A871" s="2">
        <v>44683</v>
      </c>
      <c r="B871" s="4" t="s">
        <v>36</v>
      </c>
      <c r="C871">
        <v>2479</v>
      </c>
      <c r="D871" t="s">
        <v>6</v>
      </c>
      <c r="E871" t="str">
        <f>IF(may[[#This Row],[ShiftCounter]]&gt;0, "Running", "Down")</f>
        <v>Running</v>
      </c>
    </row>
    <row r="872" spans="1:5" x14ac:dyDescent="0.25">
      <c r="A872" s="2">
        <v>44683</v>
      </c>
      <c r="B872" s="4" t="s">
        <v>36</v>
      </c>
      <c r="C872">
        <v>2464</v>
      </c>
      <c r="D872" t="s">
        <v>7</v>
      </c>
      <c r="E872" t="str">
        <f>IF(may[[#This Row],[ShiftCounter]]&gt;0, "Running", "Down")</f>
        <v>Running</v>
      </c>
    </row>
    <row r="873" spans="1:5" x14ac:dyDescent="0.25">
      <c r="A873" s="2">
        <v>44683</v>
      </c>
      <c r="B873" s="4" t="s">
        <v>36</v>
      </c>
      <c r="C873">
        <v>2265</v>
      </c>
      <c r="D873" t="s">
        <v>8</v>
      </c>
      <c r="E873" t="str">
        <f>IF(may[[#This Row],[ShiftCounter]]&gt;0, "Running", "Down")</f>
        <v>Running</v>
      </c>
    </row>
    <row r="874" spans="1:5" x14ac:dyDescent="0.25">
      <c r="A874" s="2">
        <v>44683</v>
      </c>
      <c r="B874" s="4" t="s">
        <v>37</v>
      </c>
      <c r="C874">
        <v>2436</v>
      </c>
      <c r="D874" t="s">
        <v>6</v>
      </c>
      <c r="E874" t="str">
        <f>IF(may[[#This Row],[ShiftCounter]]&gt;0, "Running", "Down")</f>
        <v>Running</v>
      </c>
    </row>
    <row r="875" spans="1:5" x14ac:dyDescent="0.25">
      <c r="A875" s="2">
        <v>44683</v>
      </c>
      <c r="B875" s="4" t="s">
        <v>37</v>
      </c>
      <c r="C875">
        <v>2388</v>
      </c>
      <c r="D875" t="s">
        <v>7</v>
      </c>
      <c r="E875" t="str">
        <f>IF(may[[#This Row],[ShiftCounter]]&gt;0, "Running", "Down")</f>
        <v>Running</v>
      </c>
    </row>
    <row r="876" spans="1:5" x14ac:dyDescent="0.25">
      <c r="A876" s="2">
        <v>44683</v>
      </c>
      <c r="B876" s="4" t="s">
        <v>37</v>
      </c>
      <c r="C876">
        <v>2192</v>
      </c>
      <c r="D876" t="s">
        <v>8</v>
      </c>
      <c r="E876" t="str">
        <f>IF(may[[#This Row],[ShiftCounter]]&gt;0, "Running", "Down")</f>
        <v>Running</v>
      </c>
    </row>
    <row r="877" spans="1:5" x14ac:dyDescent="0.25">
      <c r="A877" s="2">
        <v>44683</v>
      </c>
      <c r="B877" s="4" t="s">
        <v>39</v>
      </c>
      <c r="C877">
        <v>2229</v>
      </c>
      <c r="D877" t="s">
        <v>6</v>
      </c>
      <c r="E877" t="str">
        <f>IF(may[[#This Row],[ShiftCounter]]&gt;0, "Running", "Down")</f>
        <v>Running</v>
      </c>
    </row>
    <row r="878" spans="1:5" x14ac:dyDescent="0.25">
      <c r="A878" s="2">
        <v>44683</v>
      </c>
      <c r="B878" s="4" t="s">
        <v>39</v>
      </c>
      <c r="C878">
        <v>2095</v>
      </c>
      <c r="D878" t="s">
        <v>7</v>
      </c>
      <c r="E878" t="str">
        <f>IF(may[[#This Row],[ShiftCounter]]&gt;0, "Running", "Down")</f>
        <v>Running</v>
      </c>
    </row>
    <row r="879" spans="1:5" x14ac:dyDescent="0.25">
      <c r="A879" s="2">
        <v>44683</v>
      </c>
      <c r="B879" s="4" t="s">
        <v>39</v>
      </c>
      <c r="C879">
        <v>1818</v>
      </c>
      <c r="D879" t="s">
        <v>8</v>
      </c>
      <c r="E879" t="str">
        <f>IF(may[[#This Row],[ShiftCounter]]&gt;0, "Running", "Down")</f>
        <v>Running</v>
      </c>
    </row>
    <row r="880" spans="1:5" x14ac:dyDescent="0.25">
      <c r="A880" s="2">
        <v>44683</v>
      </c>
      <c r="B880" s="4" t="s">
        <v>41</v>
      </c>
      <c r="C880">
        <v>2604</v>
      </c>
      <c r="D880" t="s">
        <v>6</v>
      </c>
      <c r="E880" t="str">
        <f>IF(may[[#This Row],[ShiftCounter]]&gt;0, "Running", "Down")</f>
        <v>Running</v>
      </c>
    </row>
    <row r="881" spans="1:5" x14ac:dyDescent="0.25">
      <c r="A881" s="2">
        <v>44683</v>
      </c>
      <c r="B881" s="4" t="s">
        <v>41</v>
      </c>
      <c r="C881">
        <v>2368</v>
      </c>
      <c r="D881" t="s">
        <v>7</v>
      </c>
      <c r="E881" t="str">
        <f>IF(may[[#This Row],[ShiftCounter]]&gt;0, "Running", "Down")</f>
        <v>Running</v>
      </c>
    </row>
    <row r="882" spans="1:5" x14ac:dyDescent="0.25">
      <c r="A882" s="2">
        <v>44683</v>
      </c>
      <c r="B882" s="4" t="s">
        <v>41</v>
      </c>
      <c r="C882">
        <v>0</v>
      </c>
      <c r="D882" t="s">
        <v>8</v>
      </c>
      <c r="E882" t="str">
        <f>IF(may[[#This Row],[ShiftCounter]]&gt;0, "Running", "Down")</f>
        <v>Down</v>
      </c>
    </row>
    <row r="883" spans="1:5" x14ac:dyDescent="0.25">
      <c r="A883" s="2">
        <v>44683</v>
      </c>
      <c r="B883" s="4" t="s">
        <v>43</v>
      </c>
      <c r="C883">
        <v>2298</v>
      </c>
      <c r="D883" t="s">
        <v>6</v>
      </c>
      <c r="E883" t="str">
        <f>IF(may[[#This Row],[ShiftCounter]]&gt;0, "Running", "Down")</f>
        <v>Running</v>
      </c>
    </row>
    <row r="884" spans="1:5" x14ac:dyDescent="0.25">
      <c r="A884" s="2">
        <v>44683</v>
      </c>
      <c r="B884" s="4" t="s">
        <v>43</v>
      </c>
      <c r="C884">
        <v>2154</v>
      </c>
      <c r="D884" t="s">
        <v>7</v>
      </c>
      <c r="E884" t="str">
        <f>IF(may[[#This Row],[ShiftCounter]]&gt;0, "Running", "Down")</f>
        <v>Running</v>
      </c>
    </row>
    <row r="885" spans="1:5" x14ac:dyDescent="0.25">
      <c r="A885" s="2">
        <v>44683</v>
      </c>
      <c r="B885" s="4" t="s">
        <v>43</v>
      </c>
      <c r="C885">
        <v>1880</v>
      </c>
      <c r="D885" t="s">
        <v>8</v>
      </c>
      <c r="E885" t="str">
        <f>IF(may[[#This Row],[ShiftCounter]]&gt;0, "Running", "Down")</f>
        <v>Running</v>
      </c>
    </row>
    <row r="886" spans="1:5" x14ac:dyDescent="0.25">
      <c r="A886" s="2">
        <v>44683</v>
      </c>
      <c r="B886" s="4" t="s">
        <v>5</v>
      </c>
      <c r="C886">
        <v>2526</v>
      </c>
      <c r="D886" t="s">
        <v>6</v>
      </c>
      <c r="E886" t="str">
        <f>IF(may[[#This Row],[ShiftCounter]]&gt;0, "Running", "Down")</f>
        <v>Running</v>
      </c>
    </row>
    <row r="887" spans="1:5" x14ac:dyDescent="0.25">
      <c r="A887" s="2">
        <v>44683</v>
      </c>
      <c r="B887" s="4" t="s">
        <v>5</v>
      </c>
      <c r="C887">
        <v>2342</v>
      </c>
      <c r="D887" t="s">
        <v>7</v>
      </c>
      <c r="E887" t="str">
        <f>IF(may[[#This Row],[ShiftCounter]]&gt;0, "Running", "Down")</f>
        <v>Running</v>
      </c>
    </row>
    <row r="888" spans="1:5" x14ac:dyDescent="0.25">
      <c r="A888" s="2">
        <v>44683</v>
      </c>
      <c r="B888" s="4" t="s">
        <v>5</v>
      </c>
      <c r="C888">
        <v>2063</v>
      </c>
      <c r="D888" t="s">
        <v>8</v>
      </c>
      <c r="E888" t="str">
        <f>IF(may[[#This Row],[ShiftCounter]]&gt;0, "Running", "Down")</f>
        <v>Running</v>
      </c>
    </row>
    <row r="889" spans="1:5" x14ac:dyDescent="0.25">
      <c r="A889" s="2">
        <v>44683</v>
      </c>
      <c r="B889" s="4" t="s">
        <v>9</v>
      </c>
      <c r="C889">
        <v>1890</v>
      </c>
      <c r="D889" t="s">
        <v>6</v>
      </c>
      <c r="E889" t="str">
        <f>IF(may[[#This Row],[ShiftCounter]]&gt;0, "Running", "Down")</f>
        <v>Running</v>
      </c>
    </row>
    <row r="890" spans="1:5" x14ac:dyDescent="0.25">
      <c r="A890" s="2">
        <v>44683</v>
      </c>
      <c r="B890" s="4" t="s">
        <v>9</v>
      </c>
      <c r="C890">
        <v>2284</v>
      </c>
      <c r="D890" t="s">
        <v>7</v>
      </c>
      <c r="E890" t="str">
        <f>IF(may[[#This Row],[ShiftCounter]]&gt;0, "Running", "Down")</f>
        <v>Running</v>
      </c>
    </row>
    <row r="891" spans="1:5" x14ac:dyDescent="0.25">
      <c r="A891" s="2">
        <v>44683</v>
      </c>
      <c r="B891" s="4" t="s">
        <v>9</v>
      </c>
      <c r="C891">
        <v>2009</v>
      </c>
      <c r="D891" t="s">
        <v>8</v>
      </c>
      <c r="E891" t="str">
        <f>IF(may[[#This Row],[ShiftCounter]]&gt;0, "Running", "Down")</f>
        <v>Running</v>
      </c>
    </row>
    <row r="892" spans="1:5" x14ac:dyDescent="0.25">
      <c r="A892" s="2">
        <v>44683</v>
      </c>
      <c r="B892" s="4" t="s">
        <v>10</v>
      </c>
      <c r="C892">
        <v>2649</v>
      </c>
      <c r="D892" t="s">
        <v>6</v>
      </c>
      <c r="E892" t="str">
        <f>IF(may[[#This Row],[ShiftCounter]]&gt;0, "Running", "Down")</f>
        <v>Running</v>
      </c>
    </row>
    <row r="893" spans="1:5" x14ac:dyDescent="0.25">
      <c r="A893" s="2">
        <v>44683</v>
      </c>
      <c r="B893" s="4" t="s">
        <v>10</v>
      </c>
      <c r="C893">
        <v>2418</v>
      </c>
      <c r="D893" t="s">
        <v>7</v>
      </c>
      <c r="E893" t="str">
        <f>IF(may[[#This Row],[ShiftCounter]]&gt;0, "Running", "Down")</f>
        <v>Running</v>
      </c>
    </row>
    <row r="894" spans="1:5" x14ac:dyDescent="0.25">
      <c r="A894" s="2">
        <v>44683</v>
      </c>
      <c r="B894" s="4" t="s">
        <v>10</v>
      </c>
      <c r="C894">
        <v>2186</v>
      </c>
      <c r="D894" t="s">
        <v>8</v>
      </c>
      <c r="E894" t="str">
        <f>IF(may[[#This Row],[ShiftCounter]]&gt;0, "Running", "Down")</f>
        <v>Running</v>
      </c>
    </row>
    <row r="895" spans="1:5" x14ac:dyDescent="0.25">
      <c r="A895" s="2">
        <v>44683</v>
      </c>
      <c r="B895" s="4" t="s">
        <v>11</v>
      </c>
      <c r="C895">
        <v>0</v>
      </c>
      <c r="D895" t="s">
        <v>6</v>
      </c>
      <c r="E895" t="str">
        <f>IF(may[[#This Row],[ShiftCounter]]&gt;0, "Running", "Down")</f>
        <v>Down</v>
      </c>
    </row>
    <row r="896" spans="1:5" x14ac:dyDescent="0.25">
      <c r="A896" s="2">
        <v>44683</v>
      </c>
      <c r="B896" s="4" t="s">
        <v>11</v>
      </c>
      <c r="C896">
        <v>4482</v>
      </c>
      <c r="D896" t="s">
        <v>7</v>
      </c>
      <c r="E896" t="str">
        <f>IF(may[[#This Row],[ShiftCounter]]&gt;0, "Running", "Down")</f>
        <v>Running</v>
      </c>
    </row>
    <row r="897" spans="1:5" x14ac:dyDescent="0.25">
      <c r="A897" s="2">
        <v>44683</v>
      </c>
      <c r="B897" s="4" t="s">
        <v>11</v>
      </c>
      <c r="C897">
        <v>2062</v>
      </c>
      <c r="D897" t="s">
        <v>8</v>
      </c>
      <c r="E897" t="str">
        <f>IF(may[[#This Row],[ShiftCounter]]&gt;0, "Running", "Down")</f>
        <v>Running</v>
      </c>
    </row>
    <row r="898" spans="1:5" x14ac:dyDescent="0.25">
      <c r="A898" s="2">
        <v>44683</v>
      </c>
      <c r="B898" s="4" t="s">
        <v>12</v>
      </c>
      <c r="C898">
        <v>1753</v>
      </c>
      <c r="D898" t="s">
        <v>6</v>
      </c>
      <c r="E898" t="str">
        <f>IF(may[[#This Row],[ShiftCounter]]&gt;0, "Running", "Down")</f>
        <v>Running</v>
      </c>
    </row>
    <row r="899" spans="1:5" x14ac:dyDescent="0.25">
      <c r="A899" s="2">
        <v>44683</v>
      </c>
      <c r="B899" s="4" t="s">
        <v>12</v>
      </c>
      <c r="C899">
        <v>1939</v>
      </c>
      <c r="D899" t="s">
        <v>7</v>
      </c>
      <c r="E899" t="str">
        <f>IF(may[[#This Row],[ShiftCounter]]&gt;0, "Running", "Down")</f>
        <v>Running</v>
      </c>
    </row>
    <row r="900" spans="1:5" x14ac:dyDescent="0.25">
      <c r="A900" s="2">
        <v>44683</v>
      </c>
      <c r="B900" s="4" t="s">
        <v>12</v>
      </c>
      <c r="C900">
        <v>1902</v>
      </c>
      <c r="D900" t="s">
        <v>8</v>
      </c>
      <c r="E900" t="str">
        <f>IF(may[[#This Row],[ShiftCounter]]&gt;0, "Running", "Down")</f>
        <v>Running</v>
      </c>
    </row>
    <row r="901" spans="1:5" x14ac:dyDescent="0.25">
      <c r="A901" s="2">
        <v>44683</v>
      </c>
      <c r="B901" s="4" t="s">
        <v>13</v>
      </c>
      <c r="C901">
        <v>1261</v>
      </c>
      <c r="D901" t="s">
        <v>6</v>
      </c>
      <c r="E901" t="str">
        <f>IF(may[[#This Row],[ShiftCounter]]&gt;0, "Running", "Down")</f>
        <v>Running</v>
      </c>
    </row>
    <row r="902" spans="1:5" x14ac:dyDescent="0.25">
      <c r="A902" s="2">
        <v>44683</v>
      </c>
      <c r="B902" s="4" t="s">
        <v>13</v>
      </c>
      <c r="C902">
        <v>2315</v>
      </c>
      <c r="D902" t="s">
        <v>7</v>
      </c>
      <c r="E902" t="str">
        <f>IF(may[[#This Row],[ShiftCounter]]&gt;0, "Running", "Down")</f>
        <v>Running</v>
      </c>
    </row>
    <row r="903" spans="1:5" x14ac:dyDescent="0.25">
      <c r="A903" s="2">
        <v>44683</v>
      </c>
      <c r="B903" s="4" t="s">
        <v>13</v>
      </c>
      <c r="C903">
        <v>2100</v>
      </c>
      <c r="D903" t="s">
        <v>8</v>
      </c>
      <c r="E903" t="str">
        <f>IF(may[[#This Row],[ShiftCounter]]&gt;0, "Running", "Down")</f>
        <v>Running</v>
      </c>
    </row>
    <row r="904" spans="1:5" x14ac:dyDescent="0.25">
      <c r="A904" s="2">
        <v>44683</v>
      </c>
      <c r="B904" s="4" t="s">
        <v>18</v>
      </c>
      <c r="C904">
        <v>2295</v>
      </c>
      <c r="D904" t="s">
        <v>6</v>
      </c>
      <c r="E904" t="str">
        <f>IF(may[[#This Row],[ShiftCounter]]&gt;0, "Running", "Down")</f>
        <v>Running</v>
      </c>
    </row>
    <row r="905" spans="1:5" x14ac:dyDescent="0.25">
      <c r="A905" s="2">
        <v>44683</v>
      </c>
      <c r="B905" s="4" t="s">
        <v>18</v>
      </c>
      <c r="C905">
        <v>2368</v>
      </c>
      <c r="D905" t="s">
        <v>7</v>
      </c>
      <c r="E905" t="str">
        <f>IF(may[[#This Row],[ShiftCounter]]&gt;0, "Running", "Down")</f>
        <v>Running</v>
      </c>
    </row>
    <row r="906" spans="1:5" x14ac:dyDescent="0.25">
      <c r="A906" s="2">
        <v>44683</v>
      </c>
      <c r="B906" s="4" t="s">
        <v>18</v>
      </c>
      <c r="C906">
        <v>2124</v>
      </c>
      <c r="D906" t="s">
        <v>8</v>
      </c>
      <c r="E906" t="str">
        <f>IF(may[[#This Row],[ShiftCounter]]&gt;0, "Running", "Down")</f>
        <v>Running</v>
      </c>
    </row>
    <row r="907" spans="1:5" x14ac:dyDescent="0.25">
      <c r="A907" s="2">
        <v>44683</v>
      </c>
      <c r="B907" s="4" t="s">
        <v>19</v>
      </c>
      <c r="C907">
        <v>1999</v>
      </c>
      <c r="D907" t="s">
        <v>6</v>
      </c>
      <c r="E907" t="str">
        <f>IF(may[[#This Row],[ShiftCounter]]&gt;0, "Running", "Down")</f>
        <v>Running</v>
      </c>
    </row>
    <row r="908" spans="1:5" x14ac:dyDescent="0.25">
      <c r="A908" s="2">
        <v>44683</v>
      </c>
      <c r="B908" s="4" t="s">
        <v>19</v>
      </c>
      <c r="C908">
        <v>1800</v>
      </c>
      <c r="D908" t="s">
        <v>7</v>
      </c>
      <c r="E908" t="str">
        <f>IF(may[[#This Row],[ShiftCounter]]&gt;0, "Running", "Down")</f>
        <v>Running</v>
      </c>
    </row>
    <row r="909" spans="1:5" x14ac:dyDescent="0.25">
      <c r="A909" s="2">
        <v>44683</v>
      </c>
      <c r="B909" s="4" t="s">
        <v>19</v>
      </c>
      <c r="C909">
        <v>1830</v>
      </c>
      <c r="D909" t="s">
        <v>8</v>
      </c>
      <c r="E909" t="str">
        <f>IF(may[[#This Row],[ShiftCounter]]&gt;0, "Running", "Down")</f>
        <v>Running</v>
      </c>
    </row>
    <row r="910" spans="1:5" x14ac:dyDescent="0.25">
      <c r="A910" s="2">
        <v>44683</v>
      </c>
      <c r="B910" s="4" t="s">
        <v>17</v>
      </c>
      <c r="C910">
        <v>2302</v>
      </c>
      <c r="D910" t="s">
        <v>6</v>
      </c>
      <c r="E910" t="str">
        <f>IF(may[[#This Row],[ShiftCounter]]&gt;0, "Running", "Down")</f>
        <v>Running</v>
      </c>
    </row>
    <row r="911" spans="1:5" x14ac:dyDescent="0.25">
      <c r="A911" s="2">
        <v>44683</v>
      </c>
      <c r="B911" s="4" t="s">
        <v>17</v>
      </c>
      <c r="C911">
        <v>2440</v>
      </c>
      <c r="D911" t="s">
        <v>7</v>
      </c>
      <c r="E911" t="str">
        <f>IF(may[[#This Row],[ShiftCounter]]&gt;0, "Running", "Down")</f>
        <v>Running</v>
      </c>
    </row>
    <row r="912" spans="1:5" x14ac:dyDescent="0.25">
      <c r="A912" s="2">
        <v>44683</v>
      </c>
      <c r="B912" s="4" t="s">
        <v>17</v>
      </c>
      <c r="C912">
        <v>2209</v>
      </c>
      <c r="D912" t="s">
        <v>8</v>
      </c>
      <c r="E912" t="str">
        <f>IF(may[[#This Row],[ShiftCounter]]&gt;0, "Running", "Down")</f>
        <v>Running</v>
      </c>
    </row>
    <row r="913" spans="1:5" x14ac:dyDescent="0.25">
      <c r="A913" s="2">
        <v>44683</v>
      </c>
      <c r="B913" s="4" t="s">
        <v>16</v>
      </c>
      <c r="C913">
        <v>2321</v>
      </c>
      <c r="D913" t="s">
        <v>6</v>
      </c>
      <c r="E913" t="str">
        <f>IF(may[[#This Row],[ShiftCounter]]&gt;0, "Running", "Down")</f>
        <v>Running</v>
      </c>
    </row>
    <row r="914" spans="1:5" x14ac:dyDescent="0.25">
      <c r="A914" s="2">
        <v>44683</v>
      </c>
      <c r="B914" s="4" t="s">
        <v>16</v>
      </c>
      <c r="C914">
        <v>2390</v>
      </c>
      <c r="D914" t="s">
        <v>7</v>
      </c>
      <c r="E914" t="str">
        <f>IF(may[[#This Row],[ShiftCounter]]&gt;0, "Running", "Down")</f>
        <v>Running</v>
      </c>
    </row>
    <row r="915" spans="1:5" x14ac:dyDescent="0.25">
      <c r="A915" s="2">
        <v>44683</v>
      </c>
      <c r="B915" s="4" t="s">
        <v>16</v>
      </c>
      <c r="C915">
        <v>2164</v>
      </c>
      <c r="D915" t="s">
        <v>8</v>
      </c>
      <c r="E915" t="str">
        <f>IF(may[[#This Row],[ShiftCounter]]&gt;0, "Running", "Down")</f>
        <v>Running</v>
      </c>
    </row>
    <row r="916" spans="1:5" x14ac:dyDescent="0.25">
      <c r="A916" s="2">
        <v>44683</v>
      </c>
      <c r="B916" s="4" t="s">
        <v>15</v>
      </c>
      <c r="C916">
        <v>2071</v>
      </c>
      <c r="D916" t="s">
        <v>6</v>
      </c>
      <c r="E916" t="str">
        <f>IF(may[[#This Row],[ShiftCounter]]&gt;0, "Running", "Down")</f>
        <v>Running</v>
      </c>
    </row>
    <row r="917" spans="1:5" x14ac:dyDescent="0.25">
      <c r="A917" s="2">
        <v>44683</v>
      </c>
      <c r="B917" s="4" t="s">
        <v>15</v>
      </c>
      <c r="C917">
        <v>2130</v>
      </c>
      <c r="D917" t="s">
        <v>7</v>
      </c>
      <c r="E917" t="str">
        <f>IF(may[[#This Row],[ShiftCounter]]&gt;0, "Running", "Down")</f>
        <v>Running</v>
      </c>
    </row>
    <row r="918" spans="1:5" x14ac:dyDescent="0.25">
      <c r="A918" s="2">
        <v>44683</v>
      </c>
      <c r="B918" s="4" t="s">
        <v>15</v>
      </c>
      <c r="C918">
        <v>1888</v>
      </c>
      <c r="D918" t="s">
        <v>8</v>
      </c>
      <c r="E918" t="str">
        <f>IF(may[[#This Row],[ShiftCounter]]&gt;0, "Running", "Down")</f>
        <v>Running</v>
      </c>
    </row>
    <row r="919" spans="1:5" x14ac:dyDescent="0.25">
      <c r="A919" s="2">
        <v>44683</v>
      </c>
      <c r="B919" s="4" t="s">
        <v>14</v>
      </c>
      <c r="C919">
        <v>2080</v>
      </c>
      <c r="D919" t="s">
        <v>6</v>
      </c>
      <c r="E919" t="str">
        <f>IF(may[[#This Row],[ShiftCounter]]&gt;0, "Running", "Down")</f>
        <v>Running</v>
      </c>
    </row>
    <row r="920" spans="1:5" x14ac:dyDescent="0.25">
      <c r="A920" s="2">
        <v>44683</v>
      </c>
      <c r="B920" s="4" t="s">
        <v>14</v>
      </c>
      <c r="C920">
        <v>2161</v>
      </c>
      <c r="D920" t="s">
        <v>7</v>
      </c>
      <c r="E920" t="str">
        <f>IF(may[[#This Row],[ShiftCounter]]&gt;0, "Running", "Down")</f>
        <v>Running</v>
      </c>
    </row>
    <row r="921" spans="1:5" x14ac:dyDescent="0.25">
      <c r="A921" s="2">
        <v>44683</v>
      </c>
      <c r="B921" s="4" t="s">
        <v>14</v>
      </c>
      <c r="C921">
        <v>1958</v>
      </c>
      <c r="D921" t="s">
        <v>8</v>
      </c>
      <c r="E921" t="str">
        <f>IF(may[[#This Row],[ShiftCounter]]&gt;0, "Running", "Down")</f>
        <v>Running</v>
      </c>
    </row>
    <row r="922" spans="1:5" x14ac:dyDescent="0.25">
      <c r="A922" s="2">
        <v>44682</v>
      </c>
      <c r="B922" s="4" t="s">
        <v>20</v>
      </c>
      <c r="C922">
        <v>2267</v>
      </c>
      <c r="D922" t="s">
        <v>6</v>
      </c>
      <c r="E922" t="str">
        <f>IF(may[[#This Row],[ShiftCounter]]&gt;0, "Running", "Down")</f>
        <v>Running</v>
      </c>
    </row>
    <row r="923" spans="1:5" x14ac:dyDescent="0.25">
      <c r="A923" s="2">
        <v>44682</v>
      </c>
      <c r="B923" s="4" t="s">
        <v>20</v>
      </c>
      <c r="C923">
        <v>2312</v>
      </c>
      <c r="D923" t="s">
        <v>7</v>
      </c>
      <c r="E923" t="str">
        <f>IF(may[[#This Row],[ShiftCounter]]&gt;0, "Running", "Down")</f>
        <v>Running</v>
      </c>
    </row>
    <row r="924" spans="1:5" x14ac:dyDescent="0.25">
      <c r="A924" s="2">
        <v>44682</v>
      </c>
      <c r="B924" s="4" t="s">
        <v>20</v>
      </c>
      <c r="C924">
        <v>1865</v>
      </c>
      <c r="D924" t="s">
        <v>8</v>
      </c>
      <c r="E924" t="str">
        <f>IF(may[[#This Row],[ShiftCounter]]&gt;0, "Running", "Down")</f>
        <v>Running</v>
      </c>
    </row>
    <row r="925" spans="1:5" x14ac:dyDescent="0.25">
      <c r="A925" s="2">
        <v>44682</v>
      </c>
      <c r="B925" s="4" t="s">
        <v>21</v>
      </c>
      <c r="C925">
        <v>2210</v>
      </c>
      <c r="D925" t="s">
        <v>6</v>
      </c>
      <c r="E925" t="str">
        <f>IF(may[[#This Row],[ShiftCounter]]&gt;0, "Running", "Down")</f>
        <v>Running</v>
      </c>
    </row>
    <row r="926" spans="1:5" x14ac:dyDescent="0.25">
      <c r="A926" s="2">
        <v>44682</v>
      </c>
      <c r="B926" s="4" t="s">
        <v>21</v>
      </c>
      <c r="C926">
        <v>2063</v>
      </c>
      <c r="D926" t="s">
        <v>7</v>
      </c>
      <c r="E926" t="str">
        <f>IF(may[[#This Row],[ShiftCounter]]&gt;0, "Running", "Down")</f>
        <v>Running</v>
      </c>
    </row>
    <row r="927" spans="1:5" x14ac:dyDescent="0.25">
      <c r="A927" s="2">
        <v>44682</v>
      </c>
      <c r="B927" s="4" t="s">
        <v>21</v>
      </c>
      <c r="C927">
        <v>1756</v>
      </c>
      <c r="D927" t="s">
        <v>8</v>
      </c>
      <c r="E927" t="str">
        <f>IF(may[[#This Row],[ShiftCounter]]&gt;0, "Running", "Down")</f>
        <v>Running</v>
      </c>
    </row>
    <row r="928" spans="1:5" x14ac:dyDescent="0.25">
      <c r="A928" s="2">
        <v>44682</v>
      </c>
      <c r="B928" s="4" t="s">
        <v>22</v>
      </c>
      <c r="C928">
        <v>2273</v>
      </c>
      <c r="D928" t="s">
        <v>6</v>
      </c>
      <c r="E928" t="str">
        <f>IF(may[[#This Row],[ShiftCounter]]&gt;0, "Running", "Down")</f>
        <v>Running</v>
      </c>
    </row>
    <row r="929" spans="1:5" x14ac:dyDescent="0.25">
      <c r="A929" s="2">
        <v>44682</v>
      </c>
      <c r="B929" s="4" t="s">
        <v>22</v>
      </c>
      <c r="C929">
        <v>2059</v>
      </c>
      <c r="D929" t="s">
        <v>7</v>
      </c>
      <c r="E929" t="str">
        <f>IF(may[[#This Row],[ShiftCounter]]&gt;0, "Running", "Down")</f>
        <v>Running</v>
      </c>
    </row>
    <row r="930" spans="1:5" x14ac:dyDescent="0.25">
      <c r="A930" s="2">
        <v>44682</v>
      </c>
      <c r="B930" s="4" t="s">
        <v>22</v>
      </c>
      <c r="C930">
        <v>1917</v>
      </c>
      <c r="D930" t="s">
        <v>8</v>
      </c>
      <c r="E930" t="str">
        <f>IF(may[[#This Row],[ShiftCounter]]&gt;0, "Running", "Down")</f>
        <v>Running</v>
      </c>
    </row>
    <row r="931" spans="1:5" x14ac:dyDescent="0.25">
      <c r="A931" s="2">
        <v>44682</v>
      </c>
      <c r="B931" s="4" t="s">
        <v>23</v>
      </c>
      <c r="C931">
        <v>2408</v>
      </c>
      <c r="D931" t="s">
        <v>6</v>
      </c>
      <c r="E931" t="str">
        <f>IF(may[[#This Row],[ShiftCounter]]&gt;0, "Running", "Down")</f>
        <v>Running</v>
      </c>
    </row>
    <row r="932" spans="1:5" x14ac:dyDescent="0.25">
      <c r="A932" s="2">
        <v>44682</v>
      </c>
      <c r="B932" s="4" t="s">
        <v>23</v>
      </c>
      <c r="C932">
        <v>2390</v>
      </c>
      <c r="D932" t="s">
        <v>7</v>
      </c>
      <c r="E932" t="str">
        <f>IF(may[[#This Row],[ShiftCounter]]&gt;0, "Running", "Down")</f>
        <v>Running</v>
      </c>
    </row>
    <row r="933" spans="1:5" x14ac:dyDescent="0.25">
      <c r="A933" s="2">
        <v>44682</v>
      </c>
      <c r="B933" s="4" t="s">
        <v>23</v>
      </c>
      <c r="C933">
        <v>2052</v>
      </c>
      <c r="D933" t="s">
        <v>8</v>
      </c>
      <c r="E933" t="str">
        <f>IF(may[[#This Row],[ShiftCounter]]&gt;0, "Running", "Down")</f>
        <v>Running</v>
      </c>
    </row>
    <row r="934" spans="1:5" x14ac:dyDescent="0.25">
      <c r="A934" s="2">
        <v>44682</v>
      </c>
      <c r="B934" s="4" t="s">
        <v>25</v>
      </c>
      <c r="C934">
        <v>2322</v>
      </c>
      <c r="D934" t="s">
        <v>6</v>
      </c>
      <c r="E934" t="str">
        <f>IF(may[[#This Row],[ShiftCounter]]&gt;0, "Running", "Down")</f>
        <v>Running</v>
      </c>
    </row>
    <row r="935" spans="1:5" x14ac:dyDescent="0.25">
      <c r="A935" s="2">
        <v>44682</v>
      </c>
      <c r="B935" s="4" t="s">
        <v>25</v>
      </c>
      <c r="C935">
        <v>2181</v>
      </c>
      <c r="D935" t="s">
        <v>7</v>
      </c>
      <c r="E935" t="str">
        <f>IF(may[[#This Row],[ShiftCounter]]&gt;0, "Running", "Down")</f>
        <v>Running</v>
      </c>
    </row>
    <row r="936" spans="1:5" x14ac:dyDescent="0.25">
      <c r="A936" s="2">
        <v>44682</v>
      </c>
      <c r="B936" s="4" t="s">
        <v>25</v>
      </c>
      <c r="C936">
        <v>1994</v>
      </c>
      <c r="D936" t="s">
        <v>8</v>
      </c>
      <c r="E936" t="str">
        <f>IF(may[[#This Row],[ShiftCounter]]&gt;0, "Running", "Down")</f>
        <v>Running</v>
      </c>
    </row>
    <row r="937" spans="1:5" x14ac:dyDescent="0.25">
      <c r="A937" s="2">
        <v>44682</v>
      </c>
      <c r="B937" s="4" t="s">
        <v>24</v>
      </c>
      <c r="C937">
        <v>2142</v>
      </c>
      <c r="D937" t="s">
        <v>6</v>
      </c>
      <c r="E937" t="str">
        <f>IF(may[[#This Row],[ShiftCounter]]&gt;0, "Running", "Down")</f>
        <v>Running</v>
      </c>
    </row>
    <row r="938" spans="1:5" x14ac:dyDescent="0.25">
      <c r="A938" s="2">
        <v>44682</v>
      </c>
      <c r="B938" s="4" t="s">
        <v>24</v>
      </c>
      <c r="C938">
        <v>2077</v>
      </c>
      <c r="D938" t="s">
        <v>7</v>
      </c>
      <c r="E938" t="str">
        <f>IF(may[[#This Row],[ShiftCounter]]&gt;0, "Running", "Down")</f>
        <v>Running</v>
      </c>
    </row>
    <row r="939" spans="1:5" x14ac:dyDescent="0.25">
      <c r="A939" s="2">
        <v>44682</v>
      </c>
      <c r="B939" s="4" t="s">
        <v>24</v>
      </c>
      <c r="C939">
        <v>1839</v>
      </c>
      <c r="D939" t="s">
        <v>8</v>
      </c>
      <c r="E939" t="str">
        <f>IF(may[[#This Row],[ShiftCounter]]&gt;0, "Running", "Down")</f>
        <v>Running</v>
      </c>
    </row>
    <row r="940" spans="1:5" x14ac:dyDescent="0.25">
      <c r="A940" s="2">
        <v>44682</v>
      </c>
      <c r="B940" s="4" t="s">
        <v>26</v>
      </c>
      <c r="C940">
        <v>2220</v>
      </c>
      <c r="D940" t="s">
        <v>6</v>
      </c>
      <c r="E940" t="str">
        <f>IF(may[[#This Row],[ShiftCounter]]&gt;0, "Running", "Down")</f>
        <v>Running</v>
      </c>
    </row>
    <row r="941" spans="1:5" x14ac:dyDescent="0.25">
      <c r="A941" s="2">
        <v>44682</v>
      </c>
      <c r="B941" s="4" t="s">
        <v>26</v>
      </c>
      <c r="C941">
        <v>2064</v>
      </c>
      <c r="D941" t="s">
        <v>7</v>
      </c>
      <c r="E941" t="str">
        <f>IF(may[[#This Row],[ShiftCounter]]&gt;0, "Running", "Down")</f>
        <v>Running</v>
      </c>
    </row>
    <row r="942" spans="1:5" x14ac:dyDescent="0.25">
      <c r="A942" s="2">
        <v>44682</v>
      </c>
      <c r="B942" s="4" t="s">
        <v>26</v>
      </c>
      <c r="C942">
        <v>1887</v>
      </c>
      <c r="D942" t="s">
        <v>8</v>
      </c>
      <c r="E942" t="str">
        <f>IF(may[[#This Row],[ShiftCounter]]&gt;0, "Running", "Down")</f>
        <v>Running</v>
      </c>
    </row>
    <row r="943" spans="1:5" x14ac:dyDescent="0.25">
      <c r="A943" s="2">
        <v>44682</v>
      </c>
      <c r="B943" s="4" t="s">
        <v>27</v>
      </c>
      <c r="C943">
        <v>2210</v>
      </c>
      <c r="D943" t="s">
        <v>6</v>
      </c>
      <c r="E943" t="str">
        <f>IF(may[[#This Row],[ShiftCounter]]&gt;0, "Running", "Down")</f>
        <v>Running</v>
      </c>
    </row>
    <row r="944" spans="1:5" x14ac:dyDescent="0.25">
      <c r="A944" s="2">
        <v>44682</v>
      </c>
      <c r="B944" s="4" t="s">
        <v>27</v>
      </c>
      <c r="C944">
        <v>1406</v>
      </c>
      <c r="D944" t="s">
        <v>7</v>
      </c>
      <c r="E944" t="str">
        <f>IF(may[[#This Row],[ShiftCounter]]&gt;0, "Running", "Down")</f>
        <v>Running</v>
      </c>
    </row>
    <row r="945" spans="1:5" x14ac:dyDescent="0.25">
      <c r="A945" s="2">
        <v>44682</v>
      </c>
      <c r="B945" s="4" t="s">
        <v>27</v>
      </c>
      <c r="C945">
        <v>1874</v>
      </c>
      <c r="D945" t="s">
        <v>8</v>
      </c>
      <c r="E945" t="str">
        <f>IF(may[[#This Row],[ShiftCounter]]&gt;0, "Running", "Down")</f>
        <v>Running</v>
      </c>
    </row>
    <row r="946" spans="1:5" x14ac:dyDescent="0.25">
      <c r="A946" s="2">
        <v>44682</v>
      </c>
      <c r="B946" s="4" t="s">
        <v>28</v>
      </c>
      <c r="C946">
        <v>2261</v>
      </c>
      <c r="D946" t="s">
        <v>6</v>
      </c>
      <c r="E946" t="str">
        <f>IF(may[[#This Row],[ShiftCounter]]&gt;0, "Running", "Down")</f>
        <v>Running</v>
      </c>
    </row>
    <row r="947" spans="1:5" x14ac:dyDescent="0.25">
      <c r="A947" s="2">
        <v>44682</v>
      </c>
      <c r="B947" s="4" t="s">
        <v>28</v>
      </c>
      <c r="C947">
        <v>2129</v>
      </c>
      <c r="D947" t="s">
        <v>7</v>
      </c>
      <c r="E947" t="str">
        <f>IF(may[[#This Row],[ShiftCounter]]&gt;0, "Running", "Down")</f>
        <v>Running</v>
      </c>
    </row>
    <row r="948" spans="1:5" x14ac:dyDescent="0.25">
      <c r="A948" s="2">
        <v>44682</v>
      </c>
      <c r="B948" s="4" t="s">
        <v>28</v>
      </c>
      <c r="C948">
        <v>2005</v>
      </c>
      <c r="D948" t="s">
        <v>8</v>
      </c>
      <c r="E948" t="str">
        <f>IF(may[[#This Row],[ShiftCounter]]&gt;0, "Running", "Down")</f>
        <v>Running</v>
      </c>
    </row>
    <row r="949" spans="1:5" x14ac:dyDescent="0.25">
      <c r="A949" s="2">
        <v>44682</v>
      </c>
      <c r="B949" s="4" t="s">
        <v>29</v>
      </c>
      <c r="C949">
        <v>2027</v>
      </c>
      <c r="D949" t="s">
        <v>6</v>
      </c>
      <c r="E949" t="str">
        <f>IF(may[[#This Row],[ShiftCounter]]&gt;0, "Running", "Down")</f>
        <v>Running</v>
      </c>
    </row>
    <row r="950" spans="1:5" x14ac:dyDescent="0.25">
      <c r="A950" s="2">
        <v>44682</v>
      </c>
      <c r="B950" s="4" t="s">
        <v>29</v>
      </c>
      <c r="C950">
        <v>1702</v>
      </c>
      <c r="D950" t="s">
        <v>7</v>
      </c>
      <c r="E950" t="str">
        <f>IF(may[[#This Row],[ShiftCounter]]&gt;0, "Running", "Down")</f>
        <v>Running</v>
      </c>
    </row>
    <row r="951" spans="1:5" x14ac:dyDescent="0.25">
      <c r="A951" s="2">
        <v>44682</v>
      </c>
      <c r="B951" s="4" t="s">
        <v>29</v>
      </c>
      <c r="C951">
        <v>1750</v>
      </c>
      <c r="D951" t="s">
        <v>8</v>
      </c>
      <c r="E951" t="str">
        <f>IF(may[[#This Row],[ShiftCounter]]&gt;0, "Running", "Down")</f>
        <v>Running</v>
      </c>
    </row>
    <row r="952" spans="1:5" x14ac:dyDescent="0.25">
      <c r="A952" s="2">
        <v>44682</v>
      </c>
      <c r="B952" s="4" t="s">
        <v>30</v>
      </c>
      <c r="C952">
        <v>1973</v>
      </c>
      <c r="D952" t="s">
        <v>6</v>
      </c>
      <c r="E952" t="str">
        <f>IF(may[[#This Row],[ShiftCounter]]&gt;0, "Running", "Down")</f>
        <v>Running</v>
      </c>
    </row>
    <row r="953" spans="1:5" x14ac:dyDescent="0.25">
      <c r="A953" s="2">
        <v>44682</v>
      </c>
      <c r="B953" s="4" t="s">
        <v>30</v>
      </c>
      <c r="C953">
        <v>2146</v>
      </c>
      <c r="D953" t="s">
        <v>7</v>
      </c>
      <c r="E953" t="str">
        <f>IF(may[[#This Row],[ShiftCounter]]&gt;0, "Running", "Down")</f>
        <v>Running</v>
      </c>
    </row>
    <row r="954" spans="1:5" x14ac:dyDescent="0.25">
      <c r="A954" s="2">
        <v>44682</v>
      </c>
      <c r="B954" s="4" t="s">
        <v>30</v>
      </c>
      <c r="C954">
        <v>1931</v>
      </c>
      <c r="D954" t="s">
        <v>8</v>
      </c>
      <c r="E954" t="str">
        <f>IF(may[[#This Row],[ShiftCounter]]&gt;0, "Running", "Down")</f>
        <v>Running</v>
      </c>
    </row>
    <row r="955" spans="1:5" x14ac:dyDescent="0.25">
      <c r="A955" s="2">
        <v>44682</v>
      </c>
      <c r="B955" s="4" t="s">
        <v>31</v>
      </c>
      <c r="C955">
        <v>2316</v>
      </c>
      <c r="D955" t="s">
        <v>6</v>
      </c>
      <c r="E955" t="str">
        <f>IF(may[[#This Row],[ShiftCounter]]&gt;0, "Running", "Down")</f>
        <v>Running</v>
      </c>
    </row>
    <row r="956" spans="1:5" x14ac:dyDescent="0.25">
      <c r="A956" s="2">
        <v>44682</v>
      </c>
      <c r="B956" s="4" t="s">
        <v>31</v>
      </c>
      <c r="C956">
        <v>1982</v>
      </c>
      <c r="D956" t="s">
        <v>7</v>
      </c>
      <c r="E956" t="str">
        <f>IF(may[[#This Row],[ShiftCounter]]&gt;0, "Running", "Down")</f>
        <v>Running</v>
      </c>
    </row>
    <row r="957" spans="1:5" x14ac:dyDescent="0.25">
      <c r="A957" s="2">
        <v>44682</v>
      </c>
      <c r="B957" s="4" t="s">
        <v>31</v>
      </c>
      <c r="C957">
        <v>2029</v>
      </c>
      <c r="D957" t="s">
        <v>8</v>
      </c>
      <c r="E957" t="str">
        <f>IF(may[[#This Row],[ShiftCounter]]&gt;0, "Running", "Down")</f>
        <v>Running</v>
      </c>
    </row>
    <row r="958" spans="1:5" x14ac:dyDescent="0.25">
      <c r="A958" s="2">
        <v>44682</v>
      </c>
      <c r="B958" s="4" t="s">
        <v>32</v>
      </c>
      <c r="C958">
        <v>2539</v>
      </c>
      <c r="D958" t="s">
        <v>6</v>
      </c>
      <c r="E958" t="str">
        <f>IF(may[[#This Row],[ShiftCounter]]&gt;0, "Running", "Down")</f>
        <v>Running</v>
      </c>
    </row>
    <row r="959" spans="1:5" x14ac:dyDescent="0.25">
      <c r="A959" s="2">
        <v>44682</v>
      </c>
      <c r="B959" s="4" t="s">
        <v>32</v>
      </c>
      <c r="C959">
        <v>2253</v>
      </c>
      <c r="D959" t="s">
        <v>7</v>
      </c>
      <c r="E959" t="str">
        <f>IF(may[[#This Row],[ShiftCounter]]&gt;0, "Running", "Down")</f>
        <v>Running</v>
      </c>
    </row>
    <row r="960" spans="1:5" x14ac:dyDescent="0.25">
      <c r="A960" s="2">
        <v>44682</v>
      </c>
      <c r="B960" s="4" t="s">
        <v>32</v>
      </c>
      <c r="C960">
        <v>2123</v>
      </c>
      <c r="D960" t="s">
        <v>8</v>
      </c>
      <c r="E960" t="str">
        <f>IF(may[[#This Row],[ShiftCounter]]&gt;0, "Running", "Down")</f>
        <v>Running</v>
      </c>
    </row>
    <row r="961" spans="1:5" x14ac:dyDescent="0.25">
      <c r="A961" s="2">
        <v>44682</v>
      </c>
      <c r="B961" s="4" t="s">
        <v>33</v>
      </c>
      <c r="C961">
        <v>2264</v>
      </c>
      <c r="D961" t="s">
        <v>6</v>
      </c>
      <c r="E961" t="str">
        <f>IF(may[[#This Row],[ShiftCounter]]&gt;0, "Running", "Down")</f>
        <v>Running</v>
      </c>
    </row>
    <row r="962" spans="1:5" x14ac:dyDescent="0.25">
      <c r="A962" s="2">
        <v>44682</v>
      </c>
      <c r="B962" s="4" t="s">
        <v>33</v>
      </c>
      <c r="C962">
        <v>2266</v>
      </c>
      <c r="D962" t="s">
        <v>7</v>
      </c>
      <c r="E962" t="str">
        <f>IF(may[[#This Row],[ShiftCounter]]&gt;0, "Running", "Down")</f>
        <v>Running</v>
      </c>
    </row>
    <row r="963" spans="1:5" x14ac:dyDescent="0.25">
      <c r="A963" s="2">
        <v>44682</v>
      </c>
      <c r="B963" s="4" t="s">
        <v>33</v>
      </c>
      <c r="C963">
        <v>2262</v>
      </c>
      <c r="D963" t="s">
        <v>8</v>
      </c>
      <c r="E963" t="str">
        <f>IF(may[[#This Row],[ShiftCounter]]&gt;0, "Running", "Down")</f>
        <v>Running</v>
      </c>
    </row>
    <row r="964" spans="1:5" x14ac:dyDescent="0.25">
      <c r="A964" s="2">
        <v>44682</v>
      </c>
      <c r="B964" s="4" t="s">
        <v>34</v>
      </c>
      <c r="C964">
        <v>2042</v>
      </c>
      <c r="D964" t="s">
        <v>6</v>
      </c>
      <c r="E964" t="str">
        <f>IF(may[[#This Row],[ShiftCounter]]&gt;0, "Running", "Down")</f>
        <v>Running</v>
      </c>
    </row>
    <row r="965" spans="1:5" x14ac:dyDescent="0.25">
      <c r="A965" s="2">
        <v>44682</v>
      </c>
      <c r="B965" s="4" t="s">
        <v>34</v>
      </c>
      <c r="C965">
        <v>1855</v>
      </c>
      <c r="D965" t="s">
        <v>7</v>
      </c>
      <c r="E965" t="str">
        <f>IF(may[[#This Row],[ShiftCounter]]&gt;0, "Running", "Down")</f>
        <v>Running</v>
      </c>
    </row>
    <row r="966" spans="1:5" x14ac:dyDescent="0.25">
      <c r="A966" s="2">
        <v>44682</v>
      </c>
      <c r="B966" s="4" t="s">
        <v>34</v>
      </c>
      <c r="C966">
        <v>1888</v>
      </c>
      <c r="D966" t="s">
        <v>8</v>
      </c>
      <c r="E966" t="str">
        <f>IF(may[[#This Row],[ShiftCounter]]&gt;0, "Running", "Down")</f>
        <v>Running</v>
      </c>
    </row>
    <row r="967" spans="1:5" x14ac:dyDescent="0.25">
      <c r="A967" s="2">
        <v>44682</v>
      </c>
      <c r="B967" s="4" t="s">
        <v>35</v>
      </c>
      <c r="C967">
        <v>2301</v>
      </c>
      <c r="D967" t="s">
        <v>6</v>
      </c>
      <c r="E967" t="str">
        <f>IF(may[[#This Row],[ShiftCounter]]&gt;0, "Running", "Down")</f>
        <v>Running</v>
      </c>
    </row>
    <row r="968" spans="1:5" x14ac:dyDescent="0.25">
      <c r="A968" s="2">
        <v>44682</v>
      </c>
      <c r="B968" s="4" t="s">
        <v>35</v>
      </c>
      <c r="C968">
        <v>2184</v>
      </c>
      <c r="D968" t="s">
        <v>7</v>
      </c>
      <c r="E968" t="str">
        <f>IF(may[[#This Row],[ShiftCounter]]&gt;0, "Running", "Down")</f>
        <v>Running</v>
      </c>
    </row>
    <row r="969" spans="1:5" x14ac:dyDescent="0.25">
      <c r="A969" s="2">
        <v>44682</v>
      </c>
      <c r="B969" s="4" t="s">
        <v>35</v>
      </c>
      <c r="C969">
        <v>1975</v>
      </c>
      <c r="D969" t="s">
        <v>8</v>
      </c>
      <c r="E969" t="str">
        <f>IF(may[[#This Row],[ShiftCounter]]&gt;0, "Running", "Down")</f>
        <v>Running</v>
      </c>
    </row>
    <row r="970" spans="1:5" x14ac:dyDescent="0.25">
      <c r="A970" s="2">
        <v>44682</v>
      </c>
      <c r="B970" s="4" t="s">
        <v>36</v>
      </c>
      <c r="C970">
        <v>2392</v>
      </c>
      <c r="D970" t="s">
        <v>6</v>
      </c>
      <c r="E970" t="str">
        <f>IF(may[[#This Row],[ShiftCounter]]&gt;0, "Running", "Down")</f>
        <v>Running</v>
      </c>
    </row>
    <row r="971" spans="1:5" x14ac:dyDescent="0.25">
      <c r="A971" s="2">
        <v>44682</v>
      </c>
      <c r="B971" s="4" t="s">
        <v>36</v>
      </c>
      <c r="C971">
        <v>2426</v>
      </c>
      <c r="D971" t="s">
        <v>7</v>
      </c>
      <c r="E971" t="str">
        <f>IF(may[[#This Row],[ShiftCounter]]&gt;0, "Running", "Down")</f>
        <v>Running</v>
      </c>
    </row>
    <row r="972" spans="1:5" x14ac:dyDescent="0.25">
      <c r="A972" s="2">
        <v>44682</v>
      </c>
      <c r="B972" s="4" t="s">
        <v>36</v>
      </c>
      <c r="C972">
        <v>2183</v>
      </c>
      <c r="D972" t="s">
        <v>8</v>
      </c>
      <c r="E972" t="str">
        <f>IF(may[[#This Row],[ShiftCounter]]&gt;0, "Running", "Down")</f>
        <v>Running</v>
      </c>
    </row>
    <row r="973" spans="1:5" x14ac:dyDescent="0.25">
      <c r="A973" s="2">
        <v>44682</v>
      </c>
      <c r="B973" s="4" t="s">
        <v>37</v>
      </c>
      <c r="C973">
        <v>2471</v>
      </c>
      <c r="D973" t="s">
        <v>6</v>
      </c>
      <c r="E973" t="str">
        <f>IF(may[[#This Row],[ShiftCounter]]&gt;0, "Running", "Down")</f>
        <v>Running</v>
      </c>
    </row>
    <row r="974" spans="1:5" x14ac:dyDescent="0.25">
      <c r="A974" s="2">
        <v>44682</v>
      </c>
      <c r="B974" s="4" t="s">
        <v>37</v>
      </c>
      <c r="C974">
        <v>2032</v>
      </c>
      <c r="D974" t="s">
        <v>7</v>
      </c>
      <c r="E974" t="str">
        <f>IF(may[[#This Row],[ShiftCounter]]&gt;0, "Running", "Down")</f>
        <v>Running</v>
      </c>
    </row>
    <row r="975" spans="1:5" x14ac:dyDescent="0.25">
      <c r="A975" s="2">
        <v>44682</v>
      </c>
      <c r="B975" s="4" t="s">
        <v>37</v>
      </c>
      <c r="C975">
        <v>2180</v>
      </c>
      <c r="D975" t="s">
        <v>8</v>
      </c>
      <c r="E975" t="str">
        <f>IF(may[[#This Row],[ShiftCounter]]&gt;0, "Running", "Down")</f>
        <v>Running</v>
      </c>
    </row>
    <row r="976" spans="1:5" x14ac:dyDescent="0.25">
      <c r="A976" s="2">
        <v>44682</v>
      </c>
      <c r="B976" s="4" t="s">
        <v>40</v>
      </c>
      <c r="C976">
        <v>2445</v>
      </c>
      <c r="D976" t="s">
        <v>6</v>
      </c>
      <c r="E976" t="str">
        <f>IF(may[[#This Row],[ShiftCounter]]&gt;0, "Running", "Down")</f>
        <v>Running</v>
      </c>
    </row>
    <row r="977" spans="1:5" x14ac:dyDescent="0.25">
      <c r="A977" s="2">
        <v>44682</v>
      </c>
      <c r="B977" s="4" t="s">
        <v>40</v>
      </c>
      <c r="C977">
        <v>2255</v>
      </c>
      <c r="D977" t="s">
        <v>7</v>
      </c>
      <c r="E977" t="str">
        <f>IF(may[[#This Row],[ShiftCounter]]&gt;0, "Running", "Down")</f>
        <v>Running</v>
      </c>
    </row>
    <row r="978" spans="1:5" x14ac:dyDescent="0.25">
      <c r="A978" s="2">
        <v>44682</v>
      </c>
      <c r="B978" s="4" t="s">
        <v>40</v>
      </c>
      <c r="C978">
        <v>1977</v>
      </c>
      <c r="D978" t="s">
        <v>8</v>
      </c>
      <c r="E978" t="str">
        <f>IF(may[[#This Row],[ShiftCounter]]&gt;0, "Running", "Down")</f>
        <v>Running</v>
      </c>
    </row>
    <row r="979" spans="1:5" x14ac:dyDescent="0.25">
      <c r="A979" s="2">
        <v>44682</v>
      </c>
      <c r="B979" s="4" t="s">
        <v>39</v>
      </c>
      <c r="C979">
        <v>2209</v>
      </c>
      <c r="D979" t="s">
        <v>6</v>
      </c>
      <c r="E979" t="str">
        <f>IF(may[[#This Row],[ShiftCounter]]&gt;0, "Running", "Down")</f>
        <v>Running</v>
      </c>
    </row>
    <row r="980" spans="1:5" x14ac:dyDescent="0.25">
      <c r="A980" s="2">
        <v>44682</v>
      </c>
      <c r="B980" s="4" t="s">
        <v>39</v>
      </c>
      <c r="C980">
        <v>2065</v>
      </c>
      <c r="D980" t="s">
        <v>7</v>
      </c>
      <c r="E980" t="str">
        <f>IF(may[[#This Row],[ShiftCounter]]&gt;0, "Running", "Down")</f>
        <v>Running</v>
      </c>
    </row>
    <row r="981" spans="1:5" x14ac:dyDescent="0.25">
      <c r="A981" s="2">
        <v>44682</v>
      </c>
      <c r="B981" s="4" t="s">
        <v>39</v>
      </c>
      <c r="C981">
        <v>1786</v>
      </c>
      <c r="D981" t="s">
        <v>8</v>
      </c>
      <c r="E981" t="str">
        <f>IF(may[[#This Row],[ShiftCounter]]&gt;0, "Running", "Down")</f>
        <v>Running</v>
      </c>
    </row>
    <row r="982" spans="1:5" x14ac:dyDescent="0.25">
      <c r="A982" s="2">
        <v>44682</v>
      </c>
      <c r="B982" s="4" t="s">
        <v>41</v>
      </c>
      <c r="C982">
        <v>2002</v>
      </c>
      <c r="D982" t="s">
        <v>6</v>
      </c>
      <c r="E982" t="str">
        <f>IF(may[[#This Row],[ShiftCounter]]&gt;0, "Running", "Down")</f>
        <v>Running</v>
      </c>
    </row>
    <row r="983" spans="1:5" x14ac:dyDescent="0.25">
      <c r="A983" s="2">
        <v>44682</v>
      </c>
      <c r="B983" s="4" t="s">
        <v>41</v>
      </c>
      <c r="C983">
        <v>2335</v>
      </c>
      <c r="D983" t="s">
        <v>7</v>
      </c>
      <c r="E983" t="str">
        <f>IF(may[[#This Row],[ShiftCounter]]&gt;0, "Running", "Down")</f>
        <v>Running</v>
      </c>
    </row>
    <row r="984" spans="1:5" x14ac:dyDescent="0.25">
      <c r="A984" s="2">
        <v>44682</v>
      </c>
      <c r="B984" s="4" t="s">
        <v>41</v>
      </c>
      <c r="C984">
        <v>2079</v>
      </c>
      <c r="D984" t="s">
        <v>8</v>
      </c>
      <c r="E984" t="str">
        <f>IF(may[[#This Row],[ShiftCounter]]&gt;0, "Running", "Down")</f>
        <v>Running</v>
      </c>
    </row>
    <row r="985" spans="1:5" x14ac:dyDescent="0.25">
      <c r="A985" s="2">
        <v>44682</v>
      </c>
      <c r="B985" s="4" t="s">
        <v>43</v>
      </c>
      <c r="C985">
        <v>2312</v>
      </c>
      <c r="D985" t="s">
        <v>6</v>
      </c>
      <c r="E985" t="str">
        <f>IF(may[[#This Row],[ShiftCounter]]&gt;0, "Running", "Down")</f>
        <v>Running</v>
      </c>
    </row>
    <row r="986" spans="1:5" x14ac:dyDescent="0.25">
      <c r="A986" s="2">
        <v>44682</v>
      </c>
      <c r="B986" s="4" t="s">
        <v>43</v>
      </c>
      <c r="C986">
        <v>2165</v>
      </c>
      <c r="D986" t="s">
        <v>7</v>
      </c>
      <c r="E986" t="str">
        <f>IF(may[[#This Row],[ShiftCounter]]&gt;0, "Running", "Down")</f>
        <v>Running</v>
      </c>
    </row>
    <row r="987" spans="1:5" x14ac:dyDescent="0.25">
      <c r="A987" s="2">
        <v>44682</v>
      </c>
      <c r="B987" s="4" t="s">
        <v>43</v>
      </c>
      <c r="C987">
        <v>1868</v>
      </c>
      <c r="D987" t="s">
        <v>8</v>
      </c>
      <c r="E987" t="str">
        <f>IF(may[[#This Row],[ShiftCounter]]&gt;0, "Running", "Down")</f>
        <v>Running</v>
      </c>
    </row>
    <row r="988" spans="1:5" x14ac:dyDescent="0.25">
      <c r="A988" s="2">
        <v>44682</v>
      </c>
      <c r="B988" s="4" t="s">
        <v>5</v>
      </c>
      <c r="C988">
        <v>2539</v>
      </c>
      <c r="D988" t="s">
        <v>6</v>
      </c>
      <c r="E988" t="str">
        <f>IF(may[[#This Row],[ShiftCounter]]&gt;0, "Running", "Down")</f>
        <v>Running</v>
      </c>
    </row>
    <row r="989" spans="1:5" x14ac:dyDescent="0.25">
      <c r="A989" s="2">
        <v>44682</v>
      </c>
      <c r="B989" s="4" t="s">
        <v>5</v>
      </c>
      <c r="C989">
        <v>2338</v>
      </c>
      <c r="D989" t="s">
        <v>7</v>
      </c>
      <c r="E989" t="str">
        <f>IF(may[[#This Row],[ShiftCounter]]&gt;0, "Running", "Down")</f>
        <v>Running</v>
      </c>
    </row>
    <row r="990" spans="1:5" x14ac:dyDescent="0.25">
      <c r="A990" s="2">
        <v>44682</v>
      </c>
      <c r="B990" s="4" t="s">
        <v>5</v>
      </c>
      <c r="C990">
        <v>2057</v>
      </c>
      <c r="D990" t="s">
        <v>8</v>
      </c>
      <c r="E990" t="str">
        <f>IF(may[[#This Row],[ShiftCounter]]&gt;0, "Running", "Down")</f>
        <v>Running</v>
      </c>
    </row>
    <row r="991" spans="1:5" x14ac:dyDescent="0.25">
      <c r="A991" s="2">
        <v>44682</v>
      </c>
      <c r="B991" s="4" t="s">
        <v>9</v>
      </c>
      <c r="C991">
        <v>2126</v>
      </c>
      <c r="D991" t="s">
        <v>6</v>
      </c>
      <c r="E991" t="str">
        <f>IF(may[[#This Row],[ShiftCounter]]&gt;0, "Running", "Down")</f>
        <v>Running</v>
      </c>
    </row>
    <row r="992" spans="1:5" x14ac:dyDescent="0.25">
      <c r="A992" s="2">
        <v>44682</v>
      </c>
      <c r="B992" s="4" t="s">
        <v>9</v>
      </c>
      <c r="C992">
        <v>2267</v>
      </c>
      <c r="D992" t="s">
        <v>7</v>
      </c>
      <c r="E992" t="str">
        <f>IF(may[[#This Row],[ShiftCounter]]&gt;0, "Running", "Down")</f>
        <v>Running</v>
      </c>
    </row>
    <row r="993" spans="1:5" x14ac:dyDescent="0.25">
      <c r="A993" s="2">
        <v>44682</v>
      </c>
      <c r="B993" s="4" t="s">
        <v>9</v>
      </c>
      <c r="C993">
        <v>2008</v>
      </c>
      <c r="D993" t="s">
        <v>8</v>
      </c>
      <c r="E993" t="str">
        <f>IF(may[[#This Row],[ShiftCounter]]&gt;0, "Running", "Down")</f>
        <v>Running</v>
      </c>
    </row>
    <row r="994" spans="1:5" x14ac:dyDescent="0.25">
      <c r="A994" s="2">
        <v>44682</v>
      </c>
      <c r="B994" s="4" t="s">
        <v>10</v>
      </c>
      <c r="C994">
        <v>2657</v>
      </c>
      <c r="D994" t="s">
        <v>6</v>
      </c>
      <c r="E994" t="str">
        <f>IF(may[[#This Row],[ShiftCounter]]&gt;0, "Running", "Down")</f>
        <v>Running</v>
      </c>
    </row>
    <row r="995" spans="1:5" x14ac:dyDescent="0.25">
      <c r="A995" s="2">
        <v>44682</v>
      </c>
      <c r="B995" s="4" t="s">
        <v>10</v>
      </c>
      <c r="C995">
        <v>2452</v>
      </c>
      <c r="D995" t="s">
        <v>7</v>
      </c>
      <c r="E995" t="str">
        <f>IF(may[[#This Row],[ShiftCounter]]&gt;0, "Running", "Down")</f>
        <v>Running</v>
      </c>
    </row>
    <row r="996" spans="1:5" x14ac:dyDescent="0.25">
      <c r="A996" s="2">
        <v>44682</v>
      </c>
      <c r="B996" s="4" t="s">
        <v>10</v>
      </c>
      <c r="C996">
        <v>2103</v>
      </c>
      <c r="D996" t="s">
        <v>8</v>
      </c>
      <c r="E996" t="str">
        <f>IF(may[[#This Row],[ShiftCounter]]&gt;0, "Running", "Down")</f>
        <v>Running</v>
      </c>
    </row>
    <row r="997" spans="1:5" x14ac:dyDescent="0.25">
      <c r="A997" s="2">
        <v>44682</v>
      </c>
      <c r="B997" s="4" t="s">
        <v>12</v>
      </c>
      <c r="C997">
        <v>2293</v>
      </c>
      <c r="D997" t="s">
        <v>6</v>
      </c>
      <c r="E997" t="str">
        <f>IF(may[[#This Row],[ShiftCounter]]&gt;0, "Running", "Down")</f>
        <v>Running</v>
      </c>
    </row>
    <row r="998" spans="1:5" x14ac:dyDescent="0.25">
      <c r="A998" s="2">
        <v>44682</v>
      </c>
      <c r="B998" s="4" t="s">
        <v>12</v>
      </c>
      <c r="C998">
        <v>2182</v>
      </c>
      <c r="D998" t="s">
        <v>7</v>
      </c>
      <c r="E998" t="str">
        <f>IF(may[[#This Row],[ShiftCounter]]&gt;0, "Running", "Down")</f>
        <v>Running</v>
      </c>
    </row>
    <row r="999" spans="1:5" x14ac:dyDescent="0.25">
      <c r="A999" s="2">
        <v>44682</v>
      </c>
      <c r="B999" s="4" t="s">
        <v>12</v>
      </c>
      <c r="C999">
        <v>2027</v>
      </c>
      <c r="D999" t="s">
        <v>8</v>
      </c>
      <c r="E999" t="str">
        <f>IF(may[[#This Row],[ShiftCounter]]&gt;0, "Running", "Down")</f>
        <v>Running</v>
      </c>
    </row>
    <row r="1000" spans="1:5" x14ac:dyDescent="0.25">
      <c r="A1000" s="2">
        <v>44682</v>
      </c>
      <c r="B1000" s="4" t="s">
        <v>13</v>
      </c>
      <c r="C1000">
        <v>2429</v>
      </c>
      <c r="D1000" t="s">
        <v>6</v>
      </c>
      <c r="E1000" t="str">
        <f>IF(may[[#This Row],[ShiftCounter]]&gt;0, "Running", "Down")</f>
        <v>Running</v>
      </c>
    </row>
    <row r="1001" spans="1:5" x14ac:dyDescent="0.25">
      <c r="A1001" s="2">
        <v>44682</v>
      </c>
      <c r="B1001" s="4" t="s">
        <v>13</v>
      </c>
      <c r="C1001">
        <v>2263</v>
      </c>
      <c r="D1001" t="s">
        <v>7</v>
      </c>
      <c r="E1001" t="str">
        <f>IF(may[[#This Row],[ShiftCounter]]&gt;0, "Running", "Down")</f>
        <v>Running</v>
      </c>
    </row>
    <row r="1002" spans="1:5" x14ac:dyDescent="0.25">
      <c r="A1002" s="2">
        <v>44682</v>
      </c>
      <c r="B1002" s="4" t="s">
        <v>13</v>
      </c>
      <c r="C1002">
        <v>2255</v>
      </c>
      <c r="D1002" t="s">
        <v>8</v>
      </c>
      <c r="E1002" t="str">
        <f>IF(may[[#This Row],[ShiftCounter]]&gt;0, "Running", "Down")</f>
        <v>Running</v>
      </c>
    </row>
    <row r="1003" spans="1:5" x14ac:dyDescent="0.25">
      <c r="A1003" s="2">
        <v>44682</v>
      </c>
      <c r="B1003" s="4" t="s">
        <v>14</v>
      </c>
      <c r="C1003">
        <v>2228</v>
      </c>
      <c r="D1003" t="s">
        <v>6</v>
      </c>
      <c r="E1003" t="str">
        <f>IF(may[[#This Row],[ShiftCounter]]&gt;0, "Running", "Down")</f>
        <v>Running</v>
      </c>
    </row>
    <row r="1004" spans="1:5" x14ac:dyDescent="0.25">
      <c r="A1004" s="2">
        <v>44682</v>
      </c>
      <c r="B1004" s="4" t="s">
        <v>14</v>
      </c>
      <c r="C1004">
        <v>2117</v>
      </c>
      <c r="D1004" t="s">
        <v>7</v>
      </c>
      <c r="E1004" t="str">
        <f>IF(may[[#This Row],[ShiftCounter]]&gt;0, "Running", "Down")</f>
        <v>Running</v>
      </c>
    </row>
    <row r="1005" spans="1:5" x14ac:dyDescent="0.25">
      <c r="A1005" s="2">
        <v>44682</v>
      </c>
      <c r="B1005" s="4" t="s">
        <v>14</v>
      </c>
      <c r="C1005">
        <v>2062</v>
      </c>
      <c r="D1005" t="s">
        <v>8</v>
      </c>
      <c r="E1005" t="str">
        <f>IF(may[[#This Row],[ShiftCounter]]&gt;0, "Running", "Down")</f>
        <v>Running</v>
      </c>
    </row>
    <row r="1006" spans="1:5" x14ac:dyDescent="0.25">
      <c r="A1006" s="2">
        <v>44682</v>
      </c>
      <c r="B1006" s="4" t="s">
        <v>15</v>
      </c>
      <c r="C1006">
        <v>2209</v>
      </c>
      <c r="D1006" t="s">
        <v>6</v>
      </c>
      <c r="E1006" t="str">
        <f>IF(may[[#This Row],[ShiftCounter]]&gt;0, "Running", "Down")</f>
        <v>Running</v>
      </c>
    </row>
    <row r="1007" spans="1:5" x14ac:dyDescent="0.25">
      <c r="A1007" s="2">
        <v>44682</v>
      </c>
      <c r="B1007" s="4" t="s">
        <v>15</v>
      </c>
      <c r="C1007">
        <v>2110</v>
      </c>
      <c r="D1007" t="s">
        <v>7</v>
      </c>
      <c r="E1007" t="str">
        <f>IF(may[[#This Row],[ShiftCounter]]&gt;0, "Running", "Down")</f>
        <v>Running</v>
      </c>
    </row>
    <row r="1008" spans="1:5" x14ac:dyDescent="0.25">
      <c r="A1008" s="2">
        <v>44682</v>
      </c>
      <c r="B1008" s="4" t="s">
        <v>15</v>
      </c>
      <c r="C1008">
        <v>2050</v>
      </c>
      <c r="D1008" t="s">
        <v>8</v>
      </c>
      <c r="E1008" t="str">
        <f>IF(may[[#This Row],[ShiftCounter]]&gt;0, "Running", "Down")</f>
        <v>Running</v>
      </c>
    </row>
    <row r="1009" spans="1:5" x14ac:dyDescent="0.25">
      <c r="A1009" s="2">
        <v>44682</v>
      </c>
      <c r="B1009" s="4" t="s">
        <v>16</v>
      </c>
      <c r="C1009">
        <v>2332</v>
      </c>
      <c r="D1009" t="s">
        <v>6</v>
      </c>
      <c r="E1009" t="str">
        <f>IF(may[[#This Row],[ShiftCounter]]&gt;0, "Running", "Down")</f>
        <v>Running</v>
      </c>
    </row>
    <row r="1010" spans="1:5" x14ac:dyDescent="0.25">
      <c r="A1010" s="2">
        <v>44682</v>
      </c>
      <c r="B1010" s="4" t="s">
        <v>16</v>
      </c>
      <c r="C1010">
        <v>2272</v>
      </c>
      <c r="D1010" t="s">
        <v>7</v>
      </c>
      <c r="E1010" t="str">
        <f>IF(may[[#This Row],[ShiftCounter]]&gt;0, "Running", "Down")</f>
        <v>Running</v>
      </c>
    </row>
    <row r="1011" spans="1:5" x14ac:dyDescent="0.25">
      <c r="A1011" s="2">
        <v>44682</v>
      </c>
      <c r="B1011" s="4" t="s">
        <v>16</v>
      </c>
      <c r="C1011">
        <v>2269</v>
      </c>
      <c r="D1011" t="s">
        <v>8</v>
      </c>
      <c r="E1011" t="str">
        <f>IF(may[[#This Row],[ShiftCounter]]&gt;0, "Running", "Down")</f>
        <v>Running</v>
      </c>
    </row>
    <row r="1012" spans="1:5" x14ac:dyDescent="0.25">
      <c r="A1012" s="2">
        <v>44682</v>
      </c>
      <c r="B1012" s="4" t="s">
        <v>17</v>
      </c>
      <c r="C1012">
        <v>2410</v>
      </c>
      <c r="D1012" t="s">
        <v>6</v>
      </c>
      <c r="E1012" t="str">
        <f>IF(may[[#This Row],[ShiftCounter]]&gt;0, "Running", "Down")</f>
        <v>Running</v>
      </c>
    </row>
    <row r="1013" spans="1:5" x14ac:dyDescent="0.25">
      <c r="A1013" s="2">
        <v>44682</v>
      </c>
      <c r="B1013" s="4" t="s">
        <v>17</v>
      </c>
      <c r="C1013">
        <v>2318</v>
      </c>
      <c r="D1013" t="s">
        <v>7</v>
      </c>
      <c r="E1013" t="str">
        <f>IF(may[[#This Row],[ShiftCounter]]&gt;0, "Running", "Down")</f>
        <v>Running</v>
      </c>
    </row>
    <row r="1014" spans="1:5" x14ac:dyDescent="0.25">
      <c r="A1014" s="2">
        <v>44682</v>
      </c>
      <c r="B1014" s="4" t="s">
        <v>17</v>
      </c>
      <c r="C1014">
        <v>2272</v>
      </c>
      <c r="D1014" t="s">
        <v>8</v>
      </c>
      <c r="E1014" t="str">
        <f>IF(may[[#This Row],[ShiftCounter]]&gt;0, "Running", "Down")</f>
        <v>Running</v>
      </c>
    </row>
    <row r="1015" spans="1:5" x14ac:dyDescent="0.25">
      <c r="A1015" s="2">
        <v>44682</v>
      </c>
      <c r="B1015" s="4" t="s">
        <v>19</v>
      </c>
      <c r="C1015">
        <v>2051</v>
      </c>
      <c r="D1015" t="s">
        <v>6</v>
      </c>
      <c r="E1015" t="str">
        <f>IF(may[[#This Row],[ShiftCounter]]&gt;0, "Running", "Down")</f>
        <v>Running</v>
      </c>
    </row>
    <row r="1016" spans="1:5" x14ac:dyDescent="0.25">
      <c r="A1016" s="2">
        <v>44682</v>
      </c>
      <c r="B1016" s="4" t="s">
        <v>19</v>
      </c>
      <c r="C1016">
        <v>2043</v>
      </c>
      <c r="D1016" t="s">
        <v>7</v>
      </c>
      <c r="E1016" t="str">
        <f>IF(may[[#This Row],[ShiftCounter]]&gt;0, "Running", "Down")</f>
        <v>Running</v>
      </c>
    </row>
    <row r="1017" spans="1:5" x14ac:dyDescent="0.25">
      <c r="A1017" s="2">
        <v>44682</v>
      </c>
      <c r="B1017" s="4" t="s">
        <v>19</v>
      </c>
      <c r="C1017">
        <v>1860</v>
      </c>
      <c r="D1017" t="s">
        <v>8</v>
      </c>
      <c r="E1017" t="str">
        <f>IF(may[[#This Row],[ShiftCounter]]&gt;0, "Running", "Down")</f>
        <v>Running</v>
      </c>
    </row>
    <row r="1018" spans="1:5" x14ac:dyDescent="0.25">
      <c r="A1018" s="2">
        <v>44682</v>
      </c>
      <c r="B1018" s="4" t="s">
        <v>18</v>
      </c>
      <c r="C1018">
        <v>2218</v>
      </c>
      <c r="D1018" t="s">
        <v>6</v>
      </c>
      <c r="E1018" t="str">
        <f>IF(may[[#This Row],[ShiftCounter]]&gt;0, "Running", "Down")</f>
        <v>Running</v>
      </c>
    </row>
    <row r="1019" spans="1:5" x14ac:dyDescent="0.25">
      <c r="A1019" s="2">
        <v>44682</v>
      </c>
      <c r="B1019" s="4" t="s">
        <v>18</v>
      </c>
      <c r="C1019">
        <v>2304</v>
      </c>
      <c r="D1019" t="s">
        <v>7</v>
      </c>
      <c r="E1019" t="str">
        <f>IF(may[[#This Row],[ShiftCounter]]&gt;0, "Running", "Down")</f>
        <v>Running</v>
      </c>
    </row>
    <row r="1020" spans="1:5" x14ac:dyDescent="0.25">
      <c r="A1020" s="2">
        <v>44682</v>
      </c>
      <c r="B1020" s="4" t="s">
        <v>18</v>
      </c>
      <c r="C1020">
        <v>2244</v>
      </c>
      <c r="D1020" t="s">
        <v>8</v>
      </c>
      <c r="E1020" t="str">
        <f>IF(may[[#This Row],[ShiftCounter]]&gt;0, "Running", "Down")</f>
        <v>Running</v>
      </c>
    </row>
    <row r="1021" spans="1:5" x14ac:dyDescent="0.25">
      <c r="A1021" s="2">
        <v>44682</v>
      </c>
      <c r="B1021" s="4" t="s">
        <v>42</v>
      </c>
      <c r="C1021">
        <v>2196</v>
      </c>
      <c r="D1021" t="s">
        <v>6</v>
      </c>
      <c r="E1021" t="str">
        <f>IF(may[[#This Row],[ShiftCounter]]&gt;0, "Running", "Down")</f>
        <v>Running</v>
      </c>
    </row>
    <row r="1022" spans="1:5" x14ac:dyDescent="0.25">
      <c r="A1022" s="2">
        <v>44682</v>
      </c>
      <c r="B1022" s="4" t="s">
        <v>42</v>
      </c>
      <c r="C1022">
        <v>2048</v>
      </c>
      <c r="D1022" t="s">
        <v>7</v>
      </c>
      <c r="E1022" t="str">
        <f>IF(may[[#This Row],[ShiftCounter]]&gt;0, "Running", "Down")</f>
        <v>Running</v>
      </c>
    </row>
    <row r="1023" spans="1:5" x14ac:dyDescent="0.25">
      <c r="A1023" s="2">
        <v>44682</v>
      </c>
      <c r="B1023" s="4" t="s">
        <v>42</v>
      </c>
      <c r="C1023">
        <v>1875</v>
      </c>
      <c r="D1023" t="s">
        <v>8</v>
      </c>
      <c r="E1023" t="str">
        <f>IF(may[[#This Row],[ShiftCounter]]&gt;0, "Running", "Down")</f>
        <v>Running</v>
      </c>
    </row>
    <row r="1024" spans="1:5" x14ac:dyDescent="0.25">
      <c r="A1024" s="2">
        <v>44682</v>
      </c>
      <c r="B1024" s="4" t="s">
        <v>38</v>
      </c>
      <c r="C1024">
        <v>2258</v>
      </c>
      <c r="D1024" t="s">
        <v>6</v>
      </c>
      <c r="E1024" t="str">
        <f>IF(may[[#This Row],[ShiftCounter]]&gt;0, "Running", "Down")</f>
        <v>Running</v>
      </c>
    </row>
    <row r="1025" spans="1:5" x14ac:dyDescent="0.25">
      <c r="A1025" s="2">
        <v>44682</v>
      </c>
      <c r="B1025" s="4" t="s">
        <v>38</v>
      </c>
      <c r="C1025">
        <v>2128</v>
      </c>
      <c r="D1025" t="s">
        <v>7</v>
      </c>
      <c r="E1025" t="str">
        <f>IF(may[[#This Row],[ShiftCounter]]&gt;0, "Running", "Down")</f>
        <v>Running</v>
      </c>
    </row>
    <row r="1026" spans="1:5" x14ac:dyDescent="0.25">
      <c r="A1026" s="2">
        <v>44682</v>
      </c>
      <c r="B1026" s="4" t="s">
        <v>38</v>
      </c>
      <c r="C1026">
        <v>1825</v>
      </c>
      <c r="D1026" t="s">
        <v>8</v>
      </c>
      <c r="E1026" t="str">
        <f>IF(may[[#This Row],[ShiftCounter]]&gt;0, "Running", "Down")</f>
        <v>Running</v>
      </c>
    </row>
    <row r="1027" spans="1:5" x14ac:dyDescent="0.25">
      <c r="A1027" s="2">
        <v>44692</v>
      </c>
      <c r="B1027" s="4" t="s">
        <v>40</v>
      </c>
      <c r="C1027">
        <v>2368</v>
      </c>
      <c r="D1027" t="s">
        <v>6</v>
      </c>
      <c r="E1027" t="str">
        <f>IF(may[[#This Row],[ShiftCounter]]&gt;0, "Running", "Down")</f>
        <v>Running</v>
      </c>
    </row>
    <row r="1028" spans="1:5" x14ac:dyDescent="0.25">
      <c r="A1028" s="2">
        <v>44692</v>
      </c>
      <c r="B1028" s="4" t="s">
        <v>40</v>
      </c>
      <c r="C1028">
        <v>0</v>
      </c>
      <c r="D1028" t="s">
        <v>8</v>
      </c>
      <c r="E1028" t="str">
        <f>IF(may[[#This Row],[ShiftCounter]]&gt;0, "Running", "Down")</f>
        <v>Down</v>
      </c>
    </row>
    <row r="1029" spans="1:5" x14ac:dyDescent="0.25">
      <c r="A1029" s="2">
        <v>44692</v>
      </c>
      <c r="B1029" s="4" t="s">
        <v>39</v>
      </c>
      <c r="C1029">
        <v>2077</v>
      </c>
      <c r="D1029" t="s">
        <v>6</v>
      </c>
      <c r="E1029" t="str">
        <f>IF(may[[#This Row],[ShiftCounter]]&gt;0, "Running", "Down")</f>
        <v>Running</v>
      </c>
    </row>
    <row r="1030" spans="1:5" x14ac:dyDescent="0.25">
      <c r="A1030" s="2">
        <v>44692</v>
      </c>
      <c r="B1030" s="4" t="s">
        <v>39</v>
      </c>
      <c r="C1030">
        <v>1765</v>
      </c>
      <c r="D1030" t="s">
        <v>7</v>
      </c>
      <c r="E1030" t="str">
        <f>IF(may[[#This Row],[ShiftCounter]]&gt;0, "Running", "Down")</f>
        <v>Running</v>
      </c>
    </row>
    <row r="1031" spans="1:5" x14ac:dyDescent="0.25">
      <c r="A1031" s="2">
        <v>44692</v>
      </c>
      <c r="B1031" s="4" t="s">
        <v>39</v>
      </c>
      <c r="C1031">
        <v>1765</v>
      </c>
      <c r="D1031" t="s">
        <v>8</v>
      </c>
      <c r="E1031" t="str">
        <f>IF(may[[#This Row],[ShiftCounter]]&gt;0, "Running", "Down")</f>
        <v>Running</v>
      </c>
    </row>
    <row r="1032" spans="1:5" x14ac:dyDescent="0.25">
      <c r="A1032" s="2">
        <v>44692</v>
      </c>
      <c r="B1032" s="4" t="s">
        <v>41</v>
      </c>
      <c r="C1032">
        <v>2496</v>
      </c>
      <c r="D1032" t="s">
        <v>6</v>
      </c>
      <c r="E1032" t="str">
        <f>IF(may[[#This Row],[ShiftCounter]]&gt;0, "Running", "Down")</f>
        <v>Running</v>
      </c>
    </row>
    <row r="1033" spans="1:5" x14ac:dyDescent="0.25">
      <c r="A1033" s="2">
        <v>44692</v>
      </c>
      <c r="B1033" s="4" t="s">
        <v>41</v>
      </c>
      <c r="C1033">
        <v>2117</v>
      </c>
      <c r="D1033" t="s">
        <v>7</v>
      </c>
      <c r="E1033" t="str">
        <f>IF(may[[#This Row],[ShiftCounter]]&gt;0, "Running", "Down")</f>
        <v>Running</v>
      </c>
    </row>
    <row r="1034" spans="1:5" x14ac:dyDescent="0.25">
      <c r="A1034" s="2">
        <v>44692</v>
      </c>
      <c r="B1034" s="4" t="s">
        <v>41</v>
      </c>
      <c r="C1034">
        <v>2118</v>
      </c>
      <c r="D1034" t="s">
        <v>8</v>
      </c>
      <c r="E1034" t="str">
        <f>IF(may[[#This Row],[ShiftCounter]]&gt;0, "Running", "Down")</f>
        <v>Running</v>
      </c>
    </row>
    <row r="1035" spans="1:5" x14ac:dyDescent="0.25">
      <c r="A1035" s="2">
        <v>44692</v>
      </c>
      <c r="B1035" s="4" t="s">
        <v>5</v>
      </c>
      <c r="C1035">
        <v>2459</v>
      </c>
      <c r="D1035" t="s">
        <v>6</v>
      </c>
      <c r="E1035" t="str">
        <f>IF(may[[#This Row],[ShiftCounter]]&gt;0, "Running", "Down")</f>
        <v>Running</v>
      </c>
    </row>
    <row r="1036" spans="1:5" x14ac:dyDescent="0.25">
      <c r="A1036" s="2">
        <v>44692</v>
      </c>
      <c r="B1036" s="4" t="s">
        <v>5</v>
      </c>
      <c r="C1036">
        <v>2077</v>
      </c>
      <c r="D1036" t="s">
        <v>7</v>
      </c>
      <c r="E1036" t="str">
        <f>IF(may[[#This Row],[ShiftCounter]]&gt;0, "Running", "Down")</f>
        <v>Running</v>
      </c>
    </row>
    <row r="1037" spans="1:5" x14ac:dyDescent="0.25">
      <c r="A1037" s="2">
        <v>44692</v>
      </c>
      <c r="B1037" s="4" t="s">
        <v>5</v>
      </c>
      <c r="C1037">
        <v>2078</v>
      </c>
      <c r="D1037" t="s">
        <v>8</v>
      </c>
      <c r="E1037" t="str">
        <f>IF(may[[#This Row],[ShiftCounter]]&gt;0, "Running", "Down")</f>
        <v>Running</v>
      </c>
    </row>
    <row r="1038" spans="1:5" x14ac:dyDescent="0.25">
      <c r="A1038" s="2">
        <v>44692</v>
      </c>
      <c r="B1038" s="4" t="s">
        <v>9</v>
      </c>
      <c r="C1038">
        <v>2442</v>
      </c>
      <c r="D1038" t="s">
        <v>6</v>
      </c>
      <c r="E1038" t="str">
        <f>IF(may[[#This Row],[ShiftCounter]]&gt;0, "Running", "Down")</f>
        <v>Running</v>
      </c>
    </row>
    <row r="1039" spans="1:5" x14ac:dyDescent="0.25">
      <c r="A1039" s="2">
        <v>44692</v>
      </c>
      <c r="B1039" s="4" t="s">
        <v>9</v>
      </c>
      <c r="C1039">
        <v>2087</v>
      </c>
      <c r="D1039" t="s">
        <v>7</v>
      </c>
      <c r="E1039" t="str">
        <f>IF(may[[#This Row],[ShiftCounter]]&gt;0, "Running", "Down")</f>
        <v>Running</v>
      </c>
    </row>
    <row r="1040" spans="1:5" x14ac:dyDescent="0.25">
      <c r="A1040" s="2">
        <v>44692</v>
      </c>
      <c r="B1040" s="4" t="s">
        <v>9</v>
      </c>
      <c r="C1040">
        <v>2087</v>
      </c>
      <c r="D1040" t="s">
        <v>8</v>
      </c>
      <c r="E1040" t="str">
        <f>IF(may[[#This Row],[ShiftCounter]]&gt;0, "Running", "Down")</f>
        <v>Running</v>
      </c>
    </row>
    <row r="1041" spans="1:5" x14ac:dyDescent="0.25">
      <c r="A1041" s="2">
        <v>44692</v>
      </c>
      <c r="B1041" s="4" t="s">
        <v>10</v>
      </c>
      <c r="C1041">
        <v>2387</v>
      </c>
      <c r="D1041" t="s">
        <v>6</v>
      </c>
      <c r="E1041" t="str">
        <f>IF(may[[#This Row],[ShiftCounter]]&gt;0, "Running", "Down")</f>
        <v>Running</v>
      </c>
    </row>
    <row r="1042" spans="1:5" x14ac:dyDescent="0.25">
      <c r="A1042" s="2">
        <v>44692</v>
      </c>
      <c r="B1042" s="4" t="s">
        <v>10</v>
      </c>
      <c r="C1042">
        <v>2071</v>
      </c>
      <c r="D1042" t="s">
        <v>7</v>
      </c>
      <c r="E1042" t="str">
        <f>IF(may[[#This Row],[ShiftCounter]]&gt;0, "Running", "Down")</f>
        <v>Running</v>
      </c>
    </row>
    <row r="1043" spans="1:5" x14ac:dyDescent="0.25">
      <c r="A1043" s="2">
        <v>44692</v>
      </c>
      <c r="B1043" s="4" t="s">
        <v>10</v>
      </c>
      <c r="C1043">
        <v>2071</v>
      </c>
      <c r="D1043" t="s">
        <v>8</v>
      </c>
      <c r="E1043" t="str">
        <f>IF(may[[#This Row],[ShiftCounter]]&gt;0, "Running", "Down")</f>
        <v>Running</v>
      </c>
    </row>
    <row r="1044" spans="1:5" x14ac:dyDescent="0.25">
      <c r="A1044" s="2">
        <v>44692</v>
      </c>
      <c r="B1044" s="4" t="s">
        <v>11</v>
      </c>
      <c r="C1044">
        <v>2502</v>
      </c>
      <c r="D1044" t="s">
        <v>6</v>
      </c>
      <c r="E1044" t="str">
        <f>IF(may[[#This Row],[ShiftCounter]]&gt;0, "Running", "Down")</f>
        <v>Running</v>
      </c>
    </row>
    <row r="1045" spans="1:5" x14ac:dyDescent="0.25">
      <c r="A1045" s="2">
        <v>44692</v>
      </c>
      <c r="B1045" s="4" t="s">
        <v>11</v>
      </c>
      <c r="C1045">
        <v>2185</v>
      </c>
      <c r="D1045" t="s">
        <v>7</v>
      </c>
      <c r="E1045" t="str">
        <f>IF(may[[#This Row],[ShiftCounter]]&gt;0, "Running", "Down")</f>
        <v>Running</v>
      </c>
    </row>
    <row r="1046" spans="1:5" x14ac:dyDescent="0.25">
      <c r="A1046" s="2">
        <v>44692</v>
      </c>
      <c r="B1046" s="4" t="s">
        <v>11</v>
      </c>
      <c r="C1046">
        <v>2185</v>
      </c>
      <c r="D1046" t="s">
        <v>8</v>
      </c>
      <c r="E1046" t="str">
        <f>IF(may[[#This Row],[ShiftCounter]]&gt;0, "Running", "Down")</f>
        <v>Running</v>
      </c>
    </row>
    <row r="1047" spans="1:5" x14ac:dyDescent="0.25">
      <c r="A1047" s="2">
        <v>44692</v>
      </c>
      <c r="B1047" s="4" t="s">
        <v>12</v>
      </c>
      <c r="C1047">
        <v>2142</v>
      </c>
      <c r="D1047" t="s">
        <v>6</v>
      </c>
      <c r="E1047" t="str">
        <f>IF(may[[#This Row],[ShiftCounter]]&gt;0, "Running", "Down")</f>
        <v>Running</v>
      </c>
    </row>
    <row r="1048" spans="1:5" x14ac:dyDescent="0.25">
      <c r="A1048" s="2">
        <v>44692</v>
      </c>
      <c r="B1048" s="4" t="s">
        <v>12</v>
      </c>
      <c r="C1048">
        <v>1929</v>
      </c>
      <c r="D1048" t="s">
        <v>7</v>
      </c>
      <c r="E1048" t="str">
        <f>IF(may[[#This Row],[ShiftCounter]]&gt;0, "Running", "Down")</f>
        <v>Running</v>
      </c>
    </row>
    <row r="1049" spans="1:5" x14ac:dyDescent="0.25">
      <c r="A1049" s="2">
        <v>44692</v>
      </c>
      <c r="B1049" s="4" t="s">
        <v>12</v>
      </c>
      <c r="C1049">
        <v>1929</v>
      </c>
      <c r="D1049" t="s">
        <v>8</v>
      </c>
      <c r="E1049" t="str">
        <f>IF(may[[#This Row],[ShiftCounter]]&gt;0, "Running", "Down")</f>
        <v>Running</v>
      </c>
    </row>
    <row r="1050" spans="1:5" x14ac:dyDescent="0.25">
      <c r="A1050" s="2">
        <v>44692</v>
      </c>
      <c r="B1050" s="4" t="s">
        <v>13</v>
      </c>
      <c r="C1050">
        <v>2315</v>
      </c>
      <c r="D1050" t="s">
        <v>6</v>
      </c>
      <c r="E1050" t="str">
        <f>IF(may[[#This Row],[ShiftCounter]]&gt;0, "Running", "Down")</f>
        <v>Running</v>
      </c>
    </row>
    <row r="1051" spans="1:5" x14ac:dyDescent="0.25">
      <c r="A1051" s="2">
        <v>44692</v>
      </c>
      <c r="B1051" s="4" t="s">
        <v>13</v>
      </c>
      <c r="C1051">
        <v>2125</v>
      </c>
      <c r="D1051" t="s">
        <v>7</v>
      </c>
      <c r="E1051" t="str">
        <f>IF(may[[#This Row],[ShiftCounter]]&gt;0, "Running", "Down")</f>
        <v>Running</v>
      </c>
    </row>
    <row r="1052" spans="1:5" x14ac:dyDescent="0.25">
      <c r="A1052" s="2">
        <v>44692</v>
      </c>
      <c r="B1052" s="4" t="s">
        <v>13</v>
      </c>
      <c r="C1052">
        <v>2034</v>
      </c>
      <c r="D1052" t="s">
        <v>8</v>
      </c>
      <c r="E1052" t="str">
        <f>IF(may[[#This Row],[ShiftCounter]]&gt;0, "Running", "Down")</f>
        <v>Running</v>
      </c>
    </row>
    <row r="1053" spans="1:5" x14ac:dyDescent="0.25">
      <c r="A1053" s="2">
        <v>44692</v>
      </c>
      <c r="B1053" s="4" t="s">
        <v>14</v>
      </c>
      <c r="C1053">
        <v>1829</v>
      </c>
      <c r="D1053" t="s">
        <v>6</v>
      </c>
      <c r="E1053" t="str">
        <f>IF(may[[#This Row],[ShiftCounter]]&gt;0, "Running", "Down")</f>
        <v>Running</v>
      </c>
    </row>
    <row r="1054" spans="1:5" x14ac:dyDescent="0.25">
      <c r="A1054" s="2">
        <v>44692</v>
      </c>
      <c r="B1054" s="4" t="s">
        <v>14</v>
      </c>
      <c r="C1054">
        <v>1742</v>
      </c>
      <c r="D1054" t="s">
        <v>7</v>
      </c>
      <c r="E1054" t="str">
        <f>IF(may[[#This Row],[ShiftCounter]]&gt;0, "Running", "Down")</f>
        <v>Running</v>
      </c>
    </row>
    <row r="1055" spans="1:5" x14ac:dyDescent="0.25">
      <c r="A1055" s="2">
        <v>44692</v>
      </c>
      <c r="B1055" s="4" t="s">
        <v>14</v>
      </c>
      <c r="C1055">
        <v>1630</v>
      </c>
      <c r="D1055" t="s">
        <v>8</v>
      </c>
      <c r="E1055" t="str">
        <f>IF(may[[#This Row],[ShiftCounter]]&gt;0, "Running", "Down")</f>
        <v>Running</v>
      </c>
    </row>
    <row r="1056" spans="1:5" x14ac:dyDescent="0.25">
      <c r="A1056" s="2">
        <v>44692</v>
      </c>
      <c r="B1056" s="4" t="s">
        <v>15</v>
      </c>
      <c r="C1056">
        <v>2116</v>
      </c>
      <c r="D1056" t="s">
        <v>6</v>
      </c>
      <c r="E1056" t="str">
        <f>IF(may[[#This Row],[ShiftCounter]]&gt;0, "Running", "Down")</f>
        <v>Running</v>
      </c>
    </row>
    <row r="1057" spans="1:5" x14ac:dyDescent="0.25">
      <c r="A1057" s="2">
        <v>44692</v>
      </c>
      <c r="B1057" s="4" t="s">
        <v>15</v>
      </c>
      <c r="C1057">
        <v>2012</v>
      </c>
      <c r="D1057" t="s">
        <v>7</v>
      </c>
      <c r="E1057" t="str">
        <f>IF(may[[#This Row],[ShiftCounter]]&gt;0, "Running", "Down")</f>
        <v>Running</v>
      </c>
    </row>
    <row r="1058" spans="1:5" x14ac:dyDescent="0.25">
      <c r="A1058" s="2">
        <v>44692</v>
      </c>
      <c r="B1058" s="4" t="s">
        <v>15</v>
      </c>
      <c r="C1058">
        <v>1810</v>
      </c>
      <c r="D1058" t="s">
        <v>8</v>
      </c>
      <c r="E1058" t="str">
        <f>IF(may[[#This Row],[ShiftCounter]]&gt;0, "Running", "Down")</f>
        <v>Running</v>
      </c>
    </row>
    <row r="1059" spans="1:5" x14ac:dyDescent="0.25">
      <c r="A1059" s="2">
        <v>44692</v>
      </c>
      <c r="B1059" s="4" t="s">
        <v>16</v>
      </c>
      <c r="C1059">
        <v>2396</v>
      </c>
      <c r="D1059" t="s">
        <v>6</v>
      </c>
      <c r="E1059" t="str">
        <f>IF(may[[#This Row],[ShiftCounter]]&gt;0, "Running", "Down")</f>
        <v>Running</v>
      </c>
    </row>
    <row r="1060" spans="1:5" x14ac:dyDescent="0.25">
      <c r="A1060" s="2">
        <v>44692</v>
      </c>
      <c r="B1060" s="4" t="s">
        <v>16</v>
      </c>
      <c r="C1060">
        <v>2174</v>
      </c>
      <c r="D1060" t="s">
        <v>7</v>
      </c>
      <c r="E1060" t="str">
        <f>IF(may[[#This Row],[ShiftCounter]]&gt;0, "Running", "Down")</f>
        <v>Running</v>
      </c>
    </row>
    <row r="1061" spans="1:5" x14ac:dyDescent="0.25">
      <c r="A1061" s="2">
        <v>44692</v>
      </c>
      <c r="B1061" s="4" t="s">
        <v>16</v>
      </c>
      <c r="C1061">
        <v>2091</v>
      </c>
      <c r="D1061" t="s">
        <v>8</v>
      </c>
      <c r="E1061" t="str">
        <f>IF(may[[#This Row],[ShiftCounter]]&gt;0, "Running", "Down")</f>
        <v>Running</v>
      </c>
    </row>
    <row r="1062" spans="1:5" x14ac:dyDescent="0.25">
      <c r="A1062" s="2">
        <v>44692</v>
      </c>
      <c r="B1062" s="4" t="s">
        <v>19</v>
      </c>
      <c r="C1062">
        <v>1997</v>
      </c>
      <c r="D1062" t="s">
        <v>6</v>
      </c>
      <c r="E1062" t="str">
        <f>IF(may[[#This Row],[ShiftCounter]]&gt;0, "Running", "Down")</f>
        <v>Running</v>
      </c>
    </row>
    <row r="1063" spans="1:5" x14ac:dyDescent="0.25">
      <c r="A1063" s="2">
        <v>44692</v>
      </c>
      <c r="B1063" s="4" t="s">
        <v>19</v>
      </c>
      <c r="C1063">
        <v>1788</v>
      </c>
      <c r="D1063" t="s">
        <v>7</v>
      </c>
      <c r="E1063" t="str">
        <f>IF(may[[#This Row],[ShiftCounter]]&gt;0, "Running", "Down")</f>
        <v>Running</v>
      </c>
    </row>
    <row r="1064" spans="1:5" x14ac:dyDescent="0.25">
      <c r="A1064" s="2">
        <v>44692</v>
      </c>
      <c r="B1064" s="4" t="s">
        <v>19</v>
      </c>
      <c r="C1064">
        <v>1791</v>
      </c>
      <c r="D1064" t="s">
        <v>8</v>
      </c>
      <c r="E1064" t="str">
        <f>IF(may[[#This Row],[ShiftCounter]]&gt;0, "Running", "Down")</f>
        <v>Running</v>
      </c>
    </row>
    <row r="1065" spans="1:5" x14ac:dyDescent="0.25">
      <c r="A1065" s="2">
        <v>44692</v>
      </c>
      <c r="B1065" s="4" t="s">
        <v>18</v>
      </c>
      <c r="C1065">
        <v>2513</v>
      </c>
      <c r="D1065" t="s">
        <v>6</v>
      </c>
      <c r="E1065" t="str">
        <f>IF(may[[#This Row],[ShiftCounter]]&gt;0, "Running", "Down")</f>
        <v>Running</v>
      </c>
    </row>
    <row r="1066" spans="1:5" x14ac:dyDescent="0.25">
      <c r="A1066" s="2">
        <v>44692</v>
      </c>
      <c r="B1066" s="4" t="s">
        <v>18</v>
      </c>
      <c r="C1066">
        <v>2041</v>
      </c>
      <c r="D1066" t="s">
        <v>7</v>
      </c>
      <c r="E1066" t="str">
        <f>IF(may[[#This Row],[ShiftCounter]]&gt;0, "Running", "Down")</f>
        <v>Running</v>
      </c>
    </row>
    <row r="1067" spans="1:5" x14ac:dyDescent="0.25">
      <c r="A1067" s="2">
        <v>44692</v>
      </c>
      <c r="B1067" s="4" t="s">
        <v>18</v>
      </c>
      <c r="C1067">
        <v>2042</v>
      </c>
      <c r="D1067" t="s">
        <v>8</v>
      </c>
      <c r="E1067" t="str">
        <f>IF(may[[#This Row],[ShiftCounter]]&gt;0, "Running", "Down")</f>
        <v>Running</v>
      </c>
    </row>
    <row r="1068" spans="1:5" x14ac:dyDescent="0.25">
      <c r="A1068" s="2">
        <v>44692</v>
      </c>
      <c r="B1068" s="4" t="s">
        <v>20</v>
      </c>
      <c r="C1068">
        <v>2148</v>
      </c>
      <c r="D1068" t="s">
        <v>6</v>
      </c>
      <c r="E1068" t="str">
        <f>IF(may[[#This Row],[ShiftCounter]]&gt;0, "Running", "Down")</f>
        <v>Running</v>
      </c>
    </row>
    <row r="1069" spans="1:5" x14ac:dyDescent="0.25">
      <c r="A1069" s="2">
        <v>44692</v>
      </c>
      <c r="B1069" s="4" t="s">
        <v>20</v>
      </c>
      <c r="C1069">
        <v>1772</v>
      </c>
      <c r="D1069" t="s">
        <v>7</v>
      </c>
      <c r="E1069" t="str">
        <f>IF(may[[#This Row],[ShiftCounter]]&gt;0, "Running", "Down")</f>
        <v>Running</v>
      </c>
    </row>
    <row r="1070" spans="1:5" x14ac:dyDescent="0.25">
      <c r="A1070" s="2">
        <v>44692</v>
      </c>
      <c r="B1070" s="4" t="s">
        <v>20</v>
      </c>
      <c r="C1070">
        <v>1526</v>
      </c>
      <c r="D1070" t="s">
        <v>8</v>
      </c>
      <c r="E1070" t="str">
        <f>IF(may[[#This Row],[ShiftCounter]]&gt;0, "Running", "Down")</f>
        <v>Running</v>
      </c>
    </row>
    <row r="1071" spans="1:5" x14ac:dyDescent="0.25">
      <c r="A1071" s="2">
        <v>44692</v>
      </c>
      <c r="B1071" s="4" t="s">
        <v>21</v>
      </c>
      <c r="C1071">
        <v>2137</v>
      </c>
      <c r="D1071" t="s">
        <v>6</v>
      </c>
      <c r="E1071" t="str">
        <f>IF(may[[#This Row],[ShiftCounter]]&gt;0, "Running", "Down")</f>
        <v>Running</v>
      </c>
    </row>
    <row r="1072" spans="1:5" x14ac:dyDescent="0.25">
      <c r="A1072" s="2">
        <v>44692</v>
      </c>
      <c r="B1072" s="4" t="s">
        <v>21</v>
      </c>
      <c r="C1072">
        <v>1758</v>
      </c>
      <c r="D1072" t="s">
        <v>7</v>
      </c>
      <c r="E1072" t="str">
        <f>IF(may[[#This Row],[ShiftCounter]]&gt;0, "Running", "Down")</f>
        <v>Running</v>
      </c>
    </row>
    <row r="1073" spans="1:5" x14ac:dyDescent="0.25">
      <c r="A1073" s="2">
        <v>44692</v>
      </c>
      <c r="B1073" s="4" t="s">
        <v>21</v>
      </c>
      <c r="C1073">
        <v>1681</v>
      </c>
      <c r="D1073" t="s">
        <v>8</v>
      </c>
      <c r="E1073" t="str">
        <f>IF(may[[#This Row],[ShiftCounter]]&gt;0, "Running", "Down")</f>
        <v>Running</v>
      </c>
    </row>
    <row r="1074" spans="1:5" x14ac:dyDescent="0.25">
      <c r="A1074" s="2">
        <v>44692</v>
      </c>
      <c r="B1074" s="4" t="s">
        <v>22</v>
      </c>
      <c r="C1074">
        <v>2272</v>
      </c>
      <c r="D1074" t="s">
        <v>6</v>
      </c>
      <c r="E1074" t="str">
        <f>IF(may[[#This Row],[ShiftCounter]]&gt;0, "Running", "Down")</f>
        <v>Running</v>
      </c>
    </row>
    <row r="1075" spans="1:5" x14ac:dyDescent="0.25">
      <c r="A1075" s="2">
        <v>44692</v>
      </c>
      <c r="B1075" s="4" t="s">
        <v>22</v>
      </c>
      <c r="C1075">
        <v>1988</v>
      </c>
      <c r="D1075" t="s">
        <v>7</v>
      </c>
      <c r="E1075" t="str">
        <f>IF(may[[#This Row],[ShiftCounter]]&gt;0, "Running", "Down")</f>
        <v>Running</v>
      </c>
    </row>
    <row r="1076" spans="1:5" x14ac:dyDescent="0.25">
      <c r="A1076" s="2">
        <v>44692</v>
      </c>
      <c r="B1076" s="4" t="s">
        <v>22</v>
      </c>
      <c r="C1076">
        <v>1890</v>
      </c>
      <c r="D1076" t="s">
        <v>8</v>
      </c>
      <c r="E1076" t="str">
        <f>IF(may[[#This Row],[ShiftCounter]]&gt;0, "Running", "Down")</f>
        <v>Running</v>
      </c>
    </row>
    <row r="1077" spans="1:5" x14ac:dyDescent="0.25">
      <c r="A1077" s="2">
        <v>44692</v>
      </c>
      <c r="B1077" s="4" t="s">
        <v>23</v>
      </c>
      <c r="C1077">
        <v>2407</v>
      </c>
      <c r="D1077" t="s">
        <v>6</v>
      </c>
      <c r="E1077" t="str">
        <f>IF(may[[#This Row],[ShiftCounter]]&gt;0, "Running", "Down")</f>
        <v>Running</v>
      </c>
    </row>
    <row r="1078" spans="1:5" x14ac:dyDescent="0.25">
      <c r="A1078" s="2">
        <v>44692</v>
      </c>
      <c r="B1078" s="4" t="s">
        <v>23</v>
      </c>
      <c r="C1078">
        <v>2097</v>
      </c>
      <c r="D1078" t="s">
        <v>7</v>
      </c>
      <c r="E1078" t="str">
        <f>IF(may[[#This Row],[ShiftCounter]]&gt;0, "Running", "Down")</f>
        <v>Running</v>
      </c>
    </row>
    <row r="1079" spans="1:5" x14ac:dyDescent="0.25">
      <c r="A1079" s="2">
        <v>44692</v>
      </c>
      <c r="B1079" s="4" t="s">
        <v>23</v>
      </c>
      <c r="C1079">
        <v>1949</v>
      </c>
      <c r="D1079" t="s">
        <v>8</v>
      </c>
      <c r="E1079" t="str">
        <f>IF(may[[#This Row],[ShiftCounter]]&gt;0, "Running", "Down")</f>
        <v>Running</v>
      </c>
    </row>
    <row r="1080" spans="1:5" x14ac:dyDescent="0.25">
      <c r="A1080" s="2">
        <v>44692</v>
      </c>
      <c r="B1080" s="4" t="s">
        <v>24</v>
      </c>
      <c r="C1080">
        <v>2235</v>
      </c>
      <c r="D1080" t="s">
        <v>6</v>
      </c>
      <c r="E1080" t="str">
        <f>IF(may[[#This Row],[ShiftCounter]]&gt;0, "Running", "Down")</f>
        <v>Running</v>
      </c>
    </row>
    <row r="1081" spans="1:5" x14ac:dyDescent="0.25">
      <c r="A1081" s="2">
        <v>44692</v>
      </c>
      <c r="B1081" s="4" t="s">
        <v>24</v>
      </c>
      <c r="C1081">
        <v>1816</v>
      </c>
      <c r="D1081" t="s">
        <v>7</v>
      </c>
      <c r="E1081" t="str">
        <f>IF(may[[#This Row],[ShiftCounter]]&gt;0, "Running", "Down")</f>
        <v>Running</v>
      </c>
    </row>
    <row r="1082" spans="1:5" x14ac:dyDescent="0.25">
      <c r="A1082" s="2">
        <v>44692</v>
      </c>
      <c r="B1082" s="4" t="s">
        <v>24</v>
      </c>
      <c r="C1082">
        <v>1454</v>
      </c>
      <c r="D1082" t="s">
        <v>8</v>
      </c>
      <c r="E1082" t="str">
        <f>IF(may[[#This Row],[ShiftCounter]]&gt;0, "Running", "Down")</f>
        <v>Running</v>
      </c>
    </row>
    <row r="1083" spans="1:5" x14ac:dyDescent="0.25">
      <c r="A1083" s="2">
        <v>44692</v>
      </c>
      <c r="B1083" s="4" t="s">
        <v>25</v>
      </c>
      <c r="C1083">
        <v>2385</v>
      </c>
      <c r="D1083" t="s">
        <v>6</v>
      </c>
      <c r="E1083" t="str">
        <f>IF(may[[#This Row],[ShiftCounter]]&gt;0, "Running", "Down")</f>
        <v>Running</v>
      </c>
    </row>
    <row r="1084" spans="1:5" x14ac:dyDescent="0.25">
      <c r="A1084" s="2">
        <v>44692</v>
      </c>
      <c r="B1084" s="4" t="s">
        <v>25</v>
      </c>
      <c r="C1084">
        <v>2051</v>
      </c>
      <c r="D1084" t="s">
        <v>7</v>
      </c>
      <c r="E1084" t="str">
        <f>IF(may[[#This Row],[ShiftCounter]]&gt;0, "Running", "Down")</f>
        <v>Running</v>
      </c>
    </row>
    <row r="1085" spans="1:5" x14ac:dyDescent="0.25">
      <c r="A1085" s="2">
        <v>44692</v>
      </c>
      <c r="B1085" s="4" t="s">
        <v>25</v>
      </c>
      <c r="C1085">
        <v>1878</v>
      </c>
      <c r="D1085" t="s">
        <v>8</v>
      </c>
      <c r="E1085" t="str">
        <f>IF(may[[#This Row],[ShiftCounter]]&gt;0, "Running", "Down")</f>
        <v>Running</v>
      </c>
    </row>
    <row r="1086" spans="1:5" x14ac:dyDescent="0.25">
      <c r="A1086" s="2">
        <v>44692</v>
      </c>
      <c r="B1086" s="4" t="s">
        <v>26</v>
      </c>
      <c r="C1086">
        <v>2267</v>
      </c>
      <c r="D1086" t="s">
        <v>6</v>
      </c>
      <c r="E1086" t="str">
        <f>IF(may[[#This Row],[ShiftCounter]]&gt;0, "Running", "Down")</f>
        <v>Running</v>
      </c>
    </row>
    <row r="1087" spans="1:5" x14ac:dyDescent="0.25">
      <c r="A1087" s="2">
        <v>44692</v>
      </c>
      <c r="B1087" s="4" t="s">
        <v>26</v>
      </c>
      <c r="C1087">
        <v>2275</v>
      </c>
      <c r="D1087" t="s">
        <v>7</v>
      </c>
      <c r="E1087" t="str">
        <f>IF(may[[#This Row],[ShiftCounter]]&gt;0, "Running", "Down")</f>
        <v>Running</v>
      </c>
    </row>
    <row r="1088" spans="1:5" x14ac:dyDescent="0.25">
      <c r="A1088" s="2">
        <v>44692</v>
      </c>
      <c r="B1088" s="4" t="s">
        <v>26</v>
      </c>
      <c r="C1088">
        <v>1519</v>
      </c>
      <c r="D1088" t="s">
        <v>8</v>
      </c>
      <c r="E1088" t="str">
        <f>IF(may[[#This Row],[ShiftCounter]]&gt;0, "Running", "Down")</f>
        <v>Running</v>
      </c>
    </row>
    <row r="1089" spans="1:5" x14ac:dyDescent="0.25">
      <c r="A1089" s="2">
        <v>44692</v>
      </c>
      <c r="B1089" s="4" t="s">
        <v>27</v>
      </c>
      <c r="C1089">
        <v>2319</v>
      </c>
      <c r="D1089" t="s">
        <v>6</v>
      </c>
      <c r="E1089" t="str">
        <f>IF(may[[#This Row],[ShiftCounter]]&gt;0, "Running", "Down")</f>
        <v>Running</v>
      </c>
    </row>
    <row r="1090" spans="1:5" x14ac:dyDescent="0.25">
      <c r="A1090" s="2">
        <v>44692</v>
      </c>
      <c r="B1090" s="4" t="s">
        <v>27</v>
      </c>
      <c r="C1090">
        <v>1818</v>
      </c>
      <c r="D1090" t="s">
        <v>7</v>
      </c>
      <c r="E1090" t="str">
        <f>IF(may[[#This Row],[ShiftCounter]]&gt;0, "Running", "Down")</f>
        <v>Running</v>
      </c>
    </row>
    <row r="1091" spans="1:5" x14ac:dyDescent="0.25">
      <c r="A1091" s="2">
        <v>44692</v>
      </c>
      <c r="B1091" s="4" t="s">
        <v>27</v>
      </c>
      <c r="C1091">
        <v>1819</v>
      </c>
      <c r="D1091" t="s">
        <v>8</v>
      </c>
      <c r="E1091" t="str">
        <f>IF(may[[#This Row],[ShiftCounter]]&gt;0, "Running", "Down")</f>
        <v>Running</v>
      </c>
    </row>
    <row r="1092" spans="1:5" x14ac:dyDescent="0.25">
      <c r="A1092" s="2">
        <v>44692</v>
      </c>
      <c r="B1092" s="4" t="s">
        <v>28</v>
      </c>
      <c r="C1092">
        <v>2185</v>
      </c>
      <c r="D1092" t="s">
        <v>6</v>
      </c>
      <c r="E1092" t="str">
        <f>IF(may[[#This Row],[ShiftCounter]]&gt;0, "Running", "Down")</f>
        <v>Running</v>
      </c>
    </row>
    <row r="1093" spans="1:5" x14ac:dyDescent="0.25">
      <c r="A1093" s="2">
        <v>44692</v>
      </c>
      <c r="B1093" s="4" t="s">
        <v>28</v>
      </c>
      <c r="C1093">
        <v>1786</v>
      </c>
      <c r="D1093" t="s">
        <v>7</v>
      </c>
      <c r="E1093" t="str">
        <f>IF(may[[#This Row],[ShiftCounter]]&gt;0, "Running", "Down")</f>
        <v>Running</v>
      </c>
    </row>
    <row r="1094" spans="1:5" x14ac:dyDescent="0.25">
      <c r="A1094" s="2">
        <v>44692</v>
      </c>
      <c r="B1094" s="4" t="s">
        <v>28</v>
      </c>
      <c r="C1094">
        <v>1787</v>
      </c>
      <c r="D1094" t="s">
        <v>8</v>
      </c>
      <c r="E1094" t="str">
        <f>IF(may[[#This Row],[ShiftCounter]]&gt;0, "Running", "Down")</f>
        <v>Running</v>
      </c>
    </row>
    <row r="1095" spans="1:5" x14ac:dyDescent="0.25">
      <c r="A1095" s="2">
        <v>44692</v>
      </c>
      <c r="B1095" s="4" t="s">
        <v>29</v>
      </c>
      <c r="C1095">
        <v>2006</v>
      </c>
      <c r="D1095" t="s">
        <v>6</v>
      </c>
      <c r="E1095" t="str">
        <f>IF(may[[#This Row],[ShiftCounter]]&gt;0, "Running", "Down")</f>
        <v>Running</v>
      </c>
    </row>
    <row r="1096" spans="1:5" x14ac:dyDescent="0.25">
      <c r="A1096" s="2">
        <v>44692</v>
      </c>
      <c r="B1096" s="4" t="s">
        <v>29</v>
      </c>
      <c r="C1096">
        <v>1624</v>
      </c>
      <c r="D1096" t="s">
        <v>7</v>
      </c>
      <c r="E1096" t="str">
        <f>IF(may[[#This Row],[ShiftCounter]]&gt;0, "Running", "Down")</f>
        <v>Running</v>
      </c>
    </row>
    <row r="1097" spans="1:5" x14ac:dyDescent="0.25">
      <c r="A1097" s="2">
        <v>44692</v>
      </c>
      <c r="B1097" s="4" t="s">
        <v>29</v>
      </c>
      <c r="C1097">
        <v>1625</v>
      </c>
      <c r="D1097" t="s">
        <v>8</v>
      </c>
      <c r="E1097" t="str">
        <f>IF(may[[#This Row],[ShiftCounter]]&gt;0, "Running", "Down")</f>
        <v>Running</v>
      </c>
    </row>
    <row r="1098" spans="1:5" x14ac:dyDescent="0.25">
      <c r="A1098" s="2">
        <v>44692</v>
      </c>
      <c r="B1098" s="4" t="s">
        <v>30</v>
      </c>
      <c r="C1098">
        <v>2172</v>
      </c>
      <c r="D1098" t="s">
        <v>6</v>
      </c>
      <c r="E1098" t="str">
        <f>IF(may[[#This Row],[ShiftCounter]]&gt;0, "Running", "Down")</f>
        <v>Running</v>
      </c>
    </row>
    <row r="1099" spans="1:5" x14ac:dyDescent="0.25">
      <c r="A1099" s="2">
        <v>44692</v>
      </c>
      <c r="B1099" s="4" t="s">
        <v>30</v>
      </c>
      <c r="C1099">
        <v>1983</v>
      </c>
      <c r="D1099" t="s">
        <v>7</v>
      </c>
      <c r="E1099" t="str">
        <f>IF(may[[#This Row],[ShiftCounter]]&gt;0, "Running", "Down")</f>
        <v>Running</v>
      </c>
    </row>
    <row r="1100" spans="1:5" x14ac:dyDescent="0.25">
      <c r="A1100" s="2">
        <v>44692</v>
      </c>
      <c r="B1100" s="4" t="s">
        <v>30</v>
      </c>
      <c r="C1100">
        <v>1984</v>
      </c>
      <c r="D1100" t="s">
        <v>8</v>
      </c>
      <c r="E1100" t="str">
        <f>IF(may[[#This Row],[ShiftCounter]]&gt;0, "Running", "Down")</f>
        <v>Running</v>
      </c>
    </row>
    <row r="1101" spans="1:5" x14ac:dyDescent="0.25">
      <c r="A1101" s="2">
        <v>44692</v>
      </c>
      <c r="B1101" s="4" t="s">
        <v>31</v>
      </c>
      <c r="C1101">
        <v>2157</v>
      </c>
      <c r="D1101" t="s">
        <v>6</v>
      </c>
      <c r="E1101" t="str">
        <f>IF(may[[#This Row],[ShiftCounter]]&gt;0, "Running", "Down")</f>
        <v>Running</v>
      </c>
    </row>
    <row r="1102" spans="1:5" x14ac:dyDescent="0.25">
      <c r="A1102" s="2">
        <v>44692</v>
      </c>
      <c r="B1102" s="4" t="s">
        <v>31</v>
      </c>
      <c r="C1102">
        <v>1788</v>
      </c>
      <c r="D1102" t="s">
        <v>7</v>
      </c>
      <c r="E1102" t="str">
        <f>IF(may[[#This Row],[ShiftCounter]]&gt;0, "Running", "Down")</f>
        <v>Running</v>
      </c>
    </row>
    <row r="1103" spans="1:5" x14ac:dyDescent="0.25">
      <c r="A1103" s="2">
        <v>44692</v>
      </c>
      <c r="B1103" s="4" t="s">
        <v>31</v>
      </c>
      <c r="C1103">
        <v>1788</v>
      </c>
      <c r="D1103" t="s">
        <v>8</v>
      </c>
      <c r="E1103" t="str">
        <f>IF(may[[#This Row],[ShiftCounter]]&gt;0, "Running", "Down")</f>
        <v>Running</v>
      </c>
    </row>
    <row r="1104" spans="1:5" x14ac:dyDescent="0.25">
      <c r="A1104" s="2">
        <v>44692</v>
      </c>
      <c r="B1104" s="4" t="s">
        <v>32</v>
      </c>
      <c r="C1104">
        <v>2972</v>
      </c>
      <c r="D1104" t="s">
        <v>6</v>
      </c>
      <c r="E1104" t="str">
        <f>IF(may[[#This Row],[ShiftCounter]]&gt;0, "Running", "Down")</f>
        <v>Running</v>
      </c>
    </row>
    <row r="1105" spans="1:5" x14ac:dyDescent="0.25">
      <c r="A1105" s="2">
        <v>44692</v>
      </c>
      <c r="B1105" s="4" t="s">
        <v>32</v>
      </c>
      <c r="C1105">
        <v>1659</v>
      </c>
      <c r="D1105" t="s">
        <v>7</v>
      </c>
      <c r="E1105" t="str">
        <f>IF(may[[#This Row],[ShiftCounter]]&gt;0, "Running", "Down")</f>
        <v>Running</v>
      </c>
    </row>
    <row r="1106" spans="1:5" x14ac:dyDescent="0.25">
      <c r="A1106" s="2">
        <v>44692</v>
      </c>
      <c r="B1106" s="4" t="s">
        <v>32</v>
      </c>
      <c r="C1106">
        <v>1660</v>
      </c>
      <c r="D1106" t="s">
        <v>8</v>
      </c>
      <c r="E1106" t="str">
        <f>IF(may[[#This Row],[ShiftCounter]]&gt;0, "Running", "Down")</f>
        <v>Running</v>
      </c>
    </row>
    <row r="1107" spans="1:5" x14ac:dyDescent="0.25">
      <c r="A1107" s="2">
        <v>44692</v>
      </c>
      <c r="B1107" s="4" t="s">
        <v>33</v>
      </c>
      <c r="C1107">
        <v>2475</v>
      </c>
      <c r="D1107" t="s">
        <v>6</v>
      </c>
      <c r="E1107" t="str">
        <f>IF(may[[#This Row],[ShiftCounter]]&gt;0, "Running", "Down")</f>
        <v>Running</v>
      </c>
    </row>
    <row r="1108" spans="1:5" x14ac:dyDescent="0.25">
      <c r="A1108" s="2">
        <v>44692</v>
      </c>
      <c r="B1108" s="4" t="s">
        <v>33</v>
      </c>
      <c r="C1108">
        <v>2075</v>
      </c>
      <c r="D1108" t="s">
        <v>7</v>
      </c>
      <c r="E1108" t="str">
        <f>IF(may[[#This Row],[ShiftCounter]]&gt;0, "Running", "Down")</f>
        <v>Running</v>
      </c>
    </row>
    <row r="1109" spans="1:5" x14ac:dyDescent="0.25">
      <c r="A1109" s="2">
        <v>44692</v>
      </c>
      <c r="B1109" s="4" t="s">
        <v>33</v>
      </c>
      <c r="C1109">
        <v>2082</v>
      </c>
      <c r="D1109" t="s">
        <v>8</v>
      </c>
      <c r="E1109" t="str">
        <f>IF(may[[#This Row],[ShiftCounter]]&gt;0, "Running", "Down")</f>
        <v>Running</v>
      </c>
    </row>
    <row r="1110" spans="1:5" x14ac:dyDescent="0.25">
      <c r="A1110" s="2">
        <v>44692</v>
      </c>
      <c r="B1110" s="4" t="s">
        <v>34</v>
      </c>
      <c r="C1110">
        <v>2014</v>
      </c>
      <c r="D1110" t="s">
        <v>6</v>
      </c>
      <c r="E1110" t="str">
        <f>IF(may[[#This Row],[ShiftCounter]]&gt;0, "Running", "Down")</f>
        <v>Running</v>
      </c>
    </row>
    <row r="1111" spans="1:5" x14ac:dyDescent="0.25">
      <c r="A1111" s="2">
        <v>44692</v>
      </c>
      <c r="B1111" s="4" t="s">
        <v>34</v>
      </c>
      <c r="C1111">
        <v>1328</v>
      </c>
      <c r="D1111" t="s">
        <v>7</v>
      </c>
      <c r="E1111" t="str">
        <f>IF(may[[#This Row],[ShiftCounter]]&gt;0, "Running", "Down")</f>
        <v>Running</v>
      </c>
    </row>
    <row r="1112" spans="1:5" x14ac:dyDescent="0.25">
      <c r="A1112" s="2">
        <v>44692</v>
      </c>
      <c r="B1112" s="4" t="s">
        <v>34</v>
      </c>
      <c r="C1112">
        <v>1602</v>
      </c>
      <c r="D1112" t="s">
        <v>8</v>
      </c>
      <c r="E1112" t="str">
        <f>IF(may[[#This Row],[ShiftCounter]]&gt;0, "Running", "Down")</f>
        <v>Running</v>
      </c>
    </row>
    <row r="1113" spans="1:5" x14ac:dyDescent="0.25">
      <c r="A1113" s="2">
        <v>44692</v>
      </c>
      <c r="B1113" s="4" t="s">
        <v>35</v>
      </c>
      <c r="C1113">
        <v>2486</v>
      </c>
      <c r="D1113" t="s">
        <v>6</v>
      </c>
      <c r="E1113" t="str">
        <f>IF(may[[#This Row],[ShiftCounter]]&gt;0, "Running", "Down")</f>
        <v>Running</v>
      </c>
    </row>
    <row r="1114" spans="1:5" x14ac:dyDescent="0.25">
      <c r="A1114" s="2">
        <v>44692</v>
      </c>
      <c r="B1114" s="4" t="s">
        <v>35</v>
      </c>
      <c r="C1114">
        <v>2199</v>
      </c>
      <c r="D1114" t="s">
        <v>7</v>
      </c>
      <c r="E1114" t="str">
        <f>IF(may[[#This Row],[ShiftCounter]]&gt;0, "Running", "Down")</f>
        <v>Running</v>
      </c>
    </row>
    <row r="1115" spans="1:5" x14ac:dyDescent="0.25">
      <c r="A1115" s="2">
        <v>44692</v>
      </c>
      <c r="B1115" s="4" t="s">
        <v>35</v>
      </c>
      <c r="C1115">
        <v>2224</v>
      </c>
      <c r="D1115" t="s">
        <v>8</v>
      </c>
      <c r="E1115" t="str">
        <f>IF(may[[#This Row],[ShiftCounter]]&gt;0, "Running", "Down")</f>
        <v>Running</v>
      </c>
    </row>
    <row r="1116" spans="1:5" x14ac:dyDescent="0.25">
      <c r="A1116" s="2">
        <v>44692</v>
      </c>
      <c r="B1116" s="4" t="s">
        <v>36</v>
      </c>
      <c r="C1116">
        <v>2252</v>
      </c>
      <c r="D1116" t="s">
        <v>6</v>
      </c>
      <c r="E1116" t="str">
        <f>IF(may[[#This Row],[ShiftCounter]]&gt;0, "Running", "Down")</f>
        <v>Running</v>
      </c>
    </row>
    <row r="1117" spans="1:5" x14ac:dyDescent="0.25">
      <c r="A1117" s="2">
        <v>44692</v>
      </c>
      <c r="B1117" s="4" t="s">
        <v>36</v>
      </c>
      <c r="C1117">
        <v>1809</v>
      </c>
      <c r="D1117" t="s">
        <v>7</v>
      </c>
      <c r="E1117" t="str">
        <f>IF(may[[#This Row],[ShiftCounter]]&gt;0, "Running", "Down")</f>
        <v>Running</v>
      </c>
    </row>
    <row r="1118" spans="1:5" x14ac:dyDescent="0.25">
      <c r="A1118" s="2">
        <v>44692</v>
      </c>
      <c r="B1118" s="4" t="s">
        <v>36</v>
      </c>
      <c r="C1118">
        <v>2021</v>
      </c>
      <c r="D1118" t="s">
        <v>8</v>
      </c>
      <c r="E1118" t="str">
        <f>IF(may[[#This Row],[ShiftCounter]]&gt;0, "Running", "Down")</f>
        <v>Running</v>
      </c>
    </row>
    <row r="1119" spans="1:5" x14ac:dyDescent="0.25">
      <c r="A1119" s="2">
        <v>44692</v>
      </c>
      <c r="B1119" s="4" t="s">
        <v>37</v>
      </c>
      <c r="C1119">
        <v>1968</v>
      </c>
      <c r="D1119" t="s">
        <v>6</v>
      </c>
      <c r="E1119" t="str">
        <f>IF(may[[#This Row],[ShiftCounter]]&gt;0, "Running", "Down")</f>
        <v>Running</v>
      </c>
    </row>
    <row r="1120" spans="1:5" x14ac:dyDescent="0.25">
      <c r="A1120" s="2">
        <v>44692</v>
      </c>
      <c r="B1120" s="4" t="s">
        <v>37</v>
      </c>
      <c r="C1120">
        <v>1898</v>
      </c>
      <c r="D1120" t="s">
        <v>7</v>
      </c>
      <c r="E1120" t="str">
        <f>IF(may[[#This Row],[ShiftCounter]]&gt;0, "Running", "Down")</f>
        <v>Running</v>
      </c>
    </row>
    <row r="1121" spans="1:5" x14ac:dyDescent="0.25">
      <c r="A1121" s="2">
        <v>44692</v>
      </c>
      <c r="B1121" s="4" t="s">
        <v>37</v>
      </c>
      <c r="C1121">
        <v>2233</v>
      </c>
      <c r="D1121" t="s">
        <v>8</v>
      </c>
      <c r="E1121" t="str">
        <f>IF(may[[#This Row],[ShiftCounter]]&gt;0, "Running", "Down")</f>
        <v>Running</v>
      </c>
    </row>
    <row r="1122" spans="1:5" x14ac:dyDescent="0.25">
      <c r="A1122" s="10">
        <v>44693</v>
      </c>
      <c r="B1122" s="11" t="s">
        <v>40</v>
      </c>
      <c r="C1122">
        <v>1586</v>
      </c>
      <c r="D1122" t="s">
        <v>6</v>
      </c>
      <c r="E1122" t="str">
        <f>IF(may[[#This Row],[ShiftCounter]]&gt;0, "Running", "Down")</f>
        <v>Running</v>
      </c>
    </row>
    <row r="1123" spans="1:5" x14ac:dyDescent="0.25">
      <c r="A1123" s="10">
        <v>44693</v>
      </c>
      <c r="B1123" s="11" t="s">
        <v>40</v>
      </c>
      <c r="C1123">
        <v>2261</v>
      </c>
      <c r="D1123" t="s">
        <v>7</v>
      </c>
      <c r="E1123" t="str">
        <f>IF(may[[#This Row],[ShiftCounter]]&gt;0, "Running", "Down")</f>
        <v>Running</v>
      </c>
    </row>
    <row r="1124" spans="1:5" x14ac:dyDescent="0.25">
      <c r="A1124" s="10">
        <v>44693</v>
      </c>
      <c r="B1124" s="11" t="s">
        <v>40</v>
      </c>
      <c r="C1124">
        <v>1993</v>
      </c>
      <c r="D1124" t="s">
        <v>8</v>
      </c>
      <c r="E1124" t="str">
        <f>IF(may[[#This Row],[ShiftCounter]]&gt;0, "Running", "Down")</f>
        <v>Running</v>
      </c>
    </row>
    <row r="1125" spans="1:5" x14ac:dyDescent="0.25">
      <c r="A1125" s="10">
        <v>44693</v>
      </c>
      <c r="B1125" s="11" t="s">
        <v>39</v>
      </c>
      <c r="C1125">
        <v>2057</v>
      </c>
      <c r="D1125" t="s">
        <v>6</v>
      </c>
      <c r="E1125" t="str">
        <f>IF(may[[#This Row],[ShiftCounter]]&gt;0, "Running", "Down")</f>
        <v>Running</v>
      </c>
    </row>
    <row r="1126" spans="1:5" x14ac:dyDescent="0.25">
      <c r="A1126" s="10">
        <v>44693</v>
      </c>
      <c r="B1126" s="11" t="s">
        <v>39</v>
      </c>
      <c r="C1126">
        <v>2006</v>
      </c>
      <c r="D1126" t="s">
        <v>7</v>
      </c>
      <c r="E1126" t="str">
        <f>IF(may[[#This Row],[ShiftCounter]]&gt;0, "Running", "Down")</f>
        <v>Running</v>
      </c>
    </row>
    <row r="1127" spans="1:5" x14ac:dyDescent="0.25">
      <c r="A1127" s="10">
        <v>44693</v>
      </c>
      <c r="B1127" s="11" t="s">
        <v>39</v>
      </c>
      <c r="C1127">
        <v>1740</v>
      </c>
      <c r="D1127" t="s">
        <v>8</v>
      </c>
      <c r="E1127" t="str">
        <f>IF(may[[#This Row],[ShiftCounter]]&gt;0, "Running", "Down")</f>
        <v>Running</v>
      </c>
    </row>
    <row r="1128" spans="1:5" x14ac:dyDescent="0.25">
      <c r="A1128" s="10">
        <v>44693</v>
      </c>
      <c r="B1128" s="11" t="s">
        <v>41</v>
      </c>
      <c r="C1128">
        <v>2507</v>
      </c>
      <c r="D1128" t="s">
        <v>6</v>
      </c>
      <c r="E1128" t="str">
        <f>IF(may[[#This Row],[ShiftCounter]]&gt;0, "Running", "Down")</f>
        <v>Running</v>
      </c>
    </row>
    <row r="1129" spans="1:5" x14ac:dyDescent="0.25">
      <c r="A1129" s="10">
        <v>44693</v>
      </c>
      <c r="B1129" s="11" t="s">
        <v>41</v>
      </c>
      <c r="C1129">
        <v>2292</v>
      </c>
      <c r="D1129" t="s">
        <v>7</v>
      </c>
      <c r="E1129" t="str">
        <f>IF(may[[#This Row],[ShiftCounter]]&gt;0, "Running", "Down")</f>
        <v>Running</v>
      </c>
    </row>
    <row r="1130" spans="1:5" x14ac:dyDescent="0.25">
      <c r="A1130" s="10">
        <v>44693</v>
      </c>
      <c r="B1130" s="11" t="s">
        <v>41</v>
      </c>
      <c r="C1130">
        <v>1840</v>
      </c>
      <c r="D1130" t="s">
        <v>8</v>
      </c>
      <c r="E1130" t="str">
        <f>IF(may[[#This Row],[ShiftCounter]]&gt;0, "Running", "Down")</f>
        <v>Running</v>
      </c>
    </row>
    <row r="1131" spans="1:5" x14ac:dyDescent="0.25">
      <c r="A1131" s="10">
        <v>44693</v>
      </c>
      <c r="B1131" s="11" t="s">
        <v>5</v>
      </c>
      <c r="C1131">
        <v>2314</v>
      </c>
      <c r="D1131" t="s">
        <v>6</v>
      </c>
      <c r="E1131" t="str">
        <f>IF(may[[#This Row],[ShiftCounter]]&gt;0, "Running", "Down")</f>
        <v>Running</v>
      </c>
    </row>
    <row r="1132" spans="1:5" x14ac:dyDescent="0.25">
      <c r="A1132" s="10">
        <v>44693</v>
      </c>
      <c r="B1132" s="11" t="s">
        <v>5</v>
      </c>
      <c r="C1132">
        <v>2160</v>
      </c>
      <c r="D1132" t="s">
        <v>7</v>
      </c>
      <c r="E1132" t="str">
        <f>IF(may[[#This Row],[ShiftCounter]]&gt;0, "Running", "Down")</f>
        <v>Running</v>
      </c>
    </row>
    <row r="1133" spans="1:5" x14ac:dyDescent="0.25">
      <c r="A1133" s="10">
        <v>44693</v>
      </c>
      <c r="B1133" s="11" t="s">
        <v>5</v>
      </c>
      <c r="C1133">
        <v>2040</v>
      </c>
      <c r="D1133" t="s">
        <v>8</v>
      </c>
      <c r="E1133" t="str">
        <f>IF(may[[#This Row],[ShiftCounter]]&gt;0, "Running", "Down")</f>
        <v>Running</v>
      </c>
    </row>
    <row r="1134" spans="1:5" x14ac:dyDescent="0.25">
      <c r="A1134" s="10">
        <v>44693</v>
      </c>
      <c r="B1134" s="11" t="s">
        <v>9</v>
      </c>
      <c r="C1134">
        <v>2423</v>
      </c>
      <c r="D1134" t="s">
        <v>6</v>
      </c>
      <c r="E1134" t="str">
        <f>IF(may[[#This Row],[ShiftCounter]]&gt;0, "Running", "Down")</f>
        <v>Running</v>
      </c>
    </row>
    <row r="1135" spans="1:5" x14ac:dyDescent="0.25">
      <c r="A1135" s="10">
        <v>44693</v>
      </c>
      <c r="B1135" s="11" t="s">
        <v>9</v>
      </c>
      <c r="C1135">
        <v>2305</v>
      </c>
      <c r="D1135" t="s">
        <v>7</v>
      </c>
      <c r="E1135" t="str">
        <f>IF(may[[#This Row],[ShiftCounter]]&gt;0, "Running", "Down")</f>
        <v>Running</v>
      </c>
    </row>
    <row r="1136" spans="1:5" x14ac:dyDescent="0.25">
      <c r="A1136" s="10">
        <v>44693</v>
      </c>
      <c r="B1136" s="11" t="s">
        <v>9</v>
      </c>
      <c r="C1136">
        <v>2062</v>
      </c>
      <c r="D1136" t="s">
        <v>8</v>
      </c>
      <c r="E1136" t="str">
        <f>IF(may[[#This Row],[ShiftCounter]]&gt;0, "Running", "Down")</f>
        <v>Running</v>
      </c>
    </row>
    <row r="1137" spans="1:5" x14ac:dyDescent="0.25">
      <c r="A1137" s="10">
        <v>44693</v>
      </c>
      <c r="B1137" s="11" t="s">
        <v>10</v>
      </c>
      <c r="C1137">
        <v>2346</v>
      </c>
      <c r="D1137" t="s">
        <v>6</v>
      </c>
      <c r="E1137" t="str">
        <f>IF(may[[#This Row],[ShiftCounter]]&gt;0, "Running", "Down")</f>
        <v>Running</v>
      </c>
    </row>
    <row r="1138" spans="1:5" x14ac:dyDescent="0.25">
      <c r="A1138" s="10">
        <v>44693</v>
      </c>
      <c r="B1138" s="11" t="s">
        <v>10</v>
      </c>
      <c r="C1138">
        <v>2245</v>
      </c>
      <c r="D1138" t="s">
        <v>7</v>
      </c>
      <c r="E1138" t="str">
        <f>IF(may[[#This Row],[ShiftCounter]]&gt;0, "Running", "Down")</f>
        <v>Running</v>
      </c>
    </row>
    <row r="1139" spans="1:5" x14ac:dyDescent="0.25">
      <c r="A1139" s="10">
        <v>44693</v>
      </c>
      <c r="B1139" s="11" t="s">
        <v>10</v>
      </c>
      <c r="C1139">
        <v>2030</v>
      </c>
      <c r="D1139" t="s">
        <v>8</v>
      </c>
      <c r="E1139" t="str">
        <f>IF(may[[#This Row],[ShiftCounter]]&gt;0, "Running", "Down")</f>
        <v>Running</v>
      </c>
    </row>
    <row r="1140" spans="1:5" x14ac:dyDescent="0.25">
      <c r="A1140" s="10">
        <v>44693</v>
      </c>
      <c r="B1140" s="11" t="s">
        <v>11</v>
      </c>
      <c r="C1140">
        <v>2472</v>
      </c>
      <c r="D1140" t="s">
        <v>6</v>
      </c>
      <c r="E1140" t="str">
        <f>IF(may[[#This Row],[ShiftCounter]]&gt;0, "Running", "Down")</f>
        <v>Running</v>
      </c>
    </row>
    <row r="1141" spans="1:5" x14ac:dyDescent="0.25">
      <c r="A1141" s="10">
        <v>44693</v>
      </c>
      <c r="B1141" s="11" t="s">
        <v>11</v>
      </c>
      <c r="C1141">
        <v>2053</v>
      </c>
      <c r="D1141" t="s">
        <v>7</v>
      </c>
      <c r="E1141" t="str">
        <f>IF(may[[#This Row],[ShiftCounter]]&gt;0, "Running", "Down")</f>
        <v>Running</v>
      </c>
    </row>
    <row r="1142" spans="1:5" x14ac:dyDescent="0.25">
      <c r="A1142" s="10">
        <v>44693</v>
      </c>
      <c r="B1142" s="11" t="s">
        <v>11</v>
      </c>
      <c r="C1142">
        <v>2106</v>
      </c>
      <c r="D1142" t="s">
        <v>8</v>
      </c>
      <c r="E1142" t="str">
        <f>IF(may[[#This Row],[ShiftCounter]]&gt;0, "Running", "Down")</f>
        <v>Running</v>
      </c>
    </row>
    <row r="1143" spans="1:5" x14ac:dyDescent="0.25">
      <c r="A1143" s="10">
        <v>44693</v>
      </c>
      <c r="B1143" s="11" t="s">
        <v>120</v>
      </c>
      <c r="C1143">
        <v>1090</v>
      </c>
      <c r="D1143" t="s">
        <v>6</v>
      </c>
      <c r="E1143" t="str">
        <f>IF(may[[#This Row],[ShiftCounter]]&gt;0, "Running", "Down")</f>
        <v>Running</v>
      </c>
    </row>
    <row r="1144" spans="1:5" x14ac:dyDescent="0.25">
      <c r="A1144" s="10">
        <v>44693</v>
      </c>
      <c r="B1144" s="11" t="s">
        <v>120</v>
      </c>
      <c r="C1144">
        <v>1089</v>
      </c>
      <c r="D1144" t="s">
        <v>7</v>
      </c>
      <c r="E1144" t="str">
        <f>IF(may[[#This Row],[ShiftCounter]]&gt;0, "Running", "Down")</f>
        <v>Running</v>
      </c>
    </row>
    <row r="1145" spans="1:5" x14ac:dyDescent="0.25">
      <c r="A1145" s="10">
        <v>44693</v>
      </c>
      <c r="B1145" s="11" t="s">
        <v>120</v>
      </c>
      <c r="C1145">
        <v>1512</v>
      </c>
      <c r="D1145" t="s">
        <v>8</v>
      </c>
      <c r="E1145" t="str">
        <f>IF(may[[#This Row],[ShiftCounter]]&gt;0, "Running", "Down")</f>
        <v>Running</v>
      </c>
    </row>
    <row r="1146" spans="1:5" x14ac:dyDescent="0.25">
      <c r="A1146" s="10">
        <v>44693</v>
      </c>
      <c r="B1146" s="11" t="s">
        <v>12</v>
      </c>
      <c r="C1146">
        <v>1508</v>
      </c>
      <c r="D1146" t="s">
        <v>6</v>
      </c>
      <c r="E1146" t="str">
        <f>IF(may[[#This Row],[ShiftCounter]]&gt;0, "Running", "Down")</f>
        <v>Running</v>
      </c>
    </row>
    <row r="1147" spans="1:5" x14ac:dyDescent="0.25">
      <c r="A1147" s="10">
        <v>44693</v>
      </c>
      <c r="B1147" s="11" t="s">
        <v>12</v>
      </c>
      <c r="C1147">
        <v>2092</v>
      </c>
      <c r="D1147" t="s">
        <v>7</v>
      </c>
      <c r="E1147" t="str">
        <f>IF(may[[#This Row],[ShiftCounter]]&gt;0, "Running", "Down")</f>
        <v>Running</v>
      </c>
    </row>
    <row r="1148" spans="1:5" x14ac:dyDescent="0.25">
      <c r="A1148" s="10">
        <v>44693</v>
      </c>
      <c r="B1148" s="11" t="s">
        <v>12</v>
      </c>
      <c r="C1148">
        <v>1865</v>
      </c>
      <c r="D1148" t="s">
        <v>8</v>
      </c>
      <c r="E1148" t="str">
        <f>IF(may[[#This Row],[ShiftCounter]]&gt;0, "Running", "Down")</f>
        <v>Running</v>
      </c>
    </row>
    <row r="1149" spans="1:5" x14ac:dyDescent="0.25">
      <c r="A1149" s="10">
        <v>44693</v>
      </c>
      <c r="B1149" s="11" t="s">
        <v>15</v>
      </c>
      <c r="C1149">
        <v>2203</v>
      </c>
      <c r="D1149" t="s">
        <v>6</v>
      </c>
      <c r="E1149" t="str">
        <f>IF(may[[#This Row],[ShiftCounter]]&gt;0, "Running", "Down")</f>
        <v>Running</v>
      </c>
    </row>
    <row r="1150" spans="1:5" x14ac:dyDescent="0.25">
      <c r="A1150" s="10">
        <v>44693</v>
      </c>
      <c r="B1150" s="11" t="s">
        <v>15</v>
      </c>
      <c r="C1150">
        <v>1946</v>
      </c>
      <c r="D1150" t="s">
        <v>7</v>
      </c>
      <c r="E1150" t="str">
        <f>IF(may[[#This Row],[ShiftCounter]]&gt;0, "Running", "Down")</f>
        <v>Running</v>
      </c>
    </row>
    <row r="1151" spans="1:5" x14ac:dyDescent="0.25">
      <c r="A1151" s="10">
        <v>44693</v>
      </c>
      <c r="B1151" s="11" t="s">
        <v>15</v>
      </c>
      <c r="C1151">
        <v>1904</v>
      </c>
      <c r="D1151" t="s">
        <v>8</v>
      </c>
      <c r="E1151" t="str">
        <f>IF(may[[#This Row],[ShiftCounter]]&gt;0, "Running", "Down")</f>
        <v>Running</v>
      </c>
    </row>
    <row r="1152" spans="1:5" x14ac:dyDescent="0.25">
      <c r="A1152" s="10">
        <v>44693</v>
      </c>
      <c r="B1152" s="11" t="s">
        <v>114</v>
      </c>
      <c r="C1152">
        <v>3396</v>
      </c>
      <c r="D1152" t="s">
        <v>6</v>
      </c>
      <c r="E1152" t="str">
        <f>IF(may[[#This Row],[ShiftCounter]]&gt;0, "Running", "Down")</f>
        <v>Running</v>
      </c>
    </row>
    <row r="1153" spans="1:5" x14ac:dyDescent="0.25">
      <c r="A1153" s="10">
        <v>44693</v>
      </c>
      <c r="B1153" s="11" t="s">
        <v>114</v>
      </c>
      <c r="C1153">
        <v>3396</v>
      </c>
      <c r="D1153" t="s">
        <v>7</v>
      </c>
      <c r="E1153" t="str">
        <f>IF(may[[#This Row],[ShiftCounter]]&gt;0, "Running", "Down")</f>
        <v>Running</v>
      </c>
    </row>
    <row r="1154" spans="1:5" x14ac:dyDescent="0.25">
      <c r="A1154" s="10">
        <v>44693</v>
      </c>
      <c r="B1154" s="11" t="s">
        <v>114</v>
      </c>
      <c r="C1154">
        <v>1705</v>
      </c>
      <c r="D1154" t="s">
        <v>8</v>
      </c>
      <c r="E1154" t="str">
        <f>IF(may[[#This Row],[ShiftCounter]]&gt;0, "Running", "Down")</f>
        <v>Running</v>
      </c>
    </row>
    <row r="1155" spans="1:5" x14ac:dyDescent="0.25">
      <c r="A1155" s="10">
        <v>44693</v>
      </c>
      <c r="B1155" s="11" t="s">
        <v>13</v>
      </c>
      <c r="C1155">
        <v>2358</v>
      </c>
      <c r="D1155" t="s">
        <v>6</v>
      </c>
      <c r="E1155" t="str">
        <f>IF(may[[#This Row],[ShiftCounter]]&gt;0, "Running", "Down")</f>
        <v>Running</v>
      </c>
    </row>
    <row r="1156" spans="1:5" x14ac:dyDescent="0.25">
      <c r="A1156" s="10">
        <v>44693</v>
      </c>
      <c r="B1156" s="11" t="s">
        <v>13</v>
      </c>
      <c r="C1156">
        <v>2132</v>
      </c>
      <c r="D1156" t="s">
        <v>7</v>
      </c>
      <c r="E1156" t="str">
        <f>IF(may[[#This Row],[ShiftCounter]]&gt;0, "Running", "Down")</f>
        <v>Running</v>
      </c>
    </row>
    <row r="1157" spans="1:5" x14ac:dyDescent="0.25">
      <c r="A1157" s="10">
        <v>44693</v>
      </c>
      <c r="B1157" s="11" t="s">
        <v>13</v>
      </c>
      <c r="C1157">
        <v>1938</v>
      </c>
      <c r="D1157" t="s">
        <v>8</v>
      </c>
      <c r="E1157" t="str">
        <f>IF(may[[#This Row],[ShiftCounter]]&gt;0, "Running", "Down")</f>
        <v>Running</v>
      </c>
    </row>
    <row r="1158" spans="1:5" x14ac:dyDescent="0.25">
      <c r="A1158" s="10">
        <v>44693</v>
      </c>
      <c r="B1158" s="11" t="s">
        <v>14</v>
      </c>
      <c r="C1158">
        <v>1901</v>
      </c>
      <c r="D1158" t="s">
        <v>6</v>
      </c>
      <c r="E1158" t="str">
        <f>IF(may[[#This Row],[ShiftCounter]]&gt;0, "Running", "Down")</f>
        <v>Running</v>
      </c>
    </row>
    <row r="1159" spans="1:5" x14ac:dyDescent="0.25">
      <c r="A1159" s="10">
        <v>44693</v>
      </c>
      <c r="B1159" s="11" t="s">
        <v>14</v>
      </c>
      <c r="C1159">
        <v>1704</v>
      </c>
      <c r="D1159" t="s">
        <v>7</v>
      </c>
      <c r="E1159" t="str">
        <f>IF(may[[#This Row],[ShiftCounter]]&gt;0, "Running", "Down")</f>
        <v>Running</v>
      </c>
    </row>
    <row r="1160" spans="1:5" x14ac:dyDescent="0.25">
      <c r="A1160" s="10">
        <v>44693</v>
      </c>
      <c r="B1160" s="11" t="s">
        <v>14</v>
      </c>
      <c r="C1160">
        <v>1591</v>
      </c>
      <c r="D1160" t="s">
        <v>8</v>
      </c>
      <c r="E1160" t="str">
        <f>IF(may[[#This Row],[ShiftCounter]]&gt;0, "Running", "Down")</f>
        <v>Running</v>
      </c>
    </row>
    <row r="1161" spans="1:5" x14ac:dyDescent="0.25">
      <c r="A1161" s="10">
        <v>44693</v>
      </c>
      <c r="B1161" s="11" t="s">
        <v>16</v>
      </c>
      <c r="C1161">
        <v>2505</v>
      </c>
      <c r="D1161" t="s">
        <v>6</v>
      </c>
      <c r="E1161" t="str">
        <f>IF(may[[#This Row],[ShiftCounter]]&gt;0, "Running", "Down")</f>
        <v>Running</v>
      </c>
    </row>
    <row r="1162" spans="1:5" x14ac:dyDescent="0.25">
      <c r="A1162" s="10">
        <v>44693</v>
      </c>
      <c r="B1162" s="11" t="s">
        <v>16</v>
      </c>
      <c r="C1162">
        <v>2207</v>
      </c>
      <c r="D1162" t="s">
        <v>7</v>
      </c>
      <c r="E1162" t="str">
        <f>IF(may[[#This Row],[ShiftCounter]]&gt;0, "Running", "Down")</f>
        <v>Running</v>
      </c>
    </row>
    <row r="1163" spans="1:5" x14ac:dyDescent="0.25">
      <c r="A1163" s="10">
        <v>44693</v>
      </c>
      <c r="B1163" s="11" t="s">
        <v>16</v>
      </c>
      <c r="C1163">
        <v>2194</v>
      </c>
      <c r="D1163" t="s">
        <v>8</v>
      </c>
      <c r="E1163" t="str">
        <f>IF(may[[#This Row],[ShiftCounter]]&gt;0, "Running", "Down")</f>
        <v>Running</v>
      </c>
    </row>
    <row r="1164" spans="1:5" x14ac:dyDescent="0.25">
      <c r="A1164" s="10">
        <v>44693</v>
      </c>
      <c r="B1164" s="11" t="s">
        <v>17</v>
      </c>
      <c r="C1164">
        <v>1538</v>
      </c>
      <c r="D1164" t="s">
        <v>6</v>
      </c>
      <c r="E1164" t="str">
        <f>IF(may[[#This Row],[ShiftCounter]]&gt;0, "Running", "Down")</f>
        <v>Running</v>
      </c>
    </row>
    <row r="1165" spans="1:5" x14ac:dyDescent="0.25">
      <c r="A1165" s="10">
        <v>44693</v>
      </c>
      <c r="B1165" s="11" t="s">
        <v>17</v>
      </c>
      <c r="C1165">
        <v>1539</v>
      </c>
      <c r="D1165" t="s">
        <v>7</v>
      </c>
      <c r="E1165" t="str">
        <f>IF(may[[#This Row],[ShiftCounter]]&gt;0, "Running", "Down")</f>
        <v>Running</v>
      </c>
    </row>
    <row r="1166" spans="1:5" x14ac:dyDescent="0.25">
      <c r="A1166" s="10">
        <v>44693</v>
      </c>
      <c r="B1166" s="11" t="s">
        <v>17</v>
      </c>
      <c r="C1166">
        <v>1962</v>
      </c>
      <c r="D1166" t="s">
        <v>8</v>
      </c>
      <c r="E1166" t="str">
        <f>IF(may[[#This Row],[ShiftCounter]]&gt;0, "Running", "Down")</f>
        <v>Running</v>
      </c>
    </row>
    <row r="1167" spans="1:5" x14ac:dyDescent="0.25">
      <c r="A1167" s="10">
        <v>44693</v>
      </c>
      <c r="B1167" s="11" t="s">
        <v>18</v>
      </c>
      <c r="C1167">
        <v>2433</v>
      </c>
      <c r="D1167" t="s">
        <v>6</v>
      </c>
      <c r="E1167" t="str">
        <f>IF(may[[#This Row],[ShiftCounter]]&gt;0, "Running", "Down")</f>
        <v>Running</v>
      </c>
    </row>
    <row r="1168" spans="1:5" x14ac:dyDescent="0.25">
      <c r="A1168" s="10">
        <v>44693</v>
      </c>
      <c r="B1168" s="11" t="s">
        <v>18</v>
      </c>
      <c r="C1168">
        <v>2259</v>
      </c>
      <c r="D1168" t="s">
        <v>7</v>
      </c>
      <c r="E1168" t="str">
        <f>IF(may[[#This Row],[ShiftCounter]]&gt;0, "Running", "Down")</f>
        <v>Running</v>
      </c>
    </row>
    <row r="1169" spans="1:5" x14ac:dyDescent="0.25">
      <c r="A1169" s="10">
        <v>44693</v>
      </c>
      <c r="B1169" s="11" t="s">
        <v>18</v>
      </c>
      <c r="C1169">
        <v>2218</v>
      </c>
      <c r="D1169" t="s">
        <v>8</v>
      </c>
      <c r="E1169" t="str">
        <f>IF(may[[#This Row],[ShiftCounter]]&gt;0, "Running", "Down")</f>
        <v>Running</v>
      </c>
    </row>
    <row r="1170" spans="1:5" x14ac:dyDescent="0.25">
      <c r="A1170" s="10">
        <v>44693</v>
      </c>
      <c r="B1170" s="11" t="s">
        <v>19</v>
      </c>
      <c r="C1170">
        <v>2057</v>
      </c>
      <c r="D1170" t="s">
        <v>6</v>
      </c>
      <c r="E1170" t="str">
        <f>IF(may[[#This Row],[ShiftCounter]]&gt;0, "Running", "Down")</f>
        <v>Running</v>
      </c>
    </row>
    <row r="1171" spans="1:5" x14ac:dyDescent="0.25">
      <c r="A1171" s="10">
        <v>44693</v>
      </c>
      <c r="B1171" s="11" t="s">
        <v>19</v>
      </c>
      <c r="C1171">
        <v>1868</v>
      </c>
      <c r="D1171" t="s">
        <v>7</v>
      </c>
      <c r="E1171" t="str">
        <f>IF(may[[#This Row],[ShiftCounter]]&gt;0, "Running", "Down")</f>
        <v>Running</v>
      </c>
    </row>
    <row r="1172" spans="1:5" x14ac:dyDescent="0.25">
      <c r="A1172" s="10">
        <v>44693</v>
      </c>
      <c r="B1172" s="11" t="s">
        <v>19</v>
      </c>
      <c r="C1172">
        <v>1482</v>
      </c>
      <c r="D1172" t="s">
        <v>8</v>
      </c>
      <c r="E1172" t="str">
        <f>IF(may[[#This Row],[ShiftCounter]]&gt;0, "Running", "Down")</f>
        <v>Running</v>
      </c>
    </row>
    <row r="1173" spans="1:5" x14ac:dyDescent="0.25">
      <c r="A1173" s="10">
        <v>44693</v>
      </c>
      <c r="B1173" s="11" t="s">
        <v>42</v>
      </c>
      <c r="C1173">
        <v>600</v>
      </c>
      <c r="D1173" t="s">
        <v>6</v>
      </c>
      <c r="E1173" t="str">
        <f>IF(may[[#This Row],[ShiftCounter]]&gt;0, "Running", "Down")</f>
        <v>Running</v>
      </c>
    </row>
    <row r="1174" spans="1:5" x14ac:dyDescent="0.25">
      <c r="A1174" s="10">
        <v>44693</v>
      </c>
      <c r="B1174" s="11" t="s">
        <v>42</v>
      </c>
      <c r="C1174">
        <v>2163</v>
      </c>
      <c r="D1174" t="s">
        <v>7</v>
      </c>
      <c r="E1174" t="str">
        <f>IF(may[[#This Row],[ShiftCounter]]&gt;0, "Running", "Down")</f>
        <v>Running</v>
      </c>
    </row>
    <row r="1175" spans="1:5" x14ac:dyDescent="0.25">
      <c r="A1175" s="10">
        <v>44693</v>
      </c>
      <c r="B1175" s="11" t="s">
        <v>42</v>
      </c>
      <c r="C1175">
        <v>2039</v>
      </c>
      <c r="D1175" t="s">
        <v>8</v>
      </c>
      <c r="E1175" t="str">
        <f>IF(may[[#This Row],[ShiftCounter]]&gt;0, "Running", "Down")</f>
        <v>Running</v>
      </c>
    </row>
    <row r="1176" spans="1:5" x14ac:dyDescent="0.25">
      <c r="A1176" s="10">
        <v>44693</v>
      </c>
      <c r="B1176" s="11" t="s">
        <v>20</v>
      </c>
      <c r="C1176">
        <v>2099</v>
      </c>
      <c r="D1176" t="s">
        <v>6</v>
      </c>
      <c r="E1176" t="str">
        <f>IF(may[[#This Row],[ShiftCounter]]&gt;0, "Running", "Down")</f>
        <v>Running</v>
      </c>
    </row>
    <row r="1177" spans="1:5" x14ac:dyDescent="0.25">
      <c r="A1177" s="10">
        <v>44693</v>
      </c>
      <c r="B1177" s="11" t="s">
        <v>20</v>
      </c>
      <c r="C1177">
        <v>2094</v>
      </c>
      <c r="D1177" t="s">
        <v>7</v>
      </c>
      <c r="E1177" t="str">
        <f>IF(may[[#This Row],[ShiftCounter]]&gt;0, "Running", "Down")</f>
        <v>Running</v>
      </c>
    </row>
    <row r="1178" spans="1:5" x14ac:dyDescent="0.25">
      <c r="A1178" s="10">
        <v>44693</v>
      </c>
      <c r="B1178" s="11" t="s">
        <v>20</v>
      </c>
      <c r="C1178">
        <v>1916</v>
      </c>
      <c r="D1178" t="s">
        <v>8</v>
      </c>
      <c r="E1178" t="str">
        <f>IF(may[[#This Row],[ShiftCounter]]&gt;0, "Running", "Down")</f>
        <v>Running</v>
      </c>
    </row>
    <row r="1179" spans="1:5" x14ac:dyDescent="0.25">
      <c r="A1179" s="10">
        <v>44693</v>
      </c>
      <c r="B1179" s="11" t="s">
        <v>21</v>
      </c>
      <c r="C1179">
        <v>2143</v>
      </c>
      <c r="D1179" t="s">
        <v>6</v>
      </c>
      <c r="E1179" t="str">
        <f>IF(may[[#This Row],[ShiftCounter]]&gt;0, "Running", "Down")</f>
        <v>Running</v>
      </c>
    </row>
    <row r="1180" spans="1:5" x14ac:dyDescent="0.25">
      <c r="A1180" s="10">
        <v>44693</v>
      </c>
      <c r="B1180" s="11" t="s">
        <v>21</v>
      </c>
      <c r="C1180">
        <v>2089</v>
      </c>
      <c r="D1180" t="s">
        <v>7</v>
      </c>
      <c r="E1180" t="str">
        <f>IF(may[[#This Row],[ShiftCounter]]&gt;0, "Running", "Down")</f>
        <v>Running</v>
      </c>
    </row>
    <row r="1181" spans="1:5" x14ac:dyDescent="0.25">
      <c r="A1181" s="10">
        <v>44693</v>
      </c>
      <c r="B1181" s="11" t="s">
        <v>21</v>
      </c>
      <c r="C1181">
        <v>1874</v>
      </c>
      <c r="D1181" t="s">
        <v>8</v>
      </c>
      <c r="E1181" t="str">
        <f>IF(may[[#This Row],[ShiftCounter]]&gt;0, "Running", "Down")</f>
        <v>Running</v>
      </c>
    </row>
    <row r="1182" spans="1:5" x14ac:dyDescent="0.25">
      <c r="A1182" s="10">
        <v>44693</v>
      </c>
      <c r="B1182" s="11" t="s">
        <v>22</v>
      </c>
      <c r="C1182">
        <v>2275</v>
      </c>
      <c r="D1182" t="s">
        <v>6</v>
      </c>
      <c r="E1182" t="str">
        <f>IF(may[[#This Row],[ShiftCounter]]&gt;0, "Running", "Down")</f>
        <v>Running</v>
      </c>
    </row>
    <row r="1183" spans="1:5" x14ac:dyDescent="0.25">
      <c r="A1183" s="10">
        <v>44693</v>
      </c>
      <c r="B1183" s="11" t="s">
        <v>22</v>
      </c>
      <c r="C1183">
        <v>2284</v>
      </c>
      <c r="D1183" t="s">
        <v>7</v>
      </c>
      <c r="E1183" t="str">
        <f>IF(may[[#This Row],[ShiftCounter]]&gt;0, "Running", "Down")</f>
        <v>Running</v>
      </c>
    </row>
    <row r="1184" spans="1:5" x14ac:dyDescent="0.25">
      <c r="A1184" s="10">
        <v>44693</v>
      </c>
      <c r="B1184" s="11" t="s">
        <v>22</v>
      </c>
      <c r="C1184">
        <v>1935</v>
      </c>
      <c r="D1184" t="s">
        <v>8</v>
      </c>
      <c r="E1184" t="str">
        <f>IF(may[[#This Row],[ShiftCounter]]&gt;0, "Running", "Down")</f>
        <v>Running</v>
      </c>
    </row>
    <row r="1185" spans="1:5" x14ac:dyDescent="0.25">
      <c r="A1185" s="10">
        <v>44693</v>
      </c>
      <c r="B1185" s="11" t="s">
        <v>23</v>
      </c>
      <c r="C1185">
        <v>2372</v>
      </c>
      <c r="D1185" t="s">
        <v>6</v>
      </c>
      <c r="E1185" t="str">
        <f>IF(may[[#This Row],[ShiftCounter]]&gt;0, "Running", "Down")</f>
        <v>Running</v>
      </c>
    </row>
    <row r="1186" spans="1:5" x14ac:dyDescent="0.25">
      <c r="A1186" s="10">
        <v>44693</v>
      </c>
      <c r="B1186" s="11" t="s">
        <v>23</v>
      </c>
      <c r="C1186">
        <v>2395</v>
      </c>
      <c r="D1186" t="s">
        <v>7</v>
      </c>
      <c r="E1186" t="str">
        <f>IF(may[[#This Row],[ShiftCounter]]&gt;0, "Running", "Down")</f>
        <v>Running</v>
      </c>
    </row>
    <row r="1187" spans="1:5" x14ac:dyDescent="0.25">
      <c r="A1187" s="10">
        <v>44693</v>
      </c>
      <c r="B1187" s="11" t="s">
        <v>23</v>
      </c>
      <c r="C1187">
        <v>2164</v>
      </c>
      <c r="D1187" t="s">
        <v>8</v>
      </c>
      <c r="E1187" t="str">
        <f>IF(may[[#This Row],[ShiftCounter]]&gt;0, "Running", "Down")</f>
        <v>Running</v>
      </c>
    </row>
    <row r="1188" spans="1:5" x14ac:dyDescent="0.25">
      <c r="A1188" s="10">
        <v>44693</v>
      </c>
      <c r="B1188" s="11" t="s">
        <v>24</v>
      </c>
      <c r="C1188">
        <v>2213</v>
      </c>
      <c r="D1188" t="s">
        <v>6</v>
      </c>
      <c r="E1188" t="str">
        <f>IF(may[[#This Row],[ShiftCounter]]&gt;0, "Running", "Down")</f>
        <v>Running</v>
      </c>
    </row>
    <row r="1189" spans="1:5" x14ac:dyDescent="0.25">
      <c r="A1189" s="10">
        <v>44693</v>
      </c>
      <c r="B1189" s="11" t="s">
        <v>24</v>
      </c>
      <c r="C1189">
        <v>2083</v>
      </c>
      <c r="D1189" t="s">
        <v>7</v>
      </c>
      <c r="E1189" t="str">
        <f>IF(may[[#This Row],[ShiftCounter]]&gt;0, "Running", "Down")</f>
        <v>Running</v>
      </c>
    </row>
    <row r="1190" spans="1:5" x14ac:dyDescent="0.25">
      <c r="A1190" s="10">
        <v>44693</v>
      </c>
      <c r="B1190" s="11" t="s">
        <v>24</v>
      </c>
      <c r="C1190">
        <v>1911</v>
      </c>
      <c r="D1190" t="s">
        <v>8</v>
      </c>
      <c r="E1190" t="str">
        <f>IF(may[[#This Row],[ShiftCounter]]&gt;0, "Running", "Down")</f>
        <v>Running</v>
      </c>
    </row>
    <row r="1191" spans="1:5" x14ac:dyDescent="0.25">
      <c r="A1191" s="10">
        <v>44693</v>
      </c>
      <c r="B1191" s="11" t="s">
        <v>25</v>
      </c>
      <c r="C1191">
        <v>2402</v>
      </c>
      <c r="D1191" t="s">
        <v>6</v>
      </c>
      <c r="E1191" t="str">
        <f>IF(may[[#This Row],[ShiftCounter]]&gt;0, "Running", "Down")</f>
        <v>Running</v>
      </c>
    </row>
    <row r="1192" spans="1:5" x14ac:dyDescent="0.25">
      <c r="A1192" s="10">
        <v>44693</v>
      </c>
      <c r="B1192" s="11" t="s">
        <v>25</v>
      </c>
      <c r="C1192">
        <v>2225</v>
      </c>
      <c r="D1192" t="s">
        <v>7</v>
      </c>
      <c r="E1192" t="str">
        <f>IF(may[[#This Row],[ShiftCounter]]&gt;0, "Running", "Down")</f>
        <v>Running</v>
      </c>
    </row>
    <row r="1193" spans="1:5" x14ac:dyDescent="0.25">
      <c r="A1193" s="10">
        <v>44693</v>
      </c>
      <c r="B1193" s="11" t="s">
        <v>25</v>
      </c>
      <c r="C1193">
        <v>2011</v>
      </c>
      <c r="D1193" t="s">
        <v>8</v>
      </c>
      <c r="E1193" t="str">
        <f>IF(may[[#This Row],[ShiftCounter]]&gt;0, "Running", "Down")</f>
        <v>Running</v>
      </c>
    </row>
    <row r="1194" spans="1:5" x14ac:dyDescent="0.25">
      <c r="A1194" s="10">
        <v>44693</v>
      </c>
      <c r="B1194" s="11" t="s">
        <v>26</v>
      </c>
      <c r="C1194">
        <v>2124</v>
      </c>
      <c r="D1194" t="s">
        <v>6</v>
      </c>
      <c r="E1194" t="str">
        <f>IF(may[[#This Row],[ShiftCounter]]&gt;0, "Running", "Down")</f>
        <v>Running</v>
      </c>
    </row>
    <row r="1195" spans="1:5" x14ac:dyDescent="0.25">
      <c r="A1195" s="10">
        <v>44693</v>
      </c>
      <c r="B1195" s="11" t="s">
        <v>26</v>
      </c>
      <c r="C1195">
        <v>2120</v>
      </c>
      <c r="D1195" t="s">
        <v>7</v>
      </c>
      <c r="E1195" t="str">
        <f>IF(may[[#This Row],[ShiftCounter]]&gt;0, "Running", "Down")</f>
        <v>Running</v>
      </c>
    </row>
    <row r="1196" spans="1:5" x14ac:dyDescent="0.25">
      <c r="A1196" s="10">
        <v>44693</v>
      </c>
      <c r="B1196" s="11" t="s">
        <v>26</v>
      </c>
      <c r="C1196">
        <v>1863</v>
      </c>
      <c r="D1196" t="s">
        <v>8</v>
      </c>
      <c r="E1196" t="str">
        <f>IF(may[[#This Row],[ShiftCounter]]&gt;0, "Running", "Down")</f>
        <v>Running</v>
      </c>
    </row>
    <row r="1197" spans="1:5" x14ac:dyDescent="0.25">
      <c r="A1197" s="10">
        <v>44693</v>
      </c>
      <c r="B1197" s="11" t="s">
        <v>27</v>
      </c>
      <c r="C1197">
        <v>2540</v>
      </c>
      <c r="D1197" t="s">
        <v>6</v>
      </c>
      <c r="E1197" t="str">
        <f>IF(may[[#This Row],[ShiftCounter]]&gt;0, "Running", "Down")</f>
        <v>Running</v>
      </c>
    </row>
    <row r="1198" spans="1:5" x14ac:dyDescent="0.25">
      <c r="A1198" s="10">
        <v>44693</v>
      </c>
      <c r="B1198" s="11" t="s">
        <v>27</v>
      </c>
      <c r="C1198">
        <v>2192</v>
      </c>
      <c r="D1198" t="s">
        <v>7</v>
      </c>
      <c r="E1198" t="str">
        <f>IF(may[[#This Row],[ShiftCounter]]&gt;0, "Running", "Down")</f>
        <v>Running</v>
      </c>
    </row>
    <row r="1199" spans="1:5" x14ac:dyDescent="0.25">
      <c r="A1199" s="10">
        <v>44693</v>
      </c>
      <c r="B1199" s="11" t="s">
        <v>27</v>
      </c>
      <c r="C1199">
        <v>1920</v>
      </c>
      <c r="D1199" t="s">
        <v>8</v>
      </c>
      <c r="E1199" t="str">
        <f>IF(may[[#This Row],[ShiftCounter]]&gt;0, "Running", "Down")</f>
        <v>Running</v>
      </c>
    </row>
    <row r="1200" spans="1:5" x14ac:dyDescent="0.25">
      <c r="A1200" s="10">
        <v>44693</v>
      </c>
      <c r="B1200" s="11" t="s">
        <v>28</v>
      </c>
      <c r="C1200">
        <v>2328</v>
      </c>
      <c r="D1200" t="s">
        <v>6</v>
      </c>
      <c r="E1200" t="str">
        <f>IF(may[[#This Row],[ShiftCounter]]&gt;0, "Running", "Down")</f>
        <v>Running</v>
      </c>
    </row>
    <row r="1201" spans="1:5" x14ac:dyDescent="0.25">
      <c r="A1201" s="10">
        <v>44693</v>
      </c>
      <c r="B1201" s="11" t="s">
        <v>28</v>
      </c>
      <c r="C1201">
        <v>2087</v>
      </c>
      <c r="D1201" t="s">
        <v>7</v>
      </c>
      <c r="E1201" t="str">
        <f>IF(may[[#This Row],[ShiftCounter]]&gt;0, "Running", "Down")</f>
        <v>Running</v>
      </c>
    </row>
    <row r="1202" spans="1:5" x14ac:dyDescent="0.25">
      <c r="A1202" s="10">
        <v>44693</v>
      </c>
      <c r="B1202" s="11" t="s">
        <v>28</v>
      </c>
      <c r="C1202">
        <v>1815</v>
      </c>
      <c r="D1202" t="s">
        <v>8</v>
      </c>
      <c r="E1202" t="str">
        <f>IF(may[[#This Row],[ShiftCounter]]&gt;0, "Running", "Down")</f>
        <v>Running</v>
      </c>
    </row>
    <row r="1203" spans="1:5" x14ac:dyDescent="0.25">
      <c r="A1203" s="10">
        <v>44693</v>
      </c>
      <c r="B1203" s="11" t="s">
        <v>29</v>
      </c>
      <c r="C1203">
        <v>2204</v>
      </c>
      <c r="D1203" t="s">
        <v>6</v>
      </c>
      <c r="E1203" t="str">
        <f>IF(may[[#This Row],[ShiftCounter]]&gt;0, "Running", "Down")</f>
        <v>Running</v>
      </c>
    </row>
    <row r="1204" spans="1:5" x14ac:dyDescent="0.25">
      <c r="A1204" s="10">
        <v>44693</v>
      </c>
      <c r="B1204" s="11" t="s">
        <v>29</v>
      </c>
      <c r="C1204">
        <v>2020</v>
      </c>
      <c r="D1204" t="s">
        <v>7</v>
      </c>
      <c r="E1204" t="str">
        <f>IF(may[[#This Row],[ShiftCounter]]&gt;0, "Running", "Down")</f>
        <v>Running</v>
      </c>
    </row>
    <row r="1205" spans="1:5" x14ac:dyDescent="0.25">
      <c r="A1205" s="10">
        <v>44693</v>
      </c>
      <c r="B1205" s="11" t="s">
        <v>29</v>
      </c>
      <c r="C1205">
        <v>1733</v>
      </c>
      <c r="D1205" t="s">
        <v>8</v>
      </c>
      <c r="E1205" t="str">
        <f>IF(may[[#This Row],[ShiftCounter]]&gt;0, "Running", "Down")</f>
        <v>Running</v>
      </c>
    </row>
    <row r="1206" spans="1:5" x14ac:dyDescent="0.25">
      <c r="A1206" s="10">
        <v>44693</v>
      </c>
      <c r="B1206" s="11" t="s">
        <v>30</v>
      </c>
      <c r="C1206">
        <v>2281</v>
      </c>
      <c r="D1206" t="s">
        <v>6</v>
      </c>
      <c r="E1206" t="str">
        <f>IF(may[[#This Row],[ShiftCounter]]&gt;0, "Running", "Down")</f>
        <v>Running</v>
      </c>
    </row>
    <row r="1207" spans="1:5" x14ac:dyDescent="0.25">
      <c r="A1207" s="10">
        <v>44693</v>
      </c>
      <c r="B1207" s="11" t="s">
        <v>30</v>
      </c>
      <c r="C1207">
        <v>2244</v>
      </c>
      <c r="D1207" t="s">
        <v>7</v>
      </c>
      <c r="E1207" t="str">
        <f>IF(may[[#This Row],[ShiftCounter]]&gt;0, "Running", "Down")</f>
        <v>Running</v>
      </c>
    </row>
    <row r="1208" spans="1:5" x14ac:dyDescent="0.25">
      <c r="A1208" s="10">
        <v>44693</v>
      </c>
      <c r="B1208" s="11" t="s">
        <v>30</v>
      </c>
      <c r="C1208">
        <v>1946</v>
      </c>
      <c r="D1208" t="s">
        <v>8</v>
      </c>
      <c r="E1208" t="str">
        <f>IF(may[[#This Row],[ShiftCounter]]&gt;0, "Running", "Down")</f>
        <v>Running</v>
      </c>
    </row>
    <row r="1209" spans="1:5" x14ac:dyDescent="0.25">
      <c r="A1209" s="10">
        <v>44693</v>
      </c>
      <c r="B1209" s="11" t="s">
        <v>31</v>
      </c>
      <c r="C1209">
        <v>2442</v>
      </c>
      <c r="D1209" t="s">
        <v>6</v>
      </c>
      <c r="E1209" t="str">
        <f>IF(may[[#This Row],[ShiftCounter]]&gt;0, "Running", "Down")</f>
        <v>Running</v>
      </c>
    </row>
    <row r="1210" spans="1:5" x14ac:dyDescent="0.25">
      <c r="A1210" s="10">
        <v>44693</v>
      </c>
      <c r="B1210" s="11" t="s">
        <v>31</v>
      </c>
      <c r="C1210">
        <v>2068</v>
      </c>
      <c r="D1210" t="s">
        <v>7</v>
      </c>
      <c r="E1210" t="str">
        <f>IF(may[[#This Row],[ShiftCounter]]&gt;0, "Running", "Down")</f>
        <v>Running</v>
      </c>
    </row>
    <row r="1211" spans="1:5" x14ac:dyDescent="0.25">
      <c r="A1211" s="10">
        <v>44693</v>
      </c>
      <c r="B1211" s="11" t="s">
        <v>31</v>
      </c>
      <c r="C1211">
        <v>1836</v>
      </c>
      <c r="D1211" t="s">
        <v>8</v>
      </c>
      <c r="E1211" t="str">
        <f>IF(may[[#This Row],[ShiftCounter]]&gt;0, "Running", "Down")</f>
        <v>Running</v>
      </c>
    </row>
    <row r="1212" spans="1:5" x14ac:dyDescent="0.25">
      <c r="A1212" s="10">
        <v>44693</v>
      </c>
      <c r="B1212" s="11" t="s">
        <v>32</v>
      </c>
      <c r="C1212">
        <v>2117</v>
      </c>
      <c r="D1212" t="s">
        <v>6</v>
      </c>
      <c r="E1212" t="str">
        <f>IF(may[[#This Row],[ShiftCounter]]&gt;0, "Running", "Down")</f>
        <v>Running</v>
      </c>
    </row>
    <row r="1213" spans="1:5" x14ac:dyDescent="0.25">
      <c r="A1213" s="10">
        <v>44693</v>
      </c>
      <c r="B1213" s="11" t="s">
        <v>32</v>
      </c>
      <c r="C1213">
        <v>1981</v>
      </c>
      <c r="D1213" t="s">
        <v>7</v>
      </c>
      <c r="E1213" t="str">
        <f>IF(may[[#This Row],[ShiftCounter]]&gt;0, "Running", "Down")</f>
        <v>Running</v>
      </c>
    </row>
    <row r="1214" spans="1:5" x14ac:dyDescent="0.25">
      <c r="A1214" s="10">
        <v>44693</v>
      </c>
      <c r="B1214" s="11" t="s">
        <v>32</v>
      </c>
      <c r="C1214">
        <v>1893</v>
      </c>
      <c r="D1214" t="s">
        <v>8</v>
      </c>
      <c r="E1214" t="str">
        <f>IF(may[[#This Row],[ShiftCounter]]&gt;0, "Running", "Down")</f>
        <v>Running</v>
      </c>
    </row>
    <row r="1215" spans="1:5" x14ac:dyDescent="0.25">
      <c r="A1215" s="10">
        <v>44693</v>
      </c>
      <c r="B1215" s="11" t="s">
        <v>33</v>
      </c>
      <c r="C1215">
        <v>2495</v>
      </c>
      <c r="D1215" t="s">
        <v>6</v>
      </c>
      <c r="E1215" t="str">
        <f>IF(may[[#This Row],[ShiftCounter]]&gt;0, "Running", "Down")</f>
        <v>Running</v>
      </c>
    </row>
    <row r="1216" spans="1:5" x14ac:dyDescent="0.25">
      <c r="A1216" s="10">
        <v>44693</v>
      </c>
      <c r="B1216" s="11" t="s">
        <v>33</v>
      </c>
      <c r="C1216">
        <v>2131</v>
      </c>
      <c r="D1216" t="s">
        <v>7</v>
      </c>
      <c r="E1216" t="str">
        <f>IF(may[[#This Row],[ShiftCounter]]&gt;0, "Running", "Down")</f>
        <v>Running</v>
      </c>
    </row>
    <row r="1217" spans="1:5" x14ac:dyDescent="0.25">
      <c r="A1217" s="10">
        <v>44693</v>
      </c>
      <c r="B1217" s="11" t="s">
        <v>33</v>
      </c>
      <c r="C1217">
        <v>2201</v>
      </c>
      <c r="D1217" t="s">
        <v>8</v>
      </c>
      <c r="E1217" t="str">
        <f>IF(may[[#This Row],[ShiftCounter]]&gt;0, "Running", "Down")</f>
        <v>Running</v>
      </c>
    </row>
    <row r="1218" spans="1:5" x14ac:dyDescent="0.25">
      <c r="A1218" s="10">
        <v>44693</v>
      </c>
      <c r="B1218" s="11" t="s">
        <v>35</v>
      </c>
      <c r="C1218">
        <v>2546</v>
      </c>
      <c r="D1218" t="s">
        <v>6</v>
      </c>
      <c r="E1218" t="str">
        <f>IF(may[[#This Row],[ShiftCounter]]&gt;0, "Running", "Down")</f>
        <v>Running</v>
      </c>
    </row>
    <row r="1219" spans="1:5" x14ac:dyDescent="0.25">
      <c r="A1219" s="10">
        <v>44693</v>
      </c>
      <c r="B1219" s="11" t="s">
        <v>35</v>
      </c>
      <c r="C1219">
        <v>2316</v>
      </c>
      <c r="D1219" t="s">
        <v>7</v>
      </c>
      <c r="E1219" t="str">
        <f>IF(may[[#This Row],[ShiftCounter]]&gt;0, "Running", "Down")</f>
        <v>Running</v>
      </c>
    </row>
    <row r="1220" spans="1:5" x14ac:dyDescent="0.25">
      <c r="A1220" s="10">
        <v>44693</v>
      </c>
      <c r="B1220" s="11" t="s">
        <v>35</v>
      </c>
      <c r="C1220">
        <v>2325</v>
      </c>
      <c r="D1220" t="s">
        <v>8</v>
      </c>
      <c r="E1220" t="str">
        <f>IF(may[[#This Row],[ShiftCounter]]&gt;0, "Running", "Down")</f>
        <v>Running</v>
      </c>
    </row>
    <row r="1221" spans="1:5" x14ac:dyDescent="0.25">
      <c r="A1221" s="10">
        <v>44693</v>
      </c>
      <c r="B1221" s="11" t="s">
        <v>34</v>
      </c>
      <c r="C1221">
        <v>1876</v>
      </c>
      <c r="D1221" t="s">
        <v>6</v>
      </c>
      <c r="E1221" t="str">
        <f>IF(may[[#This Row],[ShiftCounter]]&gt;0, "Running", "Down")</f>
        <v>Running</v>
      </c>
    </row>
    <row r="1222" spans="1:5" x14ac:dyDescent="0.25">
      <c r="A1222" s="10">
        <v>44693</v>
      </c>
      <c r="B1222" s="11" t="s">
        <v>34</v>
      </c>
      <c r="C1222">
        <v>1707</v>
      </c>
      <c r="D1222" t="s">
        <v>7</v>
      </c>
      <c r="E1222" t="str">
        <f>IF(may[[#This Row],[ShiftCounter]]&gt;0, "Running", "Down")</f>
        <v>Running</v>
      </c>
    </row>
    <row r="1223" spans="1:5" x14ac:dyDescent="0.25">
      <c r="A1223" s="10">
        <v>44693</v>
      </c>
      <c r="B1223" s="11" t="s">
        <v>34</v>
      </c>
      <c r="C1223">
        <v>1771</v>
      </c>
      <c r="D1223" t="s">
        <v>8</v>
      </c>
      <c r="E1223" t="str">
        <f>IF(may[[#This Row],[ShiftCounter]]&gt;0, "Running", "Down")</f>
        <v>Running</v>
      </c>
    </row>
    <row r="1224" spans="1:5" x14ac:dyDescent="0.25">
      <c r="A1224" s="10">
        <v>44693</v>
      </c>
      <c r="B1224" s="11" t="s">
        <v>36</v>
      </c>
      <c r="C1224">
        <v>2315</v>
      </c>
      <c r="D1224" t="s">
        <v>6</v>
      </c>
      <c r="E1224" t="str">
        <f>IF(may[[#This Row],[ShiftCounter]]&gt;0, "Running", "Down")</f>
        <v>Running</v>
      </c>
    </row>
    <row r="1225" spans="1:5" x14ac:dyDescent="0.25">
      <c r="A1225" s="10">
        <v>44693</v>
      </c>
      <c r="B1225" s="11" t="s">
        <v>36</v>
      </c>
      <c r="C1225">
        <v>2115</v>
      </c>
      <c r="D1225" t="s">
        <v>7</v>
      </c>
      <c r="E1225" t="str">
        <f>IF(may[[#This Row],[ShiftCounter]]&gt;0, "Running", "Down")</f>
        <v>Running</v>
      </c>
    </row>
    <row r="1226" spans="1:5" x14ac:dyDescent="0.25">
      <c r="A1226" s="10">
        <v>44693</v>
      </c>
      <c r="B1226" s="11" t="s">
        <v>36</v>
      </c>
      <c r="C1226">
        <v>2032</v>
      </c>
      <c r="D1226" t="s">
        <v>8</v>
      </c>
      <c r="E1226" t="str">
        <f>IF(may[[#This Row],[ShiftCounter]]&gt;0, "Running", "Down")</f>
        <v>Running</v>
      </c>
    </row>
    <row r="1227" spans="1:5" x14ac:dyDescent="0.25">
      <c r="A1227" s="10">
        <v>44693</v>
      </c>
      <c r="B1227" s="11" t="s">
        <v>37</v>
      </c>
      <c r="C1227">
        <v>2205</v>
      </c>
      <c r="D1227" t="s">
        <v>6</v>
      </c>
      <c r="E1227" t="str">
        <f>IF(may[[#This Row],[ShiftCounter]]&gt;0, "Running", "Down")</f>
        <v>Running</v>
      </c>
    </row>
    <row r="1228" spans="1:5" x14ac:dyDescent="0.25">
      <c r="A1228" s="10">
        <v>44693</v>
      </c>
      <c r="B1228" s="11" t="s">
        <v>37</v>
      </c>
      <c r="C1228">
        <v>2209</v>
      </c>
      <c r="D1228" t="s">
        <v>7</v>
      </c>
      <c r="E1228" t="str">
        <f>IF(may[[#This Row],[ShiftCounter]]&gt;0, "Running", "Down")</f>
        <v>Running</v>
      </c>
    </row>
    <row r="1229" spans="1:5" x14ac:dyDescent="0.25">
      <c r="A1229" s="10">
        <v>44693</v>
      </c>
      <c r="B1229" s="11" t="s">
        <v>37</v>
      </c>
      <c r="C1229">
        <v>2153</v>
      </c>
      <c r="D1229" t="s">
        <v>8</v>
      </c>
      <c r="E1229" t="str">
        <f>IF(may[[#This Row],[ShiftCounter]]&gt;0, "Running", "Down")</f>
        <v>Running</v>
      </c>
    </row>
    <row r="1230" spans="1:5" x14ac:dyDescent="0.25">
      <c r="A1230" s="10">
        <v>44694</v>
      </c>
      <c r="B1230" s="11" t="s">
        <v>40</v>
      </c>
      <c r="C1230">
        <v>2478</v>
      </c>
      <c r="D1230" t="s">
        <v>6</v>
      </c>
      <c r="E1230" t="str">
        <f>IF(may[[#This Row],[ShiftCounter]]&gt;0, "Running", "Down")</f>
        <v>Running</v>
      </c>
    </row>
    <row r="1231" spans="1:5" x14ac:dyDescent="0.25">
      <c r="A1231" s="10">
        <v>44694</v>
      </c>
      <c r="B1231" s="11" t="s">
        <v>40</v>
      </c>
      <c r="C1231">
        <v>2356</v>
      </c>
      <c r="D1231" t="s">
        <v>7</v>
      </c>
      <c r="E1231" t="str">
        <f>IF(may[[#This Row],[ShiftCounter]]&gt;0, "Running", "Down")</f>
        <v>Running</v>
      </c>
    </row>
    <row r="1232" spans="1:5" x14ac:dyDescent="0.25">
      <c r="A1232" s="10">
        <v>44694</v>
      </c>
      <c r="B1232" s="11" t="s">
        <v>40</v>
      </c>
      <c r="C1232">
        <v>2060</v>
      </c>
      <c r="D1232" t="s">
        <v>8</v>
      </c>
      <c r="E1232" t="str">
        <f>IF(may[[#This Row],[ShiftCounter]]&gt;0, "Running", "Down")</f>
        <v>Running</v>
      </c>
    </row>
    <row r="1233" spans="1:5" x14ac:dyDescent="0.25">
      <c r="A1233" s="10">
        <v>44694</v>
      </c>
      <c r="B1233" s="11" t="s">
        <v>39</v>
      </c>
      <c r="C1233">
        <v>2294</v>
      </c>
      <c r="D1233" t="s">
        <v>6</v>
      </c>
      <c r="E1233" t="str">
        <f>IF(may[[#This Row],[ShiftCounter]]&gt;0, "Running", "Down")</f>
        <v>Running</v>
      </c>
    </row>
    <row r="1234" spans="1:5" x14ac:dyDescent="0.25">
      <c r="A1234" s="10">
        <v>44694</v>
      </c>
      <c r="B1234" s="11" t="s">
        <v>39</v>
      </c>
      <c r="C1234">
        <v>2153</v>
      </c>
      <c r="D1234" t="s">
        <v>7</v>
      </c>
      <c r="E1234" t="str">
        <f>IF(may[[#This Row],[ShiftCounter]]&gt;0, "Running", "Down")</f>
        <v>Running</v>
      </c>
    </row>
    <row r="1235" spans="1:5" x14ac:dyDescent="0.25">
      <c r="A1235" s="10">
        <v>44694</v>
      </c>
      <c r="B1235" s="11" t="s">
        <v>39</v>
      </c>
      <c r="C1235">
        <v>1895</v>
      </c>
      <c r="D1235" t="s">
        <v>8</v>
      </c>
      <c r="E1235" t="str">
        <f>IF(may[[#This Row],[ShiftCounter]]&gt;0, "Running", "Down")</f>
        <v>Running</v>
      </c>
    </row>
    <row r="1236" spans="1:5" x14ac:dyDescent="0.25">
      <c r="A1236" s="10">
        <v>44694</v>
      </c>
      <c r="B1236" s="11" t="s">
        <v>41</v>
      </c>
      <c r="C1236">
        <v>2576</v>
      </c>
      <c r="D1236" t="s">
        <v>6</v>
      </c>
      <c r="E1236" t="str">
        <f>IF(may[[#This Row],[ShiftCounter]]&gt;0, "Running", "Down")</f>
        <v>Running</v>
      </c>
    </row>
    <row r="1237" spans="1:5" x14ac:dyDescent="0.25">
      <c r="A1237" s="10">
        <v>44694</v>
      </c>
      <c r="B1237" s="11" t="s">
        <v>41</v>
      </c>
      <c r="C1237">
        <v>2496</v>
      </c>
      <c r="D1237" t="s">
        <v>7</v>
      </c>
      <c r="E1237" t="str">
        <f>IF(may[[#This Row],[ShiftCounter]]&gt;0, "Running", "Down")</f>
        <v>Running</v>
      </c>
    </row>
    <row r="1238" spans="1:5" x14ac:dyDescent="0.25">
      <c r="A1238" s="10">
        <v>44694</v>
      </c>
      <c r="B1238" s="11" t="s">
        <v>41</v>
      </c>
      <c r="C1238">
        <v>860</v>
      </c>
      <c r="D1238" t="s">
        <v>8</v>
      </c>
      <c r="E1238" t="str">
        <f>IF(may[[#This Row],[ShiftCounter]]&gt;0, "Running", "Down")</f>
        <v>Running</v>
      </c>
    </row>
    <row r="1239" spans="1:5" x14ac:dyDescent="0.25">
      <c r="A1239" s="10">
        <v>44694</v>
      </c>
      <c r="B1239" s="11" t="s">
        <v>9</v>
      </c>
      <c r="C1239">
        <v>-1</v>
      </c>
      <c r="D1239" t="s">
        <v>6</v>
      </c>
      <c r="E1239" t="str">
        <f>IF(may[[#This Row],[ShiftCounter]]&gt;0, "Running", "Down")</f>
        <v>Down</v>
      </c>
    </row>
    <row r="1240" spans="1:5" x14ac:dyDescent="0.25">
      <c r="A1240" s="10">
        <v>44694</v>
      </c>
      <c r="B1240" s="11" t="s">
        <v>9</v>
      </c>
      <c r="C1240">
        <v>2429</v>
      </c>
      <c r="D1240" t="s">
        <v>7</v>
      </c>
      <c r="E1240" t="str">
        <f>IF(may[[#This Row],[ShiftCounter]]&gt;0, "Running", "Down")</f>
        <v>Running</v>
      </c>
    </row>
    <row r="1241" spans="1:5" x14ac:dyDescent="0.25">
      <c r="A1241" s="10">
        <v>44694</v>
      </c>
      <c r="B1241" s="11" t="s">
        <v>9</v>
      </c>
      <c r="C1241">
        <v>2190</v>
      </c>
      <c r="D1241" t="s">
        <v>8</v>
      </c>
      <c r="E1241" t="str">
        <f>IF(may[[#This Row],[ShiftCounter]]&gt;0, "Running", "Down")</f>
        <v>Running</v>
      </c>
    </row>
    <row r="1242" spans="1:5" x14ac:dyDescent="0.25">
      <c r="A1242" s="10">
        <v>44694</v>
      </c>
      <c r="B1242" s="11" t="s">
        <v>5</v>
      </c>
      <c r="C1242">
        <v>2584</v>
      </c>
      <c r="D1242" t="s">
        <v>6</v>
      </c>
      <c r="E1242" t="str">
        <f>IF(may[[#This Row],[ShiftCounter]]&gt;0, "Running", "Down")</f>
        <v>Running</v>
      </c>
    </row>
    <row r="1243" spans="1:5" x14ac:dyDescent="0.25">
      <c r="A1243" s="10">
        <v>44694</v>
      </c>
      <c r="B1243" s="11" t="s">
        <v>5</v>
      </c>
      <c r="C1243">
        <v>2459</v>
      </c>
      <c r="D1243" t="s">
        <v>7</v>
      </c>
      <c r="E1243" t="str">
        <f>IF(may[[#This Row],[ShiftCounter]]&gt;0, "Running", "Down")</f>
        <v>Running</v>
      </c>
    </row>
    <row r="1244" spans="1:5" x14ac:dyDescent="0.25">
      <c r="A1244" s="10">
        <v>44694</v>
      </c>
      <c r="B1244" s="11" t="s">
        <v>5</v>
      </c>
      <c r="C1244">
        <v>1990</v>
      </c>
      <c r="D1244" t="s">
        <v>8</v>
      </c>
      <c r="E1244" t="str">
        <f>IF(may[[#This Row],[ShiftCounter]]&gt;0, "Running", "Down")</f>
        <v>Running</v>
      </c>
    </row>
    <row r="1245" spans="1:5" x14ac:dyDescent="0.25">
      <c r="A1245" s="10">
        <v>44694</v>
      </c>
      <c r="B1245" s="11" t="s">
        <v>10</v>
      </c>
      <c r="C1245">
        <v>2457</v>
      </c>
      <c r="D1245" t="s">
        <v>6</v>
      </c>
      <c r="E1245" t="str">
        <f>IF(may[[#This Row],[ShiftCounter]]&gt;0, "Running", "Down")</f>
        <v>Running</v>
      </c>
    </row>
    <row r="1246" spans="1:5" x14ac:dyDescent="0.25">
      <c r="A1246" s="10">
        <v>44694</v>
      </c>
      <c r="B1246" s="11" t="s">
        <v>10</v>
      </c>
      <c r="C1246">
        <v>2397</v>
      </c>
      <c r="D1246" t="s">
        <v>7</v>
      </c>
      <c r="E1246" t="str">
        <f>IF(may[[#This Row],[ShiftCounter]]&gt;0, "Running", "Down")</f>
        <v>Running</v>
      </c>
    </row>
    <row r="1247" spans="1:5" x14ac:dyDescent="0.25">
      <c r="A1247" s="10">
        <v>44694</v>
      </c>
      <c r="B1247" s="11" t="s">
        <v>10</v>
      </c>
      <c r="C1247">
        <v>2140</v>
      </c>
      <c r="D1247" t="s">
        <v>8</v>
      </c>
      <c r="E1247" t="str">
        <f>IF(may[[#This Row],[ShiftCounter]]&gt;0, "Running", "Down")</f>
        <v>Running</v>
      </c>
    </row>
    <row r="1248" spans="1:5" x14ac:dyDescent="0.25">
      <c r="A1248" s="10">
        <v>44694</v>
      </c>
      <c r="B1248" s="11" t="s">
        <v>11</v>
      </c>
      <c r="C1248">
        <v>2410</v>
      </c>
      <c r="D1248" t="s">
        <v>6</v>
      </c>
      <c r="E1248" t="str">
        <f>IF(may[[#This Row],[ShiftCounter]]&gt;0, "Running", "Down")</f>
        <v>Running</v>
      </c>
    </row>
    <row r="1249" spans="1:5" x14ac:dyDescent="0.25">
      <c r="A1249" s="10">
        <v>44694</v>
      </c>
      <c r="B1249" s="11" t="s">
        <v>11</v>
      </c>
      <c r="C1249">
        <v>2386</v>
      </c>
      <c r="D1249" t="s">
        <v>7</v>
      </c>
      <c r="E1249" t="str">
        <f>IF(may[[#This Row],[ShiftCounter]]&gt;0, "Running", "Down")</f>
        <v>Running</v>
      </c>
    </row>
    <row r="1250" spans="1:5" x14ac:dyDescent="0.25">
      <c r="A1250" s="10">
        <v>44694</v>
      </c>
      <c r="B1250" s="11" t="s">
        <v>11</v>
      </c>
      <c r="C1250">
        <v>2210</v>
      </c>
      <c r="D1250" t="s">
        <v>8</v>
      </c>
      <c r="E1250" t="str">
        <f>IF(may[[#This Row],[ShiftCounter]]&gt;0, "Running", "Down")</f>
        <v>Running</v>
      </c>
    </row>
    <row r="1251" spans="1:5" x14ac:dyDescent="0.25">
      <c r="A1251" s="10">
        <v>44694</v>
      </c>
      <c r="B1251" s="11" t="s">
        <v>120</v>
      </c>
      <c r="C1251">
        <v>2070</v>
      </c>
      <c r="D1251" t="s">
        <v>6</v>
      </c>
      <c r="E1251" t="str">
        <f>IF(may[[#This Row],[ShiftCounter]]&gt;0, "Running", "Down")</f>
        <v>Running</v>
      </c>
    </row>
    <row r="1252" spans="1:5" x14ac:dyDescent="0.25">
      <c r="A1252" s="10">
        <v>44694</v>
      </c>
      <c r="B1252" s="11" t="s">
        <v>120</v>
      </c>
      <c r="C1252">
        <v>2097</v>
      </c>
      <c r="D1252" t="s">
        <v>7</v>
      </c>
      <c r="E1252" t="str">
        <f>IF(may[[#This Row],[ShiftCounter]]&gt;0, "Running", "Down")</f>
        <v>Running</v>
      </c>
    </row>
    <row r="1253" spans="1:5" x14ac:dyDescent="0.25">
      <c r="A1253" s="10">
        <v>44694</v>
      </c>
      <c r="B1253" s="11" t="s">
        <v>120</v>
      </c>
      <c r="C1253">
        <v>1935</v>
      </c>
      <c r="D1253" t="s">
        <v>8</v>
      </c>
      <c r="E1253" t="str">
        <f>IF(may[[#This Row],[ShiftCounter]]&gt;0, "Running", "Down")</f>
        <v>Running</v>
      </c>
    </row>
    <row r="1254" spans="1:5" x14ac:dyDescent="0.25">
      <c r="A1254" s="10">
        <v>44694</v>
      </c>
      <c r="B1254" s="11" t="s">
        <v>12</v>
      </c>
      <c r="C1254">
        <v>2270</v>
      </c>
      <c r="D1254" t="s">
        <v>6</v>
      </c>
      <c r="E1254" t="str">
        <f>IF(may[[#This Row],[ShiftCounter]]&gt;0, "Running", "Down")</f>
        <v>Running</v>
      </c>
    </row>
    <row r="1255" spans="1:5" x14ac:dyDescent="0.25">
      <c r="A1255" s="10">
        <v>44694</v>
      </c>
      <c r="B1255" s="11" t="s">
        <v>12</v>
      </c>
      <c r="C1255">
        <v>2186</v>
      </c>
      <c r="D1255" t="s">
        <v>7</v>
      </c>
      <c r="E1255" t="str">
        <f>IF(may[[#This Row],[ShiftCounter]]&gt;0, "Running", "Down")</f>
        <v>Running</v>
      </c>
    </row>
    <row r="1256" spans="1:5" x14ac:dyDescent="0.25">
      <c r="A1256" s="10">
        <v>44694</v>
      </c>
      <c r="B1256" s="11" t="s">
        <v>12</v>
      </c>
      <c r="C1256">
        <v>1945</v>
      </c>
      <c r="D1256" t="s">
        <v>8</v>
      </c>
      <c r="E1256" t="str">
        <f>IF(may[[#This Row],[ShiftCounter]]&gt;0, "Running", "Down")</f>
        <v>Running</v>
      </c>
    </row>
    <row r="1257" spans="1:5" x14ac:dyDescent="0.25">
      <c r="A1257" s="10">
        <v>44694</v>
      </c>
      <c r="B1257" s="11" t="s">
        <v>13</v>
      </c>
      <c r="C1257">
        <v>2388</v>
      </c>
      <c r="D1257" t="s">
        <v>6</v>
      </c>
      <c r="E1257" t="str">
        <f>IF(may[[#This Row],[ShiftCounter]]&gt;0, "Running", "Down")</f>
        <v>Running</v>
      </c>
    </row>
    <row r="1258" spans="1:5" x14ac:dyDescent="0.25">
      <c r="A1258" s="10">
        <v>44694</v>
      </c>
      <c r="B1258" s="11" t="s">
        <v>13</v>
      </c>
      <c r="C1258">
        <v>2234</v>
      </c>
      <c r="D1258" t="s">
        <v>7</v>
      </c>
      <c r="E1258" t="str">
        <f>IF(may[[#This Row],[ShiftCounter]]&gt;0, "Running", "Down")</f>
        <v>Running</v>
      </c>
    </row>
    <row r="1259" spans="1:5" x14ac:dyDescent="0.25">
      <c r="A1259" s="10">
        <v>44694</v>
      </c>
      <c r="B1259" s="11" t="s">
        <v>13</v>
      </c>
      <c r="C1259">
        <v>2157</v>
      </c>
      <c r="D1259" t="s">
        <v>8</v>
      </c>
      <c r="E1259" t="str">
        <f>IF(may[[#This Row],[ShiftCounter]]&gt;0, "Running", "Down")</f>
        <v>Running</v>
      </c>
    </row>
    <row r="1260" spans="1:5" x14ac:dyDescent="0.25">
      <c r="A1260" s="10">
        <v>44694</v>
      </c>
      <c r="B1260" s="11" t="s">
        <v>114</v>
      </c>
      <c r="C1260">
        <v>2068</v>
      </c>
      <c r="D1260" t="s">
        <v>6</v>
      </c>
      <c r="E1260" t="str">
        <f>IF(may[[#This Row],[ShiftCounter]]&gt;0, "Running", "Down")</f>
        <v>Running</v>
      </c>
    </row>
    <row r="1261" spans="1:5" x14ac:dyDescent="0.25">
      <c r="A1261" s="10">
        <v>44694</v>
      </c>
      <c r="B1261" s="11" t="s">
        <v>114</v>
      </c>
      <c r="C1261">
        <v>1960</v>
      </c>
      <c r="D1261" t="s">
        <v>7</v>
      </c>
      <c r="E1261" t="str">
        <f>IF(may[[#This Row],[ShiftCounter]]&gt;0, "Running", "Down")</f>
        <v>Running</v>
      </c>
    </row>
    <row r="1262" spans="1:5" x14ac:dyDescent="0.25">
      <c r="A1262" s="10">
        <v>44694</v>
      </c>
      <c r="B1262" s="11" t="s">
        <v>114</v>
      </c>
      <c r="C1262">
        <v>1871</v>
      </c>
      <c r="D1262" t="s">
        <v>8</v>
      </c>
      <c r="E1262" t="str">
        <f>IF(may[[#This Row],[ShiftCounter]]&gt;0, "Running", "Down")</f>
        <v>Running</v>
      </c>
    </row>
    <row r="1263" spans="1:5" x14ac:dyDescent="0.25">
      <c r="A1263" s="10">
        <v>44694</v>
      </c>
      <c r="B1263" s="11" t="s">
        <v>14</v>
      </c>
      <c r="C1263">
        <v>1891</v>
      </c>
      <c r="D1263" t="s">
        <v>6</v>
      </c>
      <c r="E1263" t="str">
        <f>IF(may[[#This Row],[ShiftCounter]]&gt;0, "Running", "Down")</f>
        <v>Running</v>
      </c>
    </row>
    <row r="1264" spans="1:5" x14ac:dyDescent="0.25">
      <c r="A1264" s="10">
        <v>44694</v>
      </c>
      <c r="B1264" s="11" t="s">
        <v>14</v>
      </c>
      <c r="C1264">
        <v>1836</v>
      </c>
      <c r="D1264" t="s">
        <v>7</v>
      </c>
      <c r="E1264" t="str">
        <f>IF(may[[#This Row],[ShiftCounter]]&gt;0, "Running", "Down")</f>
        <v>Running</v>
      </c>
    </row>
    <row r="1265" spans="1:5" x14ac:dyDescent="0.25">
      <c r="A1265" s="10">
        <v>44694</v>
      </c>
      <c r="B1265" s="11" t="s">
        <v>14</v>
      </c>
      <c r="C1265">
        <v>1730</v>
      </c>
      <c r="D1265" t="s">
        <v>8</v>
      </c>
      <c r="E1265" t="str">
        <f>IF(may[[#This Row],[ShiftCounter]]&gt;0, "Running", "Down")</f>
        <v>Running</v>
      </c>
    </row>
    <row r="1266" spans="1:5" x14ac:dyDescent="0.25">
      <c r="A1266" s="10">
        <v>44694</v>
      </c>
      <c r="B1266" s="11" t="s">
        <v>15</v>
      </c>
      <c r="C1266">
        <v>2132</v>
      </c>
      <c r="D1266" t="s">
        <v>6</v>
      </c>
      <c r="E1266" t="str">
        <f>IF(may[[#This Row],[ShiftCounter]]&gt;0, "Running", "Down")</f>
        <v>Running</v>
      </c>
    </row>
    <row r="1267" spans="1:5" x14ac:dyDescent="0.25">
      <c r="A1267" s="10">
        <v>44694</v>
      </c>
      <c r="B1267" s="11" t="s">
        <v>15</v>
      </c>
      <c r="C1267">
        <v>2126</v>
      </c>
      <c r="D1267" t="s">
        <v>7</v>
      </c>
      <c r="E1267" t="str">
        <f>IF(may[[#This Row],[ShiftCounter]]&gt;0, "Running", "Down")</f>
        <v>Running</v>
      </c>
    </row>
    <row r="1268" spans="1:5" x14ac:dyDescent="0.25">
      <c r="A1268" s="10">
        <v>44694</v>
      </c>
      <c r="B1268" s="11" t="s">
        <v>15</v>
      </c>
      <c r="C1268">
        <v>2003</v>
      </c>
      <c r="D1268" t="s">
        <v>8</v>
      </c>
      <c r="E1268" t="str">
        <f>IF(may[[#This Row],[ShiftCounter]]&gt;0, "Running", "Down")</f>
        <v>Running</v>
      </c>
    </row>
    <row r="1269" spans="1:5" x14ac:dyDescent="0.25">
      <c r="A1269" s="10">
        <v>44694</v>
      </c>
      <c r="B1269" s="11" t="s">
        <v>16</v>
      </c>
      <c r="C1269">
        <v>2440</v>
      </c>
      <c r="D1269" t="s">
        <v>6</v>
      </c>
      <c r="E1269" t="str">
        <f>IF(may[[#This Row],[ShiftCounter]]&gt;0, "Running", "Down")</f>
        <v>Running</v>
      </c>
    </row>
    <row r="1270" spans="1:5" x14ac:dyDescent="0.25">
      <c r="A1270" s="10">
        <v>44694</v>
      </c>
      <c r="B1270" s="11" t="s">
        <v>16</v>
      </c>
      <c r="C1270">
        <v>2403</v>
      </c>
      <c r="D1270" t="s">
        <v>7</v>
      </c>
      <c r="E1270" t="str">
        <f>IF(may[[#This Row],[ShiftCounter]]&gt;0, "Running", "Down")</f>
        <v>Running</v>
      </c>
    </row>
    <row r="1271" spans="1:5" x14ac:dyDescent="0.25">
      <c r="A1271" s="10">
        <v>44694</v>
      </c>
      <c r="B1271" s="11" t="s">
        <v>16</v>
      </c>
      <c r="C1271">
        <v>2272</v>
      </c>
      <c r="D1271" t="s">
        <v>8</v>
      </c>
      <c r="E1271" t="str">
        <f>IF(may[[#This Row],[ShiftCounter]]&gt;0, "Running", "Down")</f>
        <v>Running</v>
      </c>
    </row>
    <row r="1272" spans="1:5" x14ac:dyDescent="0.25">
      <c r="A1272" s="10">
        <v>44694</v>
      </c>
      <c r="B1272" s="11" t="s">
        <v>17</v>
      </c>
      <c r="C1272">
        <v>1646</v>
      </c>
      <c r="D1272" t="s">
        <v>6</v>
      </c>
      <c r="E1272" t="str">
        <f>IF(may[[#This Row],[ShiftCounter]]&gt;0, "Running", "Down")</f>
        <v>Running</v>
      </c>
    </row>
    <row r="1273" spans="1:5" x14ac:dyDescent="0.25">
      <c r="A1273" s="10">
        <v>44694</v>
      </c>
      <c r="B1273" s="11" t="s">
        <v>17</v>
      </c>
      <c r="C1273">
        <v>2210</v>
      </c>
      <c r="D1273" t="s">
        <v>7</v>
      </c>
      <c r="E1273" t="str">
        <f>IF(may[[#This Row],[ShiftCounter]]&gt;0, "Running", "Down")</f>
        <v>Running</v>
      </c>
    </row>
    <row r="1274" spans="1:5" x14ac:dyDescent="0.25">
      <c r="A1274" s="10">
        <v>44694</v>
      </c>
      <c r="B1274" s="11" t="s">
        <v>17</v>
      </c>
      <c r="C1274">
        <v>2133</v>
      </c>
      <c r="D1274" t="s">
        <v>8</v>
      </c>
      <c r="E1274" t="str">
        <f>IF(may[[#This Row],[ShiftCounter]]&gt;0, "Running", "Down")</f>
        <v>Running</v>
      </c>
    </row>
    <row r="1275" spans="1:5" x14ac:dyDescent="0.25">
      <c r="A1275" s="10">
        <v>44694</v>
      </c>
      <c r="B1275" s="11" t="s">
        <v>19</v>
      </c>
      <c r="C1275">
        <v>2114</v>
      </c>
      <c r="D1275" t="s">
        <v>6</v>
      </c>
      <c r="E1275" t="str">
        <f>IF(may[[#This Row],[ShiftCounter]]&gt;0, "Running", "Down")</f>
        <v>Running</v>
      </c>
    </row>
    <row r="1276" spans="1:5" x14ac:dyDescent="0.25">
      <c r="A1276" s="10">
        <v>44694</v>
      </c>
      <c r="B1276" s="11" t="s">
        <v>19</v>
      </c>
      <c r="C1276">
        <v>2102</v>
      </c>
      <c r="D1276" t="s">
        <v>7</v>
      </c>
      <c r="E1276" t="str">
        <f>IF(may[[#This Row],[ShiftCounter]]&gt;0, "Running", "Down")</f>
        <v>Running</v>
      </c>
    </row>
    <row r="1277" spans="1:5" x14ac:dyDescent="0.25">
      <c r="A1277" s="10">
        <v>44694</v>
      </c>
      <c r="B1277" s="11" t="s">
        <v>19</v>
      </c>
      <c r="C1277">
        <v>1776</v>
      </c>
      <c r="D1277" t="s">
        <v>8</v>
      </c>
      <c r="E1277" t="str">
        <f>IF(may[[#This Row],[ShiftCounter]]&gt;0, "Running", "Down")</f>
        <v>Running</v>
      </c>
    </row>
    <row r="1278" spans="1:5" x14ac:dyDescent="0.25">
      <c r="A1278" s="10">
        <v>44694</v>
      </c>
      <c r="B1278" s="11" t="s">
        <v>18</v>
      </c>
      <c r="C1278">
        <v>2421</v>
      </c>
      <c r="D1278" t="s">
        <v>6</v>
      </c>
      <c r="E1278" t="str">
        <f>IF(may[[#This Row],[ShiftCounter]]&gt;0, "Running", "Down")</f>
        <v>Running</v>
      </c>
    </row>
    <row r="1279" spans="1:5" x14ac:dyDescent="0.25">
      <c r="A1279" s="10">
        <v>44694</v>
      </c>
      <c r="B1279" s="11" t="s">
        <v>18</v>
      </c>
      <c r="C1279">
        <v>2441</v>
      </c>
      <c r="D1279" t="s">
        <v>7</v>
      </c>
      <c r="E1279" t="str">
        <f>IF(may[[#This Row],[ShiftCounter]]&gt;0, "Running", "Down")</f>
        <v>Running</v>
      </c>
    </row>
    <row r="1280" spans="1:5" x14ac:dyDescent="0.25">
      <c r="A1280" s="10">
        <v>44694</v>
      </c>
      <c r="B1280" s="11" t="s">
        <v>18</v>
      </c>
      <c r="C1280">
        <v>2178</v>
      </c>
      <c r="D1280" t="s">
        <v>8</v>
      </c>
      <c r="E1280" t="str">
        <f>IF(may[[#This Row],[ShiftCounter]]&gt;0, "Running", "Down")</f>
        <v>Running</v>
      </c>
    </row>
    <row r="1281" spans="1:5" x14ac:dyDescent="0.25">
      <c r="A1281" s="10">
        <v>44694</v>
      </c>
      <c r="B1281" s="11" t="s">
        <v>42</v>
      </c>
      <c r="C1281">
        <v>2132</v>
      </c>
      <c r="D1281" t="s">
        <v>6</v>
      </c>
      <c r="E1281" t="str">
        <f>IF(may[[#This Row],[ShiftCounter]]&gt;0, "Running", "Down")</f>
        <v>Running</v>
      </c>
    </row>
    <row r="1282" spans="1:5" x14ac:dyDescent="0.25">
      <c r="A1282" s="10">
        <v>44694</v>
      </c>
      <c r="B1282" s="11" t="s">
        <v>42</v>
      </c>
      <c r="C1282">
        <v>1811</v>
      </c>
      <c r="D1282" t="s">
        <v>7</v>
      </c>
      <c r="E1282" t="str">
        <f>IF(may[[#This Row],[ShiftCounter]]&gt;0, "Running", "Down")</f>
        <v>Running</v>
      </c>
    </row>
    <row r="1283" spans="1:5" x14ac:dyDescent="0.25">
      <c r="A1283" s="10">
        <v>44694</v>
      </c>
      <c r="B1283" s="11" t="s">
        <v>42</v>
      </c>
      <c r="C1283">
        <v>2089</v>
      </c>
      <c r="D1283" t="s">
        <v>8</v>
      </c>
      <c r="E1283" t="str">
        <f>IF(may[[#This Row],[ShiftCounter]]&gt;0, "Running", "Down")</f>
        <v>Running</v>
      </c>
    </row>
    <row r="1284" spans="1:5" x14ac:dyDescent="0.25">
      <c r="A1284" s="10">
        <v>44694</v>
      </c>
      <c r="B1284" s="11" t="s">
        <v>20</v>
      </c>
      <c r="C1284">
        <v>2089</v>
      </c>
      <c r="D1284" t="s">
        <v>6</v>
      </c>
      <c r="E1284" t="str">
        <f>IF(may[[#This Row],[ShiftCounter]]&gt;0, "Running", "Down")</f>
        <v>Running</v>
      </c>
    </row>
    <row r="1285" spans="1:5" x14ac:dyDescent="0.25">
      <c r="A1285" s="10">
        <v>44694</v>
      </c>
      <c r="B1285" s="11" t="s">
        <v>20</v>
      </c>
      <c r="C1285">
        <v>1744</v>
      </c>
      <c r="D1285" t="s">
        <v>7</v>
      </c>
      <c r="E1285" t="str">
        <f>IF(may[[#This Row],[ShiftCounter]]&gt;0, "Running", "Down")</f>
        <v>Running</v>
      </c>
    </row>
    <row r="1286" spans="1:5" x14ac:dyDescent="0.25">
      <c r="A1286" s="10">
        <v>44694</v>
      </c>
      <c r="B1286" s="11" t="s">
        <v>20</v>
      </c>
      <c r="C1286">
        <v>1886</v>
      </c>
      <c r="D1286" t="s">
        <v>8</v>
      </c>
      <c r="E1286" t="str">
        <f>IF(may[[#This Row],[ShiftCounter]]&gt;0, "Running", "Down")</f>
        <v>Running</v>
      </c>
    </row>
    <row r="1287" spans="1:5" x14ac:dyDescent="0.25">
      <c r="A1287" s="10">
        <v>44694</v>
      </c>
      <c r="B1287" s="11" t="s">
        <v>21</v>
      </c>
      <c r="C1287">
        <v>2096</v>
      </c>
      <c r="D1287" t="s">
        <v>6</v>
      </c>
      <c r="E1287" t="str">
        <f>IF(may[[#This Row],[ShiftCounter]]&gt;0, "Running", "Down")</f>
        <v>Running</v>
      </c>
    </row>
    <row r="1288" spans="1:5" x14ac:dyDescent="0.25">
      <c r="A1288" s="10">
        <v>44694</v>
      </c>
      <c r="B1288" s="11" t="s">
        <v>21</v>
      </c>
      <c r="C1288">
        <v>1897</v>
      </c>
      <c r="D1288" t="s">
        <v>7</v>
      </c>
      <c r="E1288" t="str">
        <f>IF(may[[#This Row],[ShiftCounter]]&gt;0, "Running", "Down")</f>
        <v>Running</v>
      </c>
    </row>
    <row r="1289" spans="1:5" x14ac:dyDescent="0.25">
      <c r="A1289" s="10">
        <v>44694</v>
      </c>
      <c r="B1289" s="11" t="s">
        <v>21</v>
      </c>
      <c r="C1289">
        <v>1957</v>
      </c>
      <c r="D1289" t="s">
        <v>8</v>
      </c>
      <c r="E1289" t="str">
        <f>IF(may[[#This Row],[ShiftCounter]]&gt;0, "Running", "Down")</f>
        <v>Running</v>
      </c>
    </row>
    <row r="1290" spans="1:5" x14ac:dyDescent="0.25">
      <c r="A1290" s="10">
        <v>44694</v>
      </c>
      <c r="B1290" s="11" t="s">
        <v>22</v>
      </c>
      <c r="C1290">
        <v>2264</v>
      </c>
      <c r="D1290" t="s">
        <v>6</v>
      </c>
      <c r="E1290" t="str">
        <f>IF(may[[#This Row],[ShiftCounter]]&gt;0, "Running", "Down")</f>
        <v>Running</v>
      </c>
    </row>
    <row r="1291" spans="1:5" x14ac:dyDescent="0.25">
      <c r="A1291" s="10">
        <v>44694</v>
      </c>
      <c r="B1291" s="11" t="s">
        <v>22</v>
      </c>
      <c r="C1291">
        <v>1964</v>
      </c>
      <c r="D1291" t="s">
        <v>7</v>
      </c>
      <c r="E1291" t="str">
        <f>IF(may[[#This Row],[ShiftCounter]]&gt;0, "Running", "Down")</f>
        <v>Running</v>
      </c>
    </row>
    <row r="1292" spans="1:5" x14ac:dyDescent="0.25">
      <c r="A1292" s="10">
        <v>44694</v>
      </c>
      <c r="B1292" s="11" t="s">
        <v>22</v>
      </c>
      <c r="C1292">
        <v>2120</v>
      </c>
      <c r="D1292" t="s">
        <v>8</v>
      </c>
      <c r="E1292" t="str">
        <f>IF(may[[#This Row],[ShiftCounter]]&gt;0, "Running", "Down")</f>
        <v>Running</v>
      </c>
    </row>
    <row r="1293" spans="1:5" x14ac:dyDescent="0.25">
      <c r="A1293" s="10">
        <v>44694</v>
      </c>
      <c r="B1293" s="11" t="s">
        <v>23</v>
      </c>
      <c r="C1293">
        <v>2351</v>
      </c>
      <c r="D1293" t="s">
        <v>6</v>
      </c>
      <c r="E1293" t="str">
        <f>IF(may[[#This Row],[ShiftCounter]]&gt;0, "Running", "Down")</f>
        <v>Running</v>
      </c>
    </row>
    <row r="1294" spans="1:5" x14ac:dyDescent="0.25">
      <c r="A1294" s="10">
        <v>44694</v>
      </c>
      <c r="B1294" s="11" t="s">
        <v>23</v>
      </c>
      <c r="C1294">
        <v>2374</v>
      </c>
      <c r="D1294" t="s">
        <v>7</v>
      </c>
      <c r="E1294" t="str">
        <f>IF(may[[#This Row],[ShiftCounter]]&gt;0, "Running", "Down")</f>
        <v>Running</v>
      </c>
    </row>
    <row r="1295" spans="1:5" x14ac:dyDescent="0.25">
      <c r="A1295" s="10">
        <v>44694</v>
      </c>
      <c r="B1295" s="11" t="s">
        <v>23</v>
      </c>
      <c r="C1295">
        <v>2253</v>
      </c>
      <c r="D1295" t="s">
        <v>8</v>
      </c>
      <c r="E1295" t="str">
        <f>IF(may[[#This Row],[ShiftCounter]]&gt;0, "Running", "Down")</f>
        <v>Running</v>
      </c>
    </row>
    <row r="1296" spans="1:5" x14ac:dyDescent="0.25">
      <c r="A1296" s="10">
        <v>44694</v>
      </c>
      <c r="B1296" s="11" t="s">
        <v>24</v>
      </c>
      <c r="C1296">
        <v>1704</v>
      </c>
      <c r="D1296" t="s">
        <v>6</v>
      </c>
      <c r="E1296" t="str">
        <f>IF(may[[#This Row],[ShiftCounter]]&gt;0, "Running", "Down")</f>
        <v>Running</v>
      </c>
    </row>
    <row r="1297" spans="1:5" x14ac:dyDescent="0.25">
      <c r="A1297" s="10">
        <v>44694</v>
      </c>
      <c r="B1297" s="11" t="s">
        <v>24</v>
      </c>
      <c r="C1297">
        <v>1910</v>
      </c>
      <c r="D1297" t="s">
        <v>7</v>
      </c>
      <c r="E1297" t="str">
        <f>IF(may[[#This Row],[ShiftCounter]]&gt;0, "Running", "Down")</f>
        <v>Running</v>
      </c>
    </row>
    <row r="1298" spans="1:5" x14ac:dyDescent="0.25">
      <c r="A1298" s="10">
        <v>44694</v>
      </c>
      <c r="B1298" s="11" t="s">
        <v>24</v>
      </c>
      <c r="C1298">
        <v>1974</v>
      </c>
      <c r="D1298" t="s">
        <v>8</v>
      </c>
      <c r="E1298" t="str">
        <f>IF(may[[#This Row],[ShiftCounter]]&gt;0, "Running", "Down")</f>
        <v>Running</v>
      </c>
    </row>
    <row r="1299" spans="1:5" x14ac:dyDescent="0.25">
      <c r="A1299" s="10">
        <v>44694</v>
      </c>
      <c r="B1299" s="11" t="s">
        <v>25</v>
      </c>
      <c r="C1299">
        <v>1584</v>
      </c>
      <c r="D1299" t="s">
        <v>6</v>
      </c>
      <c r="E1299" t="str">
        <f>IF(may[[#This Row],[ShiftCounter]]&gt;0, "Running", "Down")</f>
        <v>Running</v>
      </c>
    </row>
    <row r="1300" spans="1:5" x14ac:dyDescent="0.25">
      <c r="A1300" s="10">
        <v>44694</v>
      </c>
      <c r="B1300" s="11" t="s">
        <v>25</v>
      </c>
      <c r="C1300">
        <v>2352</v>
      </c>
      <c r="D1300" t="s">
        <v>7</v>
      </c>
      <c r="E1300" t="str">
        <f>IF(may[[#This Row],[ShiftCounter]]&gt;0, "Running", "Down")</f>
        <v>Running</v>
      </c>
    </row>
    <row r="1301" spans="1:5" x14ac:dyDescent="0.25">
      <c r="A1301" s="10">
        <v>44694</v>
      </c>
      <c r="B1301" s="11" t="s">
        <v>25</v>
      </c>
      <c r="C1301">
        <v>2136</v>
      </c>
      <c r="D1301" t="s">
        <v>8</v>
      </c>
      <c r="E1301" t="str">
        <f>IF(may[[#This Row],[ShiftCounter]]&gt;0, "Running", "Down")</f>
        <v>Running</v>
      </c>
    </row>
    <row r="1302" spans="1:5" x14ac:dyDescent="0.25">
      <c r="A1302" s="10">
        <v>44694</v>
      </c>
      <c r="B1302" s="11" t="s">
        <v>27</v>
      </c>
      <c r="C1302">
        <v>2272</v>
      </c>
      <c r="D1302" t="s">
        <v>6</v>
      </c>
      <c r="E1302" t="str">
        <f>IF(may[[#This Row],[ShiftCounter]]&gt;0, "Running", "Down")</f>
        <v>Running</v>
      </c>
    </row>
    <row r="1303" spans="1:5" x14ac:dyDescent="0.25">
      <c r="A1303" s="10">
        <v>44694</v>
      </c>
      <c r="B1303" s="11" t="s">
        <v>27</v>
      </c>
      <c r="C1303">
        <v>2285</v>
      </c>
      <c r="D1303" t="s">
        <v>7</v>
      </c>
      <c r="E1303" t="str">
        <f>IF(may[[#This Row],[ShiftCounter]]&gt;0, "Running", "Down")</f>
        <v>Running</v>
      </c>
    </row>
    <row r="1304" spans="1:5" x14ac:dyDescent="0.25">
      <c r="A1304" s="10">
        <v>44694</v>
      </c>
      <c r="B1304" s="11" t="s">
        <v>27</v>
      </c>
      <c r="C1304">
        <v>2081</v>
      </c>
      <c r="D1304" t="s">
        <v>8</v>
      </c>
      <c r="E1304" t="str">
        <f>IF(may[[#This Row],[ShiftCounter]]&gt;0, "Running", "Down")</f>
        <v>Running</v>
      </c>
    </row>
    <row r="1305" spans="1:5" x14ac:dyDescent="0.25">
      <c r="A1305" s="10">
        <v>44694</v>
      </c>
      <c r="B1305" s="11" t="s">
        <v>26</v>
      </c>
      <c r="C1305">
        <v>2229</v>
      </c>
      <c r="D1305" t="s">
        <v>6</v>
      </c>
      <c r="E1305" t="str">
        <f>IF(may[[#This Row],[ShiftCounter]]&gt;0, "Running", "Down")</f>
        <v>Running</v>
      </c>
    </row>
    <row r="1306" spans="1:5" x14ac:dyDescent="0.25">
      <c r="A1306" s="10">
        <v>44694</v>
      </c>
      <c r="B1306" s="11" t="s">
        <v>26</v>
      </c>
      <c r="C1306">
        <v>2186</v>
      </c>
      <c r="D1306" t="s">
        <v>7</v>
      </c>
      <c r="E1306" t="str">
        <f>IF(may[[#This Row],[ShiftCounter]]&gt;0, "Running", "Down")</f>
        <v>Running</v>
      </c>
    </row>
    <row r="1307" spans="1:5" x14ac:dyDescent="0.25">
      <c r="A1307" s="10">
        <v>44694</v>
      </c>
      <c r="B1307" s="11" t="s">
        <v>26</v>
      </c>
      <c r="C1307">
        <v>2039</v>
      </c>
      <c r="D1307" t="s">
        <v>8</v>
      </c>
      <c r="E1307" t="str">
        <f>IF(may[[#This Row],[ShiftCounter]]&gt;0, "Running", "Down")</f>
        <v>Running</v>
      </c>
    </row>
    <row r="1308" spans="1:5" x14ac:dyDescent="0.25">
      <c r="A1308" s="10">
        <v>44694</v>
      </c>
      <c r="B1308" s="11" t="s">
        <v>28</v>
      </c>
      <c r="C1308">
        <v>2176</v>
      </c>
      <c r="D1308" t="s">
        <v>6</v>
      </c>
      <c r="E1308" t="str">
        <f>IF(may[[#This Row],[ShiftCounter]]&gt;0, "Running", "Down")</f>
        <v>Running</v>
      </c>
    </row>
    <row r="1309" spans="1:5" x14ac:dyDescent="0.25">
      <c r="A1309" s="10">
        <v>44694</v>
      </c>
      <c r="B1309" s="11" t="s">
        <v>28</v>
      </c>
      <c r="C1309">
        <v>2154</v>
      </c>
      <c r="D1309" t="s">
        <v>7</v>
      </c>
      <c r="E1309" t="str">
        <f>IF(may[[#This Row],[ShiftCounter]]&gt;0, "Running", "Down")</f>
        <v>Running</v>
      </c>
    </row>
    <row r="1310" spans="1:5" x14ac:dyDescent="0.25">
      <c r="A1310" s="10">
        <v>44694</v>
      </c>
      <c r="B1310" s="11" t="s">
        <v>28</v>
      </c>
      <c r="C1310">
        <v>1982</v>
      </c>
      <c r="D1310" t="s">
        <v>8</v>
      </c>
      <c r="E1310" t="str">
        <f>IF(may[[#This Row],[ShiftCounter]]&gt;0, "Running", "Down")</f>
        <v>Running</v>
      </c>
    </row>
    <row r="1311" spans="1:5" x14ac:dyDescent="0.25">
      <c r="A1311" s="10">
        <v>44694</v>
      </c>
      <c r="B1311" s="11" t="s">
        <v>30</v>
      </c>
      <c r="C1311">
        <v>2298</v>
      </c>
      <c r="D1311" t="s">
        <v>6</v>
      </c>
      <c r="E1311" t="str">
        <f>IF(may[[#This Row],[ShiftCounter]]&gt;0, "Running", "Down")</f>
        <v>Running</v>
      </c>
    </row>
    <row r="1312" spans="1:5" x14ac:dyDescent="0.25">
      <c r="A1312" s="10">
        <v>44694</v>
      </c>
      <c r="B1312" s="11" t="s">
        <v>30</v>
      </c>
      <c r="C1312">
        <v>2316</v>
      </c>
      <c r="D1312" t="s">
        <v>7</v>
      </c>
      <c r="E1312" t="str">
        <f>IF(may[[#This Row],[ShiftCounter]]&gt;0, "Running", "Down")</f>
        <v>Running</v>
      </c>
    </row>
    <row r="1313" spans="1:5" x14ac:dyDescent="0.25">
      <c r="A1313" s="10">
        <v>44694</v>
      </c>
      <c r="B1313" s="11" t="s">
        <v>30</v>
      </c>
      <c r="C1313">
        <v>2087</v>
      </c>
      <c r="D1313" t="s">
        <v>8</v>
      </c>
      <c r="E1313" t="str">
        <f>IF(may[[#This Row],[ShiftCounter]]&gt;0, "Running", "Down")</f>
        <v>Running</v>
      </c>
    </row>
    <row r="1314" spans="1:5" x14ac:dyDescent="0.25">
      <c r="A1314" s="10">
        <v>44694</v>
      </c>
      <c r="B1314" s="11" t="s">
        <v>29</v>
      </c>
      <c r="C1314">
        <v>1960</v>
      </c>
      <c r="D1314" t="s">
        <v>6</v>
      </c>
      <c r="E1314" t="str">
        <f>IF(may[[#This Row],[ShiftCounter]]&gt;0, "Running", "Down")</f>
        <v>Running</v>
      </c>
    </row>
    <row r="1315" spans="1:5" x14ac:dyDescent="0.25">
      <c r="A1315" s="10">
        <v>44694</v>
      </c>
      <c r="B1315" s="11" t="s">
        <v>29</v>
      </c>
      <c r="C1315">
        <v>2056</v>
      </c>
      <c r="D1315" t="s">
        <v>7</v>
      </c>
      <c r="E1315" t="str">
        <f>IF(may[[#This Row],[ShiftCounter]]&gt;0, "Running", "Down")</f>
        <v>Running</v>
      </c>
    </row>
    <row r="1316" spans="1:5" x14ac:dyDescent="0.25">
      <c r="A1316" s="10">
        <v>44694</v>
      </c>
      <c r="B1316" s="11" t="s">
        <v>29</v>
      </c>
      <c r="C1316">
        <v>1902</v>
      </c>
      <c r="D1316" t="s">
        <v>8</v>
      </c>
      <c r="E1316" t="str">
        <f>IF(may[[#This Row],[ShiftCounter]]&gt;0, "Running", "Down")</f>
        <v>Running</v>
      </c>
    </row>
    <row r="1317" spans="1:5" x14ac:dyDescent="0.25">
      <c r="A1317" s="10">
        <v>44694</v>
      </c>
      <c r="B1317" s="11" t="s">
        <v>31</v>
      </c>
      <c r="C1317">
        <v>2114</v>
      </c>
      <c r="D1317" t="s">
        <v>6</v>
      </c>
      <c r="E1317" t="str">
        <f>IF(may[[#This Row],[ShiftCounter]]&gt;0, "Running", "Down")</f>
        <v>Running</v>
      </c>
    </row>
    <row r="1318" spans="1:5" x14ac:dyDescent="0.25">
      <c r="A1318" s="10">
        <v>44694</v>
      </c>
      <c r="B1318" s="11" t="s">
        <v>31</v>
      </c>
      <c r="C1318">
        <v>2211</v>
      </c>
      <c r="D1318" t="s">
        <v>7</v>
      </c>
      <c r="E1318" t="str">
        <f>IF(may[[#This Row],[ShiftCounter]]&gt;0, "Running", "Down")</f>
        <v>Running</v>
      </c>
    </row>
    <row r="1319" spans="1:5" x14ac:dyDescent="0.25">
      <c r="A1319" s="10">
        <v>44694</v>
      </c>
      <c r="B1319" s="11" t="s">
        <v>31</v>
      </c>
      <c r="C1319">
        <v>1989</v>
      </c>
      <c r="D1319" t="s">
        <v>8</v>
      </c>
      <c r="E1319" t="str">
        <f>IF(may[[#This Row],[ShiftCounter]]&gt;0, "Running", "Down")</f>
        <v>Running</v>
      </c>
    </row>
    <row r="1320" spans="1:5" x14ac:dyDescent="0.25">
      <c r="A1320" s="10">
        <v>44694</v>
      </c>
      <c r="B1320" s="11" t="s">
        <v>32</v>
      </c>
      <c r="C1320">
        <v>2075</v>
      </c>
      <c r="D1320" t="s">
        <v>6</v>
      </c>
      <c r="E1320" t="str">
        <f>IF(may[[#This Row],[ShiftCounter]]&gt;0, "Running", "Down")</f>
        <v>Running</v>
      </c>
    </row>
    <row r="1321" spans="1:5" x14ac:dyDescent="0.25">
      <c r="A1321" s="10">
        <v>44694</v>
      </c>
      <c r="B1321" s="11" t="s">
        <v>32</v>
      </c>
      <c r="C1321">
        <v>2189</v>
      </c>
      <c r="D1321" t="s">
        <v>7</v>
      </c>
      <c r="E1321" t="str">
        <f>IF(may[[#This Row],[ShiftCounter]]&gt;0, "Running", "Down")</f>
        <v>Running</v>
      </c>
    </row>
    <row r="1322" spans="1:5" x14ac:dyDescent="0.25">
      <c r="A1322" s="10">
        <v>44694</v>
      </c>
      <c r="B1322" s="11" t="s">
        <v>32</v>
      </c>
      <c r="C1322">
        <v>2003</v>
      </c>
      <c r="D1322" t="s">
        <v>8</v>
      </c>
      <c r="E1322" t="str">
        <f>IF(may[[#This Row],[ShiftCounter]]&gt;0, "Running", "Down")</f>
        <v>Running</v>
      </c>
    </row>
    <row r="1323" spans="1:5" x14ac:dyDescent="0.25">
      <c r="A1323" s="10">
        <v>44694</v>
      </c>
      <c r="B1323" s="11" t="s">
        <v>33</v>
      </c>
      <c r="C1323">
        <v>2149</v>
      </c>
      <c r="D1323" t="s">
        <v>6</v>
      </c>
      <c r="E1323" t="str">
        <f>IF(may[[#This Row],[ShiftCounter]]&gt;0, "Running", "Down")</f>
        <v>Running</v>
      </c>
    </row>
    <row r="1324" spans="1:5" x14ac:dyDescent="0.25">
      <c r="A1324" s="10">
        <v>44694</v>
      </c>
      <c r="B1324" s="11" t="s">
        <v>33</v>
      </c>
      <c r="C1324">
        <v>2353</v>
      </c>
      <c r="D1324" t="s">
        <v>7</v>
      </c>
      <c r="E1324" t="str">
        <f>IF(may[[#This Row],[ShiftCounter]]&gt;0, "Running", "Down")</f>
        <v>Running</v>
      </c>
    </row>
    <row r="1325" spans="1:5" x14ac:dyDescent="0.25">
      <c r="A1325" s="10">
        <v>44694</v>
      </c>
      <c r="B1325" s="11" t="s">
        <v>33</v>
      </c>
      <c r="C1325">
        <v>2085</v>
      </c>
      <c r="D1325" t="s">
        <v>8</v>
      </c>
      <c r="E1325" t="str">
        <f>IF(may[[#This Row],[ShiftCounter]]&gt;0, "Running", "Down")</f>
        <v>Running</v>
      </c>
    </row>
    <row r="1326" spans="1:5" x14ac:dyDescent="0.25">
      <c r="A1326" s="10">
        <v>44694</v>
      </c>
      <c r="B1326" s="11" t="s">
        <v>34</v>
      </c>
      <c r="C1326">
        <v>1955</v>
      </c>
      <c r="D1326" t="s">
        <v>6</v>
      </c>
      <c r="E1326" t="str">
        <f>IF(may[[#This Row],[ShiftCounter]]&gt;0, "Running", "Down")</f>
        <v>Running</v>
      </c>
    </row>
    <row r="1327" spans="1:5" x14ac:dyDescent="0.25">
      <c r="A1327" s="10">
        <v>44694</v>
      </c>
      <c r="B1327" s="11" t="s">
        <v>34</v>
      </c>
      <c r="C1327">
        <v>1952</v>
      </c>
      <c r="D1327" t="s">
        <v>7</v>
      </c>
      <c r="E1327" t="str">
        <f>IF(may[[#This Row],[ShiftCounter]]&gt;0, "Running", "Down")</f>
        <v>Running</v>
      </c>
    </row>
    <row r="1328" spans="1:5" x14ac:dyDescent="0.25">
      <c r="A1328" s="10">
        <v>44694</v>
      </c>
      <c r="B1328" s="11" t="s">
        <v>34</v>
      </c>
      <c r="C1328">
        <v>1705</v>
      </c>
      <c r="D1328" t="s">
        <v>8</v>
      </c>
      <c r="E1328" t="str">
        <f>IF(may[[#This Row],[ShiftCounter]]&gt;0, "Running", "Down")</f>
        <v>Running</v>
      </c>
    </row>
    <row r="1329" spans="1:5" x14ac:dyDescent="0.25">
      <c r="A1329" s="10">
        <v>44694</v>
      </c>
      <c r="B1329" s="11" t="s">
        <v>35</v>
      </c>
      <c r="C1329">
        <v>2391</v>
      </c>
      <c r="D1329" t="s">
        <v>6</v>
      </c>
      <c r="E1329" t="str">
        <f>IF(may[[#This Row],[ShiftCounter]]&gt;0, "Running", "Down")</f>
        <v>Running</v>
      </c>
    </row>
    <row r="1330" spans="1:5" x14ac:dyDescent="0.25">
      <c r="A1330" s="10">
        <v>44694</v>
      </c>
      <c r="B1330" s="11" t="s">
        <v>35</v>
      </c>
      <c r="C1330">
        <v>795</v>
      </c>
      <c r="D1330" t="s">
        <v>7</v>
      </c>
      <c r="E1330" t="str">
        <f>IF(may[[#This Row],[ShiftCounter]]&gt;0, "Running", "Down")</f>
        <v>Running</v>
      </c>
    </row>
    <row r="1331" spans="1:5" x14ac:dyDescent="0.25">
      <c r="A1331" s="10">
        <v>44694</v>
      </c>
      <c r="B1331" s="11" t="s">
        <v>35</v>
      </c>
      <c r="C1331">
        <v>0</v>
      </c>
      <c r="D1331" t="s">
        <v>8</v>
      </c>
      <c r="E1331" t="str">
        <f>IF(may[[#This Row],[ShiftCounter]]&gt;0, "Running", "Down")</f>
        <v>Down</v>
      </c>
    </row>
    <row r="1332" spans="1:5" x14ac:dyDescent="0.25">
      <c r="A1332" s="10">
        <v>44694</v>
      </c>
      <c r="B1332" s="11" t="s">
        <v>36</v>
      </c>
      <c r="C1332">
        <v>2185</v>
      </c>
      <c r="D1332" t="s">
        <v>6</v>
      </c>
      <c r="E1332" t="str">
        <f>IF(may[[#This Row],[ShiftCounter]]&gt;0, "Running", "Down")</f>
        <v>Running</v>
      </c>
    </row>
    <row r="1333" spans="1:5" x14ac:dyDescent="0.25">
      <c r="A1333" s="10">
        <v>44694</v>
      </c>
      <c r="B1333" s="11" t="s">
        <v>36</v>
      </c>
      <c r="C1333">
        <v>798</v>
      </c>
      <c r="D1333" t="s">
        <v>7</v>
      </c>
      <c r="E1333" t="str">
        <f>IF(may[[#This Row],[ShiftCounter]]&gt;0, "Running", "Down")</f>
        <v>Running</v>
      </c>
    </row>
    <row r="1334" spans="1:5" x14ac:dyDescent="0.25">
      <c r="A1334" s="10">
        <v>44694</v>
      </c>
      <c r="B1334" s="11" t="s">
        <v>36</v>
      </c>
      <c r="C1334">
        <v>0</v>
      </c>
      <c r="D1334" t="s">
        <v>8</v>
      </c>
      <c r="E1334" t="str">
        <f>IF(may[[#This Row],[ShiftCounter]]&gt;0, "Running", "Down")</f>
        <v>Down</v>
      </c>
    </row>
    <row r="1335" spans="1:5" x14ac:dyDescent="0.25">
      <c r="A1335" s="10">
        <v>44694</v>
      </c>
      <c r="B1335" s="11" t="s">
        <v>37</v>
      </c>
      <c r="C1335">
        <v>2176</v>
      </c>
      <c r="D1335" t="s">
        <v>6</v>
      </c>
      <c r="E1335" t="str">
        <f>IF(may[[#This Row],[ShiftCounter]]&gt;0, "Running", "Down")</f>
        <v>Running</v>
      </c>
    </row>
    <row r="1336" spans="1:5" x14ac:dyDescent="0.25">
      <c r="A1336" s="10">
        <v>44694</v>
      </c>
      <c r="B1336" s="11" t="s">
        <v>37</v>
      </c>
      <c r="C1336">
        <v>2387</v>
      </c>
      <c r="D1336" t="s">
        <v>7</v>
      </c>
      <c r="E1336" t="str">
        <f>IF(may[[#This Row],[ShiftCounter]]&gt;0, "Running", "Down")</f>
        <v>Running</v>
      </c>
    </row>
    <row r="1337" spans="1:5" x14ac:dyDescent="0.25">
      <c r="A1337" s="10">
        <v>44694</v>
      </c>
      <c r="B1337" s="11" t="s">
        <v>37</v>
      </c>
      <c r="C1337">
        <v>2052</v>
      </c>
      <c r="D1337" t="s">
        <v>8</v>
      </c>
      <c r="E1337" t="str">
        <f>IF(may[[#This Row],[ShiftCounter]]&gt;0, "Running", "Down")</f>
        <v>Running</v>
      </c>
    </row>
    <row r="1338" spans="1:5" x14ac:dyDescent="0.25">
      <c r="A1338" s="10">
        <v>44695</v>
      </c>
      <c r="B1338" s="11" t="s">
        <v>40</v>
      </c>
      <c r="C1338">
        <v>2205</v>
      </c>
      <c r="D1338" t="s">
        <v>6</v>
      </c>
      <c r="E1338" t="str">
        <f>IF(may[[#This Row],[ShiftCounter]]&gt;0, "Running", "Down")</f>
        <v>Running</v>
      </c>
    </row>
    <row r="1339" spans="1:5" x14ac:dyDescent="0.25">
      <c r="A1339" s="10">
        <v>44695</v>
      </c>
      <c r="B1339" s="11" t="s">
        <v>40</v>
      </c>
      <c r="C1339">
        <v>2314</v>
      </c>
      <c r="D1339" t="s">
        <v>7</v>
      </c>
      <c r="E1339" t="str">
        <f>IF(may[[#This Row],[ShiftCounter]]&gt;0, "Running", "Down")</f>
        <v>Running</v>
      </c>
    </row>
    <row r="1340" spans="1:5" x14ac:dyDescent="0.25">
      <c r="A1340" s="10">
        <v>44695</v>
      </c>
      <c r="B1340" s="11" t="s">
        <v>40</v>
      </c>
      <c r="C1340">
        <v>2075</v>
      </c>
      <c r="D1340" t="s">
        <v>8</v>
      </c>
      <c r="E1340" t="str">
        <f>IF(may[[#This Row],[ShiftCounter]]&gt;0, "Running", "Down")</f>
        <v>Running</v>
      </c>
    </row>
    <row r="1341" spans="1:5" x14ac:dyDescent="0.25">
      <c r="A1341" s="10">
        <v>44695</v>
      </c>
      <c r="B1341" s="11" t="s">
        <v>39</v>
      </c>
      <c r="C1341">
        <v>1994</v>
      </c>
      <c r="D1341" t="s">
        <v>6</v>
      </c>
      <c r="E1341" t="str">
        <f>IF(may[[#This Row],[ShiftCounter]]&gt;0, "Running", "Down")</f>
        <v>Running</v>
      </c>
    </row>
    <row r="1342" spans="1:5" x14ac:dyDescent="0.25">
      <c r="A1342" s="10">
        <v>44695</v>
      </c>
      <c r="B1342" s="11" t="s">
        <v>39</v>
      </c>
      <c r="C1342">
        <v>2000</v>
      </c>
      <c r="D1342" t="s">
        <v>7</v>
      </c>
      <c r="E1342" t="str">
        <f>IF(may[[#This Row],[ShiftCounter]]&gt;0, "Running", "Down")</f>
        <v>Running</v>
      </c>
    </row>
    <row r="1343" spans="1:5" x14ac:dyDescent="0.25">
      <c r="A1343" s="10">
        <v>44695</v>
      </c>
      <c r="B1343" s="11" t="s">
        <v>39</v>
      </c>
      <c r="C1343">
        <v>1815</v>
      </c>
      <c r="D1343" t="s">
        <v>8</v>
      </c>
      <c r="E1343" t="str">
        <f>IF(may[[#This Row],[ShiftCounter]]&gt;0, "Running", "Down")</f>
        <v>Running</v>
      </c>
    </row>
    <row r="1344" spans="1:5" x14ac:dyDescent="0.25">
      <c r="A1344" s="10">
        <v>44695</v>
      </c>
      <c r="B1344" s="11" t="s">
        <v>41</v>
      </c>
      <c r="C1344">
        <v>2313</v>
      </c>
      <c r="D1344" t="s">
        <v>6</v>
      </c>
      <c r="E1344" t="str">
        <f>IF(may[[#This Row],[ShiftCounter]]&gt;0, "Running", "Down")</f>
        <v>Running</v>
      </c>
    </row>
    <row r="1345" spans="1:5" x14ac:dyDescent="0.25">
      <c r="A1345" s="10">
        <v>44695</v>
      </c>
      <c r="B1345" s="11" t="s">
        <v>41</v>
      </c>
      <c r="C1345">
        <v>2342</v>
      </c>
      <c r="D1345" t="s">
        <v>7</v>
      </c>
      <c r="E1345" t="str">
        <f>IF(may[[#This Row],[ShiftCounter]]&gt;0, "Running", "Down")</f>
        <v>Running</v>
      </c>
    </row>
    <row r="1346" spans="1:5" x14ac:dyDescent="0.25">
      <c r="A1346" s="10">
        <v>44695</v>
      </c>
      <c r="B1346" s="11" t="s">
        <v>41</v>
      </c>
      <c r="C1346">
        <v>1663</v>
      </c>
      <c r="D1346" t="s">
        <v>8</v>
      </c>
      <c r="E1346" t="str">
        <f>IF(may[[#This Row],[ShiftCounter]]&gt;0, "Running", "Down")</f>
        <v>Running</v>
      </c>
    </row>
    <row r="1347" spans="1:5" x14ac:dyDescent="0.25">
      <c r="A1347" s="10">
        <v>44695</v>
      </c>
      <c r="B1347" s="11" t="s">
        <v>9</v>
      </c>
      <c r="C1347">
        <v>2325</v>
      </c>
      <c r="D1347" t="s">
        <v>6</v>
      </c>
      <c r="E1347" t="str">
        <f>IF(may[[#This Row],[ShiftCounter]]&gt;0, "Running", "Down")</f>
        <v>Running</v>
      </c>
    </row>
    <row r="1348" spans="1:5" x14ac:dyDescent="0.25">
      <c r="A1348" s="10">
        <v>44695</v>
      </c>
      <c r="B1348" s="11" t="s">
        <v>9</v>
      </c>
      <c r="C1348">
        <v>2266</v>
      </c>
      <c r="D1348" t="s">
        <v>7</v>
      </c>
      <c r="E1348" t="str">
        <f>IF(may[[#This Row],[ShiftCounter]]&gt;0, "Running", "Down")</f>
        <v>Running</v>
      </c>
    </row>
    <row r="1349" spans="1:5" x14ac:dyDescent="0.25">
      <c r="A1349" s="10">
        <v>44695</v>
      </c>
      <c r="B1349" s="11" t="s">
        <v>9</v>
      </c>
      <c r="C1349">
        <v>2124</v>
      </c>
      <c r="D1349" t="s">
        <v>8</v>
      </c>
      <c r="E1349" t="str">
        <f>IF(may[[#This Row],[ShiftCounter]]&gt;0, "Running", "Down")</f>
        <v>Running</v>
      </c>
    </row>
    <row r="1350" spans="1:5" x14ac:dyDescent="0.25">
      <c r="A1350" s="10">
        <v>44695</v>
      </c>
      <c r="B1350" s="11" t="s">
        <v>10</v>
      </c>
      <c r="C1350">
        <v>2310</v>
      </c>
      <c r="D1350" t="s">
        <v>6</v>
      </c>
      <c r="E1350" t="str">
        <f>IF(may[[#This Row],[ShiftCounter]]&gt;0, "Running", "Down")</f>
        <v>Running</v>
      </c>
    </row>
    <row r="1351" spans="1:5" x14ac:dyDescent="0.25">
      <c r="A1351" s="10">
        <v>44695</v>
      </c>
      <c r="B1351" s="11" t="s">
        <v>10</v>
      </c>
      <c r="C1351">
        <v>2335</v>
      </c>
      <c r="D1351" t="s">
        <v>7</v>
      </c>
      <c r="E1351" t="str">
        <f>IF(may[[#This Row],[ShiftCounter]]&gt;0, "Running", "Down")</f>
        <v>Running</v>
      </c>
    </row>
    <row r="1352" spans="1:5" x14ac:dyDescent="0.25">
      <c r="A1352" s="10">
        <v>44695</v>
      </c>
      <c r="B1352" s="11" t="s">
        <v>10</v>
      </c>
      <c r="C1352">
        <v>2121</v>
      </c>
      <c r="D1352" t="s">
        <v>8</v>
      </c>
      <c r="E1352" t="str">
        <f>IF(may[[#This Row],[ShiftCounter]]&gt;0, "Running", "Down")</f>
        <v>Running</v>
      </c>
    </row>
    <row r="1353" spans="1:5" x14ac:dyDescent="0.25">
      <c r="A1353" s="10">
        <v>44695</v>
      </c>
      <c r="B1353" s="11" t="s">
        <v>11</v>
      </c>
      <c r="C1353">
        <v>2410</v>
      </c>
      <c r="D1353" t="s">
        <v>6</v>
      </c>
      <c r="E1353" t="str">
        <f>IF(may[[#This Row],[ShiftCounter]]&gt;0, "Running", "Down")</f>
        <v>Running</v>
      </c>
    </row>
    <row r="1354" spans="1:5" x14ac:dyDescent="0.25">
      <c r="A1354" s="10">
        <v>44695</v>
      </c>
      <c r="B1354" s="11" t="s">
        <v>11</v>
      </c>
      <c r="C1354">
        <v>2430</v>
      </c>
      <c r="D1354" t="s">
        <v>7</v>
      </c>
      <c r="E1354" t="str">
        <f>IF(may[[#This Row],[ShiftCounter]]&gt;0, "Running", "Down")</f>
        <v>Running</v>
      </c>
    </row>
    <row r="1355" spans="1:5" x14ac:dyDescent="0.25">
      <c r="A1355" s="10">
        <v>44695</v>
      </c>
      <c r="B1355" s="11" t="s">
        <v>11</v>
      </c>
      <c r="C1355">
        <v>2166</v>
      </c>
      <c r="D1355" t="s">
        <v>8</v>
      </c>
      <c r="E1355" t="str">
        <f>IF(may[[#This Row],[ShiftCounter]]&gt;0, "Running", "Down")</f>
        <v>Running</v>
      </c>
    </row>
    <row r="1356" spans="1:5" x14ac:dyDescent="0.25">
      <c r="A1356" s="10">
        <v>44695</v>
      </c>
      <c r="B1356" s="11" t="s">
        <v>12</v>
      </c>
      <c r="C1356">
        <v>2159</v>
      </c>
      <c r="D1356" t="s">
        <v>6</v>
      </c>
      <c r="E1356" t="str">
        <f>IF(may[[#This Row],[ShiftCounter]]&gt;0, "Running", "Down")</f>
        <v>Running</v>
      </c>
    </row>
    <row r="1357" spans="1:5" x14ac:dyDescent="0.25">
      <c r="A1357" s="10">
        <v>44695</v>
      </c>
      <c r="B1357" s="11" t="s">
        <v>12</v>
      </c>
      <c r="C1357">
        <v>2203</v>
      </c>
      <c r="D1357" t="s">
        <v>7</v>
      </c>
      <c r="E1357" t="str">
        <f>IF(may[[#This Row],[ShiftCounter]]&gt;0, "Running", "Down")</f>
        <v>Running</v>
      </c>
    </row>
    <row r="1358" spans="1:5" x14ac:dyDescent="0.25">
      <c r="A1358" s="10">
        <v>44695</v>
      </c>
      <c r="B1358" s="11" t="s">
        <v>12</v>
      </c>
      <c r="C1358">
        <v>1938</v>
      </c>
      <c r="D1358" t="s">
        <v>8</v>
      </c>
      <c r="E1358" t="str">
        <f>IF(may[[#This Row],[ShiftCounter]]&gt;0, "Running", "Down")</f>
        <v>Running</v>
      </c>
    </row>
    <row r="1359" spans="1:5" x14ac:dyDescent="0.25">
      <c r="A1359" s="10">
        <v>44695</v>
      </c>
      <c r="B1359" s="11" t="s">
        <v>120</v>
      </c>
      <c r="C1359">
        <v>2154</v>
      </c>
      <c r="D1359" t="s">
        <v>6</v>
      </c>
      <c r="E1359" t="str">
        <f>IF(may[[#This Row],[ShiftCounter]]&gt;0, "Running", "Down")</f>
        <v>Running</v>
      </c>
    </row>
    <row r="1360" spans="1:5" x14ac:dyDescent="0.25">
      <c r="A1360" s="10">
        <v>44695</v>
      </c>
      <c r="B1360" s="11" t="s">
        <v>120</v>
      </c>
      <c r="C1360">
        <v>2192</v>
      </c>
      <c r="D1360" t="s">
        <v>7</v>
      </c>
      <c r="E1360" t="str">
        <f>IF(may[[#This Row],[ShiftCounter]]&gt;0, "Running", "Down")</f>
        <v>Running</v>
      </c>
    </row>
    <row r="1361" spans="1:5" x14ac:dyDescent="0.25">
      <c r="A1361" s="10">
        <v>44695</v>
      </c>
      <c r="B1361" s="11" t="s">
        <v>120</v>
      </c>
      <c r="C1361">
        <v>1924</v>
      </c>
      <c r="D1361" t="s">
        <v>8</v>
      </c>
      <c r="E1361" t="str">
        <f>IF(may[[#This Row],[ShiftCounter]]&gt;0, "Running", "Down")</f>
        <v>Running</v>
      </c>
    </row>
    <row r="1362" spans="1:5" x14ac:dyDescent="0.25">
      <c r="A1362" s="10">
        <v>44695</v>
      </c>
      <c r="B1362" s="11" t="s">
        <v>13</v>
      </c>
      <c r="C1362">
        <v>2183</v>
      </c>
      <c r="D1362" t="s">
        <v>6</v>
      </c>
      <c r="E1362" t="str">
        <f>IF(may[[#This Row],[ShiftCounter]]&gt;0, "Running", "Down")</f>
        <v>Running</v>
      </c>
    </row>
    <row r="1363" spans="1:5" x14ac:dyDescent="0.25">
      <c r="A1363" s="10">
        <v>44695</v>
      </c>
      <c r="B1363" s="11" t="s">
        <v>13</v>
      </c>
      <c r="C1363">
        <v>2322</v>
      </c>
      <c r="D1363" t="s">
        <v>7</v>
      </c>
      <c r="E1363" t="str">
        <f>IF(may[[#This Row],[ShiftCounter]]&gt;0, "Running", "Down")</f>
        <v>Running</v>
      </c>
    </row>
    <row r="1364" spans="1:5" x14ac:dyDescent="0.25">
      <c r="A1364" s="10">
        <v>44695</v>
      </c>
      <c r="B1364" s="11" t="s">
        <v>13</v>
      </c>
      <c r="C1364">
        <v>1917</v>
      </c>
      <c r="D1364" t="s">
        <v>8</v>
      </c>
      <c r="E1364" t="str">
        <f>IF(may[[#This Row],[ShiftCounter]]&gt;0, "Running", "Down")</f>
        <v>Running</v>
      </c>
    </row>
    <row r="1365" spans="1:5" x14ac:dyDescent="0.25">
      <c r="A1365" s="10">
        <v>44695</v>
      </c>
      <c r="B1365" s="11" t="s">
        <v>114</v>
      </c>
      <c r="C1365">
        <v>-1</v>
      </c>
      <c r="D1365" t="s">
        <v>6</v>
      </c>
      <c r="E1365" t="str">
        <f>IF(may[[#This Row],[ShiftCounter]]&gt;0, "Running", "Down")</f>
        <v>Down</v>
      </c>
    </row>
    <row r="1366" spans="1:5" x14ac:dyDescent="0.25">
      <c r="A1366" s="10">
        <v>44695</v>
      </c>
      <c r="B1366" s="11" t="s">
        <v>114</v>
      </c>
      <c r="C1366">
        <v>3565</v>
      </c>
      <c r="D1366" t="s">
        <v>7</v>
      </c>
      <c r="E1366" t="str">
        <f>IF(may[[#This Row],[ShiftCounter]]&gt;0, "Running", "Down")</f>
        <v>Running</v>
      </c>
    </row>
    <row r="1367" spans="1:5" x14ac:dyDescent="0.25">
      <c r="A1367" s="10">
        <v>44695</v>
      </c>
      <c r="B1367" s="11" t="s">
        <v>114</v>
      </c>
      <c r="C1367">
        <v>1670</v>
      </c>
      <c r="D1367" t="s">
        <v>8</v>
      </c>
      <c r="E1367" t="str">
        <f>IF(may[[#This Row],[ShiftCounter]]&gt;0, "Running", "Down")</f>
        <v>Running</v>
      </c>
    </row>
    <row r="1368" spans="1:5" x14ac:dyDescent="0.25">
      <c r="A1368" s="10">
        <v>44695</v>
      </c>
      <c r="B1368" s="11" t="s">
        <v>14</v>
      </c>
      <c r="C1368">
        <v>2085</v>
      </c>
      <c r="D1368" t="s">
        <v>6</v>
      </c>
      <c r="E1368" t="str">
        <f>IF(may[[#This Row],[ShiftCounter]]&gt;0, "Running", "Down")</f>
        <v>Running</v>
      </c>
    </row>
    <row r="1369" spans="1:5" x14ac:dyDescent="0.25">
      <c r="A1369" s="10">
        <v>44695</v>
      </c>
      <c r="B1369" s="11" t="s">
        <v>14</v>
      </c>
      <c r="C1369">
        <v>1923</v>
      </c>
      <c r="D1369" t="s">
        <v>7</v>
      </c>
      <c r="E1369" t="str">
        <f>IF(may[[#This Row],[ShiftCounter]]&gt;0, "Running", "Down")</f>
        <v>Running</v>
      </c>
    </row>
    <row r="1370" spans="1:5" x14ac:dyDescent="0.25">
      <c r="A1370" s="10">
        <v>44695</v>
      </c>
      <c r="B1370" s="11" t="s">
        <v>14</v>
      </c>
      <c r="C1370">
        <v>1577</v>
      </c>
      <c r="D1370" t="s">
        <v>8</v>
      </c>
      <c r="E1370" t="str">
        <f>IF(may[[#This Row],[ShiftCounter]]&gt;0, "Running", "Down")</f>
        <v>Running</v>
      </c>
    </row>
    <row r="1371" spans="1:5" x14ac:dyDescent="0.25">
      <c r="A1371" s="10">
        <v>44695</v>
      </c>
      <c r="B1371" s="11" t="s">
        <v>15</v>
      </c>
      <c r="C1371">
        <v>2138</v>
      </c>
      <c r="D1371" t="s">
        <v>6</v>
      </c>
      <c r="E1371" t="str">
        <f>IF(may[[#This Row],[ShiftCounter]]&gt;0, "Running", "Down")</f>
        <v>Running</v>
      </c>
    </row>
    <row r="1372" spans="1:5" x14ac:dyDescent="0.25">
      <c r="A1372" s="10">
        <v>44695</v>
      </c>
      <c r="B1372" s="11" t="s">
        <v>15</v>
      </c>
      <c r="C1372">
        <v>2211</v>
      </c>
      <c r="D1372" t="s">
        <v>7</v>
      </c>
      <c r="E1372" t="str">
        <f>IF(may[[#This Row],[ShiftCounter]]&gt;0, "Running", "Down")</f>
        <v>Running</v>
      </c>
    </row>
    <row r="1373" spans="1:5" x14ac:dyDescent="0.25">
      <c r="A1373" s="10">
        <v>44695</v>
      </c>
      <c r="B1373" s="11" t="s">
        <v>15</v>
      </c>
      <c r="C1373">
        <v>1829</v>
      </c>
      <c r="D1373" t="s">
        <v>8</v>
      </c>
      <c r="E1373" t="str">
        <f>IF(may[[#This Row],[ShiftCounter]]&gt;0, "Running", "Down")</f>
        <v>Running</v>
      </c>
    </row>
    <row r="1374" spans="1:5" x14ac:dyDescent="0.25">
      <c r="A1374" s="10">
        <v>44695</v>
      </c>
      <c r="B1374" s="11" t="s">
        <v>16</v>
      </c>
      <c r="C1374">
        <v>2280</v>
      </c>
      <c r="D1374" t="s">
        <v>6</v>
      </c>
      <c r="E1374" t="str">
        <f>IF(may[[#This Row],[ShiftCounter]]&gt;0, "Running", "Down")</f>
        <v>Running</v>
      </c>
    </row>
    <row r="1375" spans="1:5" x14ac:dyDescent="0.25">
      <c r="A1375" s="10">
        <v>44695</v>
      </c>
      <c r="B1375" s="11" t="s">
        <v>16</v>
      </c>
      <c r="C1375">
        <v>2180</v>
      </c>
      <c r="D1375" t="s">
        <v>7</v>
      </c>
      <c r="E1375" t="str">
        <f>IF(may[[#This Row],[ShiftCounter]]&gt;0, "Running", "Down")</f>
        <v>Running</v>
      </c>
    </row>
    <row r="1376" spans="1:5" x14ac:dyDescent="0.25">
      <c r="A1376" s="10">
        <v>44695</v>
      </c>
      <c r="B1376" s="11" t="s">
        <v>16</v>
      </c>
      <c r="C1376">
        <v>1886</v>
      </c>
      <c r="D1376" t="s">
        <v>8</v>
      </c>
      <c r="E1376" t="str">
        <f>IF(may[[#This Row],[ShiftCounter]]&gt;0, "Running", "Down")</f>
        <v>Running</v>
      </c>
    </row>
    <row r="1377" spans="1:5" x14ac:dyDescent="0.25">
      <c r="A1377" s="10">
        <v>44695</v>
      </c>
      <c r="B1377" s="11" t="s">
        <v>17</v>
      </c>
      <c r="C1377">
        <v>2043</v>
      </c>
      <c r="D1377" t="s">
        <v>6</v>
      </c>
      <c r="E1377" t="str">
        <f>IF(may[[#This Row],[ShiftCounter]]&gt;0, "Running", "Down")</f>
        <v>Running</v>
      </c>
    </row>
    <row r="1378" spans="1:5" x14ac:dyDescent="0.25">
      <c r="A1378" s="10">
        <v>44695</v>
      </c>
      <c r="B1378" s="11" t="s">
        <v>17</v>
      </c>
      <c r="C1378">
        <v>2235</v>
      </c>
      <c r="D1378" t="s">
        <v>7</v>
      </c>
      <c r="E1378" t="str">
        <f>IF(may[[#This Row],[ShiftCounter]]&gt;0, "Running", "Down")</f>
        <v>Running</v>
      </c>
    </row>
    <row r="1379" spans="1:5" x14ac:dyDescent="0.25">
      <c r="A1379" s="10">
        <v>44695</v>
      </c>
      <c r="B1379" s="11" t="s">
        <v>17</v>
      </c>
      <c r="C1379">
        <v>1982</v>
      </c>
      <c r="D1379" t="s">
        <v>8</v>
      </c>
      <c r="E1379" t="str">
        <f>IF(may[[#This Row],[ShiftCounter]]&gt;0, "Running", "Down")</f>
        <v>Running</v>
      </c>
    </row>
    <row r="1380" spans="1:5" x14ac:dyDescent="0.25">
      <c r="A1380" s="10">
        <v>44695</v>
      </c>
      <c r="B1380" s="11" t="s">
        <v>19</v>
      </c>
      <c r="C1380">
        <v>1920</v>
      </c>
      <c r="D1380" t="s">
        <v>6</v>
      </c>
      <c r="E1380" t="str">
        <f>IF(may[[#This Row],[ShiftCounter]]&gt;0, "Running", "Down")</f>
        <v>Running</v>
      </c>
    </row>
    <row r="1381" spans="1:5" x14ac:dyDescent="0.25">
      <c r="A1381" s="10">
        <v>44695</v>
      </c>
      <c r="B1381" s="11" t="s">
        <v>19</v>
      </c>
      <c r="C1381">
        <v>2003</v>
      </c>
      <c r="D1381" t="s">
        <v>7</v>
      </c>
      <c r="E1381" t="str">
        <f>IF(may[[#This Row],[ShiftCounter]]&gt;0, "Running", "Down")</f>
        <v>Running</v>
      </c>
    </row>
    <row r="1382" spans="1:5" x14ac:dyDescent="0.25">
      <c r="A1382" s="10">
        <v>44695</v>
      </c>
      <c r="B1382" s="11" t="s">
        <v>19</v>
      </c>
      <c r="C1382">
        <v>1792</v>
      </c>
      <c r="D1382" t="s">
        <v>8</v>
      </c>
      <c r="E1382" t="str">
        <f>IF(may[[#This Row],[ShiftCounter]]&gt;0, "Running", "Down")</f>
        <v>Running</v>
      </c>
    </row>
    <row r="1383" spans="1:5" x14ac:dyDescent="0.25">
      <c r="A1383" s="10">
        <v>44695</v>
      </c>
      <c r="B1383" s="11" t="s">
        <v>18</v>
      </c>
      <c r="C1383">
        <v>2322</v>
      </c>
      <c r="D1383" t="s">
        <v>6</v>
      </c>
      <c r="E1383" t="str">
        <f>IF(may[[#This Row],[ShiftCounter]]&gt;0, "Running", "Down")</f>
        <v>Running</v>
      </c>
    </row>
    <row r="1384" spans="1:5" x14ac:dyDescent="0.25">
      <c r="A1384" s="10">
        <v>44695</v>
      </c>
      <c r="B1384" s="11" t="s">
        <v>18</v>
      </c>
      <c r="C1384">
        <v>2363</v>
      </c>
      <c r="D1384" t="s">
        <v>7</v>
      </c>
      <c r="E1384" t="str">
        <f>IF(may[[#This Row],[ShiftCounter]]&gt;0, "Running", "Down")</f>
        <v>Running</v>
      </c>
    </row>
    <row r="1385" spans="1:5" x14ac:dyDescent="0.25">
      <c r="A1385" s="10">
        <v>44695</v>
      </c>
      <c r="B1385" s="11" t="s">
        <v>18</v>
      </c>
      <c r="C1385">
        <v>1963</v>
      </c>
      <c r="D1385" t="s">
        <v>8</v>
      </c>
      <c r="E1385" t="str">
        <f>IF(may[[#This Row],[ShiftCounter]]&gt;0, "Running", "Down")</f>
        <v>Running</v>
      </c>
    </row>
    <row r="1386" spans="1:5" x14ac:dyDescent="0.25">
      <c r="A1386" s="10">
        <v>44695</v>
      </c>
      <c r="B1386" s="11" t="s">
        <v>42</v>
      </c>
      <c r="C1386">
        <v>2158</v>
      </c>
      <c r="D1386" t="s">
        <v>6</v>
      </c>
      <c r="E1386" t="str">
        <f>IF(may[[#This Row],[ShiftCounter]]&gt;0, "Running", "Down")</f>
        <v>Running</v>
      </c>
    </row>
    <row r="1387" spans="1:5" x14ac:dyDescent="0.25">
      <c r="A1387" s="10">
        <v>44695</v>
      </c>
      <c r="B1387" s="11" t="s">
        <v>42</v>
      </c>
      <c r="C1387">
        <v>2155</v>
      </c>
      <c r="D1387" t="s">
        <v>7</v>
      </c>
      <c r="E1387" t="str">
        <f>IF(may[[#This Row],[ShiftCounter]]&gt;0, "Running", "Down")</f>
        <v>Running</v>
      </c>
    </row>
    <row r="1388" spans="1:5" x14ac:dyDescent="0.25">
      <c r="A1388" s="10">
        <v>44695</v>
      </c>
      <c r="B1388" s="11" t="s">
        <v>42</v>
      </c>
      <c r="C1388">
        <v>1758</v>
      </c>
      <c r="D1388" t="s">
        <v>8</v>
      </c>
      <c r="E1388" t="str">
        <f>IF(may[[#This Row],[ShiftCounter]]&gt;0, "Running", "Down")</f>
        <v>Running</v>
      </c>
    </row>
    <row r="1389" spans="1:5" x14ac:dyDescent="0.25">
      <c r="A1389" s="10">
        <v>44695</v>
      </c>
      <c r="B1389" s="11" t="s">
        <v>20</v>
      </c>
      <c r="C1389">
        <v>1990</v>
      </c>
      <c r="D1389" t="s">
        <v>6</v>
      </c>
      <c r="E1389" t="str">
        <f>IF(may[[#This Row],[ShiftCounter]]&gt;0, "Running", "Down")</f>
        <v>Running</v>
      </c>
    </row>
    <row r="1390" spans="1:5" x14ac:dyDescent="0.25">
      <c r="A1390" s="10">
        <v>44695</v>
      </c>
      <c r="B1390" s="11" t="s">
        <v>20</v>
      </c>
      <c r="C1390">
        <v>1937</v>
      </c>
      <c r="D1390" t="s">
        <v>7</v>
      </c>
      <c r="E1390" t="str">
        <f>IF(may[[#This Row],[ShiftCounter]]&gt;0, "Running", "Down")</f>
        <v>Running</v>
      </c>
    </row>
    <row r="1391" spans="1:5" x14ac:dyDescent="0.25">
      <c r="A1391" s="10">
        <v>44695</v>
      </c>
      <c r="B1391" s="11" t="s">
        <v>20</v>
      </c>
      <c r="C1391">
        <v>1544</v>
      </c>
      <c r="D1391" t="s">
        <v>8</v>
      </c>
      <c r="E1391" t="str">
        <f>IF(may[[#This Row],[ShiftCounter]]&gt;0, "Running", "Down")</f>
        <v>Running</v>
      </c>
    </row>
    <row r="1392" spans="1:5" x14ac:dyDescent="0.25">
      <c r="A1392" s="10">
        <v>44695</v>
      </c>
      <c r="B1392" s="11" t="s">
        <v>21</v>
      </c>
      <c r="C1392">
        <v>2033</v>
      </c>
      <c r="D1392" t="s">
        <v>6</v>
      </c>
      <c r="E1392" t="str">
        <f>IF(may[[#This Row],[ShiftCounter]]&gt;0, "Running", "Down")</f>
        <v>Running</v>
      </c>
    </row>
    <row r="1393" spans="1:5" x14ac:dyDescent="0.25">
      <c r="A1393" s="10">
        <v>44695</v>
      </c>
      <c r="B1393" s="11" t="s">
        <v>21</v>
      </c>
      <c r="C1393">
        <v>1905</v>
      </c>
      <c r="D1393" t="s">
        <v>7</v>
      </c>
      <c r="E1393" t="str">
        <f>IF(may[[#This Row],[ShiftCounter]]&gt;0, "Running", "Down")</f>
        <v>Running</v>
      </c>
    </row>
    <row r="1394" spans="1:5" x14ac:dyDescent="0.25">
      <c r="A1394" s="10">
        <v>44695</v>
      </c>
      <c r="B1394" s="11" t="s">
        <v>21</v>
      </c>
      <c r="C1394">
        <v>1612</v>
      </c>
      <c r="D1394" t="s">
        <v>8</v>
      </c>
      <c r="E1394" t="str">
        <f>IF(may[[#This Row],[ShiftCounter]]&gt;0, "Running", "Down")</f>
        <v>Running</v>
      </c>
    </row>
    <row r="1395" spans="1:5" x14ac:dyDescent="0.25">
      <c r="A1395" s="10">
        <v>44695</v>
      </c>
      <c r="B1395" s="11" t="s">
        <v>22</v>
      </c>
      <c r="C1395">
        <v>2225</v>
      </c>
      <c r="D1395" t="s">
        <v>6</v>
      </c>
      <c r="E1395" t="str">
        <f>IF(may[[#This Row],[ShiftCounter]]&gt;0, "Running", "Down")</f>
        <v>Running</v>
      </c>
    </row>
    <row r="1396" spans="1:5" x14ac:dyDescent="0.25">
      <c r="A1396" s="10">
        <v>44695</v>
      </c>
      <c r="B1396" s="11" t="s">
        <v>22</v>
      </c>
      <c r="C1396">
        <v>2233</v>
      </c>
      <c r="D1396" t="s">
        <v>7</v>
      </c>
      <c r="E1396" t="str">
        <f>IF(may[[#This Row],[ShiftCounter]]&gt;0, "Running", "Down")</f>
        <v>Running</v>
      </c>
    </row>
    <row r="1397" spans="1:5" x14ac:dyDescent="0.25">
      <c r="A1397" s="10">
        <v>44695</v>
      </c>
      <c r="B1397" s="11" t="s">
        <v>22</v>
      </c>
      <c r="C1397">
        <v>1806</v>
      </c>
      <c r="D1397" t="s">
        <v>8</v>
      </c>
      <c r="E1397" t="str">
        <f>IF(may[[#This Row],[ShiftCounter]]&gt;0, "Running", "Down")</f>
        <v>Running</v>
      </c>
    </row>
    <row r="1398" spans="1:5" x14ac:dyDescent="0.25">
      <c r="A1398" s="10">
        <v>44695</v>
      </c>
      <c r="B1398" s="11" t="s">
        <v>23</v>
      </c>
      <c r="C1398">
        <v>2320</v>
      </c>
      <c r="D1398" t="s">
        <v>6</v>
      </c>
      <c r="E1398" t="str">
        <f>IF(may[[#This Row],[ShiftCounter]]&gt;0, "Running", "Down")</f>
        <v>Running</v>
      </c>
    </row>
    <row r="1399" spans="1:5" x14ac:dyDescent="0.25">
      <c r="A1399" s="10">
        <v>44695</v>
      </c>
      <c r="B1399" s="11" t="s">
        <v>23</v>
      </c>
      <c r="C1399">
        <v>2331</v>
      </c>
      <c r="D1399" t="s">
        <v>7</v>
      </c>
      <c r="E1399" t="str">
        <f>IF(may[[#This Row],[ShiftCounter]]&gt;0, "Running", "Down")</f>
        <v>Running</v>
      </c>
    </row>
    <row r="1400" spans="1:5" x14ac:dyDescent="0.25">
      <c r="A1400" s="10">
        <v>44695</v>
      </c>
      <c r="B1400" s="11" t="s">
        <v>23</v>
      </c>
      <c r="C1400">
        <v>1951</v>
      </c>
      <c r="D1400" t="s">
        <v>8</v>
      </c>
      <c r="E1400" t="str">
        <f>IF(may[[#This Row],[ShiftCounter]]&gt;0, "Running", "Down")</f>
        <v>Running</v>
      </c>
    </row>
    <row r="1401" spans="1:5" x14ac:dyDescent="0.25">
      <c r="A1401" s="10">
        <v>44695</v>
      </c>
      <c r="B1401" s="11" t="s">
        <v>24</v>
      </c>
      <c r="C1401">
        <v>2031</v>
      </c>
      <c r="D1401" t="s">
        <v>6</v>
      </c>
      <c r="E1401" t="str">
        <f>IF(may[[#This Row],[ShiftCounter]]&gt;0, "Running", "Down")</f>
        <v>Running</v>
      </c>
    </row>
    <row r="1402" spans="1:5" x14ac:dyDescent="0.25">
      <c r="A1402" s="10">
        <v>44695</v>
      </c>
      <c r="B1402" s="11" t="s">
        <v>24</v>
      </c>
      <c r="C1402">
        <v>1882</v>
      </c>
      <c r="D1402" t="s">
        <v>7</v>
      </c>
      <c r="E1402" t="str">
        <f>IF(may[[#This Row],[ShiftCounter]]&gt;0, "Running", "Down")</f>
        <v>Running</v>
      </c>
    </row>
    <row r="1403" spans="1:5" x14ac:dyDescent="0.25">
      <c r="A1403" s="10">
        <v>44695</v>
      </c>
      <c r="B1403" s="11" t="s">
        <v>24</v>
      </c>
      <c r="C1403">
        <v>1803</v>
      </c>
      <c r="D1403" t="s">
        <v>8</v>
      </c>
      <c r="E1403" t="str">
        <f>IF(may[[#This Row],[ShiftCounter]]&gt;0, "Running", "Down")</f>
        <v>Running</v>
      </c>
    </row>
    <row r="1404" spans="1:5" x14ac:dyDescent="0.25">
      <c r="A1404" s="10">
        <v>44695</v>
      </c>
      <c r="B1404" s="11" t="s">
        <v>25</v>
      </c>
      <c r="C1404">
        <v>2205</v>
      </c>
      <c r="D1404" t="s">
        <v>6</v>
      </c>
      <c r="E1404" t="str">
        <f>IF(may[[#This Row],[ShiftCounter]]&gt;0, "Running", "Down")</f>
        <v>Running</v>
      </c>
    </row>
    <row r="1405" spans="1:5" x14ac:dyDescent="0.25">
      <c r="A1405" s="10">
        <v>44695</v>
      </c>
      <c r="B1405" s="11" t="s">
        <v>25</v>
      </c>
      <c r="C1405">
        <v>2111</v>
      </c>
      <c r="D1405" t="s">
        <v>7</v>
      </c>
      <c r="E1405" t="str">
        <f>IF(may[[#This Row],[ShiftCounter]]&gt;0, "Running", "Down")</f>
        <v>Running</v>
      </c>
    </row>
    <row r="1406" spans="1:5" x14ac:dyDescent="0.25">
      <c r="A1406" s="10">
        <v>44695</v>
      </c>
      <c r="B1406" s="11" t="s">
        <v>25</v>
      </c>
      <c r="C1406">
        <v>2086</v>
      </c>
      <c r="D1406" t="s">
        <v>8</v>
      </c>
      <c r="E1406" t="str">
        <f>IF(may[[#This Row],[ShiftCounter]]&gt;0, "Running", "Down")</f>
        <v>Running</v>
      </c>
    </row>
    <row r="1407" spans="1:5" x14ac:dyDescent="0.25">
      <c r="A1407" s="10">
        <v>44695</v>
      </c>
      <c r="B1407" s="11" t="s">
        <v>27</v>
      </c>
      <c r="C1407">
        <v>2281</v>
      </c>
      <c r="D1407" t="s">
        <v>6</v>
      </c>
      <c r="E1407" t="str">
        <f>IF(may[[#This Row],[ShiftCounter]]&gt;0, "Running", "Down")</f>
        <v>Running</v>
      </c>
    </row>
    <row r="1408" spans="1:5" x14ac:dyDescent="0.25">
      <c r="A1408" s="10">
        <v>44695</v>
      </c>
      <c r="B1408" s="11" t="s">
        <v>27</v>
      </c>
      <c r="C1408">
        <v>1968</v>
      </c>
      <c r="D1408" t="s">
        <v>7</v>
      </c>
      <c r="E1408" t="str">
        <f>IF(may[[#This Row],[ShiftCounter]]&gt;0, "Running", "Down")</f>
        <v>Running</v>
      </c>
    </row>
    <row r="1409" spans="1:5" x14ac:dyDescent="0.25">
      <c r="A1409" s="10">
        <v>44695</v>
      </c>
      <c r="B1409" s="11" t="s">
        <v>27</v>
      </c>
      <c r="C1409">
        <v>2027</v>
      </c>
      <c r="D1409" t="s">
        <v>8</v>
      </c>
      <c r="E1409" t="str">
        <f>IF(may[[#This Row],[ShiftCounter]]&gt;0, "Running", "Down")</f>
        <v>Running</v>
      </c>
    </row>
    <row r="1410" spans="1:5" x14ac:dyDescent="0.25">
      <c r="A1410" s="10">
        <v>44695</v>
      </c>
      <c r="B1410" s="11" t="s">
        <v>26</v>
      </c>
      <c r="C1410">
        <v>2201</v>
      </c>
      <c r="D1410" t="s">
        <v>6</v>
      </c>
      <c r="E1410" t="str">
        <f>IF(may[[#This Row],[ShiftCounter]]&gt;0, "Running", "Down")</f>
        <v>Running</v>
      </c>
    </row>
    <row r="1411" spans="1:5" x14ac:dyDescent="0.25">
      <c r="A1411" s="10">
        <v>44695</v>
      </c>
      <c r="B1411" s="11" t="s">
        <v>26</v>
      </c>
      <c r="C1411">
        <v>2032</v>
      </c>
      <c r="D1411" t="s">
        <v>7</v>
      </c>
      <c r="E1411" t="str">
        <f>IF(may[[#This Row],[ShiftCounter]]&gt;0, "Running", "Down")</f>
        <v>Running</v>
      </c>
    </row>
    <row r="1412" spans="1:5" x14ac:dyDescent="0.25">
      <c r="A1412" s="10">
        <v>44695</v>
      </c>
      <c r="B1412" s="11" t="s">
        <v>26</v>
      </c>
      <c r="C1412">
        <v>1926</v>
      </c>
      <c r="D1412" t="s">
        <v>8</v>
      </c>
      <c r="E1412" t="str">
        <f>IF(may[[#This Row],[ShiftCounter]]&gt;0, "Running", "Down")</f>
        <v>Running</v>
      </c>
    </row>
    <row r="1413" spans="1:5" x14ac:dyDescent="0.25">
      <c r="A1413" s="10">
        <v>44695</v>
      </c>
      <c r="B1413" s="11" t="s">
        <v>28</v>
      </c>
      <c r="C1413">
        <v>2156</v>
      </c>
      <c r="D1413" t="s">
        <v>6</v>
      </c>
      <c r="E1413" t="str">
        <f>IF(may[[#This Row],[ShiftCounter]]&gt;0, "Running", "Down")</f>
        <v>Running</v>
      </c>
    </row>
    <row r="1414" spans="1:5" x14ac:dyDescent="0.25">
      <c r="A1414" s="10">
        <v>44695</v>
      </c>
      <c r="B1414" s="11" t="s">
        <v>28</v>
      </c>
      <c r="C1414">
        <v>2169</v>
      </c>
      <c r="D1414" t="s">
        <v>7</v>
      </c>
      <c r="E1414" t="str">
        <f>IF(may[[#This Row],[ShiftCounter]]&gt;0, "Running", "Down")</f>
        <v>Running</v>
      </c>
    </row>
    <row r="1415" spans="1:5" x14ac:dyDescent="0.25">
      <c r="A1415" s="10">
        <v>44695</v>
      </c>
      <c r="B1415" s="11" t="s">
        <v>28</v>
      </c>
      <c r="C1415">
        <v>1957</v>
      </c>
      <c r="D1415" t="s">
        <v>8</v>
      </c>
      <c r="E1415" t="str">
        <f>IF(may[[#This Row],[ShiftCounter]]&gt;0, "Running", "Down")</f>
        <v>Running</v>
      </c>
    </row>
    <row r="1416" spans="1:5" x14ac:dyDescent="0.25">
      <c r="A1416" s="10">
        <v>44695</v>
      </c>
      <c r="B1416" s="11" t="s">
        <v>29</v>
      </c>
      <c r="C1416">
        <v>1925</v>
      </c>
      <c r="D1416" t="s">
        <v>6</v>
      </c>
      <c r="E1416" t="str">
        <f>IF(may[[#This Row],[ShiftCounter]]&gt;0, "Running", "Down")</f>
        <v>Running</v>
      </c>
    </row>
    <row r="1417" spans="1:5" x14ac:dyDescent="0.25">
      <c r="A1417" s="10">
        <v>44695</v>
      </c>
      <c r="B1417" s="11" t="s">
        <v>29</v>
      </c>
      <c r="C1417">
        <v>1991</v>
      </c>
      <c r="D1417" t="s">
        <v>7</v>
      </c>
      <c r="E1417" t="str">
        <f>IF(may[[#This Row],[ShiftCounter]]&gt;0, "Running", "Down")</f>
        <v>Running</v>
      </c>
    </row>
    <row r="1418" spans="1:5" x14ac:dyDescent="0.25">
      <c r="A1418" s="10">
        <v>44695</v>
      </c>
      <c r="B1418" s="11" t="s">
        <v>29</v>
      </c>
      <c r="C1418">
        <v>1827</v>
      </c>
      <c r="D1418" t="s">
        <v>8</v>
      </c>
      <c r="E1418" t="str">
        <f>IF(may[[#This Row],[ShiftCounter]]&gt;0, "Running", "Down")</f>
        <v>Running</v>
      </c>
    </row>
    <row r="1419" spans="1:5" x14ac:dyDescent="0.25">
      <c r="A1419" s="10">
        <v>44695</v>
      </c>
      <c r="B1419" s="11" t="s">
        <v>30</v>
      </c>
      <c r="C1419">
        <v>2209</v>
      </c>
      <c r="D1419" t="s">
        <v>6</v>
      </c>
      <c r="E1419" t="str">
        <f>IF(may[[#This Row],[ShiftCounter]]&gt;0, "Running", "Down")</f>
        <v>Running</v>
      </c>
    </row>
    <row r="1420" spans="1:5" x14ac:dyDescent="0.25">
      <c r="A1420" s="10">
        <v>44695</v>
      </c>
      <c r="B1420" s="11" t="s">
        <v>30</v>
      </c>
      <c r="C1420">
        <v>2307</v>
      </c>
      <c r="D1420" t="s">
        <v>7</v>
      </c>
      <c r="E1420" t="str">
        <f>IF(may[[#This Row],[ShiftCounter]]&gt;0, "Running", "Down")</f>
        <v>Running</v>
      </c>
    </row>
    <row r="1421" spans="1:5" x14ac:dyDescent="0.25">
      <c r="A1421" s="10">
        <v>44695</v>
      </c>
      <c r="B1421" s="11" t="s">
        <v>30</v>
      </c>
      <c r="C1421">
        <v>2084</v>
      </c>
      <c r="D1421" t="s">
        <v>8</v>
      </c>
      <c r="E1421" t="str">
        <f>IF(may[[#This Row],[ShiftCounter]]&gt;0, "Running", "Down")</f>
        <v>Running</v>
      </c>
    </row>
    <row r="1422" spans="1:5" x14ac:dyDescent="0.25">
      <c r="A1422" s="10">
        <v>44695</v>
      </c>
      <c r="B1422" s="11" t="s">
        <v>31</v>
      </c>
      <c r="C1422">
        <v>2056</v>
      </c>
      <c r="D1422" t="s">
        <v>6</v>
      </c>
      <c r="E1422" t="str">
        <f>IF(may[[#This Row],[ShiftCounter]]&gt;0, "Running", "Down")</f>
        <v>Running</v>
      </c>
    </row>
    <row r="1423" spans="1:5" x14ac:dyDescent="0.25">
      <c r="A1423" s="10">
        <v>44695</v>
      </c>
      <c r="B1423" s="11" t="s">
        <v>31</v>
      </c>
      <c r="C1423">
        <v>2082</v>
      </c>
      <c r="D1423" t="s">
        <v>7</v>
      </c>
      <c r="E1423" t="str">
        <f>IF(may[[#This Row],[ShiftCounter]]&gt;0, "Running", "Down")</f>
        <v>Running</v>
      </c>
    </row>
    <row r="1424" spans="1:5" x14ac:dyDescent="0.25">
      <c r="A1424" s="10">
        <v>44695</v>
      </c>
      <c r="B1424" s="11" t="s">
        <v>31</v>
      </c>
      <c r="C1424">
        <v>1931</v>
      </c>
      <c r="D1424" t="s">
        <v>8</v>
      </c>
      <c r="E1424" t="str">
        <f>IF(may[[#This Row],[ShiftCounter]]&gt;0, "Running", "Down")</f>
        <v>Running</v>
      </c>
    </row>
    <row r="1425" spans="1:5" x14ac:dyDescent="0.25">
      <c r="A1425" s="10">
        <v>44695</v>
      </c>
      <c r="B1425" s="11" t="s">
        <v>32</v>
      </c>
      <c r="C1425">
        <v>1989</v>
      </c>
      <c r="D1425" t="s">
        <v>6</v>
      </c>
      <c r="E1425" t="str">
        <f>IF(may[[#This Row],[ShiftCounter]]&gt;0, "Running", "Down")</f>
        <v>Running</v>
      </c>
    </row>
    <row r="1426" spans="1:5" x14ac:dyDescent="0.25">
      <c r="A1426" s="10">
        <v>44695</v>
      </c>
      <c r="B1426" s="11" t="s">
        <v>32</v>
      </c>
      <c r="C1426">
        <v>1944</v>
      </c>
      <c r="D1426" t="s">
        <v>7</v>
      </c>
      <c r="E1426" t="str">
        <f>IF(may[[#This Row],[ShiftCounter]]&gt;0, "Running", "Down")</f>
        <v>Running</v>
      </c>
    </row>
    <row r="1427" spans="1:5" x14ac:dyDescent="0.25">
      <c r="A1427" s="10">
        <v>44695</v>
      </c>
      <c r="B1427" s="11" t="s">
        <v>32</v>
      </c>
      <c r="C1427">
        <v>1978</v>
      </c>
      <c r="D1427" t="s">
        <v>8</v>
      </c>
      <c r="E1427" t="str">
        <f>IF(may[[#This Row],[ShiftCounter]]&gt;0, "Running", "Down")</f>
        <v>Running</v>
      </c>
    </row>
    <row r="1428" spans="1:5" x14ac:dyDescent="0.25">
      <c r="A1428" s="10">
        <v>44695</v>
      </c>
      <c r="B1428" s="11" t="s">
        <v>33</v>
      </c>
      <c r="C1428">
        <v>2333</v>
      </c>
      <c r="D1428" t="s">
        <v>6</v>
      </c>
      <c r="E1428" t="str">
        <f>IF(may[[#This Row],[ShiftCounter]]&gt;0, "Running", "Down")</f>
        <v>Running</v>
      </c>
    </row>
    <row r="1429" spans="1:5" x14ac:dyDescent="0.25">
      <c r="A1429" s="10">
        <v>44695</v>
      </c>
      <c r="B1429" s="11" t="s">
        <v>33</v>
      </c>
      <c r="C1429">
        <v>2394</v>
      </c>
      <c r="D1429" t="s">
        <v>7</v>
      </c>
      <c r="E1429" t="str">
        <f>IF(may[[#This Row],[ShiftCounter]]&gt;0, "Running", "Down")</f>
        <v>Running</v>
      </c>
    </row>
    <row r="1430" spans="1:5" x14ac:dyDescent="0.25">
      <c r="A1430" s="10">
        <v>44695</v>
      </c>
      <c r="B1430" s="11" t="s">
        <v>33</v>
      </c>
      <c r="C1430">
        <v>2111</v>
      </c>
      <c r="D1430" t="s">
        <v>8</v>
      </c>
      <c r="E1430" t="str">
        <f>IF(may[[#This Row],[ShiftCounter]]&gt;0, "Running", "Down")</f>
        <v>Running</v>
      </c>
    </row>
    <row r="1431" spans="1:5" x14ac:dyDescent="0.25">
      <c r="A1431" s="10">
        <v>44695</v>
      </c>
      <c r="B1431" s="11" t="s">
        <v>34</v>
      </c>
      <c r="C1431">
        <v>1970</v>
      </c>
      <c r="D1431" t="s">
        <v>6</v>
      </c>
      <c r="E1431" t="str">
        <f>IF(may[[#This Row],[ShiftCounter]]&gt;0, "Running", "Down")</f>
        <v>Running</v>
      </c>
    </row>
    <row r="1432" spans="1:5" x14ac:dyDescent="0.25">
      <c r="A1432" s="10">
        <v>44695</v>
      </c>
      <c r="B1432" s="11" t="s">
        <v>34</v>
      </c>
      <c r="C1432">
        <v>1946</v>
      </c>
      <c r="D1432" t="s">
        <v>7</v>
      </c>
      <c r="E1432" t="str">
        <f>IF(may[[#This Row],[ShiftCounter]]&gt;0, "Running", "Down")</f>
        <v>Running</v>
      </c>
    </row>
    <row r="1433" spans="1:5" x14ac:dyDescent="0.25">
      <c r="A1433" s="10">
        <v>44695</v>
      </c>
      <c r="B1433" s="11" t="s">
        <v>34</v>
      </c>
      <c r="C1433">
        <v>1797</v>
      </c>
      <c r="D1433" t="s">
        <v>8</v>
      </c>
      <c r="E1433" t="str">
        <f>IF(may[[#This Row],[ShiftCounter]]&gt;0, "Running", "Down")</f>
        <v>Running</v>
      </c>
    </row>
    <row r="1434" spans="1:5" x14ac:dyDescent="0.25">
      <c r="A1434" s="10">
        <v>44695</v>
      </c>
      <c r="B1434" s="11" t="s">
        <v>37</v>
      </c>
      <c r="C1434">
        <v>2318</v>
      </c>
      <c r="D1434" t="s">
        <v>6</v>
      </c>
      <c r="E1434" t="str">
        <f>IF(may[[#This Row],[ShiftCounter]]&gt;0, "Running", "Down")</f>
        <v>Running</v>
      </c>
    </row>
    <row r="1435" spans="1:5" x14ac:dyDescent="0.25">
      <c r="A1435" s="10">
        <v>44695</v>
      </c>
      <c r="B1435" s="11" t="s">
        <v>37</v>
      </c>
      <c r="C1435">
        <v>2288</v>
      </c>
      <c r="D1435" t="s">
        <v>7</v>
      </c>
      <c r="E1435" t="str">
        <f>IF(may[[#This Row],[ShiftCounter]]&gt;0, "Running", "Down")</f>
        <v>Running</v>
      </c>
    </row>
    <row r="1436" spans="1:5" x14ac:dyDescent="0.25">
      <c r="A1436" s="10">
        <v>44695</v>
      </c>
      <c r="B1436" s="11" t="s">
        <v>37</v>
      </c>
      <c r="C1436">
        <v>1929</v>
      </c>
      <c r="D1436" t="s">
        <v>8</v>
      </c>
      <c r="E1436" t="str">
        <f>IF(may[[#This Row],[ShiftCounter]]&gt;0, "Running", "Down")</f>
        <v>Running</v>
      </c>
    </row>
    <row r="1437" spans="1:5" x14ac:dyDescent="0.25">
      <c r="A1437" s="10">
        <v>44696</v>
      </c>
      <c r="B1437" s="11" t="s">
        <v>40</v>
      </c>
      <c r="C1437">
        <v>2246</v>
      </c>
      <c r="D1437" t="s">
        <v>6</v>
      </c>
      <c r="E1437" t="str">
        <f>IF(may[[#This Row],[ShiftCounter]]&gt;0, "Running", "Down")</f>
        <v>Running</v>
      </c>
    </row>
    <row r="1438" spans="1:5" x14ac:dyDescent="0.25">
      <c r="A1438" s="10">
        <v>44696</v>
      </c>
      <c r="B1438" s="11" t="s">
        <v>40</v>
      </c>
      <c r="C1438">
        <v>2358</v>
      </c>
      <c r="D1438" t="s">
        <v>7</v>
      </c>
      <c r="E1438" t="str">
        <f>IF(may[[#This Row],[ShiftCounter]]&gt;0, "Running", "Down")</f>
        <v>Running</v>
      </c>
    </row>
    <row r="1439" spans="1:5" x14ac:dyDescent="0.25">
      <c r="A1439" s="10">
        <v>44696</v>
      </c>
      <c r="B1439" s="11" t="s">
        <v>40</v>
      </c>
      <c r="C1439">
        <v>2132</v>
      </c>
      <c r="D1439" t="s">
        <v>8</v>
      </c>
      <c r="E1439" t="str">
        <f>IF(may[[#This Row],[ShiftCounter]]&gt;0, "Running", "Down")</f>
        <v>Running</v>
      </c>
    </row>
    <row r="1440" spans="1:5" x14ac:dyDescent="0.25">
      <c r="A1440" s="10">
        <v>44696</v>
      </c>
      <c r="B1440" s="11" t="s">
        <v>39</v>
      </c>
      <c r="C1440">
        <v>1966</v>
      </c>
      <c r="D1440" t="s">
        <v>6</v>
      </c>
      <c r="E1440" t="str">
        <f>IF(may[[#This Row],[ShiftCounter]]&gt;0, "Running", "Down")</f>
        <v>Running</v>
      </c>
    </row>
    <row r="1441" spans="1:5" x14ac:dyDescent="0.25">
      <c r="A1441" s="10">
        <v>44696</v>
      </c>
      <c r="B1441" s="11" t="s">
        <v>39</v>
      </c>
      <c r="C1441">
        <v>2028</v>
      </c>
      <c r="D1441" t="s">
        <v>7</v>
      </c>
      <c r="E1441" t="str">
        <f>IF(may[[#This Row],[ShiftCounter]]&gt;0, "Running", "Down")</f>
        <v>Running</v>
      </c>
    </row>
    <row r="1442" spans="1:5" x14ac:dyDescent="0.25">
      <c r="A1442" s="10">
        <v>44696</v>
      </c>
      <c r="B1442" s="11" t="s">
        <v>39</v>
      </c>
      <c r="C1442">
        <v>1868</v>
      </c>
      <c r="D1442" t="s">
        <v>8</v>
      </c>
      <c r="E1442" t="str">
        <f>IF(may[[#This Row],[ShiftCounter]]&gt;0, "Running", "Down")</f>
        <v>Running</v>
      </c>
    </row>
    <row r="1443" spans="1:5" x14ac:dyDescent="0.25">
      <c r="A1443" s="10">
        <v>44696</v>
      </c>
      <c r="B1443" s="11" t="s">
        <v>41</v>
      </c>
      <c r="C1443">
        <v>2290</v>
      </c>
      <c r="D1443" t="s">
        <v>6</v>
      </c>
      <c r="E1443" t="str">
        <f>IF(may[[#This Row],[ShiftCounter]]&gt;0, "Running", "Down")</f>
        <v>Running</v>
      </c>
    </row>
    <row r="1444" spans="1:5" x14ac:dyDescent="0.25">
      <c r="A1444" s="10">
        <v>44696</v>
      </c>
      <c r="B1444" s="11" t="s">
        <v>41</v>
      </c>
      <c r="C1444">
        <v>2295</v>
      </c>
      <c r="D1444" t="s">
        <v>7</v>
      </c>
      <c r="E1444" t="str">
        <f>IF(may[[#This Row],[ShiftCounter]]&gt;0, "Running", "Down")</f>
        <v>Running</v>
      </c>
    </row>
    <row r="1445" spans="1:5" x14ac:dyDescent="0.25">
      <c r="A1445" s="10">
        <v>44696</v>
      </c>
      <c r="B1445" s="11" t="s">
        <v>41</v>
      </c>
      <c r="C1445">
        <v>2220</v>
      </c>
      <c r="D1445" t="s">
        <v>8</v>
      </c>
      <c r="E1445" t="str">
        <f>IF(may[[#This Row],[ShiftCounter]]&gt;0, "Running", "Down")</f>
        <v>Running</v>
      </c>
    </row>
    <row r="1446" spans="1:5" x14ac:dyDescent="0.25">
      <c r="A1446" s="10">
        <v>44696</v>
      </c>
      <c r="B1446" s="11" t="s">
        <v>5</v>
      </c>
      <c r="C1446">
        <v>2100</v>
      </c>
      <c r="D1446" t="s">
        <v>6</v>
      </c>
      <c r="E1446" t="str">
        <f>IF(may[[#This Row],[ShiftCounter]]&gt;0, "Running", "Down")</f>
        <v>Running</v>
      </c>
    </row>
    <row r="1447" spans="1:5" x14ac:dyDescent="0.25">
      <c r="A1447" s="10">
        <v>44696</v>
      </c>
      <c r="B1447" s="11" t="s">
        <v>5</v>
      </c>
      <c r="C1447">
        <v>2232</v>
      </c>
      <c r="D1447" t="s">
        <v>7</v>
      </c>
      <c r="E1447" t="str">
        <f>IF(may[[#This Row],[ShiftCounter]]&gt;0, "Running", "Down")</f>
        <v>Running</v>
      </c>
    </row>
    <row r="1448" spans="1:5" x14ac:dyDescent="0.25">
      <c r="A1448" s="10">
        <v>44696</v>
      </c>
      <c r="B1448" s="11" t="s">
        <v>5</v>
      </c>
      <c r="C1448">
        <v>2219</v>
      </c>
      <c r="D1448" t="s">
        <v>8</v>
      </c>
      <c r="E1448" t="str">
        <f>IF(may[[#This Row],[ShiftCounter]]&gt;0, "Running", "Down")</f>
        <v>Running</v>
      </c>
    </row>
    <row r="1449" spans="1:5" x14ac:dyDescent="0.25">
      <c r="A1449" s="10">
        <v>44696</v>
      </c>
      <c r="B1449" s="11" t="s">
        <v>9</v>
      </c>
      <c r="C1449">
        <v>1580</v>
      </c>
      <c r="D1449" t="s">
        <v>6</v>
      </c>
      <c r="E1449" t="str">
        <f>IF(may[[#This Row],[ShiftCounter]]&gt;0, "Running", "Down")</f>
        <v>Running</v>
      </c>
    </row>
    <row r="1450" spans="1:5" x14ac:dyDescent="0.25">
      <c r="A1450" s="10">
        <v>44696</v>
      </c>
      <c r="B1450" s="11" t="s">
        <v>9</v>
      </c>
      <c r="C1450">
        <v>2343</v>
      </c>
      <c r="D1450" t="s">
        <v>7</v>
      </c>
      <c r="E1450" t="str">
        <f>IF(may[[#This Row],[ShiftCounter]]&gt;0, "Running", "Down")</f>
        <v>Running</v>
      </c>
    </row>
    <row r="1451" spans="1:5" x14ac:dyDescent="0.25">
      <c r="A1451" s="10">
        <v>44696</v>
      </c>
      <c r="B1451" s="11" t="s">
        <v>9</v>
      </c>
      <c r="C1451">
        <v>2161</v>
      </c>
      <c r="D1451" t="s">
        <v>8</v>
      </c>
      <c r="E1451" t="str">
        <f>IF(may[[#This Row],[ShiftCounter]]&gt;0, "Running", "Down")</f>
        <v>Running</v>
      </c>
    </row>
    <row r="1452" spans="1:5" x14ac:dyDescent="0.25">
      <c r="A1452" s="10">
        <v>44696</v>
      </c>
      <c r="B1452" s="11" t="s">
        <v>10</v>
      </c>
      <c r="C1452">
        <v>2260</v>
      </c>
      <c r="D1452" t="s">
        <v>6</v>
      </c>
      <c r="E1452" t="str">
        <f>IF(may[[#This Row],[ShiftCounter]]&gt;0, "Running", "Down")</f>
        <v>Running</v>
      </c>
    </row>
    <row r="1453" spans="1:5" x14ac:dyDescent="0.25">
      <c r="A1453" s="10">
        <v>44696</v>
      </c>
      <c r="B1453" s="11" t="s">
        <v>10</v>
      </c>
      <c r="C1453">
        <v>2344</v>
      </c>
      <c r="D1453" t="s">
        <v>7</v>
      </c>
      <c r="E1453" t="str">
        <f>IF(may[[#This Row],[ShiftCounter]]&gt;0, "Running", "Down")</f>
        <v>Running</v>
      </c>
    </row>
    <row r="1454" spans="1:5" x14ac:dyDescent="0.25">
      <c r="A1454" s="10">
        <v>44696</v>
      </c>
      <c r="B1454" s="11" t="s">
        <v>10</v>
      </c>
      <c r="C1454">
        <v>2157</v>
      </c>
      <c r="D1454" t="s">
        <v>8</v>
      </c>
      <c r="E1454" t="str">
        <f>IF(may[[#This Row],[ShiftCounter]]&gt;0, "Running", "Down")</f>
        <v>Running</v>
      </c>
    </row>
    <row r="1455" spans="1:5" x14ac:dyDescent="0.25">
      <c r="A1455" s="10">
        <v>44696</v>
      </c>
      <c r="B1455" s="11" t="s">
        <v>11</v>
      </c>
      <c r="C1455">
        <v>2353</v>
      </c>
      <c r="D1455" t="s">
        <v>6</v>
      </c>
      <c r="E1455" t="str">
        <f>IF(may[[#This Row],[ShiftCounter]]&gt;0, "Running", "Down")</f>
        <v>Running</v>
      </c>
    </row>
    <row r="1456" spans="1:5" x14ac:dyDescent="0.25">
      <c r="A1456" s="10">
        <v>44696</v>
      </c>
      <c r="B1456" s="11" t="s">
        <v>11</v>
      </c>
      <c r="C1456">
        <v>2438</v>
      </c>
      <c r="D1456" t="s">
        <v>7</v>
      </c>
      <c r="E1456" t="str">
        <f>IF(may[[#This Row],[ShiftCounter]]&gt;0, "Running", "Down")</f>
        <v>Running</v>
      </c>
    </row>
    <row r="1457" spans="1:5" x14ac:dyDescent="0.25">
      <c r="A1457" s="10">
        <v>44696</v>
      </c>
      <c r="B1457" s="11" t="s">
        <v>11</v>
      </c>
      <c r="C1457">
        <v>2267</v>
      </c>
      <c r="D1457" t="s">
        <v>8</v>
      </c>
      <c r="E1457" t="str">
        <f>IF(may[[#This Row],[ShiftCounter]]&gt;0, "Running", "Down")</f>
        <v>Running</v>
      </c>
    </row>
    <row r="1458" spans="1:5" x14ac:dyDescent="0.25">
      <c r="A1458" s="10">
        <v>44696</v>
      </c>
      <c r="B1458" s="11" t="s">
        <v>12</v>
      </c>
      <c r="C1458">
        <v>2050</v>
      </c>
      <c r="D1458" t="s">
        <v>6</v>
      </c>
      <c r="E1458" t="str">
        <f>IF(may[[#This Row],[ShiftCounter]]&gt;0, "Running", "Down")</f>
        <v>Running</v>
      </c>
    </row>
    <row r="1459" spans="1:5" x14ac:dyDescent="0.25">
      <c r="A1459" s="10">
        <v>44696</v>
      </c>
      <c r="B1459" s="11" t="s">
        <v>12</v>
      </c>
      <c r="C1459">
        <v>2174</v>
      </c>
      <c r="D1459" t="s">
        <v>7</v>
      </c>
      <c r="E1459" t="str">
        <f>IF(may[[#This Row],[ShiftCounter]]&gt;0, "Running", "Down")</f>
        <v>Running</v>
      </c>
    </row>
    <row r="1460" spans="1:5" x14ac:dyDescent="0.25">
      <c r="A1460" s="10">
        <v>44696</v>
      </c>
      <c r="B1460" s="11" t="s">
        <v>12</v>
      </c>
      <c r="C1460">
        <v>1997</v>
      </c>
      <c r="D1460" t="s">
        <v>8</v>
      </c>
      <c r="E1460" t="str">
        <f>IF(may[[#This Row],[ShiftCounter]]&gt;0, "Running", "Down")</f>
        <v>Running</v>
      </c>
    </row>
    <row r="1461" spans="1:5" x14ac:dyDescent="0.25">
      <c r="A1461" s="10">
        <v>44696</v>
      </c>
      <c r="B1461" s="11" t="s">
        <v>120</v>
      </c>
      <c r="C1461">
        <v>2062</v>
      </c>
      <c r="D1461" t="s">
        <v>6</v>
      </c>
      <c r="E1461" t="str">
        <f>IF(may[[#This Row],[ShiftCounter]]&gt;0, "Running", "Down")</f>
        <v>Running</v>
      </c>
    </row>
    <row r="1462" spans="1:5" x14ac:dyDescent="0.25">
      <c r="A1462" s="10">
        <v>44696</v>
      </c>
      <c r="B1462" s="11" t="s">
        <v>120</v>
      </c>
      <c r="C1462">
        <v>2176</v>
      </c>
      <c r="D1462" t="s">
        <v>7</v>
      </c>
      <c r="E1462" t="str">
        <f>IF(may[[#This Row],[ShiftCounter]]&gt;0, "Running", "Down")</f>
        <v>Running</v>
      </c>
    </row>
    <row r="1463" spans="1:5" x14ac:dyDescent="0.25">
      <c r="A1463" s="10">
        <v>44696</v>
      </c>
      <c r="B1463" s="11" t="s">
        <v>120</v>
      </c>
      <c r="C1463">
        <v>1992</v>
      </c>
      <c r="D1463" t="s">
        <v>8</v>
      </c>
      <c r="E1463" t="str">
        <f>IF(may[[#This Row],[ShiftCounter]]&gt;0, "Running", "Down")</f>
        <v>Running</v>
      </c>
    </row>
    <row r="1464" spans="1:5" x14ac:dyDescent="0.25">
      <c r="A1464" s="10">
        <v>44696</v>
      </c>
      <c r="B1464" s="11" t="s">
        <v>13</v>
      </c>
      <c r="C1464">
        <v>2265</v>
      </c>
      <c r="D1464" t="s">
        <v>6</v>
      </c>
      <c r="E1464" t="str">
        <f>IF(may[[#This Row],[ShiftCounter]]&gt;0, "Running", "Down")</f>
        <v>Running</v>
      </c>
    </row>
    <row r="1465" spans="1:5" x14ac:dyDescent="0.25">
      <c r="A1465" s="10">
        <v>44696</v>
      </c>
      <c r="B1465" s="11" t="s">
        <v>13</v>
      </c>
      <c r="C1465">
        <v>2248</v>
      </c>
      <c r="D1465" t="s">
        <v>7</v>
      </c>
      <c r="E1465" t="str">
        <f>IF(may[[#This Row],[ShiftCounter]]&gt;0, "Running", "Down")</f>
        <v>Running</v>
      </c>
    </row>
    <row r="1466" spans="1:5" x14ac:dyDescent="0.25">
      <c r="A1466" s="10">
        <v>44696</v>
      </c>
      <c r="B1466" s="11" t="s">
        <v>13</v>
      </c>
      <c r="C1466">
        <v>1923</v>
      </c>
      <c r="D1466" t="s">
        <v>8</v>
      </c>
      <c r="E1466" t="str">
        <f>IF(may[[#This Row],[ShiftCounter]]&gt;0, "Running", "Down")</f>
        <v>Running</v>
      </c>
    </row>
    <row r="1467" spans="1:5" x14ac:dyDescent="0.25">
      <c r="A1467" s="10">
        <v>44696</v>
      </c>
      <c r="B1467" s="11" t="s">
        <v>114</v>
      </c>
      <c r="C1467">
        <v>1185</v>
      </c>
      <c r="D1467" t="s">
        <v>6</v>
      </c>
      <c r="E1467" t="str">
        <f>IF(may[[#This Row],[ShiftCounter]]&gt;0, "Running", "Down")</f>
        <v>Running</v>
      </c>
    </row>
    <row r="1468" spans="1:5" x14ac:dyDescent="0.25">
      <c r="A1468" s="10">
        <v>44696</v>
      </c>
      <c r="B1468" s="11" t="s">
        <v>114</v>
      </c>
      <c r="C1468">
        <v>1966</v>
      </c>
      <c r="D1468" t="s">
        <v>7</v>
      </c>
      <c r="E1468" t="str">
        <f>IF(may[[#This Row],[ShiftCounter]]&gt;0, "Running", "Down")</f>
        <v>Running</v>
      </c>
    </row>
    <row r="1469" spans="1:5" x14ac:dyDescent="0.25">
      <c r="A1469" s="10">
        <v>44696</v>
      </c>
      <c r="B1469" s="11" t="s">
        <v>114</v>
      </c>
      <c r="C1469">
        <v>1673</v>
      </c>
      <c r="D1469" t="s">
        <v>8</v>
      </c>
      <c r="E1469" t="str">
        <f>IF(may[[#This Row],[ShiftCounter]]&gt;0, "Running", "Down")</f>
        <v>Running</v>
      </c>
    </row>
    <row r="1470" spans="1:5" x14ac:dyDescent="0.25">
      <c r="A1470" s="10">
        <v>44696</v>
      </c>
      <c r="B1470" s="11" t="s">
        <v>14</v>
      </c>
      <c r="C1470">
        <v>1836</v>
      </c>
      <c r="D1470" t="s">
        <v>6</v>
      </c>
      <c r="E1470" t="str">
        <f>IF(may[[#This Row],[ShiftCounter]]&gt;0, "Running", "Down")</f>
        <v>Running</v>
      </c>
    </row>
    <row r="1471" spans="1:5" x14ac:dyDescent="0.25">
      <c r="A1471" s="10">
        <v>44696</v>
      </c>
      <c r="B1471" s="11" t="s">
        <v>14</v>
      </c>
      <c r="C1471">
        <v>1811</v>
      </c>
      <c r="D1471" t="s">
        <v>7</v>
      </c>
      <c r="E1471" t="str">
        <f>IF(may[[#This Row],[ShiftCounter]]&gt;0, "Running", "Down")</f>
        <v>Running</v>
      </c>
    </row>
    <row r="1472" spans="1:5" x14ac:dyDescent="0.25">
      <c r="A1472" s="10">
        <v>44696</v>
      </c>
      <c r="B1472" s="11" t="s">
        <v>14</v>
      </c>
      <c r="C1472">
        <v>1543</v>
      </c>
      <c r="D1472" t="s">
        <v>8</v>
      </c>
      <c r="E1472" t="str">
        <f>IF(may[[#This Row],[ShiftCounter]]&gt;0, "Running", "Down")</f>
        <v>Running</v>
      </c>
    </row>
    <row r="1473" spans="1:5" x14ac:dyDescent="0.25">
      <c r="A1473" s="10">
        <v>44696</v>
      </c>
      <c r="B1473" s="11" t="s">
        <v>15</v>
      </c>
      <c r="C1473">
        <v>1839</v>
      </c>
      <c r="D1473" t="s">
        <v>6</v>
      </c>
      <c r="E1473" t="str">
        <f>IF(may[[#This Row],[ShiftCounter]]&gt;0, "Running", "Down")</f>
        <v>Running</v>
      </c>
    </row>
    <row r="1474" spans="1:5" x14ac:dyDescent="0.25">
      <c r="A1474" s="10">
        <v>44696</v>
      </c>
      <c r="B1474" s="11" t="s">
        <v>15</v>
      </c>
      <c r="C1474">
        <v>2105</v>
      </c>
      <c r="D1474" t="s">
        <v>7</v>
      </c>
      <c r="E1474" t="str">
        <f>IF(may[[#This Row],[ShiftCounter]]&gt;0, "Running", "Down")</f>
        <v>Running</v>
      </c>
    </row>
    <row r="1475" spans="1:5" x14ac:dyDescent="0.25">
      <c r="A1475" s="10">
        <v>44696</v>
      </c>
      <c r="B1475" s="11" t="s">
        <v>15</v>
      </c>
      <c r="C1475">
        <v>1778</v>
      </c>
      <c r="D1475" t="s">
        <v>8</v>
      </c>
      <c r="E1475" t="str">
        <f>IF(may[[#This Row],[ShiftCounter]]&gt;0, "Running", "Down")</f>
        <v>Running</v>
      </c>
    </row>
    <row r="1476" spans="1:5" x14ac:dyDescent="0.25">
      <c r="A1476" s="10">
        <v>44696</v>
      </c>
      <c r="B1476" s="11" t="s">
        <v>16</v>
      </c>
      <c r="C1476">
        <v>2314</v>
      </c>
      <c r="D1476" t="s">
        <v>6</v>
      </c>
      <c r="E1476" t="str">
        <f>IF(may[[#This Row],[ShiftCounter]]&gt;0, "Running", "Down")</f>
        <v>Running</v>
      </c>
    </row>
    <row r="1477" spans="1:5" x14ac:dyDescent="0.25">
      <c r="A1477" s="10">
        <v>44696</v>
      </c>
      <c r="B1477" s="11" t="s">
        <v>16</v>
      </c>
      <c r="C1477">
        <v>2251</v>
      </c>
      <c r="D1477" t="s">
        <v>7</v>
      </c>
      <c r="E1477" t="str">
        <f>IF(may[[#This Row],[ShiftCounter]]&gt;0, "Running", "Down")</f>
        <v>Running</v>
      </c>
    </row>
    <row r="1478" spans="1:5" x14ac:dyDescent="0.25">
      <c r="A1478" s="10">
        <v>44696</v>
      </c>
      <c r="B1478" s="11" t="s">
        <v>16</v>
      </c>
      <c r="C1478">
        <v>1875</v>
      </c>
      <c r="D1478" t="s">
        <v>8</v>
      </c>
      <c r="E1478" t="str">
        <f>IF(may[[#This Row],[ShiftCounter]]&gt;0, "Running", "Down")</f>
        <v>Running</v>
      </c>
    </row>
    <row r="1479" spans="1:5" x14ac:dyDescent="0.25">
      <c r="A1479" s="10">
        <v>44696</v>
      </c>
      <c r="B1479" s="11" t="s">
        <v>17</v>
      </c>
      <c r="C1479">
        <v>2359</v>
      </c>
      <c r="D1479" t="s">
        <v>6</v>
      </c>
      <c r="E1479" t="str">
        <f>IF(may[[#This Row],[ShiftCounter]]&gt;0, "Running", "Down")</f>
        <v>Running</v>
      </c>
    </row>
    <row r="1480" spans="1:5" x14ac:dyDescent="0.25">
      <c r="A1480" s="10">
        <v>44696</v>
      </c>
      <c r="B1480" s="11" t="s">
        <v>17</v>
      </c>
      <c r="C1480">
        <v>2318</v>
      </c>
      <c r="D1480" t="s">
        <v>7</v>
      </c>
      <c r="E1480" t="str">
        <f>IF(may[[#This Row],[ShiftCounter]]&gt;0, "Running", "Down")</f>
        <v>Running</v>
      </c>
    </row>
    <row r="1481" spans="1:5" x14ac:dyDescent="0.25">
      <c r="A1481" s="10">
        <v>44696</v>
      </c>
      <c r="B1481" s="11" t="s">
        <v>17</v>
      </c>
      <c r="C1481">
        <v>1956</v>
      </c>
      <c r="D1481" t="s">
        <v>8</v>
      </c>
      <c r="E1481" t="str">
        <f>IF(may[[#This Row],[ShiftCounter]]&gt;0, "Running", "Down")</f>
        <v>Running</v>
      </c>
    </row>
    <row r="1482" spans="1:5" x14ac:dyDescent="0.25">
      <c r="A1482" s="10">
        <v>44696</v>
      </c>
      <c r="B1482" s="11" t="s">
        <v>19</v>
      </c>
      <c r="C1482">
        <v>2034</v>
      </c>
      <c r="D1482" t="s">
        <v>6</v>
      </c>
      <c r="E1482" t="str">
        <f>IF(may[[#This Row],[ShiftCounter]]&gt;0, "Running", "Down")</f>
        <v>Running</v>
      </c>
    </row>
    <row r="1483" spans="1:5" x14ac:dyDescent="0.25">
      <c r="A1483" s="10">
        <v>44696</v>
      </c>
      <c r="B1483" s="11" t="s">
        <v>19</v>
      </c>
      <c r="C1483">
        <v>2034</v>
      </c>
      <c r="D1483" t="s">
        <v>7</v>
      </c>
      <c r="E1483" t="str">
        <f>IF(may[[#This Row],[ShiftCounter]]&gt;0, "Running", "Down")</f>
        <v>Running</v>
      </c>
    </row>
    <row r="1484" spans="1:5" x14ac:dyDescent="0.25">
      <c r="A1484" s="10">
        <v>44696</v>
      </c>
      <c r="B1484" s="11" t="s">
        <v>19</v>
      </c>
      <c r="C1484">
        <v>1826</v>
      </c>
      <c r="D1484" t="s">
        <v>8</v>
      </c>
      <c r="E1484" t="str">
        <f>IF(may[[#This Row],[ShiftCounter]]&gt;0, "Running", "Down")</f>
        <v>Running</v>
      </c>
    </row>
    <row r="1485" spans="1:5" x14ac:dyDescent="0.25">
      <c r="A1485" s="10">
        <v>44696</v>
      </c>
      <c r="B1485" s="11" t="s">
        <v>18</v>
      </c>
      <c r="C1485">
        <v>2578</v>
      </c>
      <c r="D1485" t="s">
        <v>6</v>
      </c>
      <c r="E1485" t="str">
        <f>IF(may[[#This Row],[ShiftCounter]]&gt;0, "Running", "Down")</f>
        <v>Running</v>
      </c>
    </row>
    <row r="1486" spans="1:5" x14ac:dyDescent="0.25">
      <c r="A1486" s="10">
        <v>44696</v>
      </c>
      <c r="B1486" s="11" t="s">
        <v>18</v>
      </c>
      <c r="C1486">
        <v>2408</v>
      </c>
      <c r="D1486" t="s">
        <v>7</v>
      </c>
      <c r="E1486" t="str">
        <f>IF(may[[#This Row],[ShiftCounter]]&gt;0, "Running", "Down")</f>
        <v>Running</v>
      </c>
    </row>
    <row r="1487" spans="1:5" x14ac:dyDescent="0.25">
      <c r="A1487" s="10">
        <v>44696</v>
      </c>
      <c r="B1487" s="11" t="s">
        <v>18</v>
      </c>
      <c r="C1487">
        <v>2024</v>
      </c>
      <c r="D1487" t="s">
        <v>8</v>
      </c>
      <c r="E1487" t="str">
        <f>IF(may[[#This Row],[ShiftCounter]]&gt;0, "Running", "Down")</f>
        <v>Running</v>
      </c>
    </row>
    <row r="1488" spans="1:5" x14ac:dyDescent="0.25">
      <c r="A1488" s="10">
        <v>44696</v>
      </c>
      <c r="B1488" s="11" t="s">
        <v>42</v>
      </c>
      <c r="C1488">
        <v>2328</v>
      </c>
      <c r="D1488" t="s">
        <v>6</v>
      </c>
      <c r="E1488" t="str">
        <f>IF(may[[#This Row],[ShiftCounter]]&gt;0, "Running", "Down")</f>
        <v>Running</v>
      </c>
    </row>
    <row r="1489" spans="1:5" x14ac:dyDescent="0.25">
      <c r="A1489" s="10">
        <v>44696</v>
      </c>
      <c r="B1489" s="11" t="s">
        <v>42</v>
      </c>
      <c r="C1489">
        <v>2258</v>
      </c>
      <c r="D1489" t="s">
        <v>7</v>
      </c>
      <c r="E1489" t="str">
        <f>IF(may[[#This Row],[ShiftCounter]]&gt;0, "Running", "Down")</f>
        <v>Running</v>
      </c>
    </row>
    <row r="1490" spans="1:5" x14ac:dyDescent="0.25">
      <c r="A1490" s="10">
        <v>44696</v>
      </c>
      <c r="B1490" s="11" t="s">
        <v>42</v>
      </c>
      <c r="C1490">
        <v>1906</v>
      </c>
      <c r="D1490" t="s">
        <v>8</v>
      </c>
      <c r="E1490" t="str">
        <f>IF(may[[#This Row],[ShiftCounter]]&gt;0, "Running", "Down")</f>
        <v>Running</v>
      </c>
    </row>
    <row r="1491" spans="1:5" x14ac:dyDescent="0.25">
      <c r="A1491" s="10">
        <v>44696</v>
      </c>
      <c r="B1491" s="11" t="s">
        <v>20</v>
      </c>
      <c r="C1491">
        <v>2158</v>
      </c>
      <c r="D1491" t="s">
        <v>6</v>
      </c>
      <c r="E1491" t="str">
        <f>IF(may[[#This Row],[ShiftCounter]]&gt;0, "Running", "Down")</f>
        <v>Running</v>
      </c>
    </row>
    <row r="1492" spans="1:5" x14ac:dyDescent="0.25">
      <c r="A1492" s="10">
        <v>44696</v>
      </c>
      <c r="B1492" s="11" t="s">
        <v>20</v>
      </c>
      <c r="C1492">
        <v>2025</v>
      </c>
      <c r="D1492" t="s">
        <v>7</v>
      </c>
      <c r="E1492" t="str">
        <f>IF(may[[#This Row],[ShiftCounter]]&gt;0, "Running", "Down")</f>
        <v>Running</v>
      </c>
    </row>
    <row r="1493" spans="1:5" x14ac:dyDescent="0.25">
      <c r="A1493" s="10">
        <v>44696</v>
      </c>
      <c r="B1493" s="11" t="s">
        <v>20</v>
      </c>
      <c r="C1493">
        <v>1702</v>
      </c>
      <c r="D1493" t="s">
        <v>8</v>
      </c>
      <c r="E1493" t="str">
        <f>IF(may[[#This Row],[ShiftCounter]]&gt;0, "Running", "Down")</f>
        <v>Running</v>
      </c>
    </row>
    <row r="1494" spans="1:5" x14ac:dyDescent="0.25">
      <c r="A1494" s="10">
        <v>44696</v>
      </c>
      <c r="B1494" s="11" t="s">
        <v>21</v>
      </c>
      <c r="C1494">
        <v>2169</v>
      </c>
      <c r="D1494" t="s">
        <v>6</v>
      </c>
      <c r="E1494" t="str">
        <f>IF(may[[#This Row],[ShiftCounter]]&gt;0, "Running", "Down")</f>
        <v>Running</v>
      </c>
    </row>
    <row r="1495" spans="1:5" x14ac:dyDescent="0.25">
      <c r="A1495" s="10">
        <v>44696</v>
      </c>
      <c r="B1495" s="11" t="s">
        <v>21</v>
      </c>
      <c r="C1495">
        <v>1987</v>
      </c>
      <c r="D1495" t="s">
        <v>7</v>
      </c>
      <c r="E1495" t="str">
        <f>IF(may[[#This Row],[ShiftCounter]]&gt;0, "Running", "Down")</f>
        <v>Running</v>
      </c>
    </row>
    <row r="1496" spans="1:5" x14ac:dyDescent="0.25">
      <c r="A1496" s="10">
        <v>44696</v>
      </c>
      <c r="B1496" s="11" t="s">
        <v>21</v>
      </c>
      <c r="C1496">
        <v>1782</v>
      </c>
      <c r="D1496" t="s">
        <v>8</v>
      </c>
      <c r="E1496" t="str">
        <f>IF(may[[#This Row],[ShiftCounter]]&gt;0, "Running", "Down")</f>
        <v>Running</v>
      </c>
    </row>
    <row r="1497" spans="1:5" x14ac:dyDescent="0.25">
      <c r="A1497" s="10">
        <v>44696</v>
      </c>
      <c r="B1497" s="11" t="s">
        <v>22</v>
      </c>
      <c r="C1497">
        <v>2398</v>
      </c>
      <c r="D1497" t="s">
        <v>6</v>
      </c>
      <c r="E1497" t="str">
        <f>IF(may[[#This Row],[ShiftCounter]]&gt;0, "Running", "Down")</f>
        <v>Running</v>
      </c>
    </row>
    <row r="1498" spans="1:5" x14ac:dyDescent="0.25">
      <c r="A1498" s="10">
        <v>44696</v>
      </c>
      <c r="B1498" s="11" t="s">
        <v>22</v>
      </c>
      <c r="C1498">
        <v>2184</v>
      </c>
      <c r="D1498" t="s">
        <v>7</v>
      </c>
      <c r="E1498" t="str">
        <f>IF(may[[#This Row],[ShiftCounter]]&gt;0, "Running", "Down")</f>
        <v>Running</v>
      </c>
    </row>
    <row r="1499" spans="1:5" x14ac:dyDescent="0.25">
      <c r="A1499" s="10">
        <v>44696</v>
      </c>
      <c r="B1499" s="11" t="s">
        <v>22</v>
      </c>
      <c r="C1499">
        <v>757</v>
      </c>
      <c r="D1499" t="s">
        <v>8</v>
      </c>
      <c r="E1499" t="str">
        <f>IF(may[[#This Row],[ShiftCounter]]&gt;0, "Running", "Down")</f>
        <v>Running</v>
      </c>
    </row>
    <row r="1500" spans="1:5" x14ac:dyDescent="0.25">
      <c r="A1500" s="10">
        <v>44696</v>
      </c>
      <c r="B1500" s="11" t="s">
        <v>23</v>
      </c>
      <c r="C1500">
        <v>2491</v>
      </c>
      <c r="D1500" t="s">
        <v>6</v>
      </c>
      <c r="E1500" t="str">
        <f>IF(may[[#This Row],[ShiftCounter]]&gt;0, "Running", "Down")</f>
        <v>Running</v>
      </c>
    </row>
    <row r="1501" spans="1:5" x14ac:dyDescent="0.25">
      <c r="A1501" s="10">
        <v>44696</v>
      </c>
      <c r="B1501" s="11" t="s">
        <v>23</v>
      </c>
      <c r="C1501">
        <v>2249</v>
      </c>
      <c r="D1501" t="s">
        <v>7</v>
      </c>
      <c r="E1501" t="str">
        <f>IF(may[[#This Row],[ShiftCounter]]&gt;0, "Running", "Down")</f>
        <v>Running</v>
      </c>
    </row>
    <row r="1502" spans="1:5" x14ac:dyDescent="0.25">
      <c r="A1502" s="10">
        <v>44696</v>
      </c>
      <c r="B1502" s="11" t="s">
        <v>23</v>
      </c>
      <c r="C1502">
        <v>2016</v>
      </c>
      <c r="D1502" t="s">
        <v>8</v>
      </c>
      <c r="E1502" t="str">
        <f>IF(may[[#This Row],[ShiftCounter]]&gt;0, "Running", "Down")</f>
        <v>Running</v>
      </c>
    </row>
    <row r="1503" spans="1:5" x14ac:dyDescent="0.25">
      <c r="A1503" s="10">
        <v>44696</v>
      </c>
      <c r="B1503" s="11" t="s">
        <v>24</v>
      </c>
      <c r="C1503">
        <v>1990</v>
      </c>
      <c r="D1503" t="s">
        <v>6</v>
      </c>
      <c r="E1503" t="str">
        <f>IF(may[[#This Row],[ShiftCounter]]&gt;0, "Running", "Down")</f>
        <v>Running</v>
      </c>
    </row>
    <row r="1504" spans="1:5" x14ac:dyDescent="0.25">
      <c r="A1504" s="10">
        <v>44696</v>
      </c>
      <c r="B1504" s="11" t="s">
        <v>24</v>
      </c>
      <c r="C1504">
        <v>0</v>
      </c>
      <c r="D1504" t="s">
        <v>7</v>
      </c>
      <c r="E1504" t="str">
        <f>IF(may[[#This Row],[ShiftCounter]]&gt;0, "Running", "Down")</f>
        <v>Down</v>
      </c>
    </row>
    <row r="1505" spans="1:5" x14ac:dyDescent="0.25">
      <c r="A1505" s="10">
        <v>44696</v>
      </c>
      <c r="B1505" s="11" t="s">
        <v>24</v>
      </c>
      <c r="C1505">
        <v>0</v>
      </c>
      <c r="D1505" t="s">
        <v>8</v>
      </c>
      <c r="E1505" t="str">
        <f>IF(may[[#This Row],[ShiftCounter]]&gt;0, "Running", "Down")</f>
        <v>Down</v>
      </c>
    </row>
    <row r="1506" spans="1:5" x14ac:dyDescent="0.25">
      <c r="A1506" s="10">
        <v>44696</v>
      </c>
      <c r="B1506" s="11" t="s">
        <v>25</v>
      </c>
      <c r="C1506">
        <v>2294</v>
      </c>
      <c r="D1506" t="s">
        <v>6</v>
      </c>
      <c r="E1506" t="str">
        <f>IF(may[[#This Row],[ShiftCounter]]&gt;0, "Running", "Down")</f>
        <v>Running</v>
      </c>
    </row>
    <row r="1507" spans="1:5" x14ac:dyDescent="0.25">
      <c r="A1507" s="10">
        <v>44696</v>
      </c>
      <c r="B1507" s="11" t="s">
        <v>25</v>
      </c>
      <c r="C1507">
        <v>2217</v>
      </c>
      <c r="D1507" t="s">
        <v>7</v>
      </c>
      <c r="E1507" t="str">
        <f>IF(may[[#This Row],[ShiftCounter]]&gt;0, "Running", "Down")</f>
        <v>Running</v>
      </c>
    </row>
    <row r="1508" spans="1:5" x14ac:dyDescent="0.25">
      <c r="A1508" s="10">
        <v>44696</v>
      </c>
      <c r="B1508" s="11" t="s">
        <v>25</v>
      </c>
      <c r="C1508">
        <v>1920</v>
      </c>
      <c r="D1508" t="s">
        <v>8</v>
      </c>
      <c r="E1508" t="str">
        <f>IF(may[[#This Row],[ShiftCounter]]&gt;0, "Running", "Down")</f>
        <v>Running</v>
      </c>
    </row>
    <row r="1509" spans="1:5" x14ac:dyDescent="0.25">
      <c r="A1509" s="10">
        <v>44696</v>
      </c>
      <c r="B1509" s="11" t="s">
        <v>26</v>
      </c>
      <c r="C1509">
        <v>2201</v>
      </c>
      <c r="D1509" t="s">
        <v>6</v>
      </c>
      <c r="E1509" t="str">
        <f>IF(may[[#This Row],[ShiftCounter]]&gt;0, "Running", "Down")</f>
        <v>Running</v>
      </c>
    </row>
    <row r="1510" spans="1:5" x14ac:dyDescent="0.25">
      <c r="A1510" s="10">
        <v>44696</v>
      </c>
      <c r="B1510" s="11" t="s">
        <v>26</v>
      </c>
      <c r="C1510">
        <v>2081</v>
      </c>
      <c r="D1510" t="s">
        <v>7</v>
      </c>
      <c r="E1510" t="str">
        <f>IF(may[[#This Row],[ShiftCounter]]&gt;0, "Running", "Down")</f>
        <v>Running</v>
      </c>
    </row>
    <row r="1511" spans="1:5" x14ac:dyDescent="0.25">
      <c r="A1511" s="10">
        <v>44696</v>
      </c>
      <c r="B1511" s="11" t="s">
        <v>26</v>
      </c>
      <c r="C1511">
        <v>1813</v>
      </c>
      <c r="D1511" t="s">
        <v>8</v>
      </c>
      <c r="E1511" t="str">
        <f>IF(may[[#This Row],[ShiftCounter]]&gt;0, "Running", "Down")</f>
        <v>Running</v>
      </c>
    </row>
    <row r="1512" spans="1:5" x14ac:dyDescent="0.25">
      <c r="A1512" s="10">
        <v>44696</v>
      </c>
      <c r="B1512" s="11" t="s">
        <v>27</v>
      </c>
      <c r="C1512">
        <v>2312</v>
      </c>
      <c r="D1512" t="s">
        <v>6</v>
      </c>
      <c r="E1512" t="str">
        <f>IF(may[[#This Row],[ShiftCounter]]&gt;0, "Running", "Down")</f>
        <v>Running</v>
      </c>
    </row>
    <row r="1513" spans="1:5" x14ac:dyDescent="0.25">
      <c r="A1513" s="10">
        <v>44696</v>
      </c>
      <c r="B1513" s="11" t="s">
        <v>27</v>
      </c>
      <c r="C1513">
        <v>2208</v>
      </c>
      <c r="D1513" t="s">
        <v>7</v>
      </c>
      <c r="E1513" t="str">
        <f>IF(may[[#This Row],[ShiftCounter]]&gt;0, "Running", "Down")</f>
        <v>Running</v>
      </c>
    </row>
    <row r="1514" spans="1:5" x14ac:dyDescent="0.25">
      <c r="A1514" s="10">
        <v>44696</v>
      </c>
      <c r="B1514" s="11" t="s">
        <v>27</v>
      </c>
      <c r="C1514">
        <v>1970</v>
      </c>
      <c r="D1514" t="s">
        <v>8</v>
      </c>
      <c r="E1514" t="str">
        <f>IF(may[[#This Row],[ShiftCounter]]&gt;0, "Running", "Down")</f>
        <v>Running</v>
      </c>
    </row>
    <row r="1515" spans="1:5" x14ac:dyDescent="0.25">
      <c r="A1515" s="10">
        <v>44696</v>
      </c>
      <c r="B1515" s="11" t="s">
        <v>28</v>
      </c>
      <c r="C1515">
        <v>2272</v>
      </c>
      <c r="D1515" t="s">
        <v>6</v>
      </c>
      <c r="E1515" t="str">
        <f>IF(may[[#This Row],[ShiftCounter]]&gt;0, "Running", "Down")</f>
        <v>Running</v>
      </c>
    </row>
    <row r="1516" spans="1:5" x14ac:dyDescent="0.25">
      <c r="A1516" s="10">
        <v>44696</v>
      </c>
      <c r="B1516" s="11" t="s">
        <v>28</v>
      </c>
      <c r="C1516">
        <v>2001</v>
      </c>
      <c r="D1516" t="s">
        <v>7</v>
      </c>
      <c r="E1516" t="str">
        <f>IF(may[[#This Row],[ShiftCounter]]&gt;0, "Running", "Down")</f>
        <v>Running</v>
      </c>
    </row>
    <row r="1517" spans="1:5" x14ac:dyDescent="0.25">
      <c r="A1517" s="10">
        <v>44696</v>
      </c>
      <c r="B1517" s="11" t="s">
        <v>28</v>
      </c>
      <c r="C1517">
        <v>1848</v>
      </c>
      <c r="D1517" t="s">
        <v>8</v>
      </c>
      <c r="E1517" t="str">
        <f>IF(may[[#This Row],[ShiftCounter]]&gt;0, "Running", "Down")</f>
        <v>Running</v>
      </c>
    </row>
    <row r="1518" spans="1:5" x14ac:dyDescent="0.25">
      <c r="A1518" s="10">
        <v>44696</v>
      </c>
      <c r="B1518" s="11" t="s">
        <v>29</v>
      </c>
      <c r="C1518">
        <v>1988</v>
      </c>
      <c r="D1518" t="s">
        <v>6</v>
      </c>
      <c r="E1518" t="str">
        <f>IF(may[[#This Row],[ShiftCounter]]&gt;0, "Running", "Down")</f>
        <v>Running</v>
      </c>
    </row>
    <row r="1519" spans="1:5" x14ac:dyDescent="0.25">
      <c r="A1519" s="10">
        <v>44696</v>
      </c>
      <c r="B1519" s="11" t="s">
        <v>29</v>
      </c>
      <c r="C1519">
        <v>886</v>
      </c>
      <c r="D1519" t="s">
        <v>7</v>
      </c>
      <c r="E1519" t="str">
        <f>IF(may[[#This Row],[ShiftCounter]]&gt;0, "Running", "Down")</f>
        <v>Running</v>
      </c>
    </row>
    <row r="1520" spans="1:5" x14ac:dyDescent="0.25">
      <c r="A1520" s="10">
        <v>44696</v>
      </c>
      <c r="B1520" s="11" t="s">
        <v>29</v>
      </c>
      <c r="C1520">
        <v>0</v>
      </c>
      <c r="D1520" t="s">
        <v>8</v>
      </c>
      <c r="E1520" t="str">
        <f>IF(may[[#This Row],[ShiftCounter]]&gt;0, "Running", "Down")</f>
        <v>Down</v>
      </c>
    </row>
    <row r="1521" spans="1:5" x14ac:dyDescent="0.25">
      <c r="A1521" s="10">
        <v>44696</v>
      </c>
      <c r="B1521" s="11" t="s">
        <v>30</v>
      </c>
      <c r="C1521">
        <v>1875</v>
      </c>
      <c r="D1521" t="s">
        <v>6</v>
      </c>
      <c r="E1521" t="str">
        <f>IF(may[[#This Row],[ShiftCounter]]&gt;0, "Running", "Down")</f>
        <v>Running</v>
      </c>
    </row>
    <row r="1522" spans="1:5" x14ac:dyDescent="0.25">
      <c r="A1522" s="10">
        <v>44696</v>
      </c>
      <c r="B1522" s="11" t="s">
        <v>30</v>
      </c>
      <c r="C1522">
        <v>2265</v>
      </c>
      <c r="D1522" t="s">
        <v>7</v>
      </c>
      <c r="E1522" t="str">
        <f>IF(may[[#This Row],[ShiftCounter]]&gt;0, "Running", "Down")</f>
        <v>Running</v>
      </c>
    </row>
    <row r="1523" spans="1:5" x14ac:dyDescent="0.25">
      <c r="A1523" s="10">
        <v>44696</v>
      </c>
      <c r="B1523" s="11" t="s">
        <v>30</v>
      </c>
      <c r="C1523">
        <v>1970</v>
      </c>
      <c r="D1523" t="s">
        <v>8</v>
      </c>
      <c r="E1523" t="str">
        <f>IF(may[[#This Row],[ShiftCounter]]&gt;0, "Running", "Down")</f>
        <v>Running</v>
      </c>
    </row>
    <row r="1524" spans="1:5" x14ac:dyDescent="0.25">
      <c r="A1524" s="10">
        <v>44696</v>
      </c>
      <c r="B1524" s="11" t="s">
        <v>31</v>
      </c>
      <c r="C1524">
        <v>2225</v>
      </c>
      <c r="D1524" t="s">
        <v>6</v>
      </c>
      <c r="E1524" t="str">
        <f>IF(may[[#This Row],[ShiftCounter]]&gt;0, "Running", "Down")</f>
        <v>Running</v>
      </c>
    </row>
    <row r="1525" spans="1:5" x14ac:dyDescent="0.25">
      <c r="A1525" s="10">
        <v>44696</v>
      </c>
      <c r="B1525" s="11" t="s">
        <v>31</v>
      </c>
      <c r="C1525">
        <v>2243</v>
      </c>
      <c r="D1525" t="s">
        <v>7</v>
      </c>
      <c r="E1525" t="str">
        <f>IF(may[[#This Row],[ShiftCounter]]&gt;0, "Running", "Down")</f>
        <v>Running</v>
      </c>
    </row>
    <row r="1526" spans="1:5" x14ac:dyDescent="0.25">
      <c r="A1526" s="10">
        <v>44696</v>
      </c>
      <c r="B1526" s="11" t="s">
        <v>31</v>
      </c>
      <c r="C1526">
        <v>1919</v>
      </c>
      <c r="D1526" t="s">
        <v>8</v>
      </c>
      <c r="E1526" t="str">
        <f>IF(may[[#This Row],[ShiftCounter]]&gt;0, "Running", "Down")</f>
        <v>Running</v>
      </c>
    </row>
    <row r="1527" spans="1:5" x14ac:dyDescent="0.25">
      <c r="A1527" s="10">
        <v>44696</v>
      </c>
      <c r="B1527" s="11" t="s">
        <v>32</v>
      </c>
      <c r="C1527">
        <v>2274</v>
      </c>
      <c r="D1527" t="s">
        <v>6</v>
      </c>
      <c r="E1527" t="str">
        <f>IF(may[[#This Row],[ShiftCounter]]&gt;0, "Running", "Down")</f>
        <v>Running</v>
      </c>
    </row>
    <row r="1528" spans="1:5" x14ac:dyDescent="0.25">
      <c r="A1528" s="10">
        <v>44696</v>
      </c>
      <c r="B1528" s="11" t="s">
        <v>32</v>
      </c>
      <c r="C1528">
        <v>2130</v>
      </c>
      <c r="D1528" t="s">
        <v>7</v>
      </c>
      <c r="E1528" t="str">
        <f>IF(may[[#This Row],[ShiftCounter]]&gt;0, "Running", "Down")</f>
        <v>Running</v>
      </c>
    </row>
    <row r="1529" spans="1:5" x14ac:dyDescent="0.25">
      <c r="A1529" s="10">
        <v>44696</v>
      </c>
      <c r="B1529" s="11" t="s">
        <v>32</v>
      </c>
      <c r="C1529">
        <v>1985</v>
      </c>
      <c r="D1529" t="s">
        <v>8</v>
      </c>
      <c r="E1529" t="str">
        <f>IF(may[[#This Row],[ShiftCounter]]&gt;0, "Running", "Down")</f>
        <v>Running</v>
      </c>
    </row>
    <row r="1530" spans="1:5" x14ac:dyDescent="0.25">
      <c r="A1530" s="10">
        <v>44696</v>
      </c>
      <c r="B1530" s="11" t="s">
        <v>33</v>
      </c>
      <c r="C1530">
        <v>2435</v>
      </c>
      <c r="D1530" t="s">
        <v>6</v>
      </c>
      <c r="E1530" t="str">
        <f>IF(may[[#This Row],[ShiftCounter]]&gt;0, "Running", "Down")</f>
        <v>Running</v>
      </c>
    </row>
    <row r="1531" spans="1:5" x14ac:dyDescent="0.25">
      <c r="A1531" s="10">
        <v>44696</v>
      </c>
      <c r="B1531" s="11" t="s">
        <v>33</v>
      </c>
      <c r="C1531">
        <v>2247</v>
      </c>
      <c r="D1531" t="s">
        <v>7</v>
      </c>
      <c r="E1531" t="str">
        <f>IF(may[[#This Row],[ShiftCounter]]&gt;0, "Running", "Down")</f>
        <v>Running</v>
      </c>
    </row>
    <row r="1532" spans="1:5" x14ac:dyDescent="0.25">
      <c r="A1532" s="10">
        <v>44696</v>
      </c>
      <c r="B1532" s="11" t="s">
        <v>33</v>
      </c>
      <c r="C1532">
        <v>2105</v>
      </c>
      <c r="D1532" t="s">
        <v>8</v>
      </c>
      <c r="E1532" t="str">
        <f>IF(may[[#This Row],[ShiftCounter]]&gt;0, "Running", "Down")</f>
        <v>Running</v>
      </c>
    </row>
    <row r="1533" spans="1:5" x14ac:dyDescent="0.25">
      <c r="A1533" s="10">
        <v>44696</v>
      </c>
      <c r="B1533" s="11" t="s">
        <v>34</v>
      </c>
      <c r="C1533">
        <v>2091</v>
      </c>
      <c r="D1533" t="s">
        <v>6</v>
      </c>
      <c r="E1533" t="str">
        <f>IF(may[[#This Row],[ShiftCounter]]&gt;0, "Running", "Down")</f>
        <v>Running</v>
      </c>
    </row>
    <row r="1534" spans="1:5" x14ac:dyDescent="0.25">
      <c r="A1534" s="10">
        <v>44696</v>
      </c>
      <c r="B1534" s="11" t="s">
        <v>34</v>
      </c>
      <c r="C1534">
        <v>1907</v>
      </c>
      <c r="D1534" t="s">
        <v>7</v>
      </c>
      <c r="E1534" t="str">
        <f>IF(may[[#This Row],[ShiftCounter]]&gt;0, "Running", "Down")</f>
        <v>Running</v>
      </c>
    </row>
    <row r="1535" spans="1:5" x14ac:dyDescent="0.25">
      <c r="A1535" s="10">
        <v>44696</v>
      </c>
      <c r="B1535" s="11" t="s">
        <v>34</v>
      </c>
      <c r="C1535">
        <v>1803</v>
      </c>
      <c r="D1535" t="s">
        <v>8</v>
      </c>
      <c r="E1535" t="str">
        <f>IF(may[[#This Row],[ShiftCounter]]&gt;0, "Running", "Down")</f>
        <v>Running</v>
      </c>
    </row>
    <row r="1536" spans="1:5" x14ac:dyDescent="0.25">
      <c r="A1536" s="10">
        <v>44696</v>
      </c>
      <c r="B1536" s="11" t="s">
        <v>37</v>
      </c>
      <c r="C1536">
        <v>2413</v>
      </c>
      <c r="D1536" t="s">
        <v>6</v>
      </c>
      <c r="E1536" t="str">
        <f>IF(may[[#This Row],[ShiftCounter]]&gt;0, "Running", "Down")</f>
        <v>Running</v>
      </c>
    </row>
    <row r="1537" spans="1:5" x14ac:dyDescent="0.25">
      <c r="A1537" s="10">
        <v>44696</v>
      </c>
      <c r="B1537" s="11" t="s">
        <v>37</v>
      </c>
      <c r="C1537">
        <v>2162</v>
      </c>
      <c r="D1537" t="s">
        <v>7</v>
      </c>
      <c r="E1537" t="str">
        <f>IF(may[[#This Row],[ShiftCounter]]&gt;0, "Running", "Down")</f>
        <v>Running</v>
      </c>
    </row>
    <row r="1538" spans="1:5" x14ac:dyDescent="0.25">
      <c r="A1538" s="10">
        <v>44696</v>
      </c>
      <c r="B1538" s="11" t="s">
        <v>37</v>
      </c>
      <c r="C1538">
        <v>2102</v>
      </c>
      <c r="D1538" t="s">
        <v>8</v>
      </c>
      <c r="E1538" t="str">
        <f>IF(may[[#This Row],[ShiftCounter]]&gt;0, "Running", "Down")</f>
        <v>Running</v>
      </c>
    </row>
    <row r="1539" spans="1:5" x14ac:dyDescent="0.25">
      <c r="A1539" s="10">
        <v>44697</v>
      </c>
      <c r="B1539" s="11" t="s">
        <v>40</v>
      </c>
      <c r="C1539">
        <v>2290</v>
      </c>
      <c r="D1539" t="s">
        <v>6</v>
      </c>
      <c r="E1539" t="str">
        <f>IF(may[[#This Row],[ShiftCounter]]&gt;0, "Running", "Down")</f>
        <v>Running</v>
      </c>
    </row>
    <row r="1540" spans="1:5" x14ac:dyDescent="0.25">
      <c r="A1540" s="10">
        <v>44697</v>
      </c>
      <c r="B1540" s="11" t="s">
        <v>40</v>
      </c>
      <c r="C1540">
        <v>2214</v>
      </c>
      <c r="D1540" t="s">
        <v>7</v>
      </c>
      <c r="E1540" t="str">
        <f>IF(may[[#This Row],[ShiftCounter]]&gt;0, "Running", "Down")</f>
        <v>Running</v>
      </c>
    </row>
    <row r="1541" spans="1:5" x14ac:dyDescent="0.25">
      <c r="A1541" s="10">
        <v>44697</v>
      </c>
      <c r="B1541" s="11" t="s">
        <v>40</v>
      </c>
      <c r="C1541">
        <v>2011</v>
      </c>
      <c r="D1541" t="s">
        <v>8</v>
      </c>
      <c r="E1541" t="str">
        <f>IF(may[[#This Row],[ShiftCounter]]&gt;0, "Running", "Down")</f>
        <v>Running</v>
      </c>
    </row>
    <row r="1542" spans="1:5" x14ac:dyDescent="0.25">
      <c r="A1542" s="10">
        <v>44697</v>
      </c>
      <c r="B1542" s="11" t="s">
        <v>39</v>
      </c>
      <c r="C1542">
        <v>2030</v>
      </c>
      <c r="D1542" t="s">
        <v>6</v>
      </c>
      <c r="E1542" t="str">
        <f>IF(may[[#This Row],[ShiftCounter]]&gt;0, "Running", "Down")</f>
        <v>Running</v>
      </c>
    </row>
    <row r="1543" spans="1:5" x14ac:dyDescent="0.25">
      <c r="A1543" s="10">
        <v>44697</v>
      </c>
      <c r="B1543" s="11" t="s">
        <v>39</v>
      </c>
      <c r="C1543">
        <v>1994</v>
      </c>
      <c r="D1543" t="s">
        <v>7</v>
      </c>
      <c r="E1543" t="str">
        <f>IF(may[[#This Row],[ShiftCounter]]&gt;0, "Running", "Down")</f>
        <v>Running</v>
      </c>
    </row>
    <row r="1544" spans="1:5" x14ac:dyDescent="0.25">
      <c r="A1544" s="10">
        <v>44697</v>
      </c>
      <c r="B1544" s="11" t="s">
        <v>39</v>
      </c>
      <c r="C1544">
        <v>1760</v>
      </c>
      <c r="D1544" t="s">
        <v>8</v>
      </c>
      <c r="E1544" t="str">
        <f>IF(may[[#This Row],[ShiftCounter]]&gt;0, "Running", "Down")</f>
        <v>Running</v>
      </c>
    </row>
    <row r="1545" spans="1:5" x14ac:dyDescent="0.25">
      <c r="A1545" s="10">
        <v>44697</v>
      </c>
      <c r="B1545" s="11" t="s">
        <v>41</v>
      </c>
      <c r="C1545">
        <v>2298</v>
      </c>
      <c r="D1545" t="s">
        <v>6</v>
      </c>
      <c r="E1545" t="str">
        <f>IF(may[[#This Row],[ShiftCounter]]&gt;0, "Running", "Down")</f>
        <v>Running</v>
      </c>
    </row>
    <row r="1546" spans="1:5" x14ac:dyDescent="0.25">
      <c r="A1546" s="10">
        <v>44697</v>
      </c>
      <c r="B1546" s="11" t="s">
        <v>41</v>
      </c>
      <c r="C1546">
        <v>2227</v>
      </c>
      <c r="D1546" t="s">
        <v>7</v>
      </c>
      <c r="E1546" t="str">
        <f>IF(may[[#This Row],[ShiftCounter]]&gt;0, "Running", "Down")</f>
        <v>Running</v>
      </c>
    </row>
    <row r="1547" spans="1:5" x14ac:dyDescent="0.25">
      <c r="A1547" s="10">
        <v>44697</v>
      </c>
      <c r="B1547" s="11" t="s">
        <v>41</v>
      </c>
      <c r="C1547">
        <v>1996</v>
      </c>
      <c r="D1547" t="s">
        <v>8</v>
      </c>
      <c r="E1547" t="str">
        <f>IF(may[[#This Row],[ShiftCounter]]&gt;0, "Running", "Down")</f>
        <v>Running</v>
      </c>
    </row>
    <row r="1548" spans="1:5" x14ac:dyDescent="0.25">
      <c r="A1548" s="10">
        <v>44697</v>
      </c>
      <c r="B1548" s="11" t="s">
        <v>5</v>
      </c>
      <c r="C1548">
        <v>2319</v>
      </c>
      <c r="D1548" t="s">
        <v>6</v>
      </c>
      <c r="E1548" t="str">
        <f>IF(may[[#This Row],[ShiftCounter]]&gt;0, "Running", "Down")</f>
        <v>Running</v>
      </c>
    </row>
    <row r="1549" spans="1:5" x14ac:dyDescent="0.25">
      <c r="A1549" s="10">
        <v>44697</v>
      </c>
      <c r="B1549" s="11" t="s">
        <v>5</v>
      </c>
      <c r="C1549">
        <v>2245</v>
      </c>
      <c r="D1549" t="s">
        <v>7</v>
      </c>
      <c r="E1549" t="str">
        <f>IF(may[[#This Row],[ShiftCounter]]&gt;0, "Running", "Down")</f>
        <v>Running</v>
      </c>
    </row>
    <row r="1550" spans="1:5" x14ac:dyDescent="0.25">
      <c r="A1550" s="10">
        <v>44697</v>
      </c>
      <c r="B1550" s="11" t="s">
        <v>5</v>
      </c>
      <c r="C1550">
        <v>1943</v>
      </c>
      <c r="D1550" t="s">
        <v>8</v>
      </c>
      <c r="E1550" t="str">
        <f>IF(may[[#This Row],[ShiftCounter]]&gt;0, "Running", "Down")</f>
        <v>Running</v>
      </c>
    </row>
    <row r="1551" spans="1:5" x14ac:dyDescent="0.25">
      <c r="A1551" s="10">
        <v>44697</v>
      </c>
      <c r="B1551" s="11" t="s">
        <v>9</v>
      </c>
      <c r="C1551">
        <v>2323</v>
      </c>
      <c r="D1551" t="s">
        <v>6</v>
      </c>
      <c r="E1551" t="str">
        <f>IF(may[[#This Row],[ShiftCounter]]&gt;0, "Running", "Down")</f>
        <v>Running</v>
      </c>
    </row>
    <row r="1552" spans="1:5" x14ac:dyDescent="0.25">
      <c r="A1552" s="10">
        <v>44697</v>
      </c>
      <c r="B1552" s="11" t="s">
        <v>9</v>
      </c>
      <c r="C1552">
        <v>2227</v>
      </c>
      <c r="D1552" t="s">
        <v>7</v>
      </c>
      <c r="E1552" t="str">
        <f>IF(may[[#This Row],[ShiftCounter]]&gt;0, "Running", "Down")</f>
        <v>Running</v>
      </c>
    </row>
    <row r="1553" spans="1:5" x14ac:dyDescent="0.25">
      <c r="A1553" s="10">
        <v>44697</v>
      </c>
      <c r="B1553" s="11" t="s">
        <v>9</v>
      </c>
      <c r="C1553">
        <v>-1</v>
      </c>
      <c r="D1553" t="s">
        <v>8</v>
      </c>
      <c r="E1553" t="str">
        <f>IF(may[[#This Row],[ShiftCounter]]&gt;0, "Running", "Down")</f>
        <v>Down</v>
      </c>
    </row>
    <row r="1554" spans="1:5" x14ac:dyDescent="0.25">
      <c r="A1554" s="10">
        <v>44697</v>
      </c>
      <c r="B1554" s="11" t="s">
        <v>10</v>
      </c>
      <c r="C1554">
        <v>2315</v>
      </c>
      <c r="D1554" t="s">
        <v>6</v>
      </c>
      <c r="E1554" t="str">
        <f>IF(may[[#This Row],[ShiftCounter]]&gt;0, "Running", "Down")</f>
        <v>Running</v>
      </c>
    </row>
    <row r="1555" spans="1:5" x14ac:dyDescent="0.25">
      <c r="A1555" s="10">
        <v>44697</v>
      </c>
      <c r="B1555" s="11" t="s">
        <v>10</v>
      </c>
      <c r="C1555">
        <v>2229</v>
      </c>
      <c r="D1555" t="s">
        <v>7</v>
      </c>
      <c r="E1555" t="str">
        <f>IF(may[[#This Row],[ShiftCounter]]&gt;0, "Running", "Down")</f>
        <v>Running</v>
      </c>
    </row>
    <row r="1556" spans="1:5" x14ac:dyDescent="0.25">
      <c r="A1556" s="10">
        <v>44697</v>
      </c>
      <c r="B1556" s="11" t="s">
        <v>10</v>
      </c>
      <c r="C1556">
        <v>2013</v>
      </c>
      <c r="D1556" t="s">
        <v>8</v>
      </c>
      <c r="E1556" t="str">
        <f>IF(may[[#This Row],[ShiftCounter]]&gt;0, "Running", "Down")</f>
        <v>Running</v>
      </c>
    </row>
    <row r="1557" spans="1:5" x14ac:dyDescent="0.25">
      <c r="A1557" s="10">
        <v>44697</v>
      </c>
      <c r="B1557" s="11" t="s">
        <v>11</v>
      </c>
      <c r="C1557">
        <v>2429</v>
      </c>
      <c r="D1557" t="s">
        <v>6</v>
      </c>
      <c r="E1557" t="str">
        <f>IF(may[[#This Row],[ShiftCounter]]&gt;0, "Running", "Down")</f>
        <v>Running</v>
      </c>
    </row>
    <row r="1558" spans="1:5" x14ac:dyDescent="0.25">
      <c r="A1558" s="10">
        <v>44697</v>
      </c>
      <c r="B1558" s="11" t="s">
        <v>11</v>
      </c>
      <c r="C1558">
        <v>2339</v>
      </c>
      <c r="D1558" t="s">
        <v>7</v>
      </c>
      <c r="E1558" t="str">
        <f>IF(may[[#This Row],[ShiftCounter]]&gt;0, "Running", "Down")</f>
        <v>Running</v>
      </c>
    </row>
    <row r="1559" spans="1:5" x14ac:dyDescent="0.25">
      <c r="A1559" s="10">
        <v>44697</v>
      </c>
      <c r="B1559" s="11" t="s">
        <v>11</v>
      </c>
      <c r="C1559">
        <v>2131</v>
      </c>
      <c r="D1559" t="s">
        <v>8</v>
      </c>
      <c r="E1559" t="str">
        <f>IF(may[[#This Row],[ShiftCounter]]&gt;0, "Running", "Down")</f>
        <v>Running</v>
      </c>
    </row>
    <row r="1560" spans="1:5" x14ac:dyDescent="0.25">
      <c r="A1560" s="10">
        <v>44697</v>
      </c>
      <c r="B1560" s="11" t="s">
        <v>120</v>
      </c>
      <c r="C1560">
        <v>2061</v>
      </c>
      <c r="D1560" t="s">
        <v>6</v>
      </c>
      <c r="E1560" t="str">
        <f>IF(may[[#This Row],[ShiftCounter]]&gt;0, "Running", "Down")</f>
        <v>Running</v>
      </c>
    </row>
    <row r="1561" spans="1:5" x14ac:dyDescent="0.25">
      <c r="A1561" s="10">
        <v>44697</v>
      </c>
      <c r="B1561" s="11" t="s">
        <v>120</v>
      </c>
      <c r="C1561">
        <v>2090</v>
      </c>
      <c r="D1561" t="s">
        <v>7</v>
      </c>
      <c r="E1561" t="str">
        <f>IF(may[[#This Row],[ShiftCounter]]&gt;0, "Running", "Down")</f>
        <v>Running</v>
      </c>
    </row>
    <row r="1562" spans="1:5" x14ac:dyDescent="0.25">
      <c r="A1562" s="10">
        <v>44697</v>
      </c>
      <c r="B1562" s="11" t="s">
        <v>120</v>
      </c>
      <c r="C1562">
        <v>-1</v>
      </c>
      <c r="D1562" t="s">
        <v>8</v>
      </c>
      <c r="E1562" t="str">
        <f>IF(may[[#This Row],[ShiftCounter]]&gt;0, "Running", "Down")</f>
        <v>Down</v>
      </c>
    </row>
    <row r="1563" spans="1:5" x14ac:dyDescent="0.25">
      <c r="A1563" s="10">
        <v>44697</v>
      </c>
      <c r="B1563" s="11" t="s">
        <v>12</v>
      </c>
      <c r="C1563">
        <v>2103</v>
      </c>
      <c r="D1563" t="s">
        <v>6</v>
      </c>
      <c r="E1563" t="str">
        <f>IF(may[[#This Row],[ShiftCounter]]&gt;0, "Running", "Down")</f>
        <v>Running</v>
      </c>
    </row>
    <row r="1564" spans="1:5" x14ac:dyDescent="0.25">
      <c r="A1564" s="10">
        <v>44697</v>
      </c>
      <c r="B1564" s="11" t="s">
        <v>12</v>
      </c>
      <c r="C1564">
        <v>2059</v>
      </c>
      <c r="D1564" t="s">
        <v>7</v>
      </c>
      <c r="E1564" t="str">
        <f>IF(may[[#This Row],[ShiftCounter]]&gt;0, "Running", "Down")</f>
        <v>Running</v>
      </c>
    </row>
    <row r="1565" spans="1:5" x14ac:dyDescent="0.25">
      <c r="A1565" s="10">
        <v>44697</v>
      </c>
      <c r="B1565" s="11" t="s">
        <v>12</v>
      </c>
      <c r="C1565">
        <v>1840</v>
      </c>
      <c r="D1565" t="s">
        <v>8</v>
      </c>
      <c r="E1565" t="str">
        <f>IF(may[[#This Row],[ShiftCounter]]&gt;0, "Running", "Down")</f>
        <v>Running</v>
      </c>
    </row>
    <row r="1566" spans="1:5" x14ac:dyDescent="0.25">
      <c r="A1566" s="10">
        <v>44697</v>
      </c>
      <c r="B1566" s="11" t="s">
        <v>13</v>
      </c>
      <c r="C1566">
        <v>2364</v>
      </c>
      <c r="D1566" t="s">
        <v>6</v>
      </c>
      <c r="E1566" t="str">
        <f>IF(may[[#This Row],[ShiftCounter]]&gt;0, "Running", "Down")</f>
        <v>Running</v>
      </c>
    </row>
    <row r="1567" spans="1:5" x14ac:dyDescent="0.25">
      <c r="A1567" s="10">
        <v>44697</v>
      </c>
      <c r="B1567" s="11" t="s">
        <v>13</v>
      </c>
      <c r="C1567">
        <v>2223</v>
      </c>
      <c r="D1567" t="s">
        <v>7</v>
      </c>
      <c r="E1567" t="str">
        <f>IF(may[[#This Row],[ShiftCounter]]&gt;0, "Running", "Down")</f>
        <v>Running</v>
      </c>
    </row>
    <row r="1568" spans="1:5" x14ac:dyDescent="0.25">
      <c r="A1568" s="10">
        <v>44697</v>
      </c>
      <c r="B1568" s="11" t="s">
        <v>13</v>
      </c>
      <c r="C1568">
        <v>2020</v>
      </c>
      <c r="D1568" t="s">
        <v>8</v>
      </c>
      <c r="E1568" t="str">
        <f>IF(may[[#This Row],[ShiftCounter]]&gt;0, "Running", "Down")</f>
        <v>Running</v>
      </c>
    </row>
    <row r="1569" spans="1:5" x14ac:dyDescent="0.25">
      <c r="A1569" s="10">
        <v>44697</v>
      </c>
      <c r="B1569" s="11" t="s">
        <v>114</v>
      </c>
      <c r="C1569">
        <v>2041</v>
      </c>
      <c r="D1569" t="s">
        <v>6</v>
      </c>
      <c r="E1569" t="str">
        <f>IF(may[[#This Row],[ShiftCounter]]&gt;0, "Running", "Down")</f>
        <v>Running</v>
      </c>
    </row>
    <row r="1570" spans="1:5" x14ac:dyDescent="0.25">
      <c r="A1570" s="10">
        <v>44697</v>
      </c>
      <c r="B1570" s="11" t="s">
        <v>114</v>
      </c>
      <c r="C1570">
        <v>1947</v>
      </c>
      <c r="D1570" t="s">
        <v>7</v>
      </c>
      <c r="E1570" t="str">
        <f>IF(may[[#This Row],[ShiftCounter]]&gt;0, "Running", "Down")</f>
        <v>Running</v>
      </c>
    </row>
    <row r="1571" spans="1:5" x14ac:dyDescent="0.25">
      <c r="A1571" s="10">
        <v>44697</v>
      </c>
      <c r="B1571" s="11" t="s">
        <v>114</v>
      </c>
      <c r="C1571">
        <v>1742</v>
      </c>
      <c r="D1571" t="s">
        <v>8</v>
      </c>
      <c r="E1571" t="str">
        <f>IF(may[[#This Row],[ShiftCounter]]&gt;0, "Running", "Down")</f>
        <v>Running</v>
      </c>
    </row>
    <row r="1572" spans="1:5" x14ac:dyDescent="0.25">
      <c r="A1572" s="10">
        <v>44697</v>
      </c>
      <c r="B1572" s="11" t="s">
        <v>14</v>
      </c>
      <c r="C1572">
        <v>1886</v>
      </c>
      <c r="D1572" t="s">
        <v>6</v>
      </c>
      <c r="E1572" t="str">
        <f>IF(may[[#This Row],[ShiftCounter]]&gt;0, "Running", "Down")</f>
        <v>Running</v>
      </c>
    </row>
    <row r="1573" spans="1:5" x14ac:dyDescent="0.25">
      <c r="A1573" s="10">
        <v>44697</v>
      </c>
      <c r="B1573" s="11" t="s">
        <v>14</v>
      </c>
      <c r="C1573">
        <v>1562</v>
      </c>
      <c r="D1573" t="s">
        <v>7</v>
      </c>
      <c r="E1573" t="str">
        <f>IF(may[[#This Row],[ShiftCounter]]&gt;0, "Running", "Down")</f>
        <v>Running</v>
      </c>
    </row>
    <row r="1574" spans="1:5" x14ac:dyDescent="0.25">
      <c r="A1574" s="10">
        <v>44697</v>
      </c>
      <c r="B1574" s="11" t="s">
        <v>14</v>
      </c>
      <c r="C1574">
        <v>1595</v>
      </c>
      <c r="D1574" t="s">
        <v>8</v>
      </c>
      <c r="E1574" t="str">
        <f>IF(may[[#This Row],[ShiftCounter]]&gt;0, "Running", "Down")</f>
        <v>Running</v>
      </c>
    </row>
    <row r="1575" spans="1:5" x14ac:dyDescent="0.25">
      <c r="A1575" s="10">
        <v>44697</v>
      </c>
      <c r="B1575" s="11" t="s">
        <v>15</v>
      </c>
      <c r="C1575">
        <v>2205</v>
      </c>
      <c r="D1575" t="s">
        <v>6</v>
      </c>
      <c r="E1575" t="str">
        <f>IF(may[[#This Row],[ShiftCounter]]&gt;0, "Running", "Down")</f>
        <v>Running</v>
      </c>
    </row>
    <row r="1576" spans="1:5" x14ac:dyDescent="0.25">
      <c r="A1576" s="10">
        <v>44697</v>
      </c>
      <c r="B1576" s="11" t="s">
        <v>15</v>
      </c>
      <c r="C1576">
        <v>2099</v>
      </c>
      <c r="D1576" t="s">
        <v>7</v>
      </c>
      <c r="E1576" t="str">
        <f>IF(may[[#This Row],[ShiftCounter]]&gt;0, "Running", "Down")</f>
        <v>Running</v>
      </c>
    </row>
    <row r="1577" spans="1:5" x14ac:dyDescent="0.25">
      <c r="A1577" s="10">
        <v>44697</v>
      </c>
      <c r="B1577" s="11" t="s">
        <v>15</v>
      </c>
      <c r="C1577">
        <v>1876</v>
      </c>
      <c r="D1577" t="s">
        <v>8</v>
      </c>
      <c r="E1577" t="str">
        <f>IF(may[[#This Row],[ShiftCounter]]&gt;0, "Running", "Down")</f>
        <v>Running</v>
      </c>
    </row>
    <row r="1578" spans="1:5" x14ac:dyDescent="0.25">
      <c r="A1578" s="10">
        <v>44697</v>
      </c>
      <c r="B1578" s="11" t="s">
        <v>16</v>
      </c>
      <c r="C1578">
        <v>2214</v>
      </c>
      <c r="D1578" t="s">
        <v>6</v>
      </c>
      <c r="E1578" t="str">
        <f>IF(may[[#This Row],[ShiftCounter]]&gt;0, "Running", "Down")</f>
        <v>Running</v>
      </c>
    </row>
    <row r="1579" spans="1:5" x14ac:dyDescent="0.25">
      <c r="A1579" s="10">
        <v>44697</v>
      </c>
      <c r="B1579" s="11" t="s">
        <v>16</v>
      </c>
      <c r="C1579">
        <v>2311</v>
      </c>
      <c r="D1579" t="s">
        <v>7</v>
      </c>
      <c r="E1579" t="str">
        <f>IF(may[[#This Row],[ShiftCounter]]&gt;0, "Running", "Down")</f>
        <v>Running</v>
      </c>
    </row>
    <row r="1580" spans="1:5" x14ac:dyDescent="0.25">
      <c r="A1580" s="10">
        <v>44697</v>
      </c>
      <c r="B1580" s="11" t="s">
        <v>16</v>
      </c>
      <c r="C1580">
        <v>1944</v>
      </c>
      <c r="D1580" t="s">
        <v>8</v>
      </c>
      <c r="E1580" t="str">
        <f>IF(may[[#This Row],[ShiftCounter]]&gt;0, "Running", "Down")</f>
        <v>Running</v>
      </c>
    </row>
    <row r="1581" spans="1:5" x14ac:dyDescent="0.25">
      <c r="A1581" s="10">
        <v>44697</v>
      </c>
      <c r="B1581" s="11" t="s">
        <v>17</v>
      </c>
      <c r="C1581">
        <v>2276</v>
      </c>
      <c r="D1581" t="s">
        <v>6</v>
      </c>
      <c r="E1581" t="str">
        <f>IF(may[[#This Row],[ShiftCounter]]&gt;0, "Running", "Down")</f>
        <v>Running</v>
      </c>
    </row>
    <row r="1582" spans="1:5" x14ac:dyDescent="0.25">
      <c r="A1582" s="10">
        <v>44697</v>
      </c>
      <c r="B1582" s="11" t="s">
        <v>17</v>
      </c>
      <c r="C1582">
        <v>2373</v>
      </c>
      <c r="D1582" t="s">
        <v>7</v>
      </c>
      <c r="E1582" t="str">
        <f>IF(may[[#This Row],[ShiftCounter]]&gt;0, "Running", "Down")</f>
        <v>Running</v>
      </c>
    </row>
    <row r="1583" spans="1:5" x14ac:dyDescent="0.25">
      <c r="A1583" s="10">
        <v>44697</v>
      </c>
      <c r="B1583" s="11" t="s">
        <v>17</v>
      </c>
      <c r="C1583">
        <v>2025</v>
      </c>
      <c r="D1583" t="s">
        <v>8</v>
      </c>
      <c r="E1583" t="str">
        <f>IF(may[[#This Row],[ShiftCounter]]&gt;0, "Running", "Down")</f>
        <v>Running</v>
      </c>
    </row>
    <row r="1584" spans="1:5" x14ac:dyDescent="0.25">
      <c r="A1584" s="10">
        <v>44697</v>
      </c>
      <c r="B1584" s="11" t="s">
        <v>19</v>
      </c>
      <c r="C1584">
        <v>2121</v>
      </c>
      <c r="D1584" t="s">
        <v>6</v>
      </c>
      <c r="E1584" t="str">
        <f>IF(may[[#This Row],[ShiftCounter]]&gt;0, "Running", "Down")</f>
        <v>Running</v>
      </c>
    </row>
    <row r="1585" spans="1:5" x14ac:dyDescent="0.25">
      <c r="A1585" s="10">
        <v>44697</v>
      </c>
      <c r="B1585" s="11" t="s">
        <v>19</v>
      </c>
      <c r="C1585">
        <v>2150</v>
      </c>
      <c r="D1585" t="s">
        <v>7</v>
      </c>
      <c r="E1585" t="str">
        <f>IF(may[[#This Row],[ShiftCounter]]&gt;0, "Running", "Down")</f>
        <v>Running</v>
      </c>
    </row>
    <row r="1586" spans="1:5" x14ac:dyDescent="0.25">
      <c r="A1586" s="10">
        <v>44697</v>
      </c>
      <c r="B1586" s="11" t="s">
        <v>19</v>
      </c>
      <c r="C1586">
        <v>1956</v>
      </c>
      <c r="D1586" t="s">
        <v>8</v>
      </c>
      <c r="E1586" t="str">
        <f>IF(may[[#This Row],[ShiftCounter]]&gt;0, "Running", "Down")</f>
        <v>Running</v>
      </c>
    </row>
    <row r="1587" spans="1:5" x14ac:dyDescent="0.25">
      <c r="A1587" s="10">
        <v>44697</v>
      </c>
      <c r="B1587" s="11" t="s">
        <v>18</v>
      </c>
      <c r="C1587">
        <v>313</v>
      </c>
      <c r="D1587" t="s">
        <v>6</v>
      </c>
      <c r="E1587" t="str">
        <f>IF(may[[#This Row],[ShiftCounter]]&gt;0, "Running", "Down")</f>
        <v>Running</v>
      </c>
    </row>
    <row r="1588" spans="1:5" x14ac:dyDescent="0.25">
      <c r="A1588" s="10">
        <v>44697</v>
      </c>
      <c r="B1588" s="11" t="s">
        <v>18</v>
      </c>
      <c r="C1588">
        <v>2300</v>
      </c>
      <c r="D1588" t="s">
        <v>7</v>
      </c>
      <c r="E1588" t="str">
        <f>IF(may[[#This Row],[ShiftCounter]]&gt;0, "Running", "Down")</f>
        <v>Running</v>
      </c>
    </row>
    <row r="1589" spans="1:5" x14ac:dyDescent="0.25">
      <c r="A1589" s="10">
        <v>44697</v>
      </c>
      <c r="B1589" s="11" t="s">
        <v>18</v>
      </c>
      <c r="C1589">
        <v>2215</v>
      </c>
      <c r="D1589" t="s">
        <v>8</v>
      </c>
      <c r="E1589" t="str">
        <f>IF(may[[#This Row],[ShiftCounter]]&gt;0, "Running", "Down")</f>
        <v>Running</v>
      </c>
    </row>
    <row r="1590" spans="1:5" x14ac:dyDescent="0.25">
      <c r="A1590" s="10">
        <v>44697</v>
      </c>
      <c r="B1590" s="11" t="s">
        <v>42</v>
      </c>
      <c r="C1590">
        <v>0</v>
      </c>
      <c r="D1590" t="s">
        <v>6</v>
      </c>
      <c r="E1590" t="str">
        <f>IF(may[[#This Row],[ShiftCounter]]&gt;0, "Running", "Down")</f>
        <v>Down</v>
      </c>
    </row>
    <row r="1591" spans="1:5" x14ac:dyDescent="0.25">
      <c r="A1591" s="10">
        <v>44697</v>
      </c>
      <c r="B1591" s="11" t="s">
        <v>42</v>
      </c>
      <c r="C1591">
        <v>0</v>
      </c>
      <c r="D1591" t="s">
        <v>7</v>
      </c>
      <c r="E1591" t="str">
        <f>IF(may[[#This Row],[ShiftCounter]]&gt;0, "Running", "Down")</f>
        <v>Down</v>
      </c>
    </row>
    <row r="1592" spans="1:5" x14ac:dyDescent="0.25">
      <c r="A1592" s="10">
        <v>44697</v>
      </c>
      <c r="B1592" s="11" t="s">
        <v>42</v>
      </c>
      <c r="C1592">
        <v>0</v>
      </c>
      <c r="D1592" t="s">
        <v>8</v>
      </c>
      <c r="E1592" t="str">
        <f>IF(may[[#This Row],[ShiftCounter]]&gt;0, "Running", "Down")</f>
        <v>Down</v>
      </c>
    </row>
    <row r="1593" spans="1:5" x14ac:dyDescent="0.25">
      <c r="A1593" s="10">
        <v>44697</v>
      </c>
      <c r="B1593" s="11" t="s">
        <v>20</v>
      </c>
      <c r="C1593">
        <v>1968</v>
      </c>
      <c r="D1593" t="s">
        <v>6</v>
      </c>
      <c r="E1593" t="str">
        <f>IF(may[[#This Row],[ShiftCounter]]&gt;0, "Running", "Down")</f>
        <v>Running</v>
      </c>
    </row>
    <row r="1594" spans="1:5" x14ac:dyDescent="0.25">
      <c r="A1594" s="10">
        <v>44697</v>
      </c>
      <c r="B1594" s="11" t="s">
        <v>20</v>
      </c>
      <c r="C1594">
        <v>2050</v>
      </c>
      <c r="D1594" t="s">
        <v>7</v>
      </c>
      <c r="E1594" t="str">
        <f>IF(may[[#This Row],[ShiftCounter]]&gt;0, "Running", "Down")</f>
        <v>Running</v>
      </c>
    </row>
    <row r="1595" spans="1:5" x14ac:dyDescent="0.25">
      <c r="A1595" s="10">
        <v>44697</v>
      </c>
      <c r="B1595" s="11" t="s">
        <v>20</v>
      </c>
      <c r="C1595">
        <v>1815</v>
      </c>
      <c r="D1595" t="s">
        <v>8</v>
      </c>
      <c r="E1595" t="str">
        <f>IF(may[[#This Row],[ShiftCounter]]&gt;0, "Running", "Down")</f>
        <v>Running</v>
      </c>
    </row>
    <row r="1596" spans="1:5" x14ac:dyDescent="0.25">
      <c r="A1596" s="10">
        <v>44697</v>
      </c>
      <c r="B1596" s="11" t="s">
        <v>21</v>
      </c>
      <c r="C1596">
        <v>2031</v>
      </c>
      <c r="D1596" t="s">
        <v>6</v>
      </c>
      <c r="E1596" t="str">
        <f>IF(may[[#This Row],[ShiftCounter]]&gt;0, "Running", "Down")</f>
        <v>Running</v>
      </c>
    </row>
    <row r="1597" spans="1:5" x14ac:dyDescent="0.25">
      <c r="A1597" s="10">
        <v>44697</v>
      </c>
      <c r="B1597" s="11" t="s">
        <v>21</v>
      </c>
      <c r="C1597">
        <v>2130</v>
      </c>
      <c r="D1597" t="s">
        <v>7</v>
      </c>
      <c r="E1597" t="str">
        <f>IF(may[[#This Row],[ShiftCounter]]&gt;0, "Running", "Down")</f>
        <v>Running</v>
      </c>
    </row>
    <row r="1598" spans="1:5" x14ac:dyDescent="0.25">
      <c r="A1598" s="10">
        <v>44697</v>
      </c>
      <c r="B1598" s="11" t="s">
        <v>21</v>
      </c>
      <c r="C1598">
        <v>1843</v>
      </c>
      <c r="D1598" t="s">
        <v>8</v>
      </c>
      <c r="E1598" t="str">
        <f>IF(may[[#This Row],[ShiftCounter]]&gt;0, "Running", "Down")</f>
        <v>Running</v>
      </c>
    </row>
    <row r="1599" spans="1:5" x14ac:dyDescent="0.25">
      <c r="A1599" s="10">
        <v>44697</v>
      </c>
      <c r="B1599" s="11" t="s">
        <v>22</v>
      </c>
      <c r="C1599">
        <v>1008</v>
      </c>
      <c r="D1599" t="s">
        <v>6</v>
      </c>
      <c r="E1599" t="str">
        <f>IF(may[[#This Row],[ShiftCounter]]&gt;0, "Running", "Down")</f>
        <v>Running</v>
      </c>
    </row>
    <row r="1600" spans="1:5" x14ac:dyDescent="0.25">
      <c r="A1600" s="10">
        <v>44697</v>
      </c>
      <c r="B1600" s="11" t="s">
        <v>22</v>
      </c>
      <c r="C1600">
        <v>2240</v>
      </c>
      <c r="D1600" t="s">
        <v>7</v>
      </c>
      <c r="E1600" t="str">
        <f>IF(may[[#This Row],[ShiftCounter]]&gt;0, "Running", "Down")</f>
        <v>Running</v>
      </c>
    </row>
    <row r="1601" spans="1:5" x14ac:dyDescent="0.25">
      <c r="A1601" s="10">
        <v>44697</v>
      </c>
      <c r="B1601" s="11" t="s">
        <v>22</v>
      </c>
      <c r="C1601">
        <v>2031</v>
      </c>
      <c r="D1601" t="s">
        <v>8</v>
      </c>
      <c r="E1601" t="str">
        <f>IF(may[[#This Row],[ShiftCounter]]&gt;0, "Running", "Down")</f>
        <v>Running</v>
      </c>
    </row>
    <row r="1602" spans="1:5" x14ac:dyDescent="0.25">
      <c r="A1602" s="10">
        <v>44697</v>
      </c>
      <c r="B1602" s="11" t="s">
        <v>23</v>
      </c>
      <c r="C1602">
        <v>2385</v>
      </c>
      <c r="D1602" t="s">
        <v>6</v>
      </c>
      <c r="E1602" t="str">
        <f>IF(may[[#This Row],[ShiftCounter]]&gt;0, "Running", "Down")</f>
        <v>Running</v>
      </c>
    </row>
    <row r="1603" spans="1:5" x14ac:dyDescent="0.25">
      <c r="A1603" s="10">
        <v>44697</v>
      </c>
      <c r="B1603" s="11" t="s">
        <v>23</v>
      </c>
      <c r="C1603">
        <v>2300</v>
      </c>
      <c r="D1603" t="s">
        <v>7</v>
      </c>
      <c r="E1603" t="str">
        <f>IF(may[[#This Row],[ShiftCounter]]&gt;0, "Running", "Down")</f>
        <v>Running</v>
      </c>
    </row>
    <row r="1604" spans="1:5" x14ac:dyDescent="0.25">
      <c r="A1604" s="10">
        <v>44697</v>
      </c>
      <c r="B1604" s="11" t="s">
        <v>23</v>
      </c>
      <c r="C1604">
        <v>2108</v>
      </c>
      <c r="D1604" t="s">
        <v>8</v>
      </c>
      <c r="E1604" t="str">
        <f>IF(may[[#This Row],[ShiftCounter]]&gt;0, "Running", "Down")</f>
        <v>Running</v>
      </c>
    </row>
    <row r="1605" spans="1:5" x14ac:dyDescent="0.25">
      <c r="A1605" s="10">
        <v>44697</v>
      </c>
      <c r="B1605" s="11" t="s">
        <v>81</v>
      </c>
      <c r="C1605">
        <v>1706</v>
      </c>
      <c r="D1605" t="s">
        <v>6</v>
      </c>
      <c r="E1605" t="str">
        <f>IF(may[[#This Row],[ShiftCounter]]&gt;0, "Running", "Down")</f>
        <v>Running</v>
      </c>
    </row>
    <row r="1606" spans="1:5" x14ac:dyDescent="0.25">
      <c r="A1606" s="10">
        <v>44697</v>
      </c>
      <c r="B1606" s="11" t="s">
        <v>81</v>
      </c>
      <c r="C1606">
        <v>0</v>
      </c>
      <c r="D1606" t="s">
        <v>7</v>
      </c>
      <c r="E1606" t="str">
        <f>IF(may[[#This Row],[ShiftCounter]]&gt;0, "Running", "Down")</f>
        <v>Down</v>
      </c>
    </row>
    <row r="1607" spans="1:5" x14ac:dyDescent="0.25">
      <c r="A1607" s="10">
        <v>44697</v>
      </c>
      <c r="B1607" s="11" t="s">
        <v>81</v>
      </c>
      <c r="C1607">
        <v>0</v>
      </c>
      <c r="D1607" t="s">
        <v>8</v>
      </c>
      <c r="E1607" t="str">
        <f>IF(may[[#This Row],[ShiftCounter]]&gt;0, "Running", "Down")</f>
        <v>Down</v>
      </c>
    </row>
    <row r="1608" spans="1:5" x14ac:dyDescent="0.25">
      <c r="A1608" s="10">
        <v>44697</v>
      </c>
      <c r="B1608" s="11" t="s">
        <v>24</v>
      </c>
      <c r="C1608">
        <v>845</v>
      </c>
      <c r="D1608" t="s">
        <v>6</v>
      </c>
      <c r="E1608" t="str">
        <f>IF(may[[#This Row],[ShiftCounter]]&gt;0, "Running", "Down")</f>
        <v>Running</v>
      </c>
    </row>
    <row r="1609" spans="1:5" x14ac:dyDescent="0.25">
      <c r="A1609" s="10">
        <v>44697</v>
      </c>
      <c r="B1609" s="11" t="s">
        <v>24</v>
      </c>
      <c r="C1609">
        <v>2080</v>
      </c>
      <c r="D1609" t="s">
        <v>7</v>
      </c>
      <c r="E1609" t="str">
        <f>IF(may[[#This Row],[ShiftCounter]]&gt;0, "Running", "Down")</f>
        <v>Running</v>
      </c>
    </row>
    <row r="1610" spans="1:5" x14ac:dyDescent="0.25">
      <c r="A1610" s="10">
        <v>44697</v>
      </c>
      <c r="B1610" s="11" t="s">
        <v>24</v>
      </c>
      <c r="C1610">
        <v>1888</v>
      </c>
      <c r="D1610" t="s">
        <v>8</v>
      </c>
      <c r="E1610" t="str">
        <f>IF(may[[#This Row],[ShiftCounter]]&gt;0, "Running", "Down")</f>
        <v>Running</v>
      </c>
    </row>
    <row r="1611" spans="1:5" x14ac:dyDescent="0.25">
      <c r="A1611" s="10">
        <v>44697</v>
      </c>
      <c r="B1611" s="11" t="s">
        <v>25</v>
      </c>
      <c r="C1611">
        <v>2356</v>
      </c>
      <c r="D1611" t="s">
        <v>6</v>
      </c>
      <c r="E1611" t="str">
        <f>IF(may[[#This Row],[ShiftCounter]]&gt;0, "Running", "Down")</f>
        <v>Running</v>
      </c>
    </row>
    <row r="1612" spans="1:5" x14ac:dyDescent="0.25">
      <c r="A1612" s="10">
        <v>44697</v>
      </c>
      <c r="B1612" s="11" t="s">
        <v>25</v>
      </c>
      <c r="C1612">
        <v>2225</v>
      </c>
      <c r="D1612" t="s">
        <v>7</v>
      </c>
      <c r="E1612" t="str">
        <f>IF(may[[#This Row],[ShiftCounter]]&gt;0, "Running", "Down")</f>
        <v>Running</v>
      </c>
    </row>
    <row r="1613" spans="1:5" x14ac:dyDescent="0.25">
      <c r="A1613" s="10">
        <v>44697</v>
      </c>
      <c r="B1613" s="11" t="s">
        <v>25</v>
      </c>
      <c r="C1613">
        <v>1941</v>
      </c>
      <c r="D1613" t="s">
        <v>8</v>
      </c>
      <c r="E1613" t="str">
        <f>IF(may[[#This Row],[ShiftCounter]]&gt;0, "Running", "Down")</f>
        <v>Running</v>
      </c>
    </row>
    <row r="1614" spans="1:5" x14ac:dyDescent="0.25">
      <c r="A1614" s="10">
        <v>44697</v>
      </c>
      <c r="B1614" s="11" t="s">
        <v>26</v>
      </c>
      <c r="C1614">
        <v>2023</v>
      </c>
      <c r="D1614" t="s">
        <v>6</v>
      </c>
      <c r="E1614" t="str">
        <f>IF(may[[#This Row],[ShiftCounter]]&gt;0, "Running", "Down")</f>
        <v>Running</v>
      </c>
    </row>
    <row r="1615" spans="1:5" x14ac:dyDescent="0.25">
      <c r="A1615" s="10">
        <v>44697</v>
      </c>
      <c r="B1615" s="11" t="s">
        <v>26</v>
      </c>
      <c r="C1615">
        <v>2130</v>
      </c>
      <c r="D1615" t="s">
        <v>7</v>
      </c>
      <c r="E1615" t="str">
        <f>IF(may[[#This Row],[ShiftCounter]]&gt;0, "Running", "Down")</f>
        <v>Running</v>
      </c>
    </row>
    <row r="1616" spans="1:5" x14ac:dyDescent="0.25">
      <c r="A1616" s="10">
        <v>44697</v>
      </c>
      <c r="B1616" s="11" t="s">
        <v>26</v>
      </c>
      <c r="C1616">
        <v>1885</v>
      </c>
      <c r="D1616" t="s">
        <v>8</v>
      </c>
      <c r="E1616" t="str">
        <f>IF(may[[#This Row],[ShiftCounter]]&gt;0, "Running", "Down")</f>
        <v>Running</v>
      </c>
    </row>
    <row r="1617" spans="1:5" x14ac:dyDescent="0.25">
      <c r="A1617" s="10">
        <v>44697</v>
      </c>
      <c r="B1617" s="11" t="s">
        <v>27</v>
      </c>
      <c r="C1617">
        <v>0</v>
      </c>
      <c r="D1617" t="s">
        <v>6</v>
      </c>
      <c r="E1617" t="str">
        <f>IF(may[[#This Row],[ShiftCounter]]&gt;0, "Running", "Down")</f>
        <v>Down</v>
      </c>
    </row>
    <row r="1618" spans="1:5" x14ac:dyDescent="0.25">
      <c r="A1618" s="10">
        <v>44697</v>
      </c>
      <c r="B1618" s="11" t="s">
        <v>27</v>
      </c>
      <c r="C1618">
        <v>2490</v>
      </c>
      <c r="D1618" t="s">
        <v>7</v>
      </c>
      <c r="E1618" t="str">
        <f>IF(may[[#This Row],[ShiftCounter]]&gt;0, "Running", "Down")</f>
        <v>Running</v>
      </c>
    </row>
    <row r="1619" spans="1:5" x14ac:dyDescent="0.25">
      <c r="A1619" s="10">
        <v>44697</v>
      </c>
      <c r="B1619" s="11" t="s">
        <v>27</v>
      </c>
      <c r="C1619">
        <v>2009</v>
      </c>
      <c r="D1619" t="s">
        <v>8</v>
      </c>
      <c r="E1619" t="str">
        <f>IF(may[[#This Row],[ShiftCounter]]&gt;0, "Running", "Down")</f>
        <v>Running</v>
      </c>
    </row>
    <row r="1620" spans="1:5" x14ac:dyDescent="0.25">
      <c r="A1620" s="10">
        <v>44697</v>
      </c>
      <c r="B1620" s="11" t="s">
        <v>28</v>
      </c>
      <c r="C1620">
        <v>2214</v>
      </c>
      <c r="D1620" t="s">
        <v>6</v>
      </c>
      <c r="E1620" t="str">
        <f>IF(may[[#This Row],[ShiftCounter]]&gt;0, "Running", "Down")</f>
        <v>Running</v>
      </c>
    </row>
    <row r="1621" spans="1:5" x14ac:dyDescent="0.25">
      <c r="A1621" s="10">
        <v>44697</v>
      </c>
      <c r="B1621" s="11" t="s">
        <v>28</v>
      </c>
      <c r="C1621">
        <v>2165</v>
      </c>
      <c r="D1621" t="s">
        <v>7</v>
      </c>
      <c r="E1621" t="str">
        <f>IF(may[[#This Row],[ShiftCounter]]&gt;0, "Running", "Down")</f>
        <v>Running</v>
      </c>
    </row>
    <row r="1622" spans="1:5" x14ac:dyDescent="0.25">
      <c r="A1622" s="10">
        <v>44697</v>
      </c>
      <c r="B1622" s="11" t="s">
        <v>28</v>
      </c>
      <c r="C1622">
        <v>1864</v>
      </c>
      <c r="D1622" t="s">
        <v>8</v>
      </c>
      <c r="E1622" t="str">
        <f>IF(may[[#This Row],[ShiftCounter]]&gt;0, "Running", "Down")</f>
        <v>Running</v>
      </c>
    </row>
    <row r="1623" spans="1:5" x14ac:dyDescent="0.25">
      <c r="A1623" s="10">
        <v>44697</v>
      </c>
      <c r="B1623" s="11" t="s">
        <v>29</v>
      </c>
      <c r="C1623">
        <v>0</v>
      </c>
      <c r="D1623" t="s">
        <v>6</v>
      </c>
      <c r="E1623" t="str">
        <f>IF(may[[#This Row],[ShiftCounter]]&gt;0, "Running", "Down")</f>
        <v>Down</v>
      </c>
    </row>
    <row r="1624" spans="1:5" x14ac:dyDescent="0.25">
      <c r="A1624" s="10">
        <v>44697</v>
      </c>
      <c r="B1624" s="11" t="s">
        <v>29</v>
      </c>
      <c r="C1624">
        <v>1794</v>
      </c>
      <c r="D1624" t="s">
        <v>7</v>
      </c>
      <c r="E1624" t="str">
        <f>IF(may[[#This Row],[ShiftCounter]]&gt;0, "Running", "Down")</f>
        <v>Running</v>
      </c>
    </row>
    <row r="1625" spans="1:5" x14ac:dyDescent="0.25">
      <c r="A1625" s="10">
        <v>44697</v>
      </c>
      <c r="B1625" s="11" t="s">
        <v>29</v>
      </c>
      <c r="C1625">
        <v>1715</v>
      </c>
      <c r="D1625" t="s">
        <v>8</v>
      </c>
      <c r="E1625" t="str">
        <f>IF(may[[#This Row],[ShiftCounter]]&gt;0, "Running", "Down")</f>
        <v>Running</v>
      </c>
    </row>
    <row r="1626" spans="1:5" x14ac:dyDescent="0.25">
      <c r="A1626" s="10">
        <v>44697</v>
      </c>
      <c r="B1626" s="11" t="s">
        <v>30</v>
      </c>
      <c r="C1626">
        <v>2288</v>
      </c>
      <c r="D1626" t="s">
        <v>6</v>
      </c>
      <c r="E1626" t="str">
        <f>IF(may[[#This Row],[ShiftCounter]]&gt;0, "Running", "Down")</f>
        <v>Running</v>
      </c>
    </row>
    <row r="1627" spans="1:5" x14ac:dyDescent="0.25">
      <c r="A1627" s="10">
        <v>44697</v>
      </c>
      <c r="B1627" s="11" t="s">
        <v>30</v>
      </c>
      <c r="C1627">
        <v>2245</v>
      </c>
      <c r="D1627" t="s">
        <v>7</v>
      </c>
      <c r="E1627" t="str">
        <f>IF(may[[#This Row],[ShiftCounter]]&gt;0, "Running", "Down")</f>
        <v>Running</v>
      </c>
    </row>
    <row r="1628" spans="1:5" x14ac:dyDescent="0.25">
      <c r="A1628" s="10">
        <v>44697</v>
      </c>
      <c r="B1628" s="11" t="s">
        <v>30</v>
      </c>
      <c r="C1628">
        <v>1999</v>
      </c>
      <c r="D1628" t="s">
        <v>8</v>
      </c>
      <c r="E1628" t="str">
        <f>IF(may[[#This Row],[ShiftCounter]]&gt;0, "Running", "Down")</f>
        <v>Running</v>
      </c>
    </row>
    <row r="1629" spans="1:5" x14ac:dyDescent="0.25">
      <c r="A1629" s="10">
        <v>44697</v>
      </c>
      <c r="B1629" s="11" t="s">
        <v>31</v>
      </c>
      <c r="C1629">
        <v>2242</v>
      </c>
      <c r="D1629" t="s">
        <v>6</v>
      </c>
      <c r="E1629" t="str">
        <f>IF(may[[#This Row],[ShiftCounter]]&gt;0, "Running", "Down")</f>
        <v>Running</v>
      </c>
    </row>
    <row r="1630" spans="1:5" x14ac:dyDescent="0.25">
      <c r="A1630" s="10">
        <v>44697</v>
      </c>
      <c r="B1630" s="11" t="s">
        <v>31</v>
      </c>
      <c r="C1630">
        <v>2113</v>
      </c>
      <c r="D1630" t="s">
        <v>7</v>
      </c>
      <c r="E1630" t="str">
        <f>IF(may[[#This Row],[ShiftCounter]]&gt;0, "Running", "Down")</f>
        <v>Running</v>
      </c>
    </row>
    <row r="1631" spans="1:5" x14ac:dyDescent="0.25">
      <c r="A1631" s="10">
        <v>44697</v>
      </c>
      <c r="B1631" s="11" t="s">
        <v>31</v>
      </c>
      <c r="C1631">
        <v>1821</v>
      </c>
      <c r="D1631" t="s">
        <v>8</v>
      </c>
      <c r="E1631" t="str">
        <f>IF(may[[#This Row],[ShiftCounter]]&gt;0, "Running", "Down")</f>
        <v>Running</v>
      </c>
    </row>
    <row r="1632" spans="1:5" x14ac:dyDescent="0.25">
      <c r="A1632" s="10">
        <v>44697</v>
      </c>
      <c r="B1632" s="11" t="s">
        <v>32</v>
      </c>
      <c r="C1632">
        <v>2354</v>
      </c>
      <c r="D1632" t="s">
        <v>6</v>
      </c>
      <c r="E1632" t="str">
        <f>IF(may[[#This Row],[ShiftCounter]]&gt;0, "Running", "Down")</f>
        <v>Running</v>
      </c>
    </row>
    <row r="1633" spans="1:5" x14ac:dyDescent="0.25">
      <c r="A1633" s="10">
        <v>44697</v>
      </c>
      <c r="B1633" s="11" t="s">
        <v>32</v>
      </c>
      <c r="C1633">
        <v>2161</v>
      </c>
      <c r="D1633" t="s">
        <v>7</v>
      </c>
      <c r="E1633" t="str">
        <f>IF(may[[#This Row],[ShiftCounter]]&gt;0, "Running", "Down")</f>
        <v>Running</v>
      </c>
    </row>
    <row r="1634" spans="1:5" x14ac:dyDescent="0.25">
      <c r="A1634" s="10">
        <v>44697</v>
      </c>
      <c r="B1634" s="11" t="s">
        <v>32</v>
      </c>
      <c r="C1634">
        <v>1883</v>
      </c>
      <c r="D1634" t="s">
        <v>8</v>
      </c>
      <c r="E1634" t="str">
        <f>IF(may[[#This Row],[ShiftCounter]]&gt;0, "Running", "Down")</f>
        <v>Running</v>
      </c>
    </row>
    <row r="1635" spans="1:5" x14ac:dyDescent="0.25">
      <c r="A1635" s="10">
        <v>44697</v>
      </c>
      <c r="B1635" s="11" t="s">
        <v>33</v>
      </c>
      <c r="C1635">
        <v>2497</v>
      </c>
      <c r="D1635" t="s">
        <v>6</v>
      </c>
      <c r="E1635" t="str">
        <f>IF(may[[#This Row],[ShiftCounter]]&gt;0, "Running", "Down")</f>
        <v>Running</v>
      </c>
    </row>
    <row r="1636" spans="1:5" x14ac:dyDescent="0.25">
      <c r="A1636" s="10">
        <v>44697</v>
      </c>
      <c r="B1636" s="11" t="s">
        <v>33</v>
      </c>
      <c r="C1636">
        <v>2295</v>
      </c>
      <c r="D1636" t="s">
        <v>7</v>
      </c>
      <c r="E1636" t="str">
        <f>IF(may[[#This Row],[ShiftCounter]]&gt;0, "Running", "Down")</f>
        <v>Running</v>
      </c>
    </row>
    <row r="1637" spans="1:5" x14ac:dyDescent="0.25">
      <c r="A1637" s="10">
        <v>44697</v>
      </c>
      <c r="B1637" s="11" t="s">
        <v>33</v>
      </c>
      <c r="C1637">
        <v>1994</v>
      </c>
      <c r="D1637" t="s">
        <v>8</v>
      </c>
      <c r="E1637" t="str">
        <f>IF(may[[#This Row],[ShiftCounter]]&gt;0, "Running", "Down")</f>
        <v>Running</v>
      </c>
    </row>
    <row r="1638" spans="1:5" x14ac:dyDescent="0.25">
      <c r="A1638" s="10">
        <v>44697</v>
      </c>
      <c r="B1638" s="11" t="s">
        <v>34</v>
      </c>
      <c r="C1638">
        <v>887</v>
      </c>
      <c r="D1638" t="s">
        <v>6</v>
      </c>
      <c r="E1638" t="str">
        <f>IF(may[[#This Row],[ShiftCounter]]&gt;0, "Running", "Down")</f>
        <v>Running</v>
      </c>
    </row>
    <row r="1639" spans="1:5" x14ac:dyDescent="0.25">
      <c r="A1639" s="10">
        <v>44697</v>
      </c>
      <c r="B1639" s="11" t="s">
        <v>34</v>
      </c>
      <c r="C1639">
        <v>1952</v>
      </c>
      <c r="D1639" t="s">
        <v>7</v>
      </c>
      <c r="E1639" t="str">
        <f>IF(may[[#This Row],[ShiftCounter]]&gt;0, "Running", "Down")</f>
        <v>Running</v>
      </c>
    </row>
    <row r="1640" spans="1:5" x14ac:dyDescent="0.25">
      <c r="A1640" s="10">
        <v>44697</v>
      </c>
      <c r="B1640" s="11" t="s">
        <v>34</v>
      </c>
      <c r="C1640">
        <v>1672</v>
      </c>
      <c r="D1640" t="s">
        <v>8</v>
      </c>
      <c r="E1640" t="str">
        <f>IF(may[[#This Row],[ShiftCounter]]&gt;0, "Running", "Down")</f>
        <v>Running</v>
      </c>
    </row>
    <row r="1641" spans="1:5" x14ac:dyDescent="0.25">
      <c r="A1641" s="10">
        <v>44697</v>
      </c>
      <c r="B1641" s="11" t="s">
        <v>37</v>
      </c>
      <c r="C1641">
        <v>1791</v>
      </c>
      <c r="D1641" t="s">
        <v>6</v>
      </c>
      <c r="E1641" t="str">
        <f>IF(may[[#This Row],[ShiftCounter]]&gt;0, "Running", "Down")</f>
        <v>Running</v>
      </c>
    </row>
    <row r="1642" spans="1:5" x14ac:dyDescent="0.25">
      <c r="A1642" s="10">
        <v>44697</v>
      </c>
      <c r="B1642" s="11" t="s">
        <v>37</v>
      </c>
      <c r="C1642">
        <v>2231</v>
      </c>
      <c r="D1642" t="s">
        <v>7</v>
      </c>
      <c r="E1642" t="str">
        <f>IF(may[[#This Row],[ShiftCounter]]&gt;0, "Running", "Down")</f>
        <v>Running</v>
      </c>
    </row>
    <row r="1643" spans="1:5" x14ac:dyDescent="0.25">
      <c r="A1643" s="10">
        <v>44697</v>
      </c>
      <c r="B1643" s="11" t="s">
        <v>37</v>
      </c>
      <c r="C1643">
        <v>1978</v>
      </c>
      <c r="D1643" t="s">
        <v>8</v>
      </c>
      <c r="E1643" t="str">
        <f>IF(may[[#This Row],[ShiftCounter]]&gt;0, "Running", "Down")</f>
        <v>Running</v>
      </c>
    </row>
    <row r="1644" spans="1:5" x14ac:dyDescent="0.25">
      <c r="A1644" s="10">
        <v>44698</v>
      </c>
      <c r="B1644" s="11" t="s">
        <v>40</v>
      </c>
      <c r="C1644">
        <v>2388</v>
      </c>
      <c r="D1644" t="s">
        <v>6</v>
      </c>
      <c r="E1644" t="str">
        <f>IF(may[[#This Row],[ShiftCounter]]&gt;0, "Running", "Down")</f>
        <v>Running</v>
      </c>
    </row>
    <row r="1645" spans="1:5" x14ac:dyDescent="0.25">
      <c r="A1645" s="10">
        <v>44698</v>
      </c>
      <c r="B1645" s="11" t="s">
        <v>40</v>
      </c>
      <c r="C1645">
        <v>2296</v>
      </c>
      <c r="D1645" t="s">
        <v>7</v>
      </c>
      <c r="E1645" t="str">
        <f>IF(may[[#This Row],[ShiftCounter]]&gt;0, "Running", "Down")</f>
        <v>Running</v>
      </c>
    </row>
    <row r="1646" spans="1:5" x14ac:dyDescent="0.25">
      <c r="A1646" s="10">
        <v>44698</v>
      </c>
      <c r="B1646" s="11" t="s">
        <v>40</v>
      </c>
      <c r="C1646">
        <v>2030</v>
      </c>
      <c r="D1646" t="s">
        <v>8</v>
      </c>
      <c r="E1646" t="str">
        <f>IF(may[[#This Row],[ShiftCounter]]&gt;0, "Running", "Down")</f>
        <v>Running</v>
      </c>
    </row>
    <row r="1647" spans="1:5" x14ac:dyDescent="0.25">
      <c r="A1647" s="10">
        <v>44698</v>
      </c>
      <c r="B1647" s="11" t="s">
        <v>39</v>
      </c>
      <c r="C1647">
        <v>2141</v>
      </c>
      <c r="D1647" t="s">
        <v>6</v>
      </c>
      <c r="E1647" t="str">
        <f>IF(may[[#This Row],[ShiftCounter]]&gt;0, "Running", "Down")</f>
        <v>Running</v>
      </c>
    </row>
    <row r="1648" spans="1:5" x14ac:dyDescent="0.25">
      <c r="A1648" s="10">
        <v>44698</v>
      </c>
      <c r="B1648" s="11" t="s">
        <v>39</v>
      </c>
      <c r="C1648">
        <v>2001</v>
      </c>
      <c r="D1648" t="s">
        <v>7</v>
      </c>
      <c r="E1648" t="str">
        <f>IF(may[[#This Row],[ShiftCounter]]&gt;0, "Running", "Down")</f>
        <v>Running</v>
      </c>
    </row>
    <row r="1649" spans="1:5" x14ac:dyDescent="0.25">
      <c r="A1649" s="10">
        <v>44698</v>
      </c>
      <c r="B1649" s="11" t="s">
        <v>39</v>
      </c>
      <c r="C1649">
        <v>1769</v>
      </c>
      <c r="D1649" t="s">
        <v>8</v>
      </c>
      <c r="E1649" t="str">
        <f>IF(may[[#This Row],[ShiftCounter]]&gt;0, "Running", "Down")</f>
        <v>Running</v>
      </c>
    </row>
    <row r="1650" spans="1:5" x14ac:dyDescent="0.25">
      <c r="A1650" s="10">
        <v>44698</v>
      </c>
      <c r="B1650" s="11" t="s">
        <v>41</v>
      </c>
      <c r="C1650">
        <v>2055</v>
      </c>
      <c r="D1650" t="s">
        <v>6</v>
      </c>
      <c r="E1650" t="str">
        <f>IF(may[[#This Row],[ShiftCounter]]&gt;0, "Running", "Down")</f>
        <v>Running</v>
      </c>
    </row>
    <row r="1651" spans="1:5" x14ac:dyDescent="0.25">
      <c r="A1651" s="10">
        <v>44698</v>
      </c>
      <c r="B1651" s="11" t="s">
        <v>41</v>
      </c>
      <c r="C1651">
        <v>2288</v>
      </c>
      <c r="D1651" t="s">
        <v>7</v>
      </c>
      <c r="E1651" t="str">
        <f>IF(may[[#This Row],[ShiftCounter]]&gt;0, "Running", "Down")</f>
        <v>Running</v>
      </c>
    </row>
    <row r="1652" spans="1:5" x14ac:dyDescent="0.25">
      <c r="A1652" s="10">
        <v>44698</v>
      </c>
      <c r="B1652" s="11" t="s">
        <v>41</v>
      </c>
      <c r="C1652">
        <v>2010</v>
      </c>
      <c r="D1652" t="s">
        <v>8</v>
      </c>
      <c r="E1652" t="str">
        <f>IF(may[[#This Row],[ShiftCounter]]&gt;0, "Running", "Down")</f>
        <v>Running</v>
      </c>
    </row>
    <row r="1653" spans="1:5" x14ac:dyDescent="0.25">
      <c r="A1653" s="10">
        <v>44698</v>
      </c>
      <c r="B1653" s="11" t="s">
        <v>5</v>
      </c>
      <c r="C1653">
        <v>2466</v>
      </c>
      <c r="D1653" t="s">
        <v>6</v>
      </c>
      <c r="E1653" t="str">
        <f>IF(may[[#This Row],[ShiftCounter]]&gt;0, "Running", "Down")</f>
        <v>Running</v>
      </c>
    </row>
    <row r="1654" spans="1:5" x14ac:dyDescent="0.25">
      <c r="A1654" s="10">
        <v>44698</v>
      </c>
      <c r="B1654" s="11" t="s">
        <v>5</v>
      </c>
      <c r="C1654">
        <v>2318</v>
      </c>
      <c r="D1654" t="s">
        <v>7</v>
      </c>
      <c r="E1654" t="str">
        <f>IF(may[[#This Row],[ShiftCounter]]&gt;0, "Running", "Down")</f>
        <v>Running</v>
      </c>
    </row>
    <row r="1655" spans="1:5" x14ac:dyDescent="0.25">
      <c r="A1655" s="10">
        <v>44698</v>
      </c>
      <c r="B1655" s="11" t="s">
        <v>5</v>
      </c>
      <c r="C1655">
        <v>2044</v>
      </c>
      <c r="D1655" t="s">
        <v>8</v>
      </c>
      <c r="E1655" t="str">
        <f>IF(may[[#This Row],[ShiftCounter]]&gt;0, "Running", "Down")</f>
        <v>Running</v>
      </c>
    </row>
    <row r="1656" spans="1:5" x14ac:dyDescent="0.25">
      <c r="A1656" s="10">
        <v>44698</v>
      </c>
      <c r="B1656" s="11" t="s">
        <v>9</v>
      </c>
      <c r="C1656">
        <v>2449</v>
      </c>
      <c r="D1656" t="s">
        <v>6</v>
      </c>
      <c r="E1656" t="str">
        <f>IF(may[[#This Row],[ShiftCounter]]&gt;0, "Running", "Down")</f>
        <v>Running</v>
      </c>
    </row>
    <row r="1657" spans="1:5" x14ac:dyDescent="0.25">
      <c r="A1657" s="10">
        <v>44698</v>
      </c>
      <c r="B1657" s="11" t="s">
        <v>9</v>
      </c>
      <c r="C1657">
        <v>2298</v>
      </c>
      <c r="D1657" t="s">
        <v>7</v>
      </c>
      <c r="E1657" t="str">
        <f>IF(may[[#This Row],[ShiftCounter]]&gt;0, "Running", "Down")</f>
        <v>Running</v>
      </c>
    </row>
    <row r="1658" spans="1:5" x14ac:dyDescent="0.25">
      <c r="A1658" s="10">
        <v>44698</v>
      </c>
      <c r="B1658" s="11" t="s">
        <v>9</v>
      </c>
      <c r="C1658">
        <v>2012</v>
      </c>
      <c r="D1658" t="s">
        <v>8</v>
      </c>
      <c r="E1658" t="str">
        <f>IF(may[[#This Row],[ShiftCounter]]&gt;0, "Running", "Down")</f>
        <v>Running</v>
      </c>
    </row>
    <row r="1659" spans="1:5" x14ac:dyDescent="0.25">
      <c r="A1659" s="10">
        <v>44698</v>
      </c>
      <c r="B1659" s="11" t="s">
        <v>10</v>
      </c>
      <c r="C1659">
        <v>2125</v>
      </c>
      <c r="D1659" t="s">
        <v>6</v>
      </c>
      <c r="E1659" t="str">
        <f>IF(may[[#This Row],[ShiftCounter]]&gt;0, "Running", "Down")</f>
        <v>Running</v>
      </c>
    </row>
    <row r="1660" spans="1:5" x14ac:dyDescent="0.25">
      <c r="A1660" s="10">
        <v>44698</v>
      </c>
      <c r="B1660" s="11" t="s">
        <v>10</v>
      </c>
      <c r="C1660">
        <v>0</v>
      </c>
      <c r="D1660" t="s">
        <v>7</v>
      </c>
      <c r="E1660" t="str">
        <f>IF(may[[#This Row],[ShiftCounter]]&gt;0, "Running", "Down")</f>
        <v>Down</v>
      </c>
    </row>
    <row r="1661" spans="1:5" x14ac:dyDescent="0.25">
      <c r="A1661" s="10">
        <v>44698</v>
      </c>
      <c r="B1661" s="11" t="s">
        <v>10</v>
      </c>
      <c r="C1661">
        <v>0</v>
      </c>
      <c r="D1661" t="s">
        <v>8</v>
      </c>
      <c r="E1661" t="str">
        <f>IF(may[[#This Row],[ShiftCounter]]&gt;0, "Running", "Down")</f>
        <v>Down</v>
      </c>
    </row>
    <row r="1662" spans="1:5" x14ac:dyDescent="0.25">
      <c r="A1662" s="10">
        <v>44698</v>
      </c>
      <c r="B1662" s="11" t="s">
        <v>11</v>
      </c>
      <c r="C1662">
        <v>2510</v>
      </c>
      <c r="D1662" t="s">
        <v>6</v>
      </c>
      <c r="E1662" t="str">
        <f>IF(may[[#This Row],[ShiftCounter]]&gt;0, "Running", "Down")</f>
        <v>Running</v>
      </c>
    </row>
    <row r="1663" spans="1:5" x14ac:dyDescent="0.25">
      <c r="A1663" s="10">
        <v>44698</v>
      </c>
      <c r="B1663" s="11" t="s">
        <v>11</v>
      </c>
      <c r="C1663">
        <v>2416</v>
      </c>
      <c r="D1663" t="s">
        <v>7</v>
      </c>
      <c r="E1663" t="str">
        <f>IF(may[[#This Row],[ShiftCounter]]&gt;0, "Running", "Down")</f>
        <v>Running</v>
      </c>
    </row>
    <row r="1664" spans="1:5" x14ac:dyDescent="0.25">
      <c r="A1664" s="10">
        <v>44698</v>
      </c>
      <c r="B1664" s="11" t="s">
        <v>11</v>
      </c>
      <c r="C1664">
        <v>2159</v>
      </c>
      <c r="D1664" t="s">
        <v>8</v>
      </c>
      <c r="E1664" t="str">
        <f>IF(may[[#This Row],[ShiftCounter]]&gt;0, "Running", "Down")</f>
        <v>Running</v>
      </c>
    </row>
    <row r="1665" spans="1:5" x14ac:dyDescent="0.25">
      <c r="A1665" s="10">
        <v>44698</v>
      </c>
      <c r="B1665" s="11" t="s">
        <v>12</v>
      </c>
      <c r="C1665">
        <v>2204</v>
      </c>
      <c r="D1665" t="s">
        <v>6</v>
      </c>
      <c r="E1665" t="str">
        <f>IF(may[[#This Row],[ShiftCounter]]&gt;0, "Running", "Down")</f>
        <v>Running</v>
      </c>
    </row>
    <row r="1666" spans="1:5" x14ac:dyDescent="0.25">
      <c r="A1666" s="10">
        <v>44698</v>
      </c>
      <c r="B1666" s="11" t="s">
        <v>12</v>
      </c>
      <c r="C1666">
        <v>2122</v>
      </c>
      <c r="D1666" t="s">
        <v>7</v>
      </c>
      <c r="E1666" t="str">
        <f>IF(may[[#This Row],[ShiftCounter]]&gt;0, "Running", "Down")</f>
        <v>Running</v>
      </c>
    </row>
    <row r="1667" spans="1:5" x14ac:dyDescent="0.25">
      <c r="A1667" s="10">
        <v>44698</v>
      </c>
      <c r="B1667" s="11" t="s">
        <v>12</v>
      </c>
      <c r="C1667">
        <v>1953</v>
      </c>
      <c r="D1667" t="s">
        <v>8</v>
      </c>
      <c r="E1667" t="str">
        <f>IF(may[[#This Row],[ShiftCounter]]&gt;0, "Running", "Down")</f>
        <v>Running</v>
      </c>
    </row>
    <row r="1668" spans="1:5" x14ac:dyDescent="0.25">
      <c r="A1668" s="10">
        <v>44698</v>
      </c>
      <c r="B1668" s="11" t="s">
        <v>120</v>
      </c>
      <c r="C1668">
        <v>3675</v>
      </c>
      <c r="D1668" t="s">
        <v>6</v>
      </c>
      <c r="E1668" t="str">
        <f>IF(may[[#This Row],[ShiftCounter]]&gt;0, "Running", "Down")</f>
        <v>Running</v>
      </c>
    </row>
    <row r="1669" spans="1:5" x14ac:dyDescent="0.25">
      <c r="A1669" s="10">
        <v>44698</v>
      </c>
      <c r="B1669" s="11" t="s">
        <v>120</v>
      </c>
      <c r="C1669">
        <v>2097</v>
      </c>
      <c r="D1669" t="s">
        <v>7</v>
      </c>
      <c r="E1669" t="str">
        <f>IF(may[[#This Row],[ShiftCounter]]&gt;0, "Running", "Down")</f>
        <v>Running</v>
      </c>
    </row>
    <row r="1670" spans="1:5" x14ac:dyDescent="0.25">
      <c r="A1670" s="10">
        <v>44698</v>
      </c>
      <c r="B1670" s="11" t="s">
        <v>120</v>
      </c>
      <c r="C1670">
        <v>-1</v>
      </c>
      <c r="D1670" t="s">
        <v>8</v>
      </c>
      <c r="E1670" t="str">
        <f>IF(may[[#This Row],[ShiftCounter]]&gt;0, "Running", "Down")</f>
        <v>Down</v>
      </c>
    </row>
    <row r="1671" spans="1:5" x14ac:dyDescent="0.25">
      <c r="A1671" s="10">
        <v>44698</v>
      </c>
      <c r="B1671" s="11" t="s">
        <v>13</v>
      </c>
      <c r="C1671">
        <v>2320</v>
      </c>
      <c r="D1671" t="s">
        <v>6</v>
      </c>
      <c r="E1671" t="str">
        <f>IF(may[[#This Row],[ShiftCounter]]&gt;0, "Running", "Down")</f>
        <v>Running</v>
      </c>
    </row>
    <row r="1672" spans="1:5" x14ac:dyDescent="0.25">
      <c r="A1672" s="10">
        <v>44698</v>
      </c>
      <c r="B1672" s="11" t="s">
        <v>13</v>
      </c>
      <c r="C1672">
        <v>2194</v>
      </c>
      <c r="D1672" t="s">
        <v>7</v>
      </c>
      <c r="E1672" t="str">
        <f>IF(may[[#This Row],[ShiftCounter]]&gt;0, "Running", "Down")</f>
        <v>Running</v>
      </c>
    </row>
    <row r="1673" spans="1:5" x14ac:dyDescent="0.25">
      <c r="A1673" s="10">
        <v>44698</v>
      </c>
      <c r="B1673" s="11" t="s">
        <v>13</v>
      </c>
      <c r="C1673">
        <v>1991</v>
      </c>
      <c r="D1673" t="s">
        <v>8</v>
      </c>
      <c r="E1673" t="str">
        <f>IF(may[[#This Row],[ShiftCounter]]&gt;0, "Running", "Down")</f>
        <v>Running</v>
      </c>
    </row>
    <row r="1674" spans="1:5" x14ac:dyDescent="0.25">
      <c r="A1674" s="10">
        <v>44698</v>
      </c>
      <c r="B1674" s="11" t="s">
        <v>114</v>
      </c>
      <c r="C1674">
        <v>2019</v>
      </c>
      <c r="D1674" t="s">
        <v>6</v>
      </c>
      <c r="E1674" t="str">
        <f>IF(may[[#This Row],[ShiftCounter]]&gt;0, "Running", "Down")</f>
        <v>Running</v>
      </c>
    </row>
    <row r="1675" spans="1:5" x14ac:dyDescent="0.25">
      <c r="A1675" s="10">
        <v>44698</v>
      </c>
      <c r="B1675" s="11" t="s">
        <v>114</v>
      </c>
      <c r="C1675">
        <v>1905</v>
      </c>
      <c r="D1675" t="s">
        <v>7</v>
      </c>
      <c r="E1675" t="str">
        <f>IF(may[[#This Row],[ShiftCounter]]&gt;0, "Running", "Down")</f>
        <v>Running</v>
      </c>
    </row>
    <row r="1676" spans="1:5" x14ac:dyDescent="0.25">
      <c r="A1676" s="10">
        <v>44698</v>
      </c>
      <c r="B1676" s="11" t="s">
        <v>114</v>
      </c>
      <c r="C1676">
        <v>1718</v>
      </c>
      <c r="D1676" t="s">
        <v>8</v>
      </c>
      <c r="E1676" t="str">
        <f>IF(may[[#This Row],[ShiftCounter]]&gt;0, "Running", "Down")</f>
        <v>Running</v>
      </c>
    </row>
    <row r="1677" spans="1:5" x14ac:dyDescent="0.25">
      <c r="A1677" s="10">
        <v>44698</v>
      </c>
      <c r="B1677" s="11" t="s">
        <v>14</v>
      </c>
      <c r="C1677">
        <v>1863</v>
      </c>
      <c r="D1677" t="s">
        <v>6</v>
      </c>
      <c r="E1677" t="str">
        <f>IF(may[[#This Row],[ShiftCounter]]&gt;0, "Running", "Down")</f>
        <v>Running</v>
      </c>
    </row>
    <row r="1678" spans="1:5" x14ac:dyDescent="0.25">
      <c r="A1678" s="10">
        <v>44698</v>
      </c>
      <c r="B1678" s="11" t="s">
        <v>14</v>
      </c>
      <c r="C1678">
        <v>1712</v>
      </c>
      <c r="D1678" t="s">
        <v>7</v>
      </c>
      <c r="E1678" t="str">
        <f>IF(may[[#This Row],[ShiftCounter]]&gt;0, "Running", "Down")</f>
        <v>Running</v>
      </c>
    </row>
    <row r="1679" spans="1:5" x14ac:dyDescent="0.25">
      <c r="A1679" s="10">
        <v>44698</v>
      </c>
      <c r="B1679" s="11" t="s">
        <v>14</v>
      </c>
      <c r="C1679">
        <v>1592</v>
      </c>
      <c r="D1679" t="s">
        <v>8</v>
      </c>
      <c r="E1679" t="str">
        <f>IF(may[[#This Row],[ShiftCounter]]&gt;0, "Running", "Down")</f>
        <v>Running</v>
      </c>
    </row>
    <row r="1680" spans="1:5" x14ac:dyDescent="0.25">
      <c r="A1680" s="10">
        <v>44698</v>
      </c>
      <c r="B1680" s="11" t="s">
        <v>15</v>
      </c>
      <c r="C1680">
        <v>2174</v>
      </c>
      <c r="D1680" t="s">
        <v>6</v>
      </c>
      <c r="E1680" t="str">
        <f>IF(may[[#This Row],[ShiftCounter]]&gt;0, "Running", "Down")</f>
        <v>Running</v>
      </c>
    </row>
    <row r="1681" spans="1:5" x14ac:dyDescent="0.25">
      <c r="A1681" s="10">
        <v>44698</v>
      </c>
      <c r="B1681" s="11" t="s">
        <v>15</v>
      </c>
      <c r="C1681">
        <v>2043</v>
      </c>
      <c r="D1681" t="s">
        <v>7</v>
      </c>
      <c r="E1681" t="str">
        <f>IF(may[[#This Row],[ShiftCounter]]&gt;0, "Running", "Down")</f>
        <v>Running</v>
      </c>
    </row>
    <row r="1682" spans="1:5" x14ac:dyDescent="0.25">
      <c r="A1682" s="10">
        <v>44698</v>
      </c>
      <c r="B1682" s="11" t="s">
        <v>15</v>
      </c>
      <c r="C1682">
        <v>1843</v>
      </c>
      <c r="D1682" t="s">
        <v>8</v>
      </c>
      <c r="E1682" t="str">
        <f>IF(may[[#This Row],[ShiftCounter]]&gt;0, "Running", "Down")</f>
        <v>Running</v>
      </c>
    </row>
    <row r="1683" spans="1:5" x14ac:dyDescent="0.25">
      <c r="A1683" s="10">
        <v>44698</v>
      </c>
      <c r="B1683" s="11" t="s">
        <v>16</v>
      </c>
      <c r="C1683">
        <v>2235</v>
      </c>
      <c r="D1683" t="s">
        <v>6</v>
      </c>
      <c r="E1683" t="str">
        <f>IF(may[[#This Row],[ShiftCounter]]&gt;0, "Running", "Down")</f>
        <v>Running</v>
      </c>
    </row>
    <row r="1684" spans="1:5" x14ac:dyDescent="0.25">
      <c r="A1684" s="10">
        <v>44698</v>
      </c>
      <c r="B1684" s="11" t="s">
        <v>16</v>
      </c>
      <c r="C1684">
        <v>2205</v>
      </c>
      <c r="D1684" t="s">
        <v>7</v>
      </c>
      <c r="E1684" t="str">
        <f>IF(may[[#This Row],[ShiftCounter]]&gt;0, "Running", "Down")</f>
        <v>Running</v>
      </c>
    </row>
    <row r="1685" spans="1:5" x14ac:dyDescent="0.25">
      <c r="A1685" s="10">
        <v>44698</v>
      </c>
      <c r="B1685" s="11" t="s">
        <v>16</v>
      </c>
      <c r="C1685">
        <v>1932</v>
      </c>
      <c r="D1685" t="s">
        <v>8</v>
      </c>
      <c r="E1685" t="str">
        <f>IF(may[[#This Row],[ShiftCounter]]&gt;0, "Running", "Down")</f>
        <v>Running</v>
      </c>
    </row>
    <row r="1686" spans="1:5" x14ac:dyDescent="0.25">
      <c r="A1686" s="10">
        <v>44698</v>
      </c>
      <c r="B1686" s="11" t="s">
        <v>17</v>
      </c>
      <c r="C1686">
        <v>2298</v>
      </c>
      <c r="D1686" t="s">
        <v>6</v>
      </c>
      <c r="E1686" t="str">
        <f>IF(may[[#This Row],[ShiftCounter]]&gt;0, "Running", "Down")</f>
        <v>Running</v>
      </c>
    </row>
    <row r="1687" spans="1:5" x14ac:dyDescent="0.25">
      <c r="A1687" s="10">
        <v>44698</v>
      </c>
      <c r="B1687" s="11" t="s">
        <v>17</v>
      </c>
      <c r="C1687">
        <v>2201</v>
      </c>
      <c r="D1687" t="s">
        <v>7</v>
      </c>
      <c r="E1687" t="str">
        <f>IF(may[[#This Row],[ShiftCounter]]&gt;0, "Running", "Down")</f>
        <v>Running</v>
      </c>
    </row>
    <row r="1688" spans="1:5" x14ac:dyDescent="0.25">
      <c r="A1688" s="10">
        <v>44698</v>
      </c>
      <c r="B1688" s="11" t="s">
        <v>17</v>
      </c>
      <c r="C1688">
        <v>1964</v>
      </c>
      <c r="D1688" t="s">
        <v>8</v>
      </c>
      <c r="E1688" t="str">
        <f>IF(may[[#This Row],[ShiftCounter]]&gt;0, "Running", "Down")</f>
        <v>Running</v>
      </c>
    </row>
    <row r="1689" spans="1:5" x14ac:dyDescent="0.25">
      <c r="A1689" s="10">
        <v>44698</v>
      </c>
      <c r="B1689" s="11" t="s">
        <v>19</v>
      </c>
      <c r="C1689">
        <v>2108</v>
      </c>
      <c r="D1689" t="s">
        <v>6</v>
      </c>
      <c r="E1689" t="str">
        <f>IF(may[[#This Row],[ShiftCounter]]&gt;0, "Running", "Down")</f>
        <v>Running</v>
      </c>
    </row>
    <row r="1690" spans="1:5" x14ac:dyDescent="0.25">
      <c r="A1690" s="10">
        <v>44698</v>
      </c>
      <c r="B1690" s="11" t="s">
        <v>19</v>
      </c>
      <c r="C1690">
        <v>2057</v>
      </c>
      <c r="D1690" t="s">
        <v>7</v>
      </c>
      <c r="E1690" t="str">
        <f>IF(may[[#This Row],[ShiftCounter]]&gt;0, "Running", "Down")</f>
        <v>Running</v>
      </c>
    </row>
    <row r="1691" spans="1:5" x14ac:dyDescent="0.25">
      <c r="A1691" s="10">
        <v>44698</v>
      </c>
      <c r="B1691" s="11" t="s">
        <v>19</v>
      </c>
      <c r="C1691">
        <v>1889</v>
      </c>
      <c r="D1691" t="s">
        <v>8</v>
      </c>
      <c r="E1691" t="str">
        <f>IF(may[[#This Row],[ShiftCounter]]&gt;0, "Running", "Down")</f>
        <v>Running</v>
      </c>
    </row>
    <row r="1692" spans="1:5" x14ac:dyDescent="0.25">
      <c r="A1692" s="10">
        <v>44698</v>
      </c>
      <c r="B1692" s="11" t="s">
        <v>18</v>
      </c>
      <c r="C1692">
        <v>2346</v>
      </c>
      <c r="D1692" t="s">
        <v>6</v>
      </c>
      <c r="E1692" t="str">
        <f>IF(may[[#This Row],[ShiftCounter]]&gt;0, "Running", "Down")</f>
        <v>Running</v>
      </c>
    </row>
    <row r="1693" spans="1:5" x14ac:dyDescent="0.25">
      <c r="A1693" s="10">
        <v>44698</v>
      </c>
      <c r="B1693" s="11" t="s">
        <v>18</v>
      </c>
      <c r="C1693">
        <v>2411</v>
      </c>
      <c r="D1693" t="s">
        <v>7</v>
      </c>
      <c r="E1693" t="str">
        <f>IF(may[[#This Row],[ShiftCounter]]&gt;0, "Running", "Down")</f>
        <v>Running</v>
      </c>
    </row>
    <row r="1694" spans="1:5" x14ac:dyDescent="0.25">
      <c r="A1694" s="10">
        <v>44698</v>
      </c>
      <c r="B1694" s="11" t="s">
        <v>18</v>
      </c>
      <c r="C1694">
        <v>2064</v>
      </c>
      <c r="D1694" t="s">
        <v>8</v>
      </c>
      <c r="E1694" t="str">
        <f>IF(may[[#This Row],[ShiftCounter]]&gt;0, "Running", "Down")</f>
        <v>Running</v>
      </c>
    </row>
    <row r="1695" spans="1:5" x14ac:dyDescent="0.25">
      <c r="A1695" s="10">
        <v>44698</v>
      </c>
      <c r="B1695" s="11" t="s">
        <v>20</v>
      </c>
      <c r="C1695">
        <v>1985</v>
      </c>
      <c r="D1695" t="s">
        <v>6</v>
      </c>
      <c r="E1695" t="str">
        <f>IF(may[[#This Row],[ShiftCounter]]&gt;0, "Running", "Down")</f>
        <v>Running</v>
      </c>
    </row>
    <row r="1696" spans="1:5" x14ac:dyDescent="0.25">
      <c r="A1696" s="10">
        <v>44698</v>
      </c>
      <c r="B1696" s="11" t="s">
        <v>20</v>
      </c>
      <c r="C1696">
        <v>2021</v>
      </c>
      <c r="D1696" t="s">
        <v>7</v>
      </c>
      <c r="E1696" t="str">
        <f>IF(may[[#This Row],[ShiftCounter]]&gt;0, "Running", "Down")</f>
        <v>Running</v>
      </c>
    </row>
    <row r="1697" spans="1:5" x14ac:dyDescent="0.25">
      <c r="A1697" s="10">
        <v>44698</v>
      </c>
      <c r="B1697" s="11" t="s">
        <v>20</v>
      </c>
      <c r="C1697">
        <v>1709</v>
      </c>
      <c r="D1697" t="s">
        <v>8</v>
      </c>
      <c r="E1697" t="str">
        <f>IF(may[[#This Row],[ShiftCounter]]&gt;0, "Running", "Down")</f>
        <v>Running</v>
      </c>
    </row>
    <row r="1698" spans="1:5" x14ac:dyDescent="0.25">
      <c r="A1698" s="10">
        <v>44698</v>
      </c>
      <c r="B1698" s="11" t="s">
        <v>21</v>
      </c>
      <c r="C1698">
        <v>2070</v>
      </c>
      <c r="D1698" t="s">
        <v>6</v>
      </c>
      <c r="E1698" t="str">
        <f>IF(may[[#This Row],[ShiftCounter]]&gt;0, "Running", "Down")</f>
        <v>Running</v>
      </c>
    </row>
    <row r="1699" spans="1:5" x14ac:dyDescent="0.25">
      <c r="A1699" s="10">
        <v>44698</v>
      </c>
      <c r="B1699" s="11" t="s">
        <v>21</v>
      </c>
      <c r="C1699">
        <v>2086</v>
      </c>
      <c r="D1699" t="s">
        <v>7</v>
      </c>
      <c r="E1699" t="str">
        <f>IF(may[[#This Row],[ShiftCounter]]&gt;0, "Running", "Down")</f>
        <v>Running</v>
      </c>
    </row>
    <row r="1700" spans="1:5" x14ac:dyDescent="0.25">
      <c r="A1700" s="10">
        <v>44698</v>
      </c>
      <c r="B1700" s="11" t="s">
        <v>21</v>
      </c>
      <c r="C1700">
        <v>1624</v>
      </c>
      <c r="D1700" t="s">
        <v>8</v>
      </c>
      <c r="E1700" t="str">
        <f>IF(may[[#This Row],[ShiftCounter]]&gt;0, "Running", "Down")</f>
        <v>Running</v>
      </c>
    </row>
    <row r="1701" spans="1:5" x14ac:dyDescent="0.25">
      <c r="A1701" s="10">
        <v>44698</v>
      </c>
      <c r="B1701" s="11" t="s">
        <v>22</v>
      </c>
      <c r="C1701">
        <v>2031</v>
      </c>
      <c r="D1701" t="s">
        <v>6</v>
      </c>
      <c r="E1701" t="str">
        <f>IF(may[[#This Row],[ShiftCounter]]&gt;0, "Running", "Down")</f>
        <v>Running</v>
      </c>
    </row>
    <row r="1702" spans="1:5" x14ac:dyDescent="0.25">
      <c r="A1702" s="10">
        <v>44698</v>
      </c>
      <c r="B1702" s="11" t="s">
        <v>22</v>
      </c>
      <c r="C1702">
        <v>2266</v>
      </c>
      <c r="D1702" t="s">
        <v>7</v>
      </c>
      <c r="E1702" t="str">
        <f>IF(may[[#This Row],[ShiftCounter]]&gt;0, "Running", "Down")</f>
        <v>Running</v>
      </c>
    </row>
    <row r="1703" spans="1:5" x14ac:dyDescent="0.25">
      <c r="A1703" s="10">
        <v>44698</v>
      </c>
      <c r="B1703" s="11" t="s">
        <v>22</v>
      </c>
      <c r="C1703">
        <v>1917</v>
      </c>
      <c r="D1703" t="s">
        <v>8</v>
      </c>
      <c r="E1703" t="str">
        <f>IF(may[[#This Row],[ShiftCounter]]&gt;0, "Running", "Down")</f>
        <v>Running</v>
      </c>
    </row>
    <row r="1704" spans="1:5" x14ac:dyDescent="0.25">
      <c r="A1704" s="10">
        <v>44698</v>
      </c>
      <c r="B1704" s="11" t="s">
        <v>23</v>
      </c>
      <c r="C1704">
        <v>2305</v>
      </c>
      <c r="D1704" t="s">
        <v>6</v>
      </c>
      <c r="E1704" t="str">
        <f>IF(may[[#This Row],[ShiftCounter]]&gt;0, "Running", "Down")</f>
        <v>Running</v>
      </c>
    </row>
    <row r="1705" spans="1:5" x14ac:dyDescent="0.25">
      <c r="A1705" s="10">
        <v>44698</v>
      </c>
      <c r="B1705" s="11" t="s">
        <v>23</v>
      </c>
      <c r="C1705">
        <v>2416</v>
      </c>
      <c r="D1705" t="s">
        <v>7</v>
      </c>
      <c r="E1705" t="str">
        <f>IF(may[[#This Row],[ShiftCounter]]&gt;0, "Running", "Down")</f>
        <v>Running</v>
      </c>
    </row>
    <row r="1706" spans="1:5" x14ac:dyDescent="0.25">
      <c r="A1706" s="10">
        <v>44698</v>
      </c>
      <c r="B1706" s="11" t="s">
        <v>23</v>
      </c>
      <c r="C1706">
        <v>1990</v>
      </c>
      <c r="D1706" t="s">
        <v>8</v>
      </c>
      <c r="E1706" t="str">
        <f>IF(may[[#This Row],[ShiftCounter]]&gt;0, "Running", "Down")</f>
        <v>Running</v>
      </c>
    </row>
    <row r="1707" spans="1:5" x14ac:dyDescent="0.25">
      <c r="A1707" s="10">
        <v>44698</v>
      </c>
      <c r="B1707" s="11" t="s">
        <v>24</v>
      </c>
      <c r="C1707">
        <v>2043</v>
      </c>
      <c r="D1707" t="s">
        <v>6</v>
      </c>
      <c r="E1707" t="str">
        <f>IF(may[[#This Row],[ShiftCounter]]&gt;0, "Running", "Down")</f>
        <v>Running</v>
      </c>
    </row>
    <row r="1708" spans="1:5" x14ac:dyDescent="0.25">
      <c r="A1708" s="10">
        <v>44698</v>
      </c>
      <c r="B1708" s="11" t="s">
        <v>24</v>
      </c>
      <c r="C1708">
        <v>2140</v>
      </c>
      <c r="D1708" t="s">
        <v>7</v>
      </c>
      <c r="E1708" t="str">
        <f>IF(may[[#This Row],[ShiftCounter]]&gt;0, "Running", "Down")</f>
        <v>Running</v>
      </c>
    </row>
    <row r="1709" spans="1:5" x14ac:dyDescent="0.25">
      <c r="A1709" s="10">
        <v>44698</v>
      </c>
      <c r="B1709" s="11" t="s">
        <v>24</v>
      </c>
      <c r="C1709">
        <v>1810</v>
      </c>
      <c r="D1709" t="s">
        <v>8</v>
      </c>
      <c r="E1709" t="str">
        <f>IF(may[[#This Row],[ShiftCounter]]&gt;0, "Running", "Down")</f>
        <v>Running</v>
      </c>
    </row>
    <row r="1710" spans="1:5" x14ac:dyDescent="0.25">
      <c r="A1710" s="10">
        <v>44698</v>
      </c>
      <c r="B1710" s="11" t="s">
        <v>25</v>
      </c>
      <c r="C1710">
        <v>2239</v>
      </c>
      <c r="D1710" t="s">
        <v>6</v>
      </c>
      <c r="E1710" t="str">
        <f>IF(may[[#This Row],[ShiftCounter]]&gt;0, "Running", "Down")</f>
        <v>Running</v>
      </c>
    </row>
    <row r="1711" spans="1:5" x14ac:dyDescent="0.25">
      <c r="A1711" s="10">
        <v>44698</v>
      </c>
      <c r="B1711" s="11" t="s">
        <v>25</v>
      </c>
      <c r="C1711">
        <v>2200</v>
      </c>
      <c r="D1711" t="s">
        <v>7</v>
      </c>
      <c r="E1711" t="str">
        <f>IF(may[[#This Row],[ShiftCounter]]&gt;0, "Running", "Down")</f>
        <v>Running</v>
      </c>
    </row>
    <row r="1712" spans="1:5" x14ac:dyDescent="0.25">
      <c r="A1712" s="10">
        <v>44698</v>
      </c>
      <c r="B1712" s="11" t="s">
        <v>25</v>
      </c>
      <c r="C1712">
        <v>2170</v>
      </c>
      <c r="D1712" t="s">
        <v>8</v>
      </c>
      <c r="E1712" t="str">
        <f>IF(may[[#This Row],[ShiftCounter]]&gt;0, "Running", "Down")</f>
        <v>Running</v>
      </c>
    </row>
    <row r="1713" spans="1:5" x14ac:dyDescent="0.25">
      <c r="A1713" s="10">
        <v>44698</v>
      </c>
      <c r="B1713" s="11" t="s">
        <v>26</v>
      </c>
      <c r="C1713">
        <v>1532</v>
      </c>
      <c r="D1713" t="s">
        <v>6</v>
      </c>
      <c r="E1713" t="str">
        <f>IF(may[[#This Row],[ShiftCounter]]&gt;0, "Running", "Down")</f>
        <v>Running</v>
      </c>
    </row>
    <row r="1714" spans="1:5" x14ac:dyDescent="0.25">
      <c r="A1714" s="10">
        <v>44698</v>
      </c>
      <c r="B1714" s="11" t="s">
        <v>26</v>
      </c>
      <c r="C1714">
        <v>2225</v>
      </c>
      <c r="D1714" t="s">
        <v>7</v>
      </c>
      <c r="E1714" t="str">
        <f>IF(may[[#This Row],[ShiftCounter]]&gt;0, "Running", "Down")</f>
        <v>Running</v>
      </c>
    </row>
    <row r="1715" spans="1:5" x14ac:dyDescent="0.25">
      <c r="A1715" s="10">
        <v>44698</v>
      </c>
      <c r="B1715" s="11" t="s">
        <v>26</v>
      </c>
      <c r="C1715">
        <v>2086</v>
      </c>
      <c r="D1715" t="s">
        <v>8</v>
      </c>
      <c r="E1715" t="str">
        <f>IF(may[[#This Row],[ShiftCounter]]&gt;0, "Running", "Down")</f>
        <v>Running</v>
      </c>
    </row>
    <row r="1716" spans="1:5" x14ac:dyDescent="0.25">
      <c r="A1716" s="10">
        <v>44698</v>
      </c>
      <c r="B1716" s="11" t="s">
        <v>27</v>
      </c>
      <c r="C1716">
        <v>2168</v>
      </c>
      <c r="D1716" t="s">
        <v>6</v>
      </c>
      <c r="E1716" t="str">
        <f>IF(may[[#This Row],[ShiftCounter]]&gt;0, "Running", "Down")</f>
        <v>Running</v>
      </c>
    </row>
    <row r="1717" spans="1:5" x14ac:dyDescent="0.25">
      <c r="A1717" s="10">
        <v>44698</v>
      </c>
      <c r="B1717" s="11" t="s">
        <v>27</v>
      </c>
      <c r="C1717">
        <v>2340</v>
      </c>
      <c r="D1717" t="s">
        <v>7</v>
      </c>
      <c r="E1717" t="str">
        <f>IF(may[[#This Row],[ShiftCounter]]&gt;0, "Running", "Down")</f>
        <v>Running</v>
      </c>
    </row>
    <row r="1718" spans="1:5" x14ac:dyDescent="0.25">
      <c r="A1718" s="10">
        <v>44698</v>
      </c>
      <c r="B1718" s="11" t="s">
        <v>27</v>
      </c>
      <c r="C1718">
        <v>2021</v>
      </c>
      <c r="D1718" t="s">
        <v>8</v>
      </c>
      <c r="E1718" t="str">
        <f>IF(may[[#This Row],[ShiftCounter]]&gt;0, "Running", "Down")</f>
        <v>Running</v>
      </c>
    </row>
    <row r="1719" spans="1:5" x14ac:dyDescent="0.25">
      <c r="A1719" s="10">
        <v>44698</v>
      </c>
      <c r="B1719" s="11" t="s">
        <v>28</v>
      </c>
      <c r="C1719">
        <v>2092</v>
      </c>
      <c r="D1719" t="s">
        <v>6</v>
      </c>
      <c r="E1719" t="str">
        <f>IF(may[[#This Row],[ShiftCounter]]&gt;0, "Running", "Down")</f>
        <v>Running</v>
      </c>
    </row>
    <row r="1720" spans="1:5" x14ac:dyDescent="0.25">
      <c r="A1720" s="10">
        <v>44698</v>
      </c>
      <c r="B1720" s="11" t="s">
        <v>28</v>
      </c>
      <c r="C1720">
        <v>2150</v>
      </c>
      <c r="D1720" t="s">
        <v>7</v>
      </c>
      <c r="E1720" t="str">
        <f>IF(may[[#This Row],[ShiftCounter]]&gt;0, "Running", "Down")</f>
        <v>Running</v>
      </c>
    </row>
    <row r="1721" spans="1:5" x14ac:dyDescent="0.25">
      <c r="A1721" s="10">
        <v>44698</v>
      </c>
      <c r="B1721" s="11" t="s">
        <v>28</v>
      </c>
      <c r="C1721">
        <v>2026</v>
      </c>
      <c r="D1721" t="s">
        <v>8</v>
      </c>
      <c r="E1721" t="str">
        <f>IF(may[[#This Row],[ShiftCounter]]&gt;0, "Running", "Down")</f>
        <v>Running</v>
      </c>
    </row>
    <row r="1722" spans="1:5" x14ac:dyDescent="0.25">
      <c r="A1722" s="10">
        <v>44698</v>
      </c>
      <c r="B1722" s="11" t="s">
        <v>29</v>
      </c>
      <c r="C1722">
        <v>2009</v>
      </c>
      <c r="D1722" t="s">
        <v>6</v>
      </c>
      <c r="E1722" t="str">
        <f>IF(may[[#This Row],[ShiftCounter]]&gt;0, "Running", "Down")</f>
        <v>Running</v>
      </c>
    </row>
    <row r="1723" spans="1:5" x14ac:dyDescent="0.25">
      <c r="A1723" s="10">
        <v>44698</v>
      </c>
      <c r="B1723" s="11" t="s">
        <v>29</v>
      </c>
      <c r="C1723">
        <v>2008</v>
      </c>
      <c r="D1723" t="s">
        <v>7</v>
      </c>
      <c r="E1723" t="str">
        <f>IF(may[[#This Row],[ShiftCounter]]&gt;0, "Running", "Down")</f>
        <v>Running</v>
      </c>
    </row>
    <row r="1724" spans="1:5" x14ac:dyDescent="0.25">
      <c r="A1724" s="10">
        <v>44698</v>
      </c>
      <c r="B1724" s="11" t="s">
        <v>29</v>
      </c>
      <c r="C1724">
        <v>1912</v>
      </c>
      <c r="D1724" t="s">
        <v>8</v>
      </c>
      <c r="E1724" t="str">
        <f>IF(may[[#This Row],[ShiftCounter]]&gt;0, "Running", "Down")</f>
        <v>Running</v>
      </c>
    </row>
    <row r="1725" spans="1:5" x14ac:dyDescent="0.25">
      <c r="A1725" s="10">
        <v>44698</v>
      </c>
      <c r="B1725" s="11" t="s">
        <v>30</v>
      </c>
      <c r="C1725">
        <v>0</v>
      </c>
      <c r="D1725" t="s">
        <v>6</v>
      </c>
      <c r="E1725" t="str">
        <f>IF(may[[#This Row],[ShiftCounter]]&gt;0, "Running", "Down")</f>
        <v>Down</v>
      </c>
    </row>
    <row r="1726" spans="1:5" x14ac:dyDescent="0.25">
      <c r="A1726" s="10">
        <v>44698</v>
      </c>
      <c r="B1726" s="11" t="s">
        <v>30</v>
      </c>
      <c r="C1726">
        <v>3040</v>
      </c>
      <c r="D1726" t="s">
        <v>7</v>
      </c>
      <c r="E1726" t="str">
        <f>IF(may[[#This Row],[ShiftCounter]]&gt;0, "Running", "Down")</f>
        <v>Running</v>
      </c>
    </row>
    <row r="1727" spans="1:5" x14ac:dyDescent="0.25">
      <c r="A1727" s="10">
        <v>44698</v>
      </c>
      <c r="B1727" s="11" t="s">
        <v>30</v>
      </c>
      <c r="C1727">
        <v>2105</v>
      </c>
      <c r="D1727" t="s">
        <v>8</v>
      </c>
      <c r="E1727" t="str">
        <f>IF(may[[#This Row],[ShiftCounter]]&gt;0, "Running", "Down")</f>
        <v>Running</v>
      </c>
    </row>
    <row r="1728" spans="1:5" x14ac:dyDescent="0.25">
      <c r="A1728" s="10">
        <v>44698</v>
      </c>
      <c r="B1728" s="11" t="s">
        <v>31</v>
      </c>
      <c r="C1728">
        <v>2298</v>
      </c>
      <c r="D1728" t="s">
        <v>6</v>
      </c>
      <c r="E1728" t="str">
        <f>IF(may[[#This Row],[ShiftCounter]]&gt;0, "Running", "Down")</f>
        <v>Running</v>
      </c>
    </row>
    <row r="1729" spans="1:5" x14ac:dyDescent="0.25">
      <c r="A1729" s="10">
        <v>44698</v>
      </c>
      <c r="B1729" s="11" t="s">
        <v>31</v>
      </c>
      <c r="C1729">
        <v>2275</v>
      </c>
      <c r="D1729" t="s">
        <v>7</v>
      </c>
      <c r="E1729" t="str">
        <f>IF(may[[#This Row],[ShiftCounter]]&gt;0, "Running", "Down")</f>
        <v>Running</v>
      </c>
    </row>
    <row r="1730" spans="1:5" x14ac:dyDescent="0.25">
      <c r="A1730" s="10">
        <v>44698</v>
      </c>
      <c r="B1730" s="11" t="s">
        <v>31</v>
      </c>
      <c r="C1730">
        <v>1805</v>
      </c>
      <c r="D1730" t="s">
        <v>8</v>
      </c>
      <c r="E1730" t="str">
        <f>IF(may[[#This Row],[ShiftCounter]]&gt;0, "Running", "Down")</f>
        <v>Running</v>
      </c>
    </row>
    <row r="1731" spans="1:5" x14ac:dyDescent="0.25">
      <c r="A1731" s="10">
        <v>44698</v>
      </c>
      <c r="B1731" s="11" t="s">
        <v>32</v>
      </c>
      <c r="C1731">
        <v>2318</v>
      </c>
      <c r="D1731" t="s">
        <v>6</v>
      </c>
      <c r="E1731" t="str">
        <f>IF(may[[#This Row],[ShiftCounter]]&gt;0, "Running", "Down")</f>
        <v>Running</v>
      </c>
    </row>
    <row r="1732" spans="1:5" x14ac:dyDescent="0.25">
      <c r="A1732" s="10">
        <v>44698</v>
      </c>
      <c r="B1732" s="11" t="s">
        <v>32</v>
      </c>
      <c r="C1732">
        <v>2278</v>
      </c>
      <c r="D1732" t="s">
        <v>7</v>
      </c>
      <c r="E1732" t="str">
        <f>IF(may[[#This Row],[ShiftCounter]]&gt;0, "Running", "Down")</f>
        <v>Running</v>
      </c>
    </row>
    <row r="1733" spans="1:5" x14ac:dyDescent="0.25">
      <c r="A1733" s="10">
        <v>44698</v>
      </c>
      <c r="B1733" s="11" t="s">
        <v>32</v>
      </c>
      <c r="C1733">
        <v>1888</v>
      </c>
      <c r="D1733" t="s">
        <v>8</v>
      </c>
      <c r="E1733" t="str">
        <f>IF(may[[#This Row],[ShiftCounter]]&gt;0, "Running", "Down")</f>
        <v>Running</v>
      </c>
    </row>
    <row r="1734" spans="1:5" x14ac:dyDescent="0.25">
      <c r="A1734" s="10">
        <v>44698</v>
      </c>
      <c r="B1734" s="11" t="s">
        <v>33</v>
      </c>
      <c r="C1734">
        <v>2356</v>
      </c>
      <c r="D1734" t="s">
        <v>6</v>
      </c>
      <c r="E1734" t="str">
        <f>IF(may[[#This Row],[ShiftCounter]]&gt;0, "Running", "Down")</f>
        <v>Running</v>
      </c>
    </row>
    <row r="1735" spans="1:5" x14ac:dyDescent="0.25">
      <c r="A1735" s="10">
        <v>44698</v>
      </c>
      <c r="B1735" s="11" t="s">
        <v>33</v>
      </c>
      <c r="C1735">
        <v>2325</v>
      </c>
      <c r="D1735" t="s">
        <v>7</v>
      </c>
      <c r="E1735" t="str">
        <f>IF(may[[#This Row],[ShiftCounter]]&gt;0, "Running", "Down")</f>
        <v>Running</v>
      </c>
    </row>
    <row r="1736" spans="1:5" x14ac:dyDescent="0.25">
      <c r="A1736" s="10">
        <v>44698</v>
      </c>
      <c r="B1736" s="11" t="s">
        <v>33</v>
      </c>
      <c r="C1736">
        <v>1983</v>
      </c>
      <c r="D1736" t="s">
        <v>8</v>
      </c>
      <c r="E1736" t="str">
        <f>IF(may[[#This Row],[ShiftCounter]]&gt;0, "Running", "Down")</f>
        <v>Running</v>
      </c>
    </row>
    <row r="1737" spans="1:5" x14ac:dyDescent="0.25">
      <c r="A1737" s="10">
        <v>44698</v>
      </c>
      <c r="B1737" s="11" t="s">
        <v>34</v>
      </c>
      <c r="C1737">
        <v>2084</v>
      </c>
      <c r="D1737" t="s">
        <v>6</v>
      </c>
      <c r="E1737" t="str">
        <f>IF(may[[#This Row],[ShiftCounter]]&gt;0, "Running", "Down")</f>
        <v>Running</v>
      </c>
    </row>
    <row r="1738" spans="1:5" x14ac:dyDescent="0.25">
      <c r="A1738" s="10">
        <v>44698</v>
      </c>
      <c r="B1738" s="11" t="s">
        <v>34</v>
      </c>
      <c r="C1738">
        <v>2070</v>
      </c>
      <c r="D1738" t="s">
        <v>7</v>
      </c>
      <c r="E1738" t="str">
        <f>IF(may[[#This Row],[ShiftCounter]]&gt;0, "Running", "Down")</f>
        <v>Running</v>
      </c>
    </row>
    <row r="1739" spans="1:5" x14ac:dyDescent="0.25">
      <c r="A1739" s="10">
        <v>44698</v>
      </c>
      <c r="B1739" s="11" t="s">
        <v>34</v>
      </c>
      <c r="C1739">
        <v>1709</v>
      </c>
      <c r="D1739" t="s">
        <v>8</v>
      </c>
      <c r="E1739" t="str">
        <f>IF(may[[#This Row],[ShiftCounter]]&gt;0, "Running", "Down")</f>
        <v>Running</v>
      </c>
    </row>
    <row r="1740" spans="1:5" x14ac:dyDescent="0.25">
      <c r="A1740" s="10">
        <v>44698</v>
      </c>
      <c r="B1740" s="11" t="s">
        <v>37</v>
      </c>
      <c r="C1740">
        <v>2410</v>
      </c>
      <c r="D1740" t="s">
        <v>6</v>
      </c>
      <c r="E1740" t="str">
        <f>IF(may[[#This Row],[ShiftCounter]]&gt;0, "Running", "Down")</f>
        <v>Running</v>
      </c>
    </row>
    <row r="1741" spans="1:5" x14ac:dyDescent="0.25">
      <c r="A1741" s="10">
        <v>44698</v>
      </c>
      <c r="B1741" s="11" t="s">
        <v>37</v>
      </c>
      <c r="C1741">
        <v>2434</v>
      </c>
      <c r="D1741" t="s">
        <v>7</v>
      </c>
      <c r="E1741" t="str">
        <f>IF(may[[#This Row],[ShiftCounter]]&gt;0, "Running", "Down")</f>
        <v>Running</v>
      </c>
    </row>
    <row r="1742" spans="1:5" x14ac:dyDescent="0.25">
      <c r="A1742" s="10">
        <v>44698</v>
      </c>
      <c r="B1742" s="11" t="s">
        <v>37</v>
      </c>
      <c r="C1742">
        <v>1982</v>
      </c>
      <c r="D1742" t="s">
        <v>8</v>
      </c>
      <c r="E1742" t="str">
        <f>IF(may[[#This Row],[ShiftCounter]]&gt;0, "Running", "Down")</f>
        <v>Running</v>
      </c>
    </row>
    <row r="1743" spans="1:5" x14ac:dyDescent="0.25">
      <c r="A1743" s="10">
        <v>44699</v>
      </c>
      <c r="B1743" s="11" t="s">
        <v>40</v>
      </c>
      <c r="C1743">
        <v>2356</v>
      </c>
      <c r="D1743" t="s">
        <v>6</v>
      </c>
      <c r="E1743" t="str">
        <f>IF(may[[#This Row],[ShiftCounter]]&gt;0, "Running", "Down")</f>
        <v>Running</v>
      </c>
    </row>
    <row r="1744" spans="1:5" x14ac:dyDescent="0.25">
      <c r="A1744" s="10">
        <v>44699</v>
      </c>
      <c r="B1744" s="11" t="s">
        <v>40</v>
      </c>
      <c r="C1744">
        <v>2290</v>
      </c>
      <c r="D1744" t="s">
        <v>7</v>
      </c>
      <c r="E1744" t="str">
        <f>IF(may[[#This Row],[ShiftCounter]]&gt;0, "Running", "Down")</f>
        <v>Running</v>
      </c>
    </row>
    <row r="1745" spans="1:5" x14ac:dyDescent="0.25">
      <c r="A1745" s="10">
        <v>44699</v>
      </c>
      <c r="B1745" s="11" t="s">
        <v>40</v>
      </c>
      <c r="C1745">
        <v>1858</v>
      </c>
      <c r="D1745" t="s">
        <v>8</v>
      </c>
      <c r="E1745" t="str">
        <f>IF(may[[#This Row],[ShiftCounter]]&gt;0, "Running", "Down")</f>
        <v>Running</v>
      </c>
    </row>
    <row r="1746" spans="1:5" x14ac:dyDescent="0.25">
      <c r="A1746" s="10">
        <v>44699</v>
      </c>
      <c r="B1746" s="11" t="s">
        <v>39</v>
      </c>
      <c r="C1746">
        <v>3798</v>
      </c>
      <c r="D1746" t="s">
        <v>6</v>
      </c>
      <c r="E1746" t="str">
        <f>IF(may[[#This Row],[ShiftCounter]]&gt;0, "Running", "Down")</f>
        <v>Running</v>
      </c>
    </row>
    <row r="1747" spans="1:5" x14ac:dyDescent="0.25">
      <c r="A1747" s="10">
        <v>44699</v>
      </c>
      <c r="B1747" s="11" t="s">
        <v>39</v>
      </c>
      <c r="C1747">
        <v>2080</v>
      </c>
      <c r="D1747" t="s">
        <v>7</v>
      </c>
      <c r="E1747" t="str">
        <f>IF(may[[#This Row],[ShiftCounter]]&gt;0, "Running", "Down")</f>
        <v>Running</v>
      </c>
    </row>
    <row r="1748" spans="1:5" x14ac:dyDescent="0.25">
      <c r="A1748" s="10">
        <v>44699</v>
      </c>
      <c r="B1748" s="11" t="s">
        <v>39</v>
      </c>
      <c r="C1748">
        <v>1631</v>
      </c>
      <c r="D1748" t="s">
        <v>8</v>
      </c>
      <c r="E1748" t="str">
        <f>IF(may[[#This Row],[ShiftCounter]]&gt;0, "Running", "Down")</f>
        <v>Running</v>
      </c>
    </row>
    <row r="1749" spans="1:5" x14ac:dyDescent="0.25">
      <c r="A1749" s="10">
        <v>44699</v>
      </c>
      <c r="B1749" s="11" t="s">
        <v>41</v>
      </c>
      <c r="C1749">
        <v>2352</v>
      </c>
      <c r="D1749" t="s">
        <v>6</v>
      </c>
      <c r="E1749" t="str">
        <f>IF(may[[#This Row],[ShiftCounter]]&gt;0, "Running", "Down")</f>
        <v>Running</v>
      </c>
    </row>
    <row r="1750" spans="1:5" x14ac:dyDescent="0.25">
      <c r="A1750" s="10">
        <v>44699</v>
      </c>
      <c r="B1750" s="11" t="s">
        <v>41</v>
      </c>
      <c r="C1750">
        <v>2355</v>
      </c>
      <c r="D1750" t="s">
        <v>7</v>
      </c>
      <c r="E1750" t="str">
        <f>IF(may[[#This Row],[ShiftCounter]]&gt;0, "Running", "Down")</f>
        <v>Running</v>
      </c>
    </row>
    <row r="1751" spans="1:5" x14ac:dyDescent="0.25">
      <c r="A1751" s="10">
        <v>44699</v>
      </c>
      <c r="B1751" s="11" t="s">
        <v>41</v>
      </c>
      <c r="C1751">
        <v>1790</v>
      </c>
      <c r="D1751" t="s">
        <v>8</v>
      </c>
      <c r="E1751" t="str">
        <f>IF(may[[#This Row],[ShiftCounter]]&gt;0, "Running", "Down")</f>
        <v>Running</v>
      </c>
    </row>
    <row r="1752" spans="1:5" x14ac:dyDescent="0.25">
      <c r="A1752" s="10">
        <v>44699</v>
      </c>
      <c r="B1752" s="11" t="s">
        <v>5</v>
      </c>
      <c r="C1752">
        <v>2348</v>
      </c>
      <c r="D1752" t="s">
        <v>6</v>
      </c>
      <c r="E1752" t="str">
        <f>IF(may[[#This Row],[ShiftCounter]]&gt;0, "Running", "Down")</f>
        <v>Running</v>
      </c>
    </row>
    <row r="1753" spans="1:5" x14ac:dyDescent="0.25">
      <c r="A1753" s="10">
        <v>44699</v>
      </c>
      <c r="B1753" s="11" t="s">
        <v>5</v>
      </c>
      <c r="C1753">
        <v>2350</v>
      </c>
      <c r="D1753" t="s">
        <v>7</v>
      </c>
      <c r="E1753" t="str">
        <f>IF(may[[#This Row],[ShiftCounter]]&gt;0, "Running", "Down")</f>
        <v>Running</v>
      </c>
    </row>
    <row r="1754" spans="1:5" x14ac:dyDescent="0.25">
      <c r="A1754" s="10">
        <v>44699</v>
      </c>
      <c r="B1754" s="11" t="s">
        <v>5</v>
      </c>
      <c r="C1754">
        <v>1885</v>
      </c>
      <c r="D1754" t="s">
        <v>8</v>
      </c>
      <c r="E1754" t="str">
        <f>IF(may[[#This Row],[ShiftCounter]]&gt;0, "Running", "Down")</f>
        <v>Running</v>
      </c>
    </row>
    <row r="1755" spans="1:5" x14ac:dyDescent="0.25">
      <c r="A1755" s="10">
        <v>44699</v>
      </c>
      <c r="B1755" s="11" t="s">
        <v>9</v>
      </c>
      <c r="C1755">
        <v>2367</v>
      </c>
      <c r="D1755" t="s">
        <v>6</v>
      </c>
      <c r="E1755" t="str">
        <f>IF(may[[#This Row],[ShiftCounter]]&gt;0, "Running", "Down")</f>
        <v>Running</v>
      </c>
    </row>
    <row r="1756" spans="1:5" x14ac:dyDescent="0.25">
      <c r="A1756" s="10">
        <v>44699</v>
      </c>
      <c r="B1756" s="11" t="s">
        <v>9</v>
      </c>
      <c r="C1756">
        <v>2370</v>
      </c>
      <c r="D1756" t="s">
        <v>7</v>
      </c>
      <c r="E1756" t="str">
        <f>IF(may[[#This Row],[ShiftCounter]]&gt;0, "Running", "Down")</f>
        <v>Running</v>
      </c>
    </row>
    <row r="1757" spans="1:5" x14ac:dyDescent="0.25">
      <c r="A1757" s="10">
        <v>44699</v>
      </c>
      <c r="B1757" s="11" t="s">
        <v>9</v>
      </c>
      <c r="C1757">
        <v>1837</v>
      </c>
      <c r="D1757" t="s">
        <v>8</v>
      </c>
      <c r="E1757" t="str">
        <f>IF(may[[#This Row],[ShiftCounter]]&gt;0, "Running", "Down")</f>
        <v>Running</v>
      </c>
    </row>
    <row r="1758" spans="1:5" x14ac:dyDescent="0.25">
      <c r="A1758" s="10">
        <v>44699</v>
      </c>
      <c r="B1758" s="11" t="s">
        <v>11</v>
      </c>
      <c r="C1758">
        <v>2013</v>
      </c>
      <c r="D1758" t="s">
        <v>6</v>
      </c>
      <c r="E1758" t="str">
        <f>IF(may[[#This Row],[ShiftCounter]]&gt;0, "Running", "Down")</f>
        <v>Running</v>
      </c>
    </row>
    <row r="1759" spans="1:5" x14ac:dyDescent="0.25">
      <c r="A1759" s="10">
        <v>44699</v>
      </c>
      <c r="B1759" s="11" t="s">
        <v>11</v>
      </c>
      <c r="C1759">
        <v>2480</v>
      </c>
      <c r="D1759" t="s">
        <v>7</v>
      </c>
      <c r="E1759" t="str">
        <f>IF(may[[#This Row],[ShiftCounter]]&gt;0, "Running", "Down")</f>
        <v>Running</v>
      </c>
    </row>
    <row r="1760" spans="1:5" x14ac:dyDescent="0.25">
      <c r="A1760" s="10">
        <v>44699</v>
      </c>
      <c r="B1760" s="11" t="s">
        <v>11</v>
      </c>
      <c r="C1760">
        <v>1965</v>
      </c>
      <c r="D1760" t="s">
        <v>8</v>
      </c>
      <c r="E1760" t="str">
        <f>IF(may[[#This Row],[ShiftCounter]]&gt;0, "Running", "Down")</f>
        <v>Running</v>
      </c>
    </row>
    <row r="1761" spans="1:5" x14ac:dyDescent="0.25">
      <c r="A1761" s="10">
        <v>44699</v>
      </c>
      <c r="B1761" s="11" t="s">
        <v>12</v>
      </c>
      <c r="C1761">
        <v>4041</v>
      </c>
      <c r="D1761" t="s">
        <v>6</v>
      </c>
      <c r="E1761" t="str">
        <f>IF(may[[#This Row],[ShiftCounter]]&gt;0, "Running", "Down")</f>
        <v>Running</v>
      </c>
    </row>
    <row r="1762" spans="1:5" x14ac:dyDescent="0.25">
      <c r="A1762" s="10">
        <v>44699</v>
      </c>
      <c r="B1762" s="11" t="s">
        <v>12</v>
      </c>
      <c r="C1762">
        <v>2110</v>
      </c>
      <c r="D1762" t="s">
        <v>7</v>
      </c>
      <c r="E1762" t="str">
        <f>IF(may[[#This Row],[ShiftCounter]]&gt;0, "Running", "Down")</f>
        <v>Running</v>
      </c>
    </row>
    <row r="1763" spans="1:5" x14ac:dyDescent="0.25">
      <c r="A1763" s="10">
        <v>44699</v>
      </c>
      <c r="B1763" s="11" t="s">
        <v>12</v>
      </c>
      <c r="C1763">
        <v>1717</v>
      </c>
      <c r="D1763" t="s">
        <v>8</v>
      </c>
      <c r="E1763" t="str">
        <f>IF(may[[#This Row],[ShiftCounter]]&gt;0, "Running", "Down")</f>
        <v>Running</v>
      </c>
    </row>
    <row r="1764" spans="1:5" x14ac:dyDescent="0.25">
      <c r="A1764" s="10">
        <v>44699</v>
      </c>
      <c r="B1764" s="11" t="s">
        <v>120</v>
      </c>
      <c r="C1764">
        <v>2191</v>
      </c>
      <c r="D1764" t="s">
        <v>6</v>
      </c>
      <c r="E1764" t="str">
        <f>IF(may[[#This Row],[ShiftCounter]]&gt;0, "Running", "Down")</f>
        <v>Running</v>
      </c>
    </row>
    <row r="1765" spans="1:5" x14ac:dyDescent="0.25">
      <c r="A1765" s="10">
        <v>44699</v>
      </c>
      <c r="B1765" s="11" t="s">
        <v>120</v>
      </c>
      <c r="C1765">
        <v>2332</v>
      </c>
      <c r="D1765" t="s">
        <v>7</v>
      </c>
      <c r="E1765" t="str">
        <f>IF(may[[#This Row],[ShiftCounter]]&gt;0, "Running", "Down")</f>
        <v>Running</v>
      </c>
    </row>
    <row r="1766" spans="1:5" x14ac:dyDescent="0.25">
      <c r="A1766" s="10">
        <v>44699</v>
      </c>
      <c r="B1766" s="11" t="s">
        <v>120</v>
      </c>
      <c r="C1766">
        <v>1735</v>
      </c>
      <c r="D1766" t="s">
        <v>8</v>
      </c>
      <c r="E1766" t="str">
        <f>IF(may[[#This Row],[ShiftCounter]]&gt;0, "Running", "Down")</f>
        <v>Running</v>
      </c>
    </row>
    <row r="1767" spans="1:5" x14ac:dyDescent="0.25">
      <c r="A1767" s="10">
        <v>44699</v>
      </c>
      <c r="B1767" s="11" t="s">
        <v>13</v>
      </c>
      <c r="C1767">
        <v>2364</v>
      </c>
      <c r="D1767" t="s">
        <v>6</v>
      </c>
      <c r="E1767" t="str">
        <f>IF(may[[#This Row],[ShiftCounter]]&gt;0, "Running", "Down")</f>
        <v>Running</v>
      </c>
    </row>
    <row r="1768" spans="1:5" x14ac:dyDescent="0.25">
      <c r="A1768" s="10">
        <v>44699</v>
      </c>
      <c r="B1768" s="11" t="s">
        <v>13</v>
      </c>
      <c r="C1768">
        <v>2208</v>
      </c>
      <c r="D1768" t="s">
        <v>7</v>
      </c>
      <c r="E1768" t="str">
        <f>IF(may[[#This Row],[ShiftCounter]]&gt;0, "Running", "Down")</f>
        <v>Running</v>
      </c>
    </row>
    <row r="1769" spans="1:5" x14ac:dyDescent="0.25">
      <c r="A1769" s="10">
        <v>44699</v>
      </c>
      <c r="B1769" s="11" t="s">
        <v>13</v>
      </c>
      <c r="C1769">
        <v>1915</v>
      </c>
      <c r="D1769" t="s">
        <v>8</v>
      </c>
      <c r="E1769" t="str">
        <f>IF(may[[#This Row],[ShiftCounter]]&gt;0, "Running", "Down")</f>
        <v>Running</v>
      </c>
    </row>
    <row r="1770" spans="1:5" x14ac:dyDescent="0.25">
      <c r="A1770" s="10">
        <v>44699</v>
      </c>
      <c r="B1770" s="11" t="s">
        <v>114</v>
      </c>
      <c r="C1770">
        <v>2061</v>
      </c>
      <c r="D1770" t="s">
        <v>6</v>
      </c>
      <c r="E1770" t="str">
        <f>IF(may[[#This Row],[ShiftCounter]]&gt;0, "Running", "Down")</f>
        <v>Running</v>
      </c>
    </row>
    <row r="1771" spans="1:5" x14ac:dyDescent="0.25">
      <c r="A1771" s="10">
        <v>44699</v>
      </c>
      <c r="B1771" s="11" t="s">
        <v>114</v>
      </c>
      <c r="C1771">
        <v>1923</v>
      </c>
      <c r="D1771" t="s">
        <v>7</v>
      </c>
      <c r="E1771" t="str">
        <f>IF(may[[#This Row],[ShiftCounter]]&gt;0, "Running", "Down")</f>
        <v>Running</v>
      </c>
    </row>
    <row r="1772" spans="1:5" x14ac:dyDescent="0.25">
      <c r="A1772" s="10">
        <v>44699</v>
      </c>
      <c r="B1772" s="11" t="s">
        <v>114</v>
      </c>
      <c r="C1772">
        <v>1676</v>
      </c>
      <c r="D1772" t="s">
        <v>8</v>
      </c>
      <c r="E1772" t="str">
        <f>IF(may[[#This Row],[ShiftCounter]]&gt;0, "Running", "Down")</f>
        <v>Running</v>
      </c>
    </row>
    <row r="1773" spans="1:5" x14ac:dyDescent="0.25">
      <c r="A1773" s="10">
        <v>44699</v>
      </c>
      <c r="B1773" s="11" t="s">
        <v>14</v>
      </c>
      <c r="C1773">
        <v>848</v>
      </c>
      <c r="D1773" t="s">
        <v>6</v>
      </c>
      <c r="E1773" t="str">
        <f>IF(may[[#This Row],[ShiftCounter]]&gt;0, "Running", "Down")</f>
        <v>Running</v>
      </c>
    </row>
    <row r="1774" spans="1:5" x14ac:dyDescent="0.25">
      <c r="A1774" s="10">
        <v>44699</v>
      </c>
      <c r="B1774" s="11" t="s">
        <v>14</v>
      </c>
      <c r="C1774">
        <v>1603</v>
      </c>
      <c r="D1774" t="s">
        <v>7</v>
      </c>
      <c r="E1774" t="str">
        <f>IF(may[[#This Row],[ShiftCounter]]&gt;0, "Running", "Down")</f>
        <v>Running</v>
      </c>
    </row>
    <row r="1775" spans="1:5" x14ac:dyDescent="0.25">
      <c r="A1775" s="10">
        <v>44699</v>
      </c>
      <c r="B1775" s="11" t="s">
        <v>14</v>
      </c>
      <c r="C1775">
        <v>1482</v>
      </c>
      <c r="D1775" t="s">
        <v>8</v>
      </c>
      <c r="E1775" t="str">
        <f>IF(may[[#This Row],[ShiftCounter]]&gt;0, "Running", "Down")</f>
        <v>Running</v>
      </c>
    </row>
    <row r="1776" spans="1:5" x14ac:dyDescent="0.25">
      <c r="A1776" s="10">
        <v>44699</v>
      </c>
      <c r="B1776" s="11" t="s">
        <v>15</v>
      </c>
      <c r="C1776">
        <v>2230</v>
      </c>
      <c r="D1776" t="s">
        <v>6</v>
      </c>
      <c r="E1776" t="str">
        <f>IF(may[[#This Row],[ShiftCounter]]&gt;0, "Running", "Down")</f>
        <v>Running</v>
      </c>
    </row>
    <row r="1777" spans="1:5" x14ac:dyDescent="0.25">
      <c r="A1777" s="10">
        <v>44699</v>
      </c>
      <c r="B1777" s="11" t="s">
        <v>15</v>
      </c>
      <c r="C1777">
        <v>2051</v>
      </c>
      <c r="D1777" t="s">
        <v>7</v>
      </c>
      <c r="E1777" t="str">
        <f>IF(may[[#This Row],[ShiftCounter]]&gt;0, "Running", "Down")</f>
        <v>Running</v>
      </c>
    </row>
    <row r="1778" spans="1:5" x14ac:dyDescent="0.25">
      <c r="A1778" s="10">
        <v>44699</v>
      </c>
      <c r="B1778" s="11" t="s">
        <v>15</v>
      </c>
      <c r="C1778">
        <v>1812</v>
      </c>
      <c r="D1778" t="s">
        <v>8</v>
      </c>
      <c r="E1778" t="str">
        <f>IF(may[[#This Row],[ShiftCounter]]&gt;0, "Running", "Down")</f>
        <v>Running</v>
      </c>
    </row>
    <row r="1779" spans="1:5" x14ac:dyDescent="0.25">
      <c r="A1779" s="10">
        <v>44699</v>
      </c>
      <c r="B1779" s="11" t="s">
        <v>16</v>
      </c>
      <c r="C1779">
        <v>2293</v>
      </c>
      <c r="D1779" t="s">
        <v>6</v>
      </c>
      <c r="E1779" t="str">
        <f>IF(may[[#This Row],[ShiftCounter]]&gt;0, "Running", "Down")</f>
        <v>Running</v>
      </c>
    </row>
    <row r="1780" spans="1:5" x14ac:dyDescent="0.25">
      <c r="A1780" s="10">
        <v>44699</v>
      </c>
      <c r="B1780" s="11" t="s">
        <v>16</v>
      </c>
      <c r="C1780">
        <v>2208</v>
      </c>
      <c r="D1780" t="s">
        <v>7</v>
      </c>
      <c r="E1780" t="str">
        <f>IF(may[[#This Row],[ShiftCounter]]&gt;0, "Running", "Down")</f>
        <v>Running</v>
      </c>
    </row>
    <row r="1781" spans="1:5" x14ac:dyDescent="0.25">
      <c r="A1781" s="10">
        <v>44699</v>
      </c>
      <c r="B1781" s="11" t="s">
        <v>16</v>
      </c>
      <c r="C1781">
        <v>1913</v>
      </c>
      <c r="D1781" t="s">
        <v>8</v>
      </c>
      <c r="E1781" t="str">
        <f>IF(may[[#This Row],[ShiftCounter]]&gt;0, "Running", "Down")</f>
        <v>Running</v>
      </c>
    </row>
    <row r="1782" spans="1:5" x14ac:dyDescent="0.25">
      <c r="A1782" s="10">
        <v>44699</v>
      </c>
      <c r="B1782" s="11" t="s">
        <v>17</v>
      </c>
      <c r="C1782">
        <v>2363</v>
      </c>
      <c r="D1782" t="s">
        <v>6</v>
      </c>
      <c r="E1782" t="str">
        <f>IF(may[[#This Row],[ShiftCounter]]&gt;0, "Running", "Down")</f>
        <v>Running</v>
      </c>
    </row>
    <row r="1783" spans="1:5" x14ac:dyDescent="0.25">
      <c r="A1783" s="10">
        <v>44699</v>
      </c>
      <c r="B1783" s="11" t="s">
        <v>17</v>
      </c>
      <c r="C1783">
        <v>2238</v>
      </c>
      <c r="D1783" t="s">
        <v>7</v>
      </c>
      <c r="E1783" t="str">
        <f>IF(may[[#This Row],[ShiftCounter]]&gt;0, "Running", "Down")</f>
        <v>Running</v>
      </c>
    </row>
    <row r="1784" spans="1:5" x14ac:dyDescent="0.25">
      <c r="A1784" s="10">
        <v>44699</v>
      </c>
      <c r="B1784" s="11" t="s">
        <v>17</v>
      </c>
      <c r="C1784">
        <v>1897</v>
      </c>
      <c r="D1784" t="s">
        <v>8</v>
      </c>
      <c r="E1784" t="str">
        <f>IF(may[[#This Row],[ShiftCounter]]&gt;0, "Running", "Down")</f>
        <v>Running</v>
      </c>
    </row>
    <row r="1785" spans="1:5" x14ac:dyDescent="0.25">
      <c r="A1785" s="10">
        <v>44699</v>
      </c>
      <c r="B1785" s="11" t="s">
        <v>19</v>
      </c>
      <c r="C1785">
        <v>2140</v>
      </c>
      <c r="D1785" t="s">
        <v>6</v>
      </c>
      <c r="E1785" t="str">
        <f>IF(may[[#This Row],[ShiftCounter]]&gt;0, "Running", "Down")</f>
        <v>Running</v>
      </c>
    </row>
    <row r="1786" spans="1:5" x14ac:dyDescent="0.25">
      <c r="A1786" s="10">
        <v>44699</v>
      </c>
      <c r="B1786" s="11" t="s">
        <v>19</v>
      </c>
      <c r="C1786">
        <v>2043</v>
      </c>
      <c r="D1786" t="s">
        <v>7</v>
      </c>
      <c r="E1786" t="str">
        <f>IF(may[[#This Row],[ShiftCounter]]&gt;0, "Running", "Down")</f>
        <v>Running</v>
      </c>
    </row>
    <row r="1787" spans="1:5" x14ac:dyDescent="0.25">
      <c r="A1787" s="10">
        <v>44699</v>
      </c>
      <c r="B1787" s="11" t="s">
        <v>19</v>
      </c>
      <c r="C1787">
        <v>1801</v>
      </c>
      <c r="D1787" t="s">
        <v>8</v>
      </c>
      <c r="E1787" t="str">
        <f>IF(may[[#This Row],[ShiftCounter]]&gt;0, "Running", "Down")</f>
        <v>Running</v>
      </c>
    </row>
    <row r="1788" spans="1:5" x14ac:dyDescent="0.25">
      <c r="A1788" s="10">
        <v>44699</v>
      </c>
      <c r="B1788" s="11" t="s">
        <v>18</v>
      </c>
      <c r="C1788">
        <v>2493</v>
      </c>
      <c r="D1788" t="s">
        <v>6</v>
      </c>
      <c r="E1788" t="str">
        <f>IF(may[[#This Row],[ShiftCounter]]&gt;0, "Running", "Down")</f>
        <v>Running</v>
      </c>
    </row>
    <row r="1789" spans="1:5" x14ac:dyDescent="0.25">
      <c r="A1789" s="10">
        <v>44699</v>
      </c>
      <c r="B1789" s="11" t="s">
        <v>18</v>
      </c>
      <c r="C1789">
        <v>1807</v>
      </c>
      <c r="D1789" t="s">
        <v>7</v>
      </c>
      <c r="E1789" t="str">
        <f>IF(may[[#This Row],[ShiftCounter]]&gt;0, "Running", "Down")</f>
        <v>Running</v>
      </c>
    </row>
    <row r="1790" spans="1:5" x14ac:dyDescent="0.25">
      <c r="A1790" s="10">
        <v>44699</v>
      </c>
      <c r="B1790" s="11" t="s">
        <v>18</v>
      </c>
      <c r="C1790">
        <v>1908</v>
      </c>
      <c r="D1790" t="s">
        <v>8</v>
      </c>
      <c r="E1790" t="str">
        <f>IF(may[[#This Row],[ShiftCounter]]&gt;0, "Running", "Down")</f>
        <v>Running</v>
      </c>
    </row>
    <row r="1791" spans="1:5" x14ac:dyDescent="0.25">
      <c r="A1791" s="10">
        <v>44699</v>
      </c>
      <c r="B1791" s="11" t="s">
        <v>20</v>
      </c>
      <c r="C1791">
        <v>2130</v>
      </c>
      <c r="D1791" t="s">
        <v>6</v>
      </c>
      <c r="E1791" t="str">
        <f>IF(may[[#This Row],[ShiftCounter]]&gt;0, "Running", "Down")</f>
        <v>Running</v>
      </c>
    </row>
    <row r="1792" spans="1:5" x14ac:dyDescent="0.25">
      <c r="A1792" s="10">
        <v>44699</v>
      </c>
      <c r="B1792" s="11" t="s">
        <v>20</v>
      </c>
      <c r="C1792">
        <v>1899</v>
      </c>
      <c r="D1792" t="s">
        <v>7</v>
      </c>
      <c r="E1792" t="str">
        <f>IF(may[[#This Row],[ShiftCounter]]&gt;0, "Running", "Down")</f>
        <v>Running</v>
      </c>
    </row>
    <row r="1793" spans="1:5" x14ac:dyDescent="0.25">
      <c r="A1793" s="10">
        <v>44699</v>
      </c>
      <c r="B1793" s="11" t="s">
        <v>20</v>
      </c>
      <c r="C1793">
        <v>1831</v>
      </c>
      <c r="D1793" t="s">
        <v>8</v>
      </c>
      <c r="E1793" t="str">
        <f>IF(may[[#This Row],[ShiftCounter]]&gt;0, "Running", "Down")</f>
        <v>Running</v>
      </c>
    </row>
    <row r="1794" spans="1:5" x14ac:dyDescent="0.25">
      <c r="A1794" s="10">
        <v>44699</v>
      </c>
      <c r="B1794" s="11" t="s">
        <v>21</v>
      </c>
      <c r="C1794">
        <v>2221</v>
      </c>
      <c r="D1794" t="s">
        <v>6</v>
      </c>
      <c r="E1794" t="str">
        <f>IF(may[[#This Row],[ShiftCounter]]&gt;0, "Running", "Down")</f>
        <v>Running</v>
      </c>
    </row>
    <row r="1795" spans="1:5" x14ac:dyDescent="0.25">
      <c r="A1795" s="10">
        <v>44699</v>
      </c>
      <c r="B1795" s="11" t="s">
        <v>21</v>
      </c>
      <c r="C1795">
        <v>1971</v>
      </c>
      <c r="D1795" t="s">
        <v>7</v>
      </c>
      <c r="E1795" t="str">
        <f>IF(may[[#This Row],[ShiftCounter]]&gt;0, "Running", "Down")</f>
        <v>Running</v>
      </c>
    </row>
    <row r="1796" spans="1:5" x14ac:dyDescent="0.25">
      <c r="A1796" s="10">
        <v>44699</v>
      </c>
      <c r="B1796" s="11" t="s">
        <v>21</v>
      </c>
      <c r="C1796">
        <v>1890</v>
      </c>
      <c r="D1796" t="s">
        <v>8</v>
      </c>
      <c r="E1796" t="str">
        <f>IF(may[[#This Row],[ShiftCounter]]&gt;0, "Running", "Down")</f>
        <v>Running</v>
      </c>
    </row>
    <row r="1797" spans="1:5" x14ac:dyDescent="0.25">
      <c r="A1797" s="10">
        <v>44699</v>
      </c>
      <c r="B1797" s="11" t="s">
        <v>22</v>
      </c>
      <c r="C1797">
        <v>2402</v>
      </c>
      <c r="D1797" t="s">
        <v>6</v>
      </c>
      <c r="E1797" t="str">
        <f>IF(may[[#This Row],[ShiftCounter]]&gt;0, "Running", "Down")</f>
        <v>Running</v>
      </c>
    </row>
    <row r="1798" spans="1:5" x14ac:dyDescent="0.25">
      <c r="A1798" s="10">
        <v>44699</v>
      </c>
      <c r="B1798" s="11" t="s">
        <v>22</v>
      </c>
      <c r="C1798">
        <v>2138</v>
      </c>
      <c r="D1798" t="s">
        <v>7</v>
      </c>
      <c r="E1798" t="str">
        <f>IF(may[[#This Row],[ShiftCounter]]&gt;0, "Running", "Down")</f>
        <v>Running</v>
      </c>
    </row>
    <row r="1799" spans="1:5" x14ac:dyDescent="0.25">
      <c r="A1799" s="10">
        <v>44699</v>
      </c>
      <c r="B1799" s="11" t="s">
        <v>22</v>
      </c>
      <c r="C1799">
        <v>2052</v>
      </c>
      <c r="D1799" t="s">
        <v>8</v>
      </c>
      <c r="E1799" t="str">
        <f>IF(may[[#This Row],[ShiftCounter]]&gt;0, "Running", "Down")</f>
        <v>Running</v>
      </c>
    </row>
    <row r="1800" spans="1:5" x14ac:dyDescent="0.25">
      <c r="A1800" s="10">
        <v>44699</v>
      </c>
      <c r="B1800" s="11" t="s">
        <v>23</v>
      </c>
      <c r="C1800">
        <v>2519</v>
      </c>
      <c r="D1800" t="s">
        <v>6</v>
      </c>
      <c r="E1800" t="str">
        <f>IF(may[[#This Row],[ShiftCounter]]&gt;0, "Running", "Down")</f>
        <v>Running</v>
      </c>
    </row>
    <row r="1801" spans="1:5" x14ac:dyDescent="0.25">
      <c r="A1801" s="10">
        <v>44699</v>
      </c>
      <c r="B1801" s="11" t="s">
        <v>23</v>
      </c>
      <c r="C1801">
        <v>2261</v>
      </c>
      <c r="D1801" t="s">
        <v>7</v>
      </c>
      <c r="E1801" t="str">
        <f>IF(may[[#This Row],[ShiftCounter]]&gt;0, "Running", "Down")</f>
        <v>Running</v>
      </c>
    </row>
    <row r="1802" spans="1:5" x14ac:dyDescent="0.25">
      <c r="A1802" s="10">
        <v>44699</v>
      </c>
      <c r="B1802" s="11" t="s">
        <v>23</v>
      </c>
      <c r="C1802">
        <v>2136</v>
      </c>
      <c r="D1802" t="s">
        <v>8</v>
      </c>
      <c r="E1802" t="str">
        <f>IF(may[[#This Row],[ShiftCounter]]&gt;0, "Running", "Down")</f>
        <v>Running</v>
      </c>
    </row>
    <row r="1803" spans="1:5" x14ac:dyDescent="0.25">
      <c r="A1803" s="10">
        <v>44699</v>
      </c>
      <c r="B1803" s="11" t="s">
        <v>24</v>
      </c>
      <c r="C1803">
        <v>2273</v>
      </c>
      <c r="D1803" t="s">
        <v>6</v>
      </c>
      <c r="E1803" t="str">
        <f>IF(may[[#This Row],[ShiftCounter]]&gt;0, "Running", "Down")</f>
        <v>Running</v>
      </c>
    </row>
    <row r="1804" spans="1:5" x14ac:dyDescent="0.25">
      <c r="A1804" s="10">
        <v>44699</v>
      </c>
      <c r="B1804" s="11" t="s">
        <v>24</v>
      </c>
      <c r="C1804">
        <v>1937</v>
      </c>
      <c r="D1804" t="s">
        <v>7</v>
      </c>
      <c r="E1804" t="str">
        <f>IF(may[[#This Row],[ShiftCounter]]&gt;0, "Running", "Down")</f>
        <v>Running</v>
      </c>
    </row>
    <row r="1805" spans="1:5" x14ac:dyDescent="0.25">
      <c r="A1805" s="10">
        <v>44699</v>
      </c>
      <c r="B1805" s="11" t="s">
        <v>24</v>
      </c>
      <c r="C1805">
        <v>1867</v>
      </c>
      <c r="D1805" t="s">
        <v>8</v>
      </c>
      <c r="E1805" t="str">
        <f>IF(may[[#This Row],[ShiftCounter]]&gt;0, "Running", "Down")</f>
        <v>Running</v>
      </c>
    </row>
    <row r="1806" spans="1:5" x14ac:dyDescent="0.25">
      <c r="A1806" s="10">
        <v>44699</v>
      </c>
      <c r="B1806" s="11" t="s">
        <v>25</v>
      </c>
      <c r="C1806">
        <v>222</v>
      </c>
      <c r="D1806" t="s">
        <v>6</v>
      </c>
      <c r="E1806" t="str">
        <f>IF(may[[#This Row],[ShiftCounter]]&gt;0, "Running", "Down")</f>
        <v>Running</v>
      </c>
    </row>
    <row r="1807" spans="1:5" x14ac:dyDescent="0.25">
      <c r="A1807" s="10">
        <v>44699</v>
      </c>
      <c r="B1807" s="11" t="s">
        <v>25</v>
      </c>
      <c r="C1807">
        <v>2134</v>
      </c>
      <c r="D1807" t="s">
        <v>7</v>
      </c>
      <c r="E1807" t="str">
        <f>IF(may[[#This Row],[ShiftCounter]]&gt;0, "Running", "Down")</f>
        <v>Running</v>
      </c>
    </row>
    <row r="1808" spans="1:5" x14ac:dyDescent="0.25">
      <c r="A1808" s="10">
        <v>44699</v>
      </c>
      <c r="B1808" s="11" t="s">
        <v>25</v>
      </c>
      <c r="C1808">
        <v>2176</v>
      </c>
      <c r="D1808" t="s">
        <v>8</v>
      </c>
      <c r="E1808" t="str">
        <f>IF(may[[#This Row],[ShiftCounter]]&gt;0, "Running", "Down")</f>
        <v>Running</v>
      </c>
    </row>
    <row r="1809" spans="1:5" x14ac:dyDescent="0.25">
      <c r="A1809" s="10">
        <v>44699</v>
      </c>
      <c r="B1809" s="11" t="s">
        <v>26</v>
      </c>
      <c r="C1809">
        <v>2216</v>
      </c>
      <c r="D1809" t="s">
        <v>6</v>
      </c>
      <c r="E1809" t="str">
        <f>IF(may[[#This Row],[ShiftCounter]]&gt;0, "Running", "Down")</f>
        <v>Running</v>
      </c>
    </row>
    <row r="1810" spans="1:5" x14ac:dyDescent="0.25">
      <c r="A1810" s="10">
        <v>44699</v>
      </c>
      <c r="B1810" s="11" t="s">
        <v>26</v>
      </c>
      <c r="C1810">
        <v>2167</v>
      </c>
      <c r="D1810" t="s">
        <v>7</v>
      </c>
      <c r="E1810" t="str">
        <f>IF(may[[#This Row],[ShiftCounter]]&gt;0, "Running", "Down")</f>
        <v>Running</v>
      </c>
    </row>
    <row r="1811" spans="1:5" x14ac:dyDescent="0.25">
      <c r="A1811" s="10">
        <v>44699</v>
      </c>
      <c r="B1811" s="11" t="s">
        <v>26</v>
      </c>
      <c r="C1811">
        <v>2031</v>
      </c>
      <c r="D1811" t="s">
        <v>8</v>
      </c>
      <c r="E1811" t="str">
        <f>IF(may[[#This Row],[ShiftCounter]]&gt;0, "Running", "Down")</f>
        <v>Running</v>
      </c>
    </row>
    <row r="1812" spans="1:5" x14ac:dyDescent="0.25">
      <c r="A1812" s="10">
        <v>44699</v>
      </c>
      <c r="B1812" s="11" t="s">
        <v>27</v>
      </c>
      <c r="C1812">
        <v>2345</v>
      </c>
      <c r="D1812" t="s">
        <v>6</v>
      </c>
      <c r="E1812" t="str">
        <f>IF(may[[#This Row],[ShiftCounter]]&gt;0, "Running", "Down")</f>
        <v>Running</v>
      </c>
    </row>
    <row r="1813" spans="1:5" x14ac:dyDescent="0.25">
      <c r="A1813" s="10">
        <v>44699</v>
      </c>
      <c r="B1813" s="11" t="s">
        <v>27</v>
      </c>
      <c r="C1813">
        <v>2261</v>
      </c>
      <c r="D1813" t="s">
        <v>7</v>
      </c>
      <c r="E1813" t="str">
        <f>IF(may[[#This Row],[ShiftCounter]]&gt;0, "Running", "Down")</f>
        <v>Running</v>
      </c>
    </row>
    <row r="1814" spans="1:5" x14ac:dyDescent="0.25">
      <c r="A1814" s="10">
        <v>44699</v>
      </c>
      <c r="B1814" s="11" t="s">
        <v>27</v>
      </c>
      <c r="C1814">
        <v>2281</v>
      </c>
      <c r="D1814" t="s">
        <v>8</v>
      </c>
      <c r="E1814" t="str">
        <f>IF(may[[#This Row],[ShiftCounter]]&gt;0, "Running", "Down")</f>
        <v>Running</v>
      </c>
    </row>
    <row r="1815" spans="1:5" x14ac:dyDescent="0.25">
      <c r="A1815" s="10">
        <v>44699</v>
      </c>
      <c r="B1815" s="11" t="s">
        <v>28</v>
      </c>
      <c r="C1815">
        <v>2175</v>
      </c>
      <c r="D1815" t="s">
        <v>6</v>
      </c>
      <c r="E1815" t="str">
        <f>IF(may[[#This Row],[ShiftCounter]]&gt;0, "Running", "Down")</f>
        <v>Running</v>
      </c>
    </row>
    <row r="1816" spans="1:5" x14ac:dyDescent="0.25">
      <c r="A1816" s="10">
        <v>44699</v>
      </c>
      <c r="B1816" s="11" t="s">
        <v>28</v>
      </c>
      <c r="C1816">
        <v>2127</v>
      </c>
      <c r="D1816" t="s">
        <v>7</v>
      </c>
      <c r="E1816" t="str">
        <f>IF(may[[#This Row],[ShiftCounter]]&gt;0, "Running", "Down")</f>
        <v>Running</v>
      </c>
    </row>
    <row r="1817" spans="1:5" x14ac:dyDescent="0.25">
      <c r="A1817" s="10">
        <v>44699</v>
      </c>
      <c r="B1817" s="11" t="s">
        <v>28</v>
      </c>
      <c r="C1817">
        <v>2060</v>
      </c>
      <c r="D1817" t="s">
        <v>8</v>
      </c>
      <c r="E1817" t="str">
        <f>IF(may[[#This Row],[ShiftCounter]]&gt;0, "Running", "Down")</f>
        <v>Running</v>
      </c>
    </row>
    <row r="1818" spans="1:5" x14ac:dyDescent="0.25">
      <c r="A1818" s="10">
        <v>44699</v>
      </c>
      <c r="B1818" s="11" t="s">
        <v>29</v>
      </c>
      <c r="C1818">
        <v>2087</v>
      </c>
      <c r="D1818" t="s">
        <v>6</v>
      </c>
      <c r="E1818" t="str">
        <f>IF(may[[#This Row],[ShiftCounter]]&gt;0, "Running", "Down")</f>
        <v>Running</v>
      </c>
    </row>
    <row r="1819" spans="1:5" x14ac:dyDescent="0.25">
      <c r="A1819" s="10">
        <v>44699</v>
      </c>
      <c r="B1819" s="11" t="s">
        <v>29</v>
      </c>
      <c r="C1819">
        <v>2022</v>
      </c>
      <c r="D1819" t="s">
        <v>7</v>
      </c>
      <c r="E1819" t="str">
        <f>IF(may[[#This Row],[ShiftCounter]]&gt;0, "Running", "Down")</f>
        <v>Running</v>
      </c>
    </row>
    <row r="1820" spans="1:5" x14ac:dyDescent="0.25">
      <c r="A1820" s="10">
        <v>44699</v>
      </c>
      <c r="B1820" s="11" t="s">
        <v>29</v>
      </c>
      <c r="C1820">
        <v>1962</v>
      </c>
      <c r="D1820" t="s">
        <v>8</v>
      </c>
      <c r="E1820" t="str">
        <f>IF(may[[#This Row],[ShiftCounter]]&gt;0, "Running", "Down")</f>
        <v>Running</v>
      </c>
    </row>
    <row r="1821" spans="1:5" x14ac:dyDescent="0.25">
      <c r="A1821" s="10">
        <v>44699</v>
      </c>
      <c r="B1821" s="11" t="s">
        <v>30</v>
      </c>
      <c r="C1821">
        <v>2265</v>
      </c>
      <c r="D1821" t="s">
        <v>6</v>
      </c>
      <c r="E1821" t="str">
        <f>IF(may[[#This Row],[ShiftCounter]]&gt;0, "Running", "Down")</f>
        <v>Running</v>
      </c>
    </row>
    <row r="1822" spans="1:5" x14ac:dyDescent="0.25">
      <c r="A1822" s="10">
        <v>44699</v>
      </c>
      <c r="B1822" s="11" t="s">
        <v>30</v>
      </c>
      <c r="C1822">
        <v>2324</v>
      </c>
      <c r="D1822" t="s">
        <v>7</v>
      </c>
      <c r="E1822" t="str">
        <f>IF(may[[#This Row],[ShiftCounter]]&gt;0, "Running", "Down")</f>
        <v>Running</v>
      </c>
    </row>
    <row r="1823" spans="1:5" x14ac:dyDescent="0.25">
      <c r="A1823" s="10">
        <v>44699</v>
      </c>
      <c r="B1823" s="11" t="s">
        <v>30</v>
      </c>
      <c r="C1823">
        <v>2181</v>
      </c>
      <c r="D1823" t="s">
        <v>8</v>
      </c>
      <c r="E1823" t="str">
        <f>IF(may[[#This Row],[ShiftCounter]]&gt;0, "Running", "Down")</f>
        <v>Running</v>
      </c>
    </row>
    <row r="1824" spans="1:5" x14ac:dyDescent="0.25">
      <c r="A1824" s="10">
        <v>44699</v>
      </c>
      <c r="B1824" s="11" t="s">
        <v>31</v>
      </c>
      <c r="C1824">
        <v>2163</v>
      </c>
      <c r="D1824" t="s">
        <v>6</v>
      </c>
      <c r="E1824" t="str">
        <f>IF(may[[#This Row],[ShiftCounter]]&gt;0, "Running", "Down")</f>
        <v>Running</v>
      </c>
    </row>
    <row r="1825" spans="1:5" x14ac:dyDescent="0.25">
      <c r="A1825" s="10">
        <v>44699</v>
      </c>
      <c r="B1825" s="11" t="s">
        <v>31</v>
      </c>
      <c r="C1825">
        <v>2213</v>
      </c>
      <c r="D1825" t="s">
        <v>7</v>
      </c>
      <c r="E1825" t="str">
        <f>IF(may[[#This Row],[ShiftCounter]]&gt;0, "Running", "Down")</f>
        <v>Running</v>
      </c>
    </row>
    <row r="1826" spans="1:5" x14ac:dyDescent="0.25">
      <c r="A1826" s="10">
        <v>44699</v>
      </c>
      <c r="B1826" s="11" t="s">
        <v>31</v>
      </c>
      <c r="C1826">
        <v>1980</v>
      </c>
      <c r="D1826" t="s">
        <v>8</v>
      </c>
      <c r="E1826" t="str">
        <f>IF(may[[#This Row],[ShiftCounter]]&gt;0, "Running", "Down")</f>
        <v>Running</v>
      </c>
    </row>
    <row r="1827" spans="1:5" x14ac:dyDescent="0.25">
      <c r="A1827" s="10">
        <v>44699</v>
      </c>
      <c r="B1827" s="11" t="s">
        <v>32</v>
      </c>
      <c r="C1827">
        <v>2254</v>
      </c>
      <c r="D1827" t="s">
        <v>6</v>
      </c>
      <c r="E1827" t="str">
        <f>IF(may[[#This Row],[ShiftCounter]]&gt;0, "Running", "Down")</f>
        <v>Running</v>
      </c>
    </row>
    <row r="1828" spans="1:5" x14ac:dyDescent="0.25">
      <c r="A1828" s="10">
        <v>44699</v>
      </c>
      <c r="B1828" s="11" t="s">
        <v>32</v>
      </c>
      <c r="C1828">
        <v>2118</v>
      </c>
      <c r="D1828" t="s">
        <v>7</v>
      </c>
      <c r="E1828" t="str">
        <f>IF(may[[#This Row],[ShiftCounter]]&gt;0, "Running", "Down")</f>
        <v>Running</v>
      </c>
    </row>
    <row r="1829" spans="1:5" x14ac:dyDescent="0.25">
      <c r="A1829" s="10">
        <v>44699</v>
      </c>
      <c r="B1829" s="11" t="s">
        <v>32</v>
      </c>
      <c r="C1829">
        <v>2052</v>
      </c>
      <c r="D1829" t="s">
        <v>8</v>
      </c>
      <c r="E1829" t="str">
        <f>IF(may[[#This Row],[ShiftCounter]]&gt;0, "Running", "Down")</f>
        <v>Running</v>
      </c>
    </row>
    <row r="1830" spans="1:5" x14ac:dyDescent="0.25">
      <c r="A1830" s="10">
        <v>44699</v>
      </c>
      <c r="B1830" s="11" t="s">
        <v>33</v>
      </c>
      <c r="C1830">
        <v>2407</v>
      </c>
      <c r="D1830" t="s">
        <v>6</v>
      </c>
      <c r="E1830" t="str">
        <f>IF(may[[#This Row],[ShiftCounter]]&gt;0, "Running", "Down")</f>
        <v>Running</v>
      </c>
    </row>
    <row r="1831" spans="1:5" x14ac:dyDescent="0.25">
      <c r="A1831" s="10">
        <v>44699</v>
      </c>
      <c r="B1831" s="11" t="s">
        <v>33</v>
      </c>
      <c r="C1831">
        <v>2395</v>
      </c>
      <c r="D1831" t="s">
        <v>7</v>
      </c>
      <c r="E1831" t="str">
        <f>IF(may[[#This Row],[ShiftCounter]]&gt;0, "Running", "Down")</f>
        <v>Running</v>
      </c>
    </row>
    <row r="1832" spans="1:5" x14ac:dyDescent="0.25">
      <c r="A1832" s="10">
        <v>44699</v>
      </c>
      <c r="B1832" s="11" t="s">
        <v>33</v>
      </c>
      <c r="C1832">
        <v>2188</v>
      </c>
      <c r="D1832" t="s">
        <v>8</v>
      </c>
      <c r="E1832" t="str">
        <f>IF(may[[#This Row],[ShiftCounter]]&gt;0, "Running", "Down")</f>
        <v>Running</v>
      </c>
    </row>
    <row r="1833" spans="1:5" x14ac:dyDescent="0.25">
      <c r="A1833" s="10">
        <v>44699</v>
      </c>
      <c r="B1833" s="11" t="s">
        <v>34</v>
      </c>
      <c r="C1833">
        <v>2003</v>
      </c>
      <c r="D1833" t="s">
        <v>6</v>
      </c>
      <c r="E1833" t="str">
        <f>IF(may[[#This Row],[ShiftCounter]]&gt;0, "Running", "Down")</f>
        <v>Running</v>
      </c>
    </row>
    <row r="1834" spans="1:5" x14ac:dyDescent="0.25">
      <c r="A1834" s="10">
        <v>44699</v>
      </c>
      <c r="B1834" s="11" t="s">
        <v>34</v>
      </c>
      <c r="C1834">
        <v>2034</v>
      </c>
      <c r="D1834" t="s">
        <v>7</v>
      </c>
      <c r="E1834" t="str">
        <f>IF(may[[#This Row],[ShiftCounter]]&gt;0, "Running", "Down")</f>
        <v>Running</v>
      </c>
    </row>
    <row r="1835" spans="1:5" x14ac:dyDescent="0.25">
      <c r="A1835" s="10">
        <v>44699</v>
      </c>
      <c r="B1835" s="11" t="s">
        <v>34</v>
      </c>
      <c r="C1835">
        <v>1875</v>
      </c>
      <c r="D1835" t="s">
        <v>8</v>
      </c>
      <c r="E1835" t="str">
        <f>IF(may[[#This Row],[ShiftCounter]]&gt;0, "Running", "Down")</f>
        <v>Running</v>
      </c>
    </row>
    <row r="1836" spans="1:5" x14ac:dyDescent="0.25">
      <c r="A1836" s="10">
        <v>44699</v>
      </c>
      <c r="B1836" s="11" t="s">
        <v>36</v>
      </c>
      <c r="C1836">
        <v>200</v>
      </c>
      <c r="D1836" t="s">
        <v>6</v>
      </c>
      <c r="E1836" t="str">
        <f>IF(may[[#This Row],[ShiftCounter]]&gt;0, "Running", "Down")</f>
        <v>Running</v>
      </c>
    </row>
    <row r="1837" spans="1:5" x14ac:dyDescent="0.25">
      <c r="A1837" s="10">
        <v>44699</v>
      </c>
      <c r="B1837" s="11" t="s">
        <v>36</v>
      </c>
      <c r="C1837">
        <v>2270</v>
      </c>
      <c r="D1837" t="s">
        <v>7</v>
      </c>
      <c r="E1837" t="str">
        <f>IF(may[[#This Row],[ShiftCounter]]&gt;0, "Running", "Down")</f>
        <v>Running</v>
      </c>
    </row>
    <row r="1838" spans="1:5" x14ac:dyDescent="0.25">
      <c r="A1838" s="10">
        <v>44699</v>
      </c>
      <c r="B1838" s="11" t="s">
        <v>36</v>
      </c>
      <c r="C1838">
        <v>2110</v>
      </c>
      <c r="D1838" t="s">
        <v>8</v>
      </c>
      <c r="E1838" t="str">
        <f>IF(may[[#This Row],[ShiftCounter]]&gt;0, "Running", "Down")</f>
        <v>Running</v>
      </c>
    </row>
    <row r="1839" spans="1:5" x14ac:dyDescent="0.25">
      <c r="A1839" s="10">
        <v>44699</v>
      </c>
      <c r="B1839" s="11" t="s">
        <v>37</v>
      </c>
      <c r="C1839">
        <v>1824</v>
      </c>
      <c r="D1839" t="s">
        <v>6</v>
      </c>
      <c r="E1839" t="str">
        <f>IF(may[[#This Row],[ShiftCounter]]&gt;0, "Running", "Down")</f>
        <v>Running</v>
      </c>
    </row>
    <row r="1840" spans="1:5" x14ac:dyDescent="0.25">
      <c r="A1840" s="10">
        <v>44699</v>
      </c>
      <c r="B1840" s="11" t="s">
        <v>37</v>
      </c>
      <c r="C1840">
        <v>2354</v>
      </c>
      <c r="D1840" t="s">
        <v>7</v>
      </c>
      <c r="E1840" t="str">
        <f>IF(may[[#This Row],[ShiftCounter]]&gt;0, "Running", "Down")</f>
        <v>Running</v>
      </c>
    </row>
    <row r="1841" spans="1:5" x14ac:dyDescent="0.25">
      <c r="A1841" s="10">
        <v>44699</v>
      </c>
      <c r="B1841" s="11" t="s">
        <v>37</v>
      </c>
      <c r="C1841">
        <v>2171</v>
      </c>
      <c r="D1841" t="s">
        <v>8</v>
      </c>
      <c r="E1841" t="str">
        <f>IF(may[[#This Row],[ShiftCounter]]&gt;0, "Running", "Down")</f>
        <v>Running</v>
      </c>
    </row>
    <row r="1842" spans="1:5" x14ac:dyDescent="0.25">
      <c r="A1842" s="10">
        <v>44700</v>
      </c>
      <c r="B1842" s="11" t="s">
        <v>40</v>
      </c>
      <c r="C1842">
        <v>2455</v>
      </c>
      <c r="D1842" t="s">
        <v>6</v>
      </c>
      <c r="E1842" t="str">
        <f>IF(may[[#This Row],[ShiftCounter]]&gt;0, "Running", "Down")</f>
        <v>Running</v>
      </c>
    </row>
    <row r="1843" spans="1:5" x14ac:dyDescent="0.25">
      <c r="A1843" s="10">
        <v>44700</v>
      </c>
      <c r="B1843" s="11" t="s">
        <v>40</v>
      </c>
      <c r="C1843">
        <v>2323</v>
      </c>
      <c r="D1843" t="s">
        <v>7</v>
      </c>
      <c r="E1843" t="str">
        <f>IF(may[[#This Row],[ShiftCounter]]&gt;0, "Running", "Down")</f>
        <v>Running</v>
      </c>
    </row>
    <row r="1844" spans="1:5" x14ac:dyDescent="0.25">
      <c r="A1844" s="10">
        <v>44700</v>
      </c>
      <c r="B1844" s="11" t="s">
        <v>40</v>
      </c>
      <c r="C1844">
        <v>2148</v>
      </c>
      <c r="D1844" t="s">
        <v>8</v>
      </c>
      <c r="E1844" t="str">
        <f>IF(may[[#This Row],[ShiftCounter]]&gt;0, "Running", "Down")</f>
        <v>Running</v>
      </c>
    </row>
    <row r="1845" spans="1:5" x14ac:dyDescent="0.25">
      <c r="A1845" s="10">
        <v>44700</v>
      </c>
      <c r="B1845" s="11" t="s">
        <v>39</v>
      </c>
      <c r="C1845">
        <v>2160</v>
      </c>
      <c r="D1845" t="s">
        <v>6</v>
      </c>
      <c r="E1845" t="str">
        <f>IF(may[[#This Row],[ShiftCounter]]&gt;0, "Running", "Down")</f>
        <v>Running</v>
      </c>
    </row>
    <row r="1846" spans="1:5" x14ac:dyDescent="0.25">
      <c r="A1846" s="10">
        <v>44700</v>
      </c>
      <c r="B1846" s="11" t="s">
        <v>39</v>
      </c>
      <c r="C1846">
        <v>2046</v>
      </c>
      <c r="D1846" t="s">
        <v>7</v>
      </c>
      <c r="E1846" t="str">
        <f>IF(may[[#This Row],[ShiftCounter]]&gt;0, "Running", "Down")</f>
        <v>Running</v>
      </c>
    </row>
    <row r="1847" spans="1:5" x14ac:dyDescent="0.25">
      <c r="A1847" s="10">
        <v>44700</v>
      </c>
      <c r="B1847" s="11" t="s">
        <v>39</v>
      </c>
      <c r="C1847">
        <v>1881</v>
      </c>
      <c r="D1847" t="s">
        <v>8</v>
      </c>
      <c r="E1847" t="str">
        <f>IF(may[[#This Row],[ShiftCounter]]&gt;0, "Running", "Down")</f>
        <v>Running</v>
      </c>
    </row>
    <row r="1848" spans="1:5" x14ac:dyDescent="0.25">
      <c r="A1848" s="10">
        <v>44700</v>
      </c>
      <c r="B1848" s="11" t="s">
        <v>41</v>
      </c>
      <c r="C1848">
        <v>2454</v>
      </c>
      <c r="D1848" t="s">
        <v>6</v>
      </c>
      <c r="E1848" t="str">
        <f>IF(may[[#This Row],[ShiftCounter]]&gt;0, "Running", "Down")</f>
        <v>Running</v>
      </c>
    </row>
    <row r="1849" spans="1:5" x14ac:dyDescent="0.25">
      <c r="A1849" s="10">
        <v>44700</v>
      </c>
      <c r="B1849" s="11" t="s">
        <v>41</v>
      </c>
      <c r="C1849">
        <v>2328</v>
      </c>
      <c r="D1849" t="s">
        <v>7</v>
      </c>
      <c r="E1849" t="str">
        <f>IF(may[[#This Row],[ShiftCounter]]&gt;0, "Running", "Down")</f>
        <v>Running</v>
      </c>
    </row>
    <row r="1850" spans="1:5" x14ac:dyDescent="0.25">
      <c r="A1850" s="10">
        <v>44700</v>
      </c>
      <c r="B1850" s="11" t="s">
        <v>41</v>
      </c>
      <c r="C1850">
        <v>2127</v>
      </c>
      <c r="D1850" t="s">
        <v>8</v>
      </c>
      <c r="E1850" t="str">
        <f>IF(may[[#This Row],[ShiftCounter]]&gt;0, "Running", "Down")</f>
        <v>Running</v>
      </c>
    </row>
    <row r="1851" spans="1:5" x14ac:dyDescent="0.25">
      <c r="A1851" s="10">
        <v>44700</v>
      </c>
      <c r="B1851" s="11" t="s">
        <v>5</v>
      </c>
      <c r="C1851">
        <v>2518</v>
      </c>
      <c r="D1851" t="s">
        <v>6</v>
      </c>
      <c r="E1851" t="str">
        <f>IF(may[[#This Row],[ShiftCounter]]&gt;0, "Running", "Down")</f>
        <v>Running</v>
      </c>
    </row>
    <row r="1852" spans="1:5" x14ac:dyDescent="0.25">
      <c r="A1852" s="10">
        <v>44700</v>
      </c>
      <c r="B1852" s="11" t="s">
        <v>5</v>
      </c>
      <c r="C1852">
        <v>2342</v>
      </c>
      <c r="D1852" t="s">
        <v>7</v>
      </c>
      <c r="E1852" t="str">
        <f>IF(may[[#This Row],[ShiftCounter]]&gt;0, "Running", "Down")</f>
        <v>Running</v>
      </c>
    </row>
    <row r="1853" spans="1:5" x14ac:dyDescent="0.25">
      <c r="A1853" s="10">
        <v>44700</v>
      </c>
      <c r="B1853" s="11" t="s">
        <v>5</v>
      </c>
      <c r="C1853">
        <v>2052</v>
      </c>
      <c r="D1853" t="s">
        <v>8</v>
      </c>
      <c r="E1853" t="str">
        <f>IF(may[[#This Row],[ShiftCounter]]&gt;0, "Running", "Down")</f>
        <v>Running</v>
      </c>
    </row>
    <row r="1854" spans="1:5" x14ac:dyDescent="0.25">
      <c r="A1854" s="10">
        <v>44700</v>
      </c>
      <c r="B1854" s="11" t="s">
        <v>9</v>
      </c>
      <c r="C1854">
        <v>2485</v>
      </c>
      <c r="D1854" t="s">
        <v>6</v>
      </c>
      <c r="E1854" t="str">
        <f>IF(may[[#This Row],[ShiftCounter]]&gt;0, "Running", "Down")</f>
        <v>Running</v>
      </c>
    </row>
    <row r="1855" spans="1:5" x14ac:dyDescent="0.25">
      <c r="A1855" s="10">
        <v>44700</v>
      </c>
      <c r="B1855" s="11" t="s">
        <v>9</v>
      </c>
      <c r="C1855">
        <v>2327</v>
      </c>
      <c r="D1855" t="s">
        <v>7</v>
      </c>
      <c r="E1855" t="str">
        <f>IF(may[[#This Row],[ShiftCounter]]&gt;0, "Running", "Down")</f>
        <v>Running</v>
      </c>
    </row>
    <row r="1856" spans="1:5" x14ac:dyDescent="0.25">
      <c r="A1856" s="10">
        <v>44700</v>
      </c>
      <c r="B1856" s="11" t="s">
        <v>9</v>
      </c>
      <c r="C1856">
        <v>2096</v>
      </c>
      <c r="D1856" t="s">
        <v>8</v>
      </c>
      <c r="E1856" t="str">
        <f>IF(may[[#This Row],[ShiftCounter]]&gt;0, "Running", "Down")</f>
        <v>Running</v>
      </c>
    </row>
    <row r="1857" spans="1:5" x14ac:dyDescent="0.25">
      <c r="A1857" s="10">
        <v>44700</v>
      </c>
      <c r="B1857" s="11" t="s">
        <v>10</v>
      </c>
      <c r="C1857">
        <v>1822</v>
      </c>
      <c r="D1857" t="s">
        <v>6</v>
      </c>
      <c r="E1857" t="str">
        <f>IF(may[[#This Row],[ShiftCounter]]&gt;0, "Running", "Down")</f>
        <v>Running</v>
      </c>
    </row>
    <row r="1858" spans="1:5" x14ac:dyDescent="0.25">
      <c r="A1858" s="10">
        <v>44700</v>
      </c>
      <c r="B1858" s="11" t="s">
        <v>10</v>
      </c>
      <c r="C1858">
        <v>2024</v>
      </c>
      <c r="D1858" t="s">
        <v>7</v>
      </c>
      <c r="E1858" t="str">
        <f>IF(may[[#This Row],[ShiftCounter]]&gt;0, "Running", "Down")</f>
        <v>Running</v>
      </c>
    </row>
    <row r="1859" spans="1:5" x14ac:dyDescent="0.25">
      <c r="A1859" s="10">
        <v>44700</v>
      </c>
      <c r="B1859" s="11" t="s">
        <v>10</v>
      </c>
      <c r="C1859">
        <v>2186</v>
      </c>
      <c r="D1859" t="s">
        <v>8</v>
      </c>
      <c r="E1859" t="str">
        <f>IF(may[[#This Row],[ShiftCounter]]&gt;0, "Running", "Down")</f>
        <v>Running</v>
      </c>
    </row>
    <row r="1860" spans="1:5" x14ac:dyDescent="0.25">
      <c r="A1860" s="10">
        <v>44700</v>
      </c>
      <c r="B1860" s="11" t="s">
        <v>12</v>
      </c>
      <c r="C1860">
        <v>1616</v>
      </c>
      <c r="D1860" t="s">
        <v>6</v>
      </c>
      <c r="E1860" t="str">
        <f>IF(may[[#This Row],[ShiftCounter]]&gt;0, "Running", "Down")</f>
        <v>Running</v>
      </c>
    </row>
    <row r="1861" spans="1:5" x14ac:dyDescent="0.25">
      <c r="A1861" s="10">
        <v>44700</v>
      </c>
      <c r="B1861" s="11" t="s">
        <v>12</v>
      </c>
      <c r="C1861">
        <v>2120</v>
      </c>
      <c r="D1861" t="s">
        <v>7</v>
      </c>
      <c r="E1861" t="str">
        <f>IF(may[[#This Row],[ShiftCounter]]&gt;0, "Running", "Down")</f>
        <v>Running</v>
      </c>
    </row>
    <row r="1862" spans="1:5" x14ac:dyDescent="0.25">
      <c r="A1862" s="10">
        <v>44700</v>
      </c>
      <c r="B1862" s="11" t="s">
        <v>12</v>
      </c>
      <c r="C1862">
        <v>1972</v>
      </c>
      <c r="D1862" t="s">
        <v>8</v>
      </c>
      <c r="E1862" t="str">
        <f>IF(may[[#This Row],[ShiftCounter]]&gt;0, "Running", "Down")</f>
        <v>Running</v>
      </c>
    </row>
    <row r="1863" spans="1:5" x14ac:dyDescent="0.25">
      <c r="A1863" s="10">
        <v>44700</v>
      </c>
      <c r="B1863" s="11" t="s">
        <v>120</v>
      </c>
      <c r="C1863">
        <v>2272</v>
      </c>
      <c r="D1863" t="s">
        <v>6</v>
      </c>
      <c r="E1863" t="str">
        <f>IF(may[[#This Row],[ShiftCounter]]&gt;0, "Running", "Down")</f>
        <v>Running</v>
      </c>
    </row>
    <row r="1864" spans="1:5" x14ac:dyDescent="0.25">
      <c r="A1864" s="10">
        <v>44700</v>
      </c>
      <c r="B1864" s="11" t="s">
        <v>120</v>
      </c>
      <c r="C1864">
        <v>2123</v>
      </c>
      <c r="D1864" t="s">
        <v>7</v>
      </c>
      <c r="E1864" t="str">
        <f>IF(may[[#This Row],[ShiftCounter]]&gt;0, "Running", "Down")</f>
        <v>Running</v>
      </c>
    </row>
    <row r="1865" spans="1:5" x14ac:dyDescent="0.25">
      <c r="A1865" s="10">
        <v>44700</v>
      </c>
      <c r="B1865" s="11" t="s">
        <v>120</v>
      </c>
      <c r="C1865">
        <v>1997</v>
      </c>
      <c r="D1865" t="s">
        <v>8</v>
      </c>
      <c r="E1865" t="str">
        <f>IF(may[[#This Row],[ShiftCounter]]&gt;0, "Running", "Down")</f>
        <v>Running</v>
      </c>
    </row>
    <row r="1866" spans="1:5" x14ac:dyDescent="0.25">
      <c r="A1866" s="10">
        <v>44700</v>
      </c>
      <c r="B1866" s="11" t="s">
        <v>13</v>
      </c>
      <c r="C1866">
        <v>2337</v>
      </c>
      <c r="D1866" t="s">
        <v>6</v>
      </c>
      <c r="E1866" t="str">
        <f>IF(may[[#This Row],[ShiftCounter]]&gt;0, "Running", "Down")</f>
        <v>Running</v>
      </c>
    </row>
    <row r="1867" spans="1:5" x14ac:dyDescent="0.25">
      <c r="A1867" s="10">
        <v>44700</v>
      </c>
      <c r="B1867" s="11" t="s">
        <v>13</v>
      </c>
      <c r="C1867">
        <v>2227</v>
      </c>
      <c r="D1867" t="s">
        <v>7</v>
      </c>
      <c r="E1867" t="str">
        <f>IF(may[[#This Row],[ShiftCounter]]&gt;0, "Running", "Down")</f>
        <v>Running</v>
      </c>
    </row>
    <row r="1868" spans="1:5" x14ac:dyDescent="0.25">
      <c r="A1868" s="10">
        <v>44700</v>
      </c>
      <c r="B1868" s="11" t="s">
        <v>13</v>
      </c>
      <c r="C1868">
        <v>2006</v>
      </c>
      <c r="D1868" t="s">
        <v>8</v>
      </c>
      <c r="E1868" t="str">
        <f>IF(may[[#This Row],[ShiftCounter]]&gt;0, "Running", "Down")</f>
        <v>Running</v>
      </c>
    </row>
    <row r="1869" spans="1:5" x14ac:dyDescent="0.25">
      <c r="A1869" s="10">
        <v>44700</v>
      </c>
      <c r="B1869" s="11" t="s">
        <v>114</v>
      </c>
      <c r="C1869">
        <v>2043</v>
      </c>
      <c r="D1869" t="s">
        <v>6</v>
      </c>
      <c r="E1869" t="str">
        <f>IF(may[[#This Row],[ShiftCounter]]&gt;0, "Running", "Down")</f>
        <v>Running</v>
      </c>
    </row>
    <row r="1870" spans="1:5" x14ac:dyDescent="0.25">
      <c r="A1870" s="10">
        <v>44700</v>
      </c>
      <c r="B1870" s="11" t="s">
        <v>114</v>
      </c>
      <c r="C1870">
        <v>1952</v>
      </c>
      <c r="D1870" t="s">
        <v>7</v>
      </c>
      <c r="E1870" t="str">
        <f>IF(may[[#This Row],[ShiftCounter]]&gt;0, "Running", "Down")</f>
        <v>Running</v>
      </c>
    </row>
    <row r="1871" spans="1:5" x14ac:dyDescent="0.25">
      <c r="A1871" s="10">
        <v>44700</v>
      </c>
      <c r="B1871" s="11" t="s">
        <v>114</v>
      </c>
      <c r="C1871">
        <v>1894</v>
      </c>
      <c r="D1871" t="s">
        <v>8</v>
      </c>
      <c r="E1871" t="str">
        <f>IF(may[[#This Row],[ShiftCounter]]&gt;0, "Running", "Down")</f>
        <v>Running</v>
      </c>
    </row>
    <row r="1872" spans="1:5" x14ac:dyDescent="0.25">
      <c r="A1872" s="10">
        <v>44700</v>
      </c>
      <c r="B1872" s="11" t="s">
        <v>14</v>
      </c>
      <c r="C1872">
        <v>1590</v>
      </c>
      <c r="D1872" t="s">
        <v>6</v>
      </c>
      <c r="E1872" t="str">
        <f>IF(may[[#This Row],[ShiftCounter]]&gt;0, "Running", "Down")</f>
        <v>Running</v>
      </c>
    </row>
    <row r="1873" spans="1:5" x14ac:dyDescent="0.25">
      <c r="A1873" s="10">
        <v>44700</v>
      </c>
      <c r="B1873" s="11" t="s">
        <v>14</v>
      </c>
      <c r="C1873">
        <v>1703</v>
      </c>
      <c r="D1873" t="s">
        <v>7</v>
      </c>
      <c r="E1873" t="str">
        <f>IF(may[[#This Row],[ShiftCounter]]&gt;0, "Running", "Down")</f>
        <v>Running</v>
      </c>
    </row>
    <row r="1874" spans="1:5" x14ac:dyDescent="0.25">
      <c r="A1874" s="10">
        <v>44700</v>
      </c>
      <c r="B1874" s="11" t="s">
        <v>14</v>
      </c>
      <c r="C1874">
        <v>1623</v>
      </c>
      <c r="D1874" t="s">
        <v>8</v>
      </c>
      <c r="E1874" t="str">
        <f>IF(may[[#This Row],[ShiftCounter]]&gt;0, "Running", "Down")</f>
        <v>Running</v>
      </c>
    </row>
    <row r="1875" spans="1:5" x14ac:dyDescent="0.25">
      <c r="A1875" s="10">
        <v>44700</v>
      </c>
      <c r="B1875" s="11" t="s">
        <v>15</v>
      </c>
      <c r="C1875">
        <v>2175</v>
      </c>
      <c r="D1875" t="s">
        <v>6</v>
      </c>
      <c r="E1875" t="str">
        <f>IF(may[[#This Row],[ShiftCounter]]&gt;0, "Running", "Down")</f>
        <v>Running</v>
      </c>
    </row>
    <row r="1876" spans="1:5" x14ac:dyDescent="0.25">
      <c r="A1876" s="10">
        <v>44700</v>
      </c>
      <c r="B1876" s="11" t="s">
        <v>15</v>
      </c>
      <c r="C1876">
        <v>1974</v>
      </c>
      <c r="D1876" t="s">
        <v>7</v>
      </c>
      <c r="E1876" t="str">
        <f>IF(may[[#This Row],[ShiftCounter]]&gt;0, "Running", "Down")</f>
        <v>Running</v>
      </c>
    </row>
    <row r="1877" spans="1:5" x14ac:dyDescent="0.25">
      <c r="A1877" s="10">
        <v>44700</v>
      </c>
      <c r="B1877" s="11" t="s">
        <v>15</v>
      </c>
      <c r="C1877">
        <v>1892</v>
      </c>
      <c r="D1877" t="s">
        <v>8</v>
      </c>
      <c r="E1877" t="str">
        <f>IF(may[[#This Row],[ShiftCounter]]&gt;0, "Running", "Down")</f>
        <v>Running</v>
      </c>
    </row>
    <row r="1878" spans="1:5" x14ac:dyDescent="0.25">
      <c r="A1878" s="10">
        <v>44700</v>
      </c>
      <c r="B1878" s="11" t="s">
        <v>16</v>
      </c>
      <c r="C1878">
        <v>2288</v>
      </c>
      <c r="D1878" t="s">
        <v>6</v>
      </c>
      <c r="E1878" t="str">
        <f>IF(may[[#This Row],[ShiftCounter]]&gt;0, "Running", "Down")</f>
        <v>Running</v>
      </c>
    </row>
    <row r="1879" spans="1:5" x14ac:dyDescent="0.25">
      <c r="A1879" s="10">
        <v>44700</v>
      </c>
      <c r="B1879" s="11" t="s">
        <v>16</v>
      </c>
      <c r="C1879">
        <v>1973</v>
      </c>
      <c r="D1879" t="s">
        <v>7</v>
      </c>
      <c r="E1879" t="str">
        <f>IF(may[[#This Row],[ShiftCounter]]&gt;0, "Running", "Down")</f>
        <v>Running</v>
      </c>
    </row>
    <row r="1880" spans="1:5" x14ac:dyDescent="0.25">
      <c r="A1880" s="10">
        <v>44700</v>
      </c>
      <c r="B1880" s="11" t="s">
        <v>16</v>
      </c>
      <c r="C1880">
        <v>1997</v>
      </c>
      <c r="D1880" t="s">
        <v>8</v>
      </c>
      <c r="E1880" t="str">
        <f>IF(may[[#This Row],[ShiftCounter]]&gt;0, "Running", "Down")</f>
        <v>Running</v>
      </c>
    </row>
    <row r="1881" spans="1:5" x14ac:dyDescent="0.25">
      <c r="A1881" s="10">
        <v>44700</v>
      </c>
      <c r="B1881" s="11" t="s">
        <v>17</v>
      </c>
      <c r="C1881">
        <v>2070</v>
      </c>
      <c r="D1881" t="s">
        <v>6</v>
      </c>
      <c r="E1881" t="str">
        <f>IF(may[[#This Row],[ShiftCounter]]&gt;0, "Running", "Down")</f>
        <v>Running</v>
      </c>
    </row>
    <row r="1882" spans="1:5" x14ac:dyDescent="0.25">
      <c r="A1882" s="10">
        <v>44700</v>
      </c>
      <c r="B1882" s="11" t="s">
        <v>17</v>
      </c>
      <c r="C1882">
        <v>2006</v>
      </c>
      <c r="D1882" t="s">
        <v>7</v>
      </c>
      <c r="E1882" t="str">
        <f>IF(may[[#This Row],[ShiftCounter]]&gt;0, "Running", "Down")</f>
        <v>Running</v>
      </c>
    </row>
    <row r="1883" spans="1:5" x14ac:dyDescent="0.25">
      <c r="A1883" s="10">
        <v>44700</v>
      </c>
      <c r="B1883" s="11" t="s">
        <v>17</v>
      </c>
      <c r="C1883">
        <v>1837</v>
      </c>
      <c r="D1883" t="s">
        <v>8</v>
      </c>
      <c r="E1883" t="str">
        <f>IF(may[[#This Row],[ShiftCounter]]&gt;0, "Running", "Down")</f>
        <v>Running</v>
      </c>
    </row>
    <row r="1884" spans="1:5" x14ac:dyDescent="0.25">
      <c r="A1884" s="10">
        <v>44700</v>
      </c>
      <c r="B1884" s="11" t="s">
        <v>19</v>
      </c>
      <c r="C1884">
        <v>2050</v>
      </c>
      <c r="D1884" t="s">
        <v>6</v>
      </c>
      <c r="E1884" t="str">
        <f>IF(may[[#This Row],[ShiftCounter]]&gt;0, "Running", "Down")</f>
        <v>Running</v>
      </c>
    </row>
    <row r="1885" spans="1:5" x14ac:dyDescent="0.25">
      <c r="A1885" s="10">
        <v>44700</v>
      </c>
      <c r="B1885" s="11" t="s">
        <v>19</v>
      </c>
      <c r="C1885">
        <v>1965</v>
      </c>
      <c r="D1885" t="s">
        <v>7</v>
      </c>
      <c r="E1885" t="str">
        <f>IF(may[[#This Row],[ShiftCounter]]&gt;0, "Running", "Down")</f>
        <v>Running</v>
      </c>
    </row>
    <row r="1886" spans="1:5" x14ac:dyDescent="0.25">
      <c r="A1886" s="10">
        <v>44700</v>
      </c>
      <c r="B1886" s="11" t="s">
        <v>19</v>
      </c>
      <c r="C1886">
        <v>1916</v>
      </c>
      <c r="D1886" t="s">
        <v>8</v>
      </c>
      <c r="E1886" t="str">
        <f>IF(may[[#This Row],[ShiftCounter]]&gt;0, "Running", "Down")</f>
        <v>Running</v>
      </c>
    </row>
    <row r="1887" spans="1:5" x14ac:dyDescent="0.25">
      <c r="A1887" s="10">
        <v>44700</v>
      </c>
      <c r="B1887" s="11" t="s">
        <v>18</v>
      </c>
      <c r="C1887">
        <v>1921</v>
      </c>
      <c r="D1887" t="s">
        <v>6</v>
      </c>
      <c r="E1887" t="str">
        <f>IF(may[[#This Row],[ShiftCounter]]&gt;0, "Running", "Down")</f>
        <v>Running</v>
      </c>
    </row>
    <row r="1888" spans="1:5" x14ac:dyDescent="0.25">
      <c r="A1888" s="10">
        <v>44700</v>
      </c>
      <c r="B1888" s="11" t="s">
        <v>18</v>
      </c>
      <c r="C1888">
        <v>1836</v>
      </c>
      <c r="D1888" t="s">
        <v>7</v>
      </c>
      <c r="E1888" t="str">
        <f>IF(may[[#This Row],[ShiftCounter]]&gt;0, "Running", "Down")</f>
        <v>Running</v>
      </c>
    </row>
    <row r="1889" spans="1:5" x14ac:dyDescent="0.25">
      <c r="A1889" s="10">
        <v>44700</v>
      </c>
      <c r="B1889" s="11" t="s">
        <v>18</v>
      </c>
      <c r="C1889">
        <v>2001</v>
      </c>
      <c r="D1889" t="s">
        <v>8</v>
      </c>
      <c r="E1889" t="str">
        <f>IF(may[[#This Row],[ShiftCounter]]&gt;0, "Running", "Down")</f>
        <v>Running</v>
      </c>
    </row>
    <row r="1890" spans="1:5" x14ac:dyDescent="0.25">
      <c r="A1890" s="10">
        <v>44700</v>
      </c>
      <c r="B1890" s="11" t="s">
        <v>20</v>
      </c>
      <c r="C1890">
        <v>2020</v>
      </c>
      <c r="D1890" t="s">
        <v>6</v>
      </c>
      <c r="E1890" t="str">
        <f>IF(may[[#This Row],[ShiftCounter]]&gt;0, "Running", "Down")</f>
        <v>Running</v>
      </c>
    </row>
    <row r="1891" spans="1:5" x14ac:dyDescent="0.25">
      <c r="A1891" s="10">
        <v>44700</v>
      </c>
      <c r="B1891" s="11" t="s">
        <v>20</v>
      </c>
      <c r="C1891">
        <v>1954</v>
      </c>
      <c r="D1891" t="s">
        <v>7</v>
      </c>
      <c r="E1891" t="str">
        <f>IF(may[[#This Row],[ShiftCounter]]&gt;0, "Running", "Down")</f>
        <v>Running</v>
      </c>
    </row>
    <row r="1892" spans="1:5" x14ac:dyDescent="0.25">
      <c r="A1892" s="10">
        <v>44700</v>
      </c>
      <c r="B1892" s="11" t="s">
        <v>20</v>
      </c>
      <c r="C1892">
        <v>1763</v>
      </c>
      <c r="D1892" t="s">
        <v>8</v>
      </c>
      <c r="E1892" t="str">
        <f>IF(may[[#This Row],[ShiftCounter]]&gt;0, "Running", "Down")</f>
        <v>Running</v>
      </c>
    </row>
    <row r="1893" spans="1:5" x14ac:dyDescent="0.25">
      <c r="A1893" s="10">
        <v>44700</v>
      </c>
      <c r="B1893" s="11" t="s">
        <v>22</v>
      </c>
      <c r="C1893">
        <v>2284</v>
      </c>
      <c r="D1893" t="s">
        <v>6</v>
      </c>
      <c r="E1893" t="str">
        <f>IF(may[[#This Row],[ShiftCounter]]&gt;0, "Running", "Down")</f>
        <v>Running</v>
      </c>
    </row>
    <row r="1894" spans="1:5" x14ac:dyDescent="0.25">
      <c r="A1894" s="10">
        <v>44700</v>
      </c>
      <c r="B1894" s="11" t="s">
        <v>22</v>
      </c>
      <c r="C1894">
        <v>2183</v>
      </c>
      <c r="D1894" t="s">
        <v>7</v>
      </c>
      <c r="E1894" t="str">
        <f>IF(may[[#This Row],[ShiftCounter]]&gt;0, "Running", "Down")</f>
        <v>Running</v>
      </c>
    </row>
    <row r="1895" spans="1:5" x14ac:dyDescent="0.25">
      <c r="A1895" s="10">
        <v>44700</v>
      </c>
      <c r="B1895" s="11" t="s">
        <v>22</v>
      </c>
      <c r="C1895">
        <v>1964</v>
      </c>
      <c r="D1895" t="s">
        <v>8</v>
      </c>
      <c r="E1895" t="str">
        <f>IF(may[[#This Row],[ShiftCounter]]&gt;0, "Running", "Down")</f>
        <v>Running</v>
      </c>
    </row>
    <row r="1896" spans="1:5" x14ac:dyDescent="0.25">
      <c r="A1896" s="10">
        <v>44700</v>
      </c>
      <c r="B1896" s="11" t="s">
        <v>21</v>
      </c>
      <c r="C1896">
        <v>2085</v>
      </c>
      <c r="D1896" t="s">
        <v>6</v>
      </c>
      <c r="E1896" t="str">
        <f>IF(may[[#This Row],[ShiftCounter]]&gt;0, "Running", "Down")</f>
        <v>Running</v>
      </c>
    </row>
    <row r="1897" spans="1:5" x14ac:dyDescent="0.25">
      <c r="A1897" s="10">
        <v>44700</v>
      </c>
      <c r="B1897" s="11" t="s">
        <v>21</v>
      </c>
      <c r="C1897">
        <v>1777</v>
      </c>
      <c r="D1897" t="s">
        <v>7</v>
      </c>
      <c r="E1897" t="str">
        <f>IF(may[[#This Row],[ShiftCounter]]&gt;0, "Running", "Down")</f>
        <v>Running</v>
      </c>
    </row>
    <row r="1898" spans="1:5" x14ac:dyDescent="0.25">
      <c r="A1898" s="10">
        <v>44700</v>
      </c>
      <c r="B1898" s="11" t="s">
        <v>21</v>
      </c>
      <c r="C1898">
        <v>1834</v>
      </c>
      <c r="D1898" t="s">
        <v>8</v>
      </c>
      <c r="E1898" t="str">
        <f>IF(may[[#This Row],[ShiftCounter]]&gt;0, "Running", "Down")</f>
        <v>Running</v>
      </c>
    </row>
    <row r="1899" spans="1:5" x14ac:dyDescent="0.25">
      <c r="A1899" s="10">
        <v>44700</v>
      </c>
      <c r="B1899" s="11" t="s">
        <v>23</v>
      </c>
      <c r="C1899">
        <v>2323</v>
      </c>
      <c r="D1899" t="s">
        <v>6</v>
      </c>
      <c r="E1899" t="str">
        <f>IF(may[[#This Row],[ShiftCounter]]&gt;0, "Running", "Down")</f>
        <v>Running</v>
      </c>
    </row>
    <row r="1900" spans="1:5" x14ac:dyDescent="0.25">
      <c r="A1900" s="10">
        <v>44700</v>
      </c>
      <c r="B1900" s="11" t="s">
        <v>23</v>
      </c>
      <c r="C1900">
        <v>2360</v>
      </c>
      <c r="D1900" t="s">
        <v>7</v>
      </c>
      <c r="E1900" t="str">
        <f>IF(may[[#This Row],[ShiftCounter]]&gt;0, "Running", "Down")</f>
        <v>Running</v>
      </c>
    </row>
    <row r="1901" spans="1:5" x14ac:dyDescent="0.25">
      <c r="A1901" s="10">
        <v>44700</v>
      </c>
      <c r="B1901" s="11" t="s">
        <v>23</v>
      </c>
      <c r="C1901">
        <v>2032</v>
      </c>
      <c r="D1901" t="s">
        <v>8</v>
      </c>
      <c r="E1901" t="str">
        <f>IF(may[[#This Row],[ShiftCounter]]&gt;0, "Running", "Down")</f>
        <v>Running</v>
      </c>
    </row>
    <row r="1902" spans="1:5" x14ac:dyDescent="0.25">
      <c r="A1902" s="10">
        <v>44700</v>
      </c>
      <c r="B1902" s="11" t="s">
        <v>24</v>
      </c>
      <c r="C1902">
        <v>1953</v>
      </c>
      <c r="D1902" t="s">
        <v>6</v>
      </c>
      <c r="E1902" t="str">
        <f>IF(may[[#This Row],[ShiftCounter]]&gt;0, "Running", "Down")</f>
        <v>Running</v>
      </c>
    </row>
    <row r="1903" spans="1:5" x14ac:dyDescent="0.25">
      <c r="A1903" s="10">
        <v>44700</v>
      </c>
      <c r="B1903" s="11" t="s">
        <v>24</v>
      </c>
      <c r="C1903">
        <v>2071</v>
      </c>
      <c r="D1903" t="s">
        <v>7</v>
      </c>
      <c r="E1903" t="str">
        <f>IF(may[[#This Row],[ShiftCounter]]&gt;0, "Running", "Down")</f>
        <v>Running</v>
      </c>
    </row>
    <row r="1904" spans="1:5" x14ac:dyDescent="0.25">
      <c r="A1904" s="10">
        <v>44700</v>
      </c>
      <c r="B1904" s="11" t="s">
        <v>24</v>
      </c>
      <c r="C1904">
        <v>1867</v>
      </c>
      <c r="D1904" t="s">
        <v>8</v>
      </c>
      <c r="E1904" t="str">
        <f>IF(may[[#This Row],[ShiftCounter]]&gt;0, "Running", "Down")</f>
        <v>Running</v>
      </c>
    </row>
    <row r="1905" spans="1:5" x14ac:dyDescent="0.25">
      <c r="A1905" s="10">
        <v>44700</v>
      </c>
      <c r="B1905" s="11" t="s">
        <v>25</v>
      </c>
      <c r="C1905">
        <v>2201</v>
      </c>
      <c r="D1905" t="s">
        <v>6</v>
      </c>
      <c r="E1905" t="str">
        <f>IF(may[[#This Row],[ShiftCounter]]&gt;0, "Running", "Down")</f>
        <v>Running</v>
      </c>
    </row>
    <row r="1906" spans="1:5" x14ac:dyDescent="0.25">
      <c r="A1906" s="10">
        <v>44700</v>
      </c>
      <c r="B1906" s="11" t="s">
        <v>25</v>
      </c>
      <c r="C1906">
        <v>2122</v>
      </c>
      <c r="D1906" t="s">
        <v>7</v>
      </c>
      <c r="E1906" t="str">
        <f>IF(may[[#This Row],[ShiftCounter]]&gt;0, "Running", "Down")</f>
        <v>Running</v>
      </c>
    </row>
    <row r="1907" spans="1:5" x14ac:dyDescent="0.25">
      <c r="A1907" s="10">
        <v>44700</v>
      </c>
      <c r="B1907" s="11" t="s">
        <v>25</v>
      </c>
      <c r="C1907">
        <v>2027</v>
      </c>
      <c r="D1907" t="s">
        <v>8</v>
      </c>
      <c r="E1907" t="str">
        <f>IF(may[[#This Row],[ShiftCounter]]&gt;0, "Running", "Down")</f>
        <v>Running</v>
      </c>
    </row>
    <row r="1908" spans="1:5" x14ac:dyDescent="0.25">
      <c r="A1908" s="10">
        <v>44700</v>
      </c>
      <c r="B1908" s="11" t="s">
        <v>26</v>
      </c>
      <c r="C1908">
        <v>2120</v>
      </c>
      <c r="D1908" t="s">
        <v>6</v>
      </c>
      <c r="E1908" t="str">
        <f>IF(may[[#This Row],[ShiftCounter]]&gt;0, "Running", "Down")</f>
        <v>Running</v>
      </c>
    </row>
    <row r="1909" spans="1:5" x14ac:dyDescent="0.25">
      <c r="A1909" s="10">
        <v>44700</v>
      </c>
      <c r="B1909" s="11" t="s">
        <v>26</v>
      </c>
      <c r="C1909">
        <v>2225</v>
      </c>
      <c r="D1909" t="s">
        <v>7</v>
      </c>
      <c r="E1909" t="str">
        <f>IF(may[[#This Row],[ShiftCounter]]&gt;0, "Running", "Down")</f>
        <v>Running</v>
      </c>
    </row>
    <row r="1910" spans="1:5" x14ac:dyDescent="0.25">
      <c r="A1910" s="10">
        <v>44700</v>
      </c>
      <c r="B1910" s="11" t="s">
        <v>26</v>
      </c>
      <c r="C1910">
        <v>1909</v>
      </c>
      <c r="D1910" t="s">
        <v>8</v>
      </c>
      <c r="E1910" t="str">
        <f>IF(may[[#This Row],[ShiftCounter]]&gt;0, "Running", "Down")</f>
        <v>Running</v>
      </c>
    </row>
    <row r="1911" spans="1:5" x14ac:dyDescent="0.25">
      <c r="A1911" s="10">
        <v>44700</v>
      </c>
      <c r="B1911" s="11" t="s">
        <v>27</v>
      </c>
      <c r="C1911">
        <v>2203</v>
      </c>
      <c r="D1911" t="s">
        <v>6</v>
      </c>
      <c r="E1911" t="str">
        <f>IF(may[[#This Row],[ShiftCounter]]&gt;0, "Running", "Down")</f>
        <v>Running</v>
      </c>
    </row>
    <row r="1912" spans="1:5" x14ac:dyDescent="0.25">
      <c r="A1912" s="10">
        <v>44700</v>
      </c>
      <c r="B1912" s="11" t="s">
        <v>27</v>
      </c>
      <c r="C1912">
        <v>2221</v>
      </c>
      <c r="D1912" t="s">
        <v>7</v>
      </c>
      <c r="E1912" t="str">
        <f>IF(may[[#This Row],[ShiftCounter]]&gt;0, "Running", "Down")</f>
        <v>Running</v>
      </c>
    </row>
    <row r="1913" spans="1:5" x14ac:dyDescent="0.25">
      <c r="A1913" s="10">
        <v>44700</v>
      </c>
      <c r="B1913" s="11" t="s">
        <v>27</v>
      </c>
      <c r="C1913">
        <v>2088</v>
      </c>
      <c r="D1913" t="s">
        <v>8</v>
      </c>
      <c r="E1913" t="str">
        <f>IF(may[[#This Row],[ShiftCounter]]&gt;0, "Running", "Down")</f>
        <v>Running</v>
      </c>
    </row>
    <row r="1914" spans="1:5" x14ac:dyDescent="0.25">
      <c r="A1914" s="10">
        <v>44700</v>
      </c>
      <c r="B1914" s="11" t="s">
        <v>28</v>
      </c>
      <c r="C1914">
        <v>2112</v>
      </c>
      <c r="D1914" t="s">
        <v>6</v>
      </c>
      <c r="E1914" t="str">
        <f>IF(may[[#This Row],[ShiftCounter]]&gt;0, "Running", "Down")</f>
        <v>Running</v>
      </c>
    </row>
    <row r="1915" spans="1:5" x14ac:dyDescent="0.25">
      <c r="A1915" s="10">
        <v>44700</v>
      </c>
      <c r="B1915" s="11" t="s">
        <v>28</v>
      </c>
      <c r="C1915">
        <v>2070</v>
      </c>
      <c r="D1915" t="s">
        <v>7</v>
      </c>
      <c r="E1915" t="str">
        <f>IF(may[[#This Row],[ShiftCounter]]&gt;0, "Running", "Down")</f>
        <v>Running</v>
      </c>
    </row>
    <row r="1916" spans="1:5" x14ac:dyDescent="0.25">
      <c r="A1916" s="10">
        <v>44700</v>
      </c>
      <c r="B1916" s="11" t="s">
        <v>28</v>
      </c>
      <c r="C1916">
        <v>1935</v>
      </c>
      <c r="D1916" t="s">
        <v>8</v>
      </c>
      <c r="E1916" t="str">
        <f>IF(may[[#This Row],[ShiftCounter]]&gt;0, "Running", "Down")</f>
        <v>Running</v>
      </c>
    </row>
    <row r="1917" spans="1:5" x14ac:dyDescent="0.25">
      <c r="A1917" s="10">
        <v>44700</v>
      </c>
      <c r="B1917" s="11" t="s">
        <v>29</v>
      </c>
      <c r="C1917">
        <v>878</v>
      </c>
      <c r="D1917" t="s">
        <v>6</v>
      </c>
      <c r="E1917" t="str">
        <f>IF(may[[#This Row],[ShiftCounter]]&gt;0, "Running", "Down")</f>
        <v>Running</v>
      </c>
    </row>
    <row r="1918" spans="1:5" x14ac:dyDescent="0.25">
      <c r="A1918" s="10">
        <v>44700</v>
      </c>
      <c r="B1918" s="11" t="s">
        <v>29</v>
      </c>
      <c r="C1918">
        <v>1540</v>
      </c>
      <c r="D1918" t="s">
        <v>7</v>
      </c>
      <c r="E1918" t="str">
        <f>IF(may[[#This Row],[ShiftCounter]]&gt;0, "Running", "Down")</f>
        <v>Running</v>
      </c>
    </row>
    <row r="1919" spans="1:5" x14ac:dyDescent="0.25">
      <c r="A1919" s="10">
        <v>44700</v>
      </c>
      <c r="B1919" s="11" t="s">
        <v>29</v>
      </c>
      <c r="C1919">
        <v>2060</v>
      </c>
      <c r="D1919" t="s">
        <v>8</v>
      </c>
      <c r="E1919" t="str">
        <f>IF(may[[#This Row],[ShiftCounter]]&gt;0, "Running", "Down")</f>
        <v>Running</v>
      </c>
    </row>
    <row r="1920" spans="1:5" x14ac:dyDescent="0.25">
      <c r="A1920" s="10">
        <v>44700</v>
      </c>
      <c r="B1920" s="11" t="s">
        <v>30</v>
      </c>
      <c r="C1920">
        <v>2283</v>
      </c>
      <c r="D1920" t="s">
        <v>6</v>
      </c>
      <c r="E1920" t="str">
        <f>IF(may[[#This Row],[ShiftCounter]]&gt;0, "Running", "Down")</f>
        <v>Running</v>
      </c>
    </row>
    <row r="1921" spans="1:5" x14ac:dyDescent="0.25">
      <c r="A1921" s="10">
        <v>44700</v>
      </c>
      <c r="B1921" s="11" t="s">
        <v>30</v>
      </c>
      <c r="C1921">
        <v>2194</v>
      </c>
      <c r="D1921" t="s">
        <v>7</v>
      </c>
      <c r="E1921" t="str">
        <f>IF(may[[#This Row],[ShiftCounter]]&gt;0, "Running", "Down")</f>
        <v>Running</v>
      </c>
    </row>
    <row r="1922" spans="1:5" x14ac:dyDescent="0.25">
      <c r="A1922" s="10">
        <v>44700</v>
      </c>
      <c r="B1922" s="11" t="s">
        <v>30</v>
      </c>
      <c r="C1922">
        <v>1939</v>
      </c>
      <c r="D1922" t="s">
        <v>8</v>
      </c>
      <c r="E1922" t="str">
        <f>IF(may[[#This Row],[ShiftCounter]]&gt;0, "Running", "Down")</f>
        <v>Running</v>
      </c>
    </row>
    <row r="1923" spans="1:5" x14ac:dyDescent="0.25">
      <c r="A1923" s="10">
        <v>44700</v>
      </c>
      <c r="B1923" s="11" t="s">
        <v>31</v>
      </c>
      <c r="C1923">
        <v>2152</v>
      </c>
      <c r="D1923" t="s">
        <v>6</v>
      </c>
      <c r="E1923" t="str">
        <f>IF(may[[#This Row],[ShiftCounter]]&gt;0, "Running", "Down")</f>
        <v>Running</v>
      </c>
    </row>
    <row r="1924" spans="1:5" x14ac:dyDescent="0.25">
      <c r="A1924" s="10">
        <v>44700</v>
      </c>
      <c r="B1924" s="11" t="s">
        <v>31</v>
      </c>
      <c r="C1924">
        <v>2107</v>
      </c>
      <c r="D1924" t="s">
        <v>7</v>
      </c>
      <c r="E1924" t="str">
        <f>IF(may[[#This Row],[ShiftCounter]]&gt;0, "Running", "Down")</f>
        <v>Running</v>
      </c>
    </row>
    <row r="1925" spans="1:5" x14ac:dyDescent="0.25">
      <c r="A1925" s="10">
        <v>44700</v>
      </c>
      <c r="B1925" s="11" t="s">
        <v>31</v>
      </c>
      <c r="C1925">
        <v>2006</v>
      </c>
      <c r="D1925" t="s">
        <v>8</v>
      </c>
      <c r="E1925" t="str">
        <f>IF(may[[#This Row],[ShiftCounter]]&gt;0, "Running", "Down")</f>
        <v>Running</v>
      </c>
    </row>
    <row r="1926" spans="1:5" x14ac:dyDescent="0.25">
      <c r="A1926" s="10">
        <v>44700</v>
      </c>
      <c r="B1926" s="11" t="s">
        <v>32</v>
      </c>
      <c r="C1926">
        <v>2199</v>
      </c>
      <c r="D1926" t="s">
        <v>6</v>
      </c>
      <c r="E1926" t="str">
        <f>IF(may[[#This Row],[ShiftCounter]]&gt;0, "Running", "Down")</f>
        <v>Running</v>
      </c>
    </row>
    <row r="1927" spans="1:5" x14ac:dyDescent="0.25">
      <c r="A1927" s="10">
        <v>44700</v>
      </c>
      <c r="B1927" s="11" t="s">
        <v>32</v>
      </c>
      <c r="C1927">
        <v>2223</v>
      </c>
      <c r="D1927" t="s">
        <v>7</v>
      </c>
      <c r="E1927" t="str">
        <f>IF(may[[#This Row],[ShiftCounter]]&gt;0, "Running", "Down")</f>
        <v>Running</v>
      </c>
    </row>
    <row r="1928" spans="1:5" x14ac:dyDescent="0.25">
      <c r="A1928" s="10">
        <v>44700</v>
      </c>
      <c r="B1928" s="11" t="s">
        <v>32</v>
      </c>
      <c r="C1928">
        <v>2083</v>
      </c>
      <c r="D1928" t="s">
        <v>8</v>
      </c>
      <c r="E1928" t="str">
        <f>IF(may[[#This Row],[ShiftCounter]]&gt;0, "Running", "Down")</f>
        <v>Running</v>
      </c>
    </row>
    <row r="1929" spans="1:5" x14ac:dyDescent="0.25">
      <c r="A1929" s="10">
        <v>44700</v>
      </c>
      <c r="B1929" s="11" t="s">
        <v>33</v>
      </c>
      <c r="C1929">
        <v>2366</v>
      </c>
      <c r="D1929" t="s">
        <v>6</v>
      </c>
      <c r="E1929" t="str">
        <f>IF(may[[#This Row],[ShiftCounter]]&gt;0, "Running", "Down")</f>
        <v>Running</v>
      </c>
    </row>
    <row r="1930" spans="1:5" x14ac:dyDescent="0.25">
      <c r="A1930" s="10">
        <v>44700</v>
      </c>
      <c r="B1930" s="11" t="s">
        <v>33</v>
      </c>
      <c r="C1930">
        <v>1746</v>
      </c>
      <c r="D1930" t="s">
        <v>7</v>
      </c>
      <c r="E1930" t="str">
        <f>IF(may[[#This Row],[ShiftCounter]]&gt;0, "Running", "Down")</f>
        <v>Running</v>
      </c>
    </row>
    <row r="1931" spans="1:5" x14ac:dyDescent="0.25">
      <c r="A1931" s="10">
        <v>44700</v>
      </c>
      <c r="B1931" s="11" t="s">
        <v>33</v>
      </c>
      <c r="C1931">
        <v>0</v>
      </c>
      <c r="D1931" t="s">
        <v>8</v>
      </c>
      <c r="E1931" t="str">
        <f>IF(may[[#This Row],[ShiftCounter]]&gt;0, "Running", "Down")</f>
        <v>Down</v>
      </c>
    </row>
    <row r="1932" spans="1:5" x14ac:dyDescent="0.25">
      <c r="A1932" s="10">
        <v>44700</v>
      </c>
      <c r="B1932" s="11" t="s">
        <v>34</v>
      </c>
      <c r="C1932">
        <v>1811</v>
      </c>
      <c r="D1932" t="s">
        <v>6</v>
      </c>
      <c r="E1932" t="str">
        <f>IF(may[[#This Row],[ShiftCounter]]&gt;0, "Running", "Down")</f>
        <v>Running</v>
      </c>
    </row>
    <row r="1933" spans="1:5" x14ac:dyDescent="0.25">
      <c r="A1933" s="10">
        <v>44700</v>
      </c>
      <c r="B1933" s="11" t="s">
        <v>34</v>
      </c>
      <c r="C1933">
        <v>2002</v>
      </c>
      <c r="D1933" t="s">
        <v>7</v>
      </c>
      <c r="E1933" t="str">
        <f>IF(may[[#This Row],[ShiftCounter]]&gt;0, "Running", "Down")</f>
        <v>Running</v>
      </c>
    </row>
    <row r="1934" spans="1:5" x14ac:dyDescent="0.25">
      <c r="A1934" s="10">
        <v>44700</v>
      </c>
      <c r="B1934" s="11" t="s">
        <v>34</v>
      </c>
      <c r="C1934">
        <v>1900</v>
      </c>
      <c r="D1934" t="s">
        <v>8</v>
      </c>
      <c r="E1934" t="str">
        <f>IF(may[[#This Row],[ShiftCounter]]&gt;0, "Running", "Down")</f>
        <v>Running</v>
      </c>
    </row>
    <row r="1935" spans="1:5" x14ac:dyDescent="0.25">
      <c r="A1935" s="10">
        <v>44700</v>
      </c>
      <c r="B1935" s="11" t="s">
        <v>36</v>
      </c>
      <c r="C1935">
        <v>2308</v>
      </c>
      <c r="D1935" t="s">
        <v>6</v>
      </c>
      <c r="E1935" t="str">
        <f>IF(may[[#This Row],[ShiftCounter]]&gt;0, "Running", "Down")</f>
        <v>Running</v>
      </c>
    </row>
    <row r="1936" spans="1:5" x14ac:dyDescent="0.25">
      <c r="A1936" s="10">
        <v>44700</v>
      </c>
      <c r="B1936" s="11" t="s">
        <v>36</v>
      </c>
      <c r="C1936">
        <v>2153</v>
      </c>
      <c r="D1936" t="s">
        <v>7</v>
      </c>
      <c r="E1936" t="str">
        <f>IF(may[[#This Row],[ShiftCounter]]&gt;0, "Running", "Down")</f>
        <v>Running</v>
      </c>
    </row>
    <row r="1937" spans="1:5" x14ac:dyDescent="0.25">
      <c r="A1937" s="10">
        <v>44700</v>
      </c>
      <c r="B1937" s="11" t="s">
        <v>36</v>
      </c>
      <c r="C1937">
        <v>2160</v>
      </c>
      <c r="D1937" t="s">
        <v>8</v>
      </c>
      <c r="E1937" t="str">
        <f>IF(may[[#This Row],[ShiftCounter]]&gt;0, "Running", "Down")</f>
        <v>Running</v>
      </c>
    </row>
    <row r="1938" spans="1:5" x14ac:dyDescent="0.25">
      <c r="A1938" s="10">
        <v>44700</v>
      </c>
      <c r="B1938" s="11" t="s">
        <v>37</v>
      </c>
      <c r="C1938">
        <v>2282</v>
      </c>
      <c r="D1938" t="s">
        <v>6</v>
      </c>
      <c r="E1938" t="str">
        <f>IF(may[[#This Row],[ShiftCounter]]&gt;0, "Running", "Down")</f>
        <v>Running</v>
      </c>
    </row>
    <row r="1939" spans="1:5" x14ac:dyDescent="0.25">
      <c r="A1939" s="10">
        <v>44700</v>
      </c>
      <c r="B1939" s="11" t="s">
        <v>37</v>
      </c>
      <c r="C1939">
        <v>2306</v>
      </c>
      <c r="D1939" t="s">
        <v>7</v>
      </c>
      <c r="E1939" t="str">
        <f>IF(may[[#This Row],[ShiftCounter]]&gt;0, "Running", "Down")</f>
        <v>Running</v>
      </c>
    </row>
    <row r="1940" spans="1:5" x14ac:dyDescent="0.25">
      <c r="A1940" s="10">
        <v>44700</v>
      </c>
      <c r="B1940" s="11" t="s">
        <v>37</v>
      </c>
      <c r="C1940">
        <v>2125</v>
      </c>
      <c r="D1940" t="s">
        <v>8</v>
      </c>
      <c r="E1940" t="str">
        <f>IF(may[[#This Row],[ShiftCounter]]&gt;0, "Running", "Down")</f>
        <v>Running</v>
      </c>
    </row>
    <row r="1941" spans="1:5" x14ac:dyDescent="0.25">
      <c r="A1941" s="10">
        <v>44701</v>
      </c>
      <c r="B1941" s="11" t="s">
        <v>40</v>
      </c>
      <c r="C1941">
        <v>2389</v>
      </c>
      <c r="D1941" t="s">
        <v>6</v>
      </c>
      <c r="E1941" t="str">
        <f>IF(may[[#This Row],[ShiftCounter]]&gt;0, "Running", "Down")</f>
        <v>Running</v>
      </c>
    </row>
    <row r="1942" spans="1:5" x14ac:dyDescent="0.25">
      <c r="A1942" s="10">
        <v>44701</v>
      </c>
      <c r="B1942" s="11" t="s">
        <v>40</v>
      </c>
      <c r="C1942">
        <v>2258</v>
      </c>
      <c r="D1942" t="s">
        <v>7</v>
      </c>
      <c r="E1942" t="str">
        <f>IF(may[[#This Row],[ShiftCounter]]&gt;0, "Running", "Down")</f>
        <v>Running</v>
      </c>
    </row>
    <row r="1943" spans="1:5" x14ac:dyDescent="0.25">
      <c r="A1943" s="10">
        <v>44701</v>
      </c>
      <c r="B1943" s="11" t="s">
        <v>40</v>
      </c>
      <c r="C1943">
        <v>2179</v>
      </c>
      <c r="D1943" t="s">
        <v>8</v>
      </c>
      <c r="E1943" t="str">
        <f>IF(may[[#This Row],[ShiftCounter]]&gt;0, "Running", "Down")</f>
        <v>Running</v>
      </c>
    </row>
    <row r="1944" spans="1:5" x14ac:dyDescent="0.25">
      <c r="A1944" s="10">
        <v>44701</v>
      </c>
      <c r="B1944" s="11" t="s">
        <v>39</v>
      </c>
      <c r="C1944">
        <v>2068</v>
      </c>
      <c r="D1944" t="s">
        <v>6</v>
      </c>
      <c r="E1944" t="str">
        <f>IF(may[[#This Row],[ShiftCounter]]&gt;0, "Running", "Down")</f>
        <v>Running</v>
      </c>
    </row>
    <row r="1945" spans="1:5" x14ac:dyDescent="0.25">
      <c r="A1945" s="10">
        <v>44701</v>
      </c>
      <c r="B1945" s="11" t="s">
        <v>39</v>
      </c>
      <c r="C1945">
        <v>1992</v>
      </c>
      <c r="D1945" t="s">
        <v>7</v>
      </c>
      <c r="E1945" t="str">
        <f>IF(may[[#This Row],[ShiftCounter]]&gt;0, "Running", "Down")</f>
        <v>Running</v>
      </c>
    </row>
    <row r="1946" spans="1:5" x14ac:dyDescent="0.25">
      <c r="A1946" s="10">
        <v>44701</v>
      </c>
      <c r="B1946" s="11" t="s">
        <v>39</v>
      </c>
      <c r="C1946">
        <v>1917</v>
      </c>
      <c r="D1946" t="s">
        <v>8</v>
      </c>
      <c r="E1946" t="str">
        <f>IF(may[[#This Row],[ShiftCounter]]&gt;0, "Running", "Down")</f>
        <v>Running</v>
      </c>
    </row>
    <row r="1947" spans="1:5" x14ac:dyDescent="0.25">
      <c r="A1947" s="10">
        <v>44701</v>
      </c>
      <c r="B1947" s="11" t="s">
        <v>41</v>
      </c>
      <c r="C1947">
        <v>2373</v>
      </c>
      <c r="D1947" t="s">
        <v>6</v>
      </c>
      <c r="E1947" t="str">
        <f>IF(may[[#This Row],[ShiftCounter]]&gt;0, "Running", "Down")</f>
        <v>Running</v>
      </c>
    </row>
    <row r="1948" spans="1:5" x14ac:dyDescent="0.25">
      <c r="A1948" s="10">
        <v>44701</v>
      </c>
      <c r="B1948" s="11" t="s">
        <v>41</v>
      </c>
      <c r="C1948">
        <v>2294</v>
      </c>
      <c r="D1948" t="s">
        <v>7</v>
      </c>
      <c r="E1948" t="str">
        <f>IF(may[[#This Row],[ShiftCounter]]&gt;0, "Running", "Down")</f>
        <v>Running</v>
      </c>
    </row>
    <row r="1949" spans="1:5" x14ac:dyDescent="0.25">
      <c r="A1949" s="10">
        <v>44701</v>
      </c>
      <c r="B1949" s="11" t="s">
        <v>41</v>
      </c>
      <c r="C1949">
        <v>2188</v>
      </c>
      <c r="D1949" t="s">
        <v>8</v>
      </c>
      <c r="E1949" t="str">
        <f>IF(may[[#This Row],[ShiftCounter]]&gt;0, "Running", "Down")</f>
        <v>Running</v>
      </c>
    </row>
    <row r="1950" spans="1:5" x14ac:dyDescent="0.25">
      <c r="A1950" s="10">
        <v>44701</v>
      </c>
      <c r="B1950" s="11" t="s">
        <v>5</v>
      </c>
      <c r="C1950">
        <v>2335</v>
      </c>
      <c r="D1950" t="s">
        <v>6</v>
      </c>
      <c r="E1950" t="str">
        <f>IF(may[[#This Row],[ShiftCounter]]&gt;0, "Running", "Down")</f>
        <v>Running</v>
      </c>
    </row>
    <row r="1951" spans="1:5" x14ac:dyDescent="0.25">
      <c r="A1951" s="10">
        <v>44701</v>
      </c>
      <c r="B1951" s="11" t="s">
        <v>5</v>
      </c>
      <c r="C1951">
        <v>2245</v>
      </c>
      <c r="D1951" t="s">
        <v>7</v>
      </c>
      <c r="E1951" t="str">
        <f>IF(may[[#This Row],[ShiftCounter]]&gt;0, "Running", "Down")</f>
        <v>Running</v>
      </c>
    </row>
    <row r="1952" spans="1:5" x14ac:dyDescent="0.25">
      <c r="A1952" s="10">
        <v>44701</v>
      </c>
      <c r="B1952" s="11" t="s">
        <v>5</v>
      </c>
      <c r="C1952">
        <v>2205</v>
      </c>
      <c r="D1952" t="s">
        <v>8</v>
      </c>
      <c r="E1952" t="str">
        <f>IF(may[[#This Row],[ShiftCounter]]&gt;0, "Running", "Down")</f>
        <v>Running</v>
      </c>
    </row>
    <row r="1953" spans="1:5" x14ac:dyDescent="0.25">
      <c r="A1953" s="10">
        <v>44701</v>
      </c>
      <c r="B1953" s="11" t="s">
        <v>9</v>
      </c>
      <c r="C1953">
        <v>2270</v>
      </c>
      <c r="D1953" t="s">
        <v>6</v>
      </c>
      <c r="E1953" t="str">
        <f>IF(may[[#This Row],[ShiftCounter]]&gt;0, "Running", "Down")</f>
        <v>Running</v>
      </c>
    </row>
    <row r="1954" spans="1:5" x14ac:dyDescent="0.25">
      <c r="A1954" s="10">
        <v>44701</v>
      </c>
      <c r="B1954" s="11" t="s">
        <v>9</v>
      </c>
      <c r="C1954">
        <v>2310</v>
      </c>
      <c r="D1954" t="s">
        <v>7</v>
      </c>
      <c r="E1954" t="str">
        <f>IF(may[[#This Row],[ShiftCounter]]&gt;0, "Running", "Down")</f>
        <v>Running</v>
      </c>
    </row>
    <row r="1955" spans="1:5" x14ac:dyDescent="0.25">
      <c r="A1955" s="10">
        <v>44701</v>
      </c>
      <c r="B1955" s="11" t="s">
        <v>9</v>
      </c>
      <c r="C1955">
        <v>2188</v>
      </c>
      <c r="D1955" t="s">
        <v>8</v>
      </c>
      <c r="E1955" t="str">
        <f>IF(may[[#This Row],[ShiftCounter]]&gt;0, "Running", "Down")</f>
        <v>Running</v>
      </c>
    </row>
    <row r="1956" spans="1:5" x14ac:dyDescent="0.25">
      <c r="A1956" s="10">
        <v>44701</v>
      </c>
      <c r="B1956" s="11" t="s">
        <v>10</v>
      </c>
      <c r="C1956">
        <v>1416</v>
      </c>
      <c r="D1956" t="s">
        <v>6</v>
      </c>
      <c r="E1956" t="str">
        <f>IF(may[[#This Row],[ShiftCounter]]&gt;0, "Running", "Down")</f>
        <v>Running</v>
      </c>
    </row>
    <row r="1957" spans="1:5" x14ac:dyDescent="0.25">
      <c r="A1957" s="10">
        <v>44701</v>
      </c>
      <c r="B1957" s="11" t="s">
        <v>10</v>
      </c>
      <c r="C1957">
        <v>2157</v>
      </c>
      <c r="D1957" t="s">
        <v>7</v>
      </c>
      <c r="E1957" t="str">
        <f>IF(may[[#This Row],[ShiftCounter]]&gt;0, "Running", "Down")</f>
        <v>Running</v>
      </c>
    </row>
    <row r="1958" spans="1:5" x14ac:dyDescent="0.25">
      <c r="A1958" s="10">
        <v>44701</v>
      </c>
      <c r="B1958" s="11" t="s">
        <v>10</v>
      </c>
      <c r="C1958">
        <v>2241</v>
      </c>
      <c r="D1958" t="s">
        <v>8</v>
      </c>
      <c r="E1958" t="str">
        <f>IF(may[[#This Row],[ShiftCounter]]&gt;0, "Running", "Down")</f>
        <v>Running</v>
      </c>
    </row>
    <row r="1959" spans="1:5" x14ac:dyDescent="0.25">
      <c r="A1959" s="10">
        <v>44701</v>
      </c>
      <c r="B1959" s="11" t="s">
        <v>12</v>
      </c>
      <c r="C1959">
        <v>2114</v>
      </c>
      <c r="D1959" t="s">
        <v>6</v>
      </c>
      <c r="E1959" t="str">
        <f>IF(may[[#This Row],[ShiftCounter]]&gt;0, "Running", "Down")</f>
        <v>Running</v>
      </c>
    </row>
    <row r="1960" spans="1:5" x14ac:dyDescent="0.25">
      <c r="A1960" s="10">
        <v>44701</v>
      </c>
      <c r="B1960" s="11" t="s">
        <v>12</v>
      </c>
      <c r="C1960">
        <v>2162</v>
      </c>
      <c r="D1960" t="s">
        <v>7</v>
      </c>
      <c r="E1960" t="str">
        <f>IF(may[[#This Row],[ShiftCounter]]&gt;0, "Running", "Down")</f>
        <v>Running</v>
      </c>
    </row>
    <row r="1961" spans="1:5" x14ac:dyDescent="0.25">
      <c r="A1961" s="10">
        <v>44701</v>
      </c>
      <c r="B1961" s="11" t="s">
        <v>12</v>
      </c>
      <c r="C1961">
        <v>2006</v>
      </c>
      <c r="D1961" t="s">
        <v>8</v>
      </c>
      <c r="E1961" t="str">
        <f>IF(may[[#This Row],[ShiftCounter]]&gt;0, "Running", "Down")</f>
        <v>Running</v>
      </c>
    </row>
    <row r="1962" spans="1:5" x14ac:dyDescent="0.25">
      <c r="A1962" s="10">
        <v>44701</v>
      </c>
      <c r="B1962" s="11" t="s">
        <v>120</v>
      </c>
      <c r="C1962">
        <v>2129</v>
      </c>
      <c r="D1962" t="s">
        <v>6</v>
      </c>
      <c r="E1962" t="str">
        <f>IF(may[[#This Row],[ShiftCounter]]&gt;0, "Running", "Down")</f>
        <v>Running</v>
      </c>
    </row>
    <row r="1963" spans="1:5" x14ac:dyDescent="0.25">
      <c r="A1963" s="10">
        <v>44701</v>
      </c>
      <c r="B1963" s="11" t="s">
        <v>120</v>
      </c>
      <c r="C1963">
        <v>2124</v>
      </c>
      <c r="D1963" t="s">
        <v>7</v>
      </c>
      <c r="E1963" t="str">
        <f>IF(may[[#This Row],[ShiftCounter]]&gt;0, "Running", "Down")</f>
        <v>Running</v>
      </c>
    </row>
    <row r="1964" spans="1:5" x14ac:dyDescent="0.25">
      <c r="A1964" s="10">
        <v>44701</v>
      </c>
      <c r="B1964" s="11" t="s">
        <v>120</v>
      </c>
      <c r="C1964">
        <v>2029</v>
      </c>
      <c r="D1964" t="s">
        <v>8</v>
      </c>
      <c r="E1964" t="str">
        <f>IF(may[[#This Row],[ShiftCounter]]&gt;0, "Running", "Down")</f>
        <v>Running</v>
      </c>
    </row>
    <row r="1965" spans="1:5" x14ac:dyDescent="0.25">
      <c r="A1965" s="10">
        <v>44701</v>
      </c>
      <c r="B1965" s="11" t="s">
        <v>13</v>
      </c>
      <c r="C1965">
        <v>2300</v>
      </c>
      <c r="D1965" t="s">
        <v>6</v>
      </c>
      <c r="E1965" t="str">
        <f>IF(may[[#This Row],[ShiftCounter]]&gt;0, "Running", "Down")</f>
        <v>Running</v>
      </c>
    </row>
    <row r="1966" spans="1:5" x14ac:dyDescent="0.25">
      <c r="A1966" s="10">
        <v>44701</v>
      </c>
      <c r="B1966" s="11" t="s">
        <v>13</v>
      </c>
      <c r="C1966">
        <v>2114</v>
      </c>
      <c r="D1966" t="s">
        <v>7</v>
      </c>
      <c r="E1966" t="str">
        <f>IF(may[[#This Row],[ShiftCounter]]&gt;0, "Running", "Down")</f>
        <v>Running</v>
      </c>
    </row>
    <row r="1967" spans="1:5" x14ac:dyDescent="0.25">
      <c r="A1967" s="10">
        <v>44701</v>
      </c>
      <c r="B1967" s="11" t="s">
        <v>13</v>
      </c>
      <c r="C1967">
        <v>1848</v>
      </c>
      <c r="D1967" t="s">
        <v>8</v>
      </c>
      <c r="E1967" t="str">
        <f>IF(may[[#This Row],[ShiftCounter]]&gt;0, "Running", "Down")</f>
        <v>Running</v>
      </c>
    </row>
    <row r="1968" spans="1:5" x14ac:dyDescent="0.25">
      <c r="A1968" s="10">
        <v>44701</v>
      </c>
      <c r="B1968" s="11" t="s">
        <v>114</v>
      </c>
      <c r="C1968">
        <v>2300</v>
      </c>
      <c r="D1968" t="s">
        <v>6</v>
      </c>
      <c r="E1968" t="str">
        <f>IF(may[[#This Row],[ShiftCounter]]&gt;0, "Running", "Down")</f>
        <v>Running</v>
      </c>
    </row>
    <row r="1969" spans="1:5" x14ac:dyDescent="0.25">
      <c r="A1969" s="10">
        <v>44701</v>
      </c>
      <c r="B1969" s="11" t="s">
        <v>114</v>
      </c>
      <c r="C1969">
        <v>2234</v>
      </c>
      <c r="D1969" t="s">
        <v>7</v>
      </c>
      <c r="E1969" t="str">
        <f>IF(may[[#This Row],[ShiftCounter]]&gt;0, "Running", "Down")</f>
        <v>Running</v>
      </c>
    </row>
    <row r="1970" spans="1:5" x14ac:dyDescent="0.25">
      <c r="A1970" s="10">
        <v>44701</v>
      </c>
      <c r="B1970" s="11" t="s">
        <v>114</v>
      </c>
      <c r="C1970">
        <v>1866</v>
      </c>
      <c r="D1970" t="s">
        <v>8</v>
      </c>
      <c r="E1970" t="str">
        <f>IF(may[[#This Row],[ShiftCounter]]&gt;0, "Running", "Down")</f>
        <v>Running</v>
      </c>
    </row>
    <row r="1971" spans="1:5" x14ac:dyDescent="0.25">
      <c r="A1971" s="10">
        <v>44701</v>
      </c>
      <c r="B1971" s="11" t="s">
        <v>14</v>
      </c>
      <c r="C1971">
        <v>1870</v>
      </c>
      <c r="D1971" t="s">
        <v>6</v>
      </c>
      <c r="E1971" t="str">
        <f>IF(may[[#This Row],[ShiftCounter]]&gt;0, "Running", "Down")</f>
        <v>Running</v>
      </c>
    </row>
    <row r="1972" spans="1:5" x14ac:dyDescent="0.25">
      <c r="A1972" s="10">
        <v>44701</v>
      </c>
      <c r="B1972" s="11" t="s">
        <v>14</v>
      </c>
      <c r="C1972">
        <v>1844</v>
      </c>
      <c r="D1972" t="s">
        <v>7</v>
      </c>
      <c r="E1972" t="str">
        <f>IF(may[[#This Row],[ShiftCounter]]&gt;0, "Running", "Down")</f>
        <v>Running</v>
      </c>
    </row>
    <row r="1973" spans="1:5" x14ac:dyDescent="0.25">
      <c r="A1973" s="10">
        <v>44701</v>
      </c>
      <c r="B1973" s="11" t="s">
        <v>14</v>
      </c>
      <c r="C1973">
        <v>1594</v>
      </c>
      <c r="D1973" t="s">
        <v>8</v>
      </c>
      <c r="E1973" t="str">
        <f>IF(may[[#This Row],[ShiftCounter]]&gt;0, "Running", "Down")</f>
        <v>Running</v>
      </c>
    </row>
    <row r="1974" spans="1:5" x14ac:dyDescent="0.25">
      <c r="A1974" s="10">
        <v>44701</v>
      </c>
      <c r="B1974" s="11" t="s">
        <v>15</v>
      </c>
      <c r="C1974">
        <v>2200</v>
      </c>
      <c r="D1974" t="s">
        <v>6</v>
      </c>
      <c r="E1974" t="str">
        <f>IF(may[[#This Row],[ShiftCounter]]&gt;0, "Running", "Down")</f>
        <v>Running</v>
      </c>
    </row>
    <row r="1975" spans="1:5" x14ac:dyDescent="0.25">
      <c r="A1975" s="10">
        <v>44701</v>
      </c>
      <c r="B1975" s="11" t="s">
        <v>15</v>
      </c>
      <c r="C1975">
        <v>2134</v>
      </c>
      <c r="D1975" t="s">
        <v>7</v>
      </c>
      <c r="E1975" t="str">
        <f>IF(may[[#This Row],[ShiftCounter]]&gt;0, "Running", "Down")</f>
        <v>Running</v>
      </c>
    </row>
    <row r="1976" spans="1:5" x14ac:dyDescent="0.25">
      <c r="A1976" s="10">
        <v>44701</v>
      </c>
      <c r="B1976" s="11" t="s">
        <v>15</v>
      </c>
      <c r="C1976">
        <v>1859</v>
      </c>
      <c r="D1976" t="s">
        <v>8</v>
      </c>
      <c r="E1976" t="str">
        <f>IF(may[[#This Row],[ShiftCounter]]&gt;0, "Running", "Down")</f>
        <v>Running</v>
      </c>
    </row>
    <row r="1977" spans="1:5" x14ac:dyDescent="0.25">
      <c r="A1977" s="10">
        <v>44701</v>
      </c>
      <c r="B1977" s="11" t="s">
        <v>16</v>
      </c>
      <c r="C1977">
        <v>2255</v>
      </c>
      <c r="D1977" t="s">
        <v>6</v>
      </c>
      <c r="E1977" t="str">
        <f>IF(may[[#This Row],[ShiftCounter]]&gt;0, "Running", "Down")</f>
        <v>Running</v>
      </c>
    </row>
    <row r="1978" spans="1:5" x14ac:dyDescent="0.25">
      <c r="A1978" s="10">
        <v>44701</v>
      </c>
      <c r="B1978" s="11" t="s">
        <v>16</v>
      </c>
      <c r="C1978">
        <v>2224</v>
      </c>
      <c r="D1978" t="s">
        <v>7</v>
      </c>
      <c r="E1978" t="str">
        <f>IF(may[[#This Row],[ShiftCounter]]&gt;0, "Running", "Down")</f>
        <v>Running</v>
      </c>
    </row>
    <row r="1979" spans="1:5" x14ac:dyDescent="0.25">
      <c r="A1979" s="10">
        <v>44701</v>
      </c>
      <c r="B1979" s="11" t="s">
        <v>16</v>
      </c>
      <c r="C1979">
        <v>1931</v>
      </c>
      <c r="D1979" t="s">
        <v>8</v>
      </c>
      <c r="E1979" t="str">
        <f>IF(may[[#This Row],[ShiftCounter]]&gt;0, "Running", "Down")</f>
        <v>Running</v>
      </c>
    </row>
    <row r="1980" spans="1:5" x14ac:dyDescent="0.25">
      <c r="A1980" s="10">
        <v>44701</v>
      </c>
      <c r="B1980" s="11" t="s">
        <v>17</v>
      </c>
      <c r="C1980">
        <v>2146</v>
      </c>
      <c r="D1980" t="s">
        <v>6</v>
      </c>
      <c r="E1980" t="str">
        <f>IF(may[[#This Row],[ShiftCounter]]&gt;0, "Running", "Down")</f>
        <v>Running</v>
      </c>
    </row>
    <row r="1981" spans="1:5" x14ac:dyDescent="0.25">
      <c r="A1981" s="10">
        <v>44701</v>
      </c>
      <c r="B1981" s="11" t="s">
        <v>17</v>
      </c>
      <c r="C1981">
        <v>2177</v>
      </c>
      <c r="D1981" t="s">
        <v>7</v>
      </c>
      <c r="E1981" t="str">
        <f>IF(may[[#This Row],[ShiftCounter]]&gt;0, "Running", "Down")</f>
        <v>Running</v>
      </c>
    </row>
    <row r="1982" spans="1:5" x14ac:dyDescent="0.25">
      <c r="A1982" s="10">
        <v>44701</v>
      </c>
      <c r="B1982" s="11" t="s">
        <v>17</v>
      </c>
      <c r="C1982">
        <v>1975</v>
      </c>
      <c r="D1982" t="s">
        <v>8</v>
      </c>
      <c r="E1982" t="str">
        <f>IF(may[[#This Row],[ShiftCounter]]&gt;0, "Running", "Down")</f>
        <v>Running</v>
      </c>
    </row>
    <row r="1983" spans="1:5" x14ac:dyDescent="0.25">
      <c r="A1983" s="10">
        <v>44701</v>
      </c>
      <c r="B1983" s="11" t="s">
        <v>19</v>
      </c>
      <c r="C1983">
        <v>2082</v>
      </c>
      <c r="D1983" t="s">
        <v>6</v>
      </c>
      <c r="E1983" t="str">
        <f>IF(may[[#This Row],[ShiftCounter]]&gt;0, "Running", "Down")</f>
        <v>Running</v>
      </c>
    </row>
    <row r="1984" spans="1:5" x14ac:dyDescent="0.25">
      <c r="A1984" s="10">
        <v>44701</v>
      </c>
      <c r="B1984" s="11" t="s">
        <v>19</v>
      </c>
      <c r="C1984">
        <v>2095</v>
      </c>
      <c r="D1984" t="s">
        <v>7</v>
      </c>
      <c r="E1984" t="str">
        <f>IF(may[[#This Row],[ShiftCounter]]&gt;0, "Running", "Down")</f>
        <v>Running</v>
      </c>
    </row>
    <row r="1985" spans="1:5" x14ac:dyDescent="0.25">
      <c r="A1985" s="10">
        <v>44701</v>
      </c>
      <c r="B1985" s="11" t="s">
        <v>19</v>
      </c>
      <c r="C1985">
        <v>1806</v>
      </c>
      <c r="D1985" t="s">
        <v>8</v>
      </c>
      <c r="E1985" t="str">
        <f>IF(may[[#This Row],[ShiftCounter]]&gt;0, "Running", "Down")</f>
        <v>Running</v>
      </c>
    </row>
    <row r="1986" spans="1:5" x14ac:dyDescent="0.25">
      <c r="A1986" s="10">
        <v>44701</v>
      </c>
      <c r="B1986" s="11" t="s">
        <v>18</v>
      </c>
      <c r="C1986">
        <v>1231</v>
      </c>
      <c r="D1986" t="s">
        <v>6</v>
      </c>
      <c r="E1986" t="str">
        <f>IF(may[[#This Row],[ShiftCounter]]&gt;0, "Running", "Down")</f>
        <v>Running</v>
      </c>
    </row>
    <row r="1987" spans="1:5" x14ac:dyDescent="0.25">
      <c r="A1987" s="10">
        <v>44701</v>
      </c>
      <c r="B1987" s="11" t="s">
        <v>18</v>
      </c>
      <c r="C1987">
        <v>2106</v>
      </c>
      <c r="D1987" t="s">
        <v>7</v>
      </c>
      <c r="E1987" t="str">
        <f>IF(may[[#This Row],[ShiftCounter]]&gt;0, "Running", "Down")</f>
        <v>Running</v>
      </c>
    </row>
    <row r="1988" spans="1:5" x14ac:dyDescent="0.25">
      <c r="A1988" s="10">
        <v>44701</v>
      </c>
      <c r="B1988" s="11" t="s">
        <v>18</v>
      </c>
      <c r="C1988">
        <v>2149</v>
      </c>
      <c r="D1988" t="s">
        <v>8</v>
      </c>
      <c r="E1988" t="str">
        <f>IF(may[[#This Row],[ShiftCounter]]&gt;0, "Running", "Down")</f>
        <v>Running</v>
      </c>
    </row>
    <row r="1989" spans="1:5" x14ac:dyDescent="0.25">
      <c r="A1989" s="10">
        <v>44701</v>
      </c>
      <c r="B1989" s="11" t="s">
        <v>20</v>
      </c>
      <c r="C1989">
        <v>2000</v>
      </c>
      <c r="D1989" t="s">
        <v>6</v>
      </c>
      <c r="E1989" t="str">
        <f>IF(may[[#This Row],[ShiftCounter]]&gt;0, "Running", "Down")</f>
        <v>Running</v>
      </c>
    </row>
    <row r="1990" spans="1:5" x14ac:dyDescent="0.25">
      <c r="A1990" s="10">
        <v>44701</v>
      </c>
      <c r="B1990" s="11" t="s">
        <v>20</v>
      </c>
      <c r="C1990">
        <v>1877</v>
      </c>
      <c r="D1990" t="s">
        <v>7</v>
      </c>
      <c r="E1990" t="str">
        <f>IF(may[[#This Row],[ShiftCounter]]&gt;0, "Running", "Down")</f>
        <v>Running</v>
      </c>
    </row>
    <row r="1991" spans="1:5" x14ac:dyDescent="0.25">
      <c r="A1991" s="10">
        <v>44701</v>
      </c>
      <c r="B1991" s="11" t="s">
        <v>20</v>
      </c>
      <c r="C1991">
        <v>1832</v>
      </c>
      <c r="D1991" t="s">
        <v>8</v>
      </c>
      <c r="E1991" t="str">
        <f>IF(may[[#This Row],[ShiftCounter]]&gt;0, "Running", "Down")</f>
        <v>Running</v>
      </c>
    </row>
    <row r="1992" spans="1:5" x14ac:dyDescent="0.25">
      <c r="A1992" s="10">
        <v>44701</v>
      </c>
      <c r="B1992" s="11" t="s">
        <v>21</v>
      </c>
      <c r="C1992">
        <v>1846</v>
      </c>
      <c r="D1992" t="s">
        <v>6</v>
      </c>
      <c r="E1992" t="str">
        <f>IF(may[[#This Row],[ShiftCounter]]&gt;0, "Running", "Down")</f>
        <v>Running</v>
      </c>
    </row>
    <row r="1993" spans="1:5" x14ac:dyDescent="0.25">
      <c r="A1993" s="10">
        <v>44701</v>
      </c>
      <c r="B1993" s="11" t="s">
        <v>21</v>
      </c>
      <c r="C1993">
        <v>1927</v>
      </c>
      <c r="D1993" t="s">
        <v>7</v>
      </c>
      <c r="E1993" t="str">
        <f>IF(may[[#This Row],[ShiftCounter]]&gt;0, "Running", "Down")</f>
        <v>Running</v>
      </c>
    </row>
    <row r="1994" spans="1:5" x14ac:dyDescent="0.25">
      <c r="A1994" s="10">
        <v>44701</v>
      </c>
      <c r="B1994" s="11" t="s">
        <v>21</v>
      </c>
      <c r="C1994">
        <v>1901</v>
      </c>
      <c r="D1994" t="s">
        <v>8</v>
      </c>
      <c r="E1994" t="str">
        <f>IF(may[[#This Row],[ShiftCounter]]&gt;0, "Running", "Down")</f>
        <v>Running</v>
      </c>
    </row>
    <row r="1995" spans="1:5" x14ac:dyDescent="0.25">
      <c r="A1995" s="10">
        <v>44701</v>
      </c>
      <c r="B1995" s="11" t="s">
        <v>22</v>
      </c>
      <c r="C1995">
        <v>2257</v>
      </c>
      <c r="D1995" t="s">
        <v>6</v>
      </c>
      <c r="E1995" t="str">
        <f>IF(may[[#This Row],[ShiftCounter]]&gt;0, "Running", "Down")</f>
        <v>Running</v>
      </c>
    </row>
    <row r="1996" spans="1:5" x14ac:dyDescent="0.25">
      <c r="A1996" s="10">
        <v>44701</v>
      </c>
      <c r="B1996" s="11" t="s">
        <v>22</v>
      </c>
      <c r="C1996">
        <v>2076</v>
      </c>
      <c r="D1996" t="s">
        <v>7</v>
      </c>
      <c r="E1996" t="str">
        <f>IF(may[[#This Row],[ShiftCounter]]&gt;0, "Running", "Down")</f>
        <v>Running</v>
      </c>
    </row>
    <row r="1997" spans="1:5" x14ac:dyDescent="0.25">
      <c r="A1997" s="10">
        <v>44701</v>
      </c>
      <c r="B1997" s="11" t="s">
        <v>22</v>
      </c>
      <c r="C1997">
        <v>1942</v>
      </c>
      <c r="D1997" t="s">
        <v>8</v>
      </c>
      <c r="E1997" t="str">
        <f>IF(may[[#This Row],[ShiftCounter]]&gt;0, "Running", "Down")</f>
        <v>Running</v>
      </c>
    </row>
    <row r="1998" spans="1:5" x14ac:dyDescent="0.25">
      <c r="A1998" s="10">
        <v>44701</v>
      </c>
      <c r="B1998" s="11" t="s">
        <v>23</v>
      </c>
      <c r="C1998">
        <v>2278</v>
      </c>
      <c r="D1998" t="s">
        <v>6</v>
      </c>
      <c r="E1998" t="str">
        <f>IF(may[[#This Row],[ShiftCounter]]&gt;0, "Running", "Down")</f>
        <v>Running</v>
      </c>
    </row>
    <row r="1999" spans="1:5" x14ac:dyDescent="0.25">
      <c r="A1999" s="10">
        <v>44701</v>
      </c>
      <c r="B1999" s="11" t="s">
        <v>23</v>
      </c>
      <c r="C1999">
        <v>2205</v>
      </c>
      <c r="D1999" t="s">
        <v>7</v>
      </c>
      <c r="E1999" t="str">
        <f>IF(may[[#This Row],[ShiftCounter]]&gt;0, "Running", "Down")</f>
        <v>Running</v>
      </c>
    </row>
    <row r="2000" spans="1:5" x14ac:dyDescent="0.25">
      <c r="A2000" s="10">
        <v>44701</v>
      </c>
      <c r="B2000" s="11" t="s">
        <v>23</v>
      </c>
      <c r="C2000">
        <v>2143</v>
      </c>
      <c r="D2000" t="s">
        <v>8</v>
      </c>
      <c r="E2000" t="str">
        <f>IF(may[[#This Row],[ShiftCounter]]&gt;0, "Running", "Down")</f>
        <v>Running</v>
      </c>
    </row>
    <row r="2001" spans="1:5" x14ac:dyDescent="0.25">
      <c r="A2001" s="10">
        <v>44701</v>
      </c>
      <c r="B2001" s="11" t="s">
        <v>24</v>
      </c>
      <c r="C2001">
        <v>2100</v>
      </c>
      <c r="D2001" t="s">
        <v>6</v>
      </c>
      <c r="E2001" t="str">
        <f>IF(may[[#This Row],[ShiftCounter]]&gt;0, "Running", "Down")</f>
        <v>Running</v>
      </c>
    </row>
    <row r="2002" spans="1:5" x14ac:dyDescent="0.25">
      <c r="A2002" s="10">
        <v>44701</v>
      </c>
      <c r="B2002" s="11" t="s">
        <v>24</v>
      </c>
      <c r="C2002">
        <v>1925</v>
      </c>
      <c r="D2002" t="s">
        <v>7</v>
      </c>
      <c r="E2002" t="str">
        <f>IF(may[[#This Row],[ShiftCounter]]&gt;0, "Running", "Down")</f>
        <v>Running</v>
      </c>
    </row>
    <row r="2003" spans="1:5" x14ac:dyDescent="0.25">
      <c r="A2003" s="10">
        <v>44701</v>
      </c>
      <c r="B2003" s="11" t="s">
        <v>24</v>
      </c>
      <c r="C2003">
        <v>1848</v>
      </c>
      <c r="D2003" t="s">
        <v>8</v>
      </c>
      <c r="E2003" t="str">
        <f>IF(may[[#This Row],[ShiftCounter]]&gt;0, "Running", "Down")</f>
        <v>Running</v>
      </c>
    </row>
    <row r="2004" spans="1:5" x14ac:dyDescent="0.25">
      <c r="A2004" s="10">
        <v>44701</v>
      </c>
      <c r="B2004" s="11" t="s">
        <v>25</v>
      </c>
      <c r="C2004">
        <v>2001</v>
      </c>
      <c r="D2004" t="s">
        <v>6</v>
      </c>
      <c r="E2004" t="str">
        <f>IF(may[[#This Row],[ShiftCounter]]&gt;0, "Running", "Down")</f>
        <v>Running</v>
      </c>
    </row>
    <row r="2005" spans="1:5" x14ac:dyDescent="0.25">
      <c r="A2005" s="10">
        <v>44701</v>
      </c>
      <c r="B2005" s="11" t="s">
        <v>25</v>
      </c>
      <c r="C2005">
        <v>1890</v>
      </c>
      <c r="D2005" t="s">
        <v>7</v>
      </c>
      <c r="E2005" t="str">
        <f>IF(may[[#This Row],[ShiftCounter]]&gt;0, "Running", "Down")</f>
        <v>Running</v>
      </c>
    </row>
    <row r="2006" spans="1:5" x14ac:dyDescent="0.25">
      <c r="A2006" s="10">
        <v>44701</v>
      </c>
      <c r="B2006" s="11" t="s">
        <v>25</v>
      </c>
      <c r="C2006">
        <v>2115</v>
      </c>
      <c r="D2006" t="s">
        <v>8</v>
      </c>
      <c r="E2006" t="str">
        <f>IF(may[[#This Row],[ShiftCounter]]&gt;0, "Running", "Down")</f>
        <v>Running</v>
      </c>
    </row>
    <row r="2007" spans="1:5" x14ac:dyDescent="0.25">
      <c r="A2007" s="10">
        <v>44701</v>
      </c>
      <c r="B2007" s="11" t="s">
        <v>27</v>
      </c>
      <c r="C2007">
        <v>2351</v>
      </c>
      <c r="D2007" t="s">
        <v>6</v>
      </c>
      <c r="E2007" t="str">
        <f>IF(may[[#This Row],[ShiftCounter]]&gt;0, "Running", "Down")</f>
        <v>Running</v>
      </c>
    </row>
    <row r="2008" spans="1:5" x14ac:dyDescent="0.25">
      <c r="A2008" s="10">
        <v>44701</v>
      </c>
      <c r="B2008" s="11" t="s">
        <v>27</v>
      </c>
      <c r="C2008">
        <v>2238</v>
      </c>
      <c r="D2008" t="s">
        <v>7</v>
      </c>
      <c r="E2008" t="str">
        <f>IF(may[[#This Row],[ShiftCounter]]&gt;0, "Running", "Down")</f>
        <v>Running</v>
      </c>
    </row>
    <row r="2009" spans="1:5" x14ac:dyDescent="0.25">
      <c r="A2009" s="10">
        <v>44701</v>
      </c>
      <c r="B2009" s="11" t="s">
        <v>27</v>
      </c>
      <c r="C2009">
        <v>2064</v>
      </c>
      <c r="D2009" t="s">
        <v>8</v>
      </c>
      <c r="E2009" t="str">
        <f>IF(may[[#This Row],[ShiftCounter]]&gt;0, "Running", "Down")</f>
        <v>Running</v>
      </c>
    </row>
    <row r="2010" spans="1:5" x14ac:dyDescent="0.25">
      <c r="A2010" s="10">
        <v>44701</v>
      </c>
      <c r="B2010" s="11" t="s">
        <v>26</v>
      </c>
      <c r="C2010">
        <v>2205</v>
      </c>
      <c r="D2010" t="s">
        <v>6</v>
      </c>
      <c r="E2010" t="str">
        <f>IF(may[[#This Row],[ShiftCounter]]&gt;0, "Running", "Down")</f>
        <v>Running</v>
      </c>
    </row>
    <row r="2011" spans="1:5" x14ac:dyDescent="0.25">
      <c r="A2011" s="10">
        <v>44701</v>
      </c>
      <c r="B2011" s="11" t="s">
        <v>26</v>
      </c>
      <c r="C2011">
        <v>2143</v>
      </c>
      <c r="D2011" t="s">
        <v>7</v>
      </c>
      <c r="E2011" t="str">
        <f>IF(may[[#This Row],[ShiftCounter]]&gt;0, "Running", "Down")</f>
        <v>Running</v>
      </c>
    </row>
    <row r="2012" spans="1:5" x14ac:dyDescent="0.25">
      <c r="A2012" s="10">
        <v>44701</v>
      </c>
      <c r="B2012" s="11" t="s">
        <v>26</v>
      </c>
      <c r="C2012">
        <v>1984</v>
      </c>
      <c r="D2012" t="s">
        <v>8</v>
      </c>
      <c r="E2012" t="str">
        <f>IF(may[[#This Row],[ShiftCounter]]&gt;0, "Running", "Down")</f>
        <v>Running</v>
      </c>
    </row>
    <row r="2013" spans="1:5" x14ac:dyDescent="0.25">
      <c r="A2013" s="10">
        <v>44701</v>
      </c>
      <c r="B2013" s="11" t="s">
        <v>28</v>
      </c>
      <c r="C2013">
        <v>1893</v>
      </c>
      <c r="D2013" t="s">
        <v>6</v>
      </c>
      <c r="E2013" t="str">
        <f>IF(may[[#This Row],[ShiftCounter]]&gt;0, "Running", "Down")</f>
        <v>Running</v>
      </c>
    </row>
    <row r="2014" spans="1:5" x14ac:dyDescent="0.25">
      <c r="A2014" s="10">
        <v>44701</v>
      </c>
      <c r="B2014" s="11" t="s">
        <v>28</v>
      </c>
      <c r="C2014">
        <v>2094</v>
      </c>
      <c r="D2014" t="s">
        <v>7</v>
      </c>
      <c r="E2014" t="str">
        <f>IF(may[[#This Row],[ShiftCounter]]&gt;0, "Running", "Down")</f>
        <v>Running</v>
      </c>
    </row>
    <row r="2015" spans="1:5" x14ac:dyDescent="0.25">
      <c r="A2015" s="10">
        <v>44701</v>
      </c>
      <c r="B2015" s="11" t="s">
        <v>28</v>
      </c>
      <c r="C2015">
        <v>1937</v>
      </c>
      <c r="D2015" t="s">
        <v>8</v>
      </c>
      <c r="E2015" t="str">
        <f>IF(may[[#This Row],[ShiftCounter]]&gt;0, "Running", "Down")</f>
        <v>Running</v>
      </c>
    </row>
    <row r="2016" spans="1:5" x14ac:dyDescent="0.25">
      <c r="A2016" s="10">
        <v>44701</v>
      </c>
      <c r="B2016" s="11" t="s">
        <v>30</v>
      </c>
      <c r="C2016">
        <v>2302</v>
      </c>
      <c r="D2016" t="s">
        <v>6</v>
      </c>
      <c r="E2016" t="str">
        <f>IF(may[[#This Row],[ShiftCounter]]&gt;0, "Running", "Down")</f>
        <v>Running</v>
      </c>
    </row>
    <row r="2017" spans="1:5" x14ac:dyDescent="0.25">
      <c r="A2017" s="10">
        <v>44701</v>
      </c>
      <c r="B2017" s="11" t="s">
        <v>30</v>
      </c>
      <c r="C2017">
        <v>2242</v>
      </c>
      <c r="D2017" t="s">
        <v>7</v>
      </c>
      <c r="E2017" t="str">
        <f>IF(may[[#This Row],[ShiftCounter]]&gt;0, "Running", "Down")</f>
        <v>Running</v>
      </c>
    </row>
    <row r="2018" spans="1:5" x14ac:dyDescent="0.25">
      <c r="A2018" s="10">
        <v>44701</v>
      </c>
      <c r="B2018" s="11" t="s">
        <v>30</v>
      </c>
      <c r="C2018">
        <v>2053</v>
      </c>
      <c r="D2018" t="s">
        <v>8</v>
      </c>
      <c r="E2018" t="str">
        <f>IF(may[[#This Row],[ShiftCounter]]&gt;0, "Running", "Down")</f>
        <v>Running</v>
      </c>
    </row>
    <row r="2019" spans="1:5" x14ac:dyDescent="0.25">
      <c r="A2019" s="10">
        <v>44701</v>
      </c>
      <c r="B2019" s="11" t="s">
        <v>29</v>
      </c>
      <c r="C2019">
        <v>1275</v>
      </c>
      <c r="D2019" t="s">
        <v>6</v>
      </c>
      <c r="E2019" t="str">
        <f>IF(may[[#This Row],[ShiftCounter]]&gt;0, "Running", "Down")</f>
        <v>Running</v>
      </c>
    </row>
    <row r="2020" spans="1:5" x14ac:dyDescent="0.25">
      <c r="A2020" s="10">
        <v>44701</v>
      </c>
      <c r="B2020" s="11" t="s">
        <v>29</v>
      </c>
      <c r="C2020">
        <v>2000</v>
      </c>
      <c r="D2020" t="s">
        <v>7</v>
      </c>
      <c r="E2020" t="str">
        <f>IF(may[[#This Row],[ShiftCounter]]&gt;0, "Running", "Down")</f>
        <v>Running</v>
      </c>
    </row>
    <row r="2021" spans="1:5" x14ac:dyDescent="0.25">
      <c r="A2021" s="10">
        <v>44701</v>
      </c>
      <c r="B2021" s="11" t="s">
        <v>29</v>
      </c>
      <c r="C2021">
        <v>1653</v>
      </c>
      <c r="D2021" t="s">
        <v>8</v>
      </c>
      <c r="E2021" t="str">
        <f>IF(may[[#This Row],[ShiftCounter]]&gt;0, "Running", "Down")</f>
        <v>Running</v>
      </c>
    </row>
    <row r="2022" spans="1:5" x14ac:dyDescent="0.25">
      <c r="A2022" s="10">
        <v>44701</v>
      </c>
      <c r="B2022" s="11" t="s">
        <v>31</v>
      </c>
      <c r="C2022">
        <v>2180</v>
      </c>
      <c r="D2022" t="s">
        <v>6</v>
      </c>
      <c r="E2022" t="str">
        <f>IF(may[[#This Row],[ShiftCounter]]&gt;0, "Running", "Down")</f>
        <v>Running</v>
      </c>
    </row>
    <row r="2023" spans="1:5" x14ac:dyDescent="0.25">
      <c r="A2023" s="10">
        <v>44701</v>
      </c>
      <c r="B2023" s="11" t="s">
        <v>31</v>
      </c>
      <c r="C2023">
        <v>2100</v>
      </c>
      <c r="D2023" t="s">
        <v>7</v>
      </c>
      <c r="E2023" t="str">
        <f>IF(may[[#This Row],[ShiftCounter]]&gt;0, "Running", "Down")</f>
        <v>Running</v>
      </c>
    </row>
    <row r="2024" spans="1:5" x14ac:dyDescent="0.25">
      <c r="A2024" s="10">
        <v>44701</v>
      </c>
      <c r="B2024" s="11" t="s">
        <v>31</v>
      </c>
      <c r="C2024">
        <v>1826</v>
      </c>
      <c r="D2024" t="s">
        <v>8</v>
      </c>
      <c r="E2024" t="str">
        <f>IF(may[[#This Row],[ShiftCounter]]&gt;0, "Running", "Down")</f>
        <v>Running</v>
      </c>
    </row>
    <row r="2025" spans="1:5" x14ac:dyDescent="0.25">
      <c r="A2025" s="10">
        <v>44701</v>
      </c>
      <c r="B2025" s="11" t="s">
        <v>32</v>
      </c>
      <c r="C2025">
        <v>2237</v>
      </c>
      <c r="D2025" t="s">
        <v>6</v>
      </c>
      <c r="E2025" t="str">
        <f>IF(may[[#This Row],[ShiftCounter]]&gt;0, "Running", "Down")</f>
        <v>Running</v>
      </c>
    </row>
    <row r="2026" spans="1:5" x14ac:dyDescent="0.25">
      <c r="A2026" s="10">
        <v>44701</v>
      </c>
      <c r="B2026" s="11" t="s">
        <v>32</v>
      </c>
      <c r="C2026">
        <v>2051</v>
      </c>
      <c r="D2026" t="s">
        <v>7</v>
      </c>
      <c r="E2026" t="str">
        <f>IF(may[[#This Row],[ShiftCounter]]&gt;0, "Running", "Down")</f>
        <v>Running</v>
      </c>
    </row>
    <row r="2027" spans="1:5" x14ac:dyDescent="0.25">
      <c r="A2027" s="10">
        <v>44701</v>
      </c>
      <c r="B2027" s="11" t="s">
        <v>32</v>
      </c>
      <c r="C2027">
        <v>1920</v>
      </c>
      <c r="D2027" t="s">
        <v>8</v>
      </c>
      <c r="E2027" t="str">
        <f>IF(may[[#This Row],[ShiftCounter]]&gt;0, "Running", "Down")</f>
        <v>Running</v>
      </c>
    </row>
    <row r="2028" spans="1:5" x14ac:dyDescent="0.25">
      <c r="A2028" s="10">
        <v>44701</v>
      </c>
      <c r="B2028" s="11" t="s">
        <v>33</v>
      </c>
      <c r="C2028">
        <v>1045</v>
      </c>
      <c r="D2028" t="s">
        <v>6</v>
      </c>
      <c r="E2028" t="str">
        <f>IF(may[[#This Row],[ShiftCounter]]&gt;0, "Running", "Down")</f>
        <v>Running</v>
      </c>
    </row>
    <row r="2029" spans="1:5" x14ac:dyDescent="0.25">
      <c r="A2029" s="10">
        <v>44701</v>
      </c>
      <c r="B2029" s="11" t="s">
        <v>33</v>
      </c>
      <c r="C2029">
        <v>2242</v>
      </c>
      <c r="D2029" t="s">
        <v>7</v>
      </c>
      <c r="E2029" t="str">
        <f>IF(may[[#This Row],[ShiftCounter]]&gt;0, "Running", "Down")</f>
        <v>Running</v>
      </c>
    </row>
    <row r="2030" spans="1:5" x14ac:dyDescent="0.25">
      <c r="A2030" s="10">
        <v>44701</v>
      </c>
      <c r="B2030" s="11" t="s">
        <v>33</v>
      </c>
      <c r="C2030">
        <v>2195</v>
      </c>
      <c r="D2030" t="s">
        <v>8</v>
      </c>
      <c r="E2030" t="str">
        <f>IF(may[[#This Row],[ShiftCounter]]&gt;0, "Running", "Down")</f>
        <v>Running</v>
      </c>
    </row>
    <row r="2031" spans="1:5" x14ac:dyDescent="0.25">
      <c r="A2031" s="10">
        <v>44701</v>
      </c>
      <c r="B2031" s="11" t="s">
        <v>34</v>
      </c>
      <c r="C2031">
        <v>2119</v>
      </c>
      <c r="D2031" t="s">
        <v>6</v>
      </c>
      <c r="E2031" t="str">
        <f>IF(may[[#This Row],[ShiftCounter]]&gt;0, "Running", "Down")</f>
        <v>Running</v>
      </c>
    </row>
    <row r="2032" spans="1:5" x14ac:dyDescent="0.25">
      <c r="A2032" s="10">
        <v>44701</v>
      </c>
      <c r="B2032" s="11" t="s">
        <v>34</v>
      </c>
      <c r="C2032">
        <v>1921</v>
      </c>
      <c r="D2032" t="s">
        <v>7</v>
      </c>
      <c r="E2032" t="str">
        <f>IF(may[[#This Row],[ShiftCounter]]&gt;0, "Running", "Down")</f>
        <v>Running</v>
      </c>
    </row>
    <row r="2033" spans="1:5" x14ac:dyDescent="0.25">
      <c r="A2033" s="10">
        <v>44701</v>
      </c>
      <c r="B2033" s="11" t="s">
        <v>34</v>
      </c>
      <c r="C2033">
        <v>1700</v>
      </c>
      <c r="D2033" t="s">
        <v>8</v>
      </c>
      <c r="E2033" t="str">
        <f>IF(may[[#This Row],[ShiftCounter]]&gt;0, "Running", "Down")</f>
        <v>Running</v>
      </c>
    </row>
    <row r="2034" spans="1:5" x14ac:dyDescent="0.25">
      <c r="A2034" s="10">
        <v>44701</v>
      </c>
      <c r="B2034" s="11" t="s">
        <v>36</v>
      </c>
      <c r="C2034">
        <v>2185</v>
      </c>
      <c r="D2034" t="s">
        <v>6</v>
      </c>
      <c r="E2034" t="str">
        <f>IF(may[[#This Row],[ShiftCounter]]&gt;0, "Running", "Down")</f>
        <v>Running</v>
      </c>
    </row>
    <row r="2035" spans="1:5" x14ac:dyDescent="0.25">
      <c r="A2035" s="10">
        <v>44701</v>
      </c>
      <c r="B2035" s="11" t="s">
        <v>36</v>
      </c>
      <c r="C2035">
        <v>2338</v>
      </c>
      <c r="D2035" t="s">
        <v>7</v>
      </c>
      <c r="E2035" t="str">
        <f>IF(may[[#This Row],[ShiftCounter]]&gt;0, "Running", "Down")</f>
        <v>Running</v>
      </c>
    </row>
    <row r="2036" spans="1:5" x14ac:dyDescent="0.25">
      <c r="A2036" s="10">
        <v>44701</v>
      </c>
      <c r="B2036" s="11" t="s">
        <v>36</v>
      </c>
      <c r="C2036">
        <v>2098</v>
      </c>
      <c r="D2036" t="s">
        <v>8</v>
      </c>
      <c r="E2036" t="str">
        <f>IF(may[[#This Row],[ShiftCounter]]&gt;0, "Running", "Down")</f>
        <v>Running</v>
      </c>
    </row>
    <row r="2037" spans="1:5" x14ac:dyDescent="0.25">
      <c r="A2037" s="10">
        <v>44701</v>
      </c>
      <c r="B2037" s="11" t="s">
        <v>37</v>
      </c>
      <c r="C2037">
        <v>2502</v>
      </c>
      <c r="D2037" t="s">
        <v>6</v>
      </c>
      <c r="E2037" t="str">
        <f>IF(may[[#This Row],[ShiftCounter]]&gt;0, "Running", "Down")</f>
        <v>Running</v>
      </c>
    </row>
    <row r="2038" spans="1:5" x14ac:dyDescent="0.25">
      <c r="A2038" s="10">
        <v>44701</v>
      </c>
      <c r="B2038" s="11" t="s">
        <v>37</v>
      </c>
      <c r="C2038">
        <v>2257</v>
      </c>
      <c r="D2038" t="s">
        <v>7</v>
      </c>
      <c r="E2038" t="str">
        <f>IF(may[[#This Row],[ShiftCounter]]&gt;0, "Running", "Down")</f>
        <v>Running</v>
      </c>
    </row>
    <row r="2039" spans="1:5" x14ac:dyDescent="0.25">
      <c r="A2039" s="10">
        <v>44701</v>
      </c>
      <c r="B2039" s="11" t="s">
        <v>37</v>
      </c>
      <c r="C2039">
        <v>1968</v>
      </c>
      <c r="D2039" t="s">
        <v>8</v>
      </c>
      <c r="E2039" t="str">
        <f>IF(may[[#This Row],[ShiftCounter]]&gt;0, "Running", "Down")</f>
        <v>Running</v>
      </c>
    </row>
    <row r="2040" spans="1:5" x14ac:dyDescent="0.25">
      <c r="A2040" s="10">
        <v>44702</v>
      </c>
      <c r="B2040" s="11" t="s">
        <v>40</v>
      </c>
      <c r="C2040">
        <v>2317</v>
      </c>
      <c r="D2040" t="s">
        <v>6</v>
      </c>
      <c r="E2040" t="str">
        <f>IF(may[[#This Row],[ShiftCounter]]&gt;0, "Running", "Down")</f>
        <v>Running</v>
      </c>
    </row>
    <row r="2041" spans="1:5" x14ac:dyDescent="0.25">
      <c r="A2041" s="10">
        <v>44702</v>
      </c>
      <c r="B2041" s="11" t="s">
        <v>40</v>
      </c>
      <c r="C2041">
        <v>2378</v>
      </c>
      <c r="D2041" t="s">
        <v>7</v>
      </c>
      <c r="E2041" t="str">
        <f>IF(may[[#This Row],[ShiftCounter]]&gt;0, "Running", "Down")</f>
        <v>Running</v>
      </c>
    </row>
    <row r="2042" spans="1:5" x14ac:dyDescent="0.25">
      <c r="A2042" s="10">
        <v>44702</v>
      </c>
      <c r="B2042" s="11" t="s">
        <v>40</v>
      </c>
      <c r="C2042">
        <v>1951</v>
      </c>
      <c r="D2042" t="s">
        <v>8</v>
      </c>
      <c r="E2042" t="str">
        <f>IF(may[[#This Row],[ShiftCounter]]&gt;0, "Running", "Down")</f>
        <v>Running</v>
      </c>
    </row>
    <row r="2043" spans="1:5" x14ac:dyDescent="0.25">
      <c r="A2043" s="10">
        <v>44702</v>
      </c>
      <c r="B2043" s="11" t="s">
        <v>39</v>
      </c>
      <c r="C2043">
        <v>2086</v>
      </c>
      <c r="D2043" t="s">
        <v>6</v>
      </c>
      <c r="E2043" t="str">
        <f>IF(may[[#This Row],[ShiftCounter]]&gt;0, "Running", "Down")</f>
        <v>Running</v>
      </c>
    </row>
    <row r="2044" spans="1:5" x14ac:dyDescent="0.25">
      <c r="A2044" s="10">
        <v>44702</v>
      </c>
      <c r="B2044" s="11" t="s">
        <v>39</v>
      </c>
      <c r="C2044">
        <v>2087</v>
      </c>
      <c r="D2044" t="s">
        <v>7</v>
      </c>
      <c r="E2044" t="str">
        <f>IF(may[[#This Row],[ShiftCounter]]&gt;0, "Running", "Down")</f>
        <v>Running</v>
      </c>
    </row>
    <row r="2045" spans="1:5" x14ac:dyDescent="0.25">
      <c r="A2045" s="10">
        <v>44702</v>
      </c>
      <c r="B2045" s="11" t="s">
        <v>39</v>
      </c>
      <c r="C2045">
        <v>1715</v>
      </c>
      <c r="D2045" t="s">
        <v>8</v>
      </c>
      <c r="E2045" t="str">
        <f>IF(may[[#This Row],[ShiftCounter]]&gt;0, "Running", "Down")</f>
        <v>Running</v>
      </c>
    </row>
    <row r="2046" spans="1:5" x14ac:dyDescent="0.25">
      <c r="A2046" s="10">
        <v>44702</v>
      </c>
      <c r="B2046" s="11" t="s">
        <v>41</v>
      </c>
      <c r="C2046">
        <v>2316</v>
      </c>
      <c r="D2046" t="s">
        <v>6</v>
      </c>
      <c r="E2046" t="str">
        <f>IF(may[[#This Row],[ShiftCounter]]&gt;0, "Running", "Down")</f>
        <v>Running</v>
      </c>
    </row>
    <row r="2047" spans="1:5" x14ac:dyDescent="0.25">
      <c r="A2047" s="10">
        <v>44702</v>
      </c>
      <c r="B2047" s="11" t="s">
        <v>41</v>
      </c>
      <c r="C2047">
        <v>2343</v>
      </c>
      <c r="D2047" t="s">
        <v>7</v>
      </c>
      <c r="E2047" t="str">
        <f>IF(may[[#This Row],[ShiftCounter]]&gt;0, "Running", "Down")</f>
        <v>Running</v>
      </c>
    </row>
    <row r="2048" spans="1:5" x14ac:dyDescent="0.25">
      <c r="A2048" s="10">
        <v>44702</v>
      </c>
      <c r="B2048" s="11" t="s">
        <v>41</v>
      </c>
      <c r="C2048">
        <v>1951</v>
      </c>
      <c r="D2048" t="s">
        <v>8</v>
      </c>
      <c r="E2048" t="str">
        <f>IF(may[[#This Row],[ShiftCounter]]&gt;0, "Running", "Down")</f>
        <v>Running</v>
      </c>
    </row>
    <row r="2049" spans="1:5" x14ac:dyDescent="0.25">
      <c r="A2049" s="10">
        <v>44702</v>
      </c>
      <c r="B2049" s="11" t="s">
        <v>5</v>
      </c>
      <c r="C2049">
        <v>2351</v>
      </c>
      <c r="D2049" t="s">
        <v>6</v>
      </c>
      <c r="E2049" t="str">
        <f>IF(may[[#This Row],[ShiftCounter]]&gt;0, "Running", "Down")</f>
        <v>Running</v>
      </c>
    </row>
    <row r="2050" spans="1:5" x14ac:dyDescent="0.25">
      <c r="A2050" s="10">
        <v>44702</v>
      </c>
      <c r="B2050" s="11" t="s">
        <v>5</v>
      </c>
      <c r="C2050">
        <v>2381</v>
      </c>
      <c r="D2050" t="s">
        <v>7</v>
      </c>
      <c r="E2050" t="str">
        <f>IF(may[[#This Row],[ShiftCounter]]&gt;0, "Running", "Down")</f>
        <v>Running</v>
      </c>
    </row>
    <row r="2051" spans="1:5" x14ac:dyDescent="0.25">
      <c r="A2051" s="10">
        <v>44702</v>
      </c>
      <c r="B2051" s="11" t="s">
        <v>5</v>
      </c>
      <c r="C2051">
        <v>1966</v>
      </c>
      <c r="D2051" t="s">
        <v>8</v>
      </c>
      <c r="E2051" t="str">
        <f>IF(may[[#This Row],[ShiftCounter]]&gt;0, "Running", "Down")</f>
        <v>Running</v>
      </c>
    </row>
    <row r="2052" spans="1:5" x14ac:dyDescent="0.25">
      <c r="A2052" s="10">
        <v>44702</v>
      </c>
      <c r="B2052" s="11" t="s">
        <v>9</v>
      </c>
      <c r="C2052">
        <v>2357</v>
      </c>
      <c r="D2052" t="s">
        <v>6</v>
      </c>
      <c r="E2052" t="str">
        <f>IF(may[[#This Row],[ShiftCounter]]&gt;0, "Running", "Down")</f>
        <v>Running</v>
      </c>
    </row>
    <row r="2053" spans="1:5" x14ac:dyDescent="0.25">
      <c r="A2053" s="10">
        <v>44702</v>
      </c>
      <c r="B2053" s="11" t="s">
        <v>9</v>
      </c>
      <c r="C2053">
        <v>2352</v>
      </c>
      <c r="D2053" t="s">
        <v>7</v>
      </c>
      <c r="E2053" t="str">
        <f>IF(may[[#This Row],[ShiftCounter]]&gt;0, "Running", "Down")</f>
        <v>Running</v>
      </c>
    </row>
    <row r="2054" spans="1:5" x14ac:dyDescent="0.25">
      <c r="A2054" s="10">
        <v>44702</v>
      </c>
      <c r="B2054" s="11" t="s">
        <v>9</v>
      </c>
      <c r="C2054">
        <v>1951</v>
      </c>
      <c r="D2054" t="s">
        <v>8</v>
      </c>
      <c r="E2054" t="str">
        <f>IF(may[[#This Row],[ShiftCounter]]&gt;0, "Running", "Down")</f>
        <v>Running</v>
      </c>
    </row>
    <row r="2055" spans="1:5" x14ac:dyDescent="0.25">
      <c r="A2055" s="10">
        <v>44702</v>
      </c>
      <c r="B2055" s="11" t="s">
        <v>10</v>
      </c>
      <c r="C2055">
        <v>2394</v>
      </c>
      <c r="D2055" t="s">
        <v>6</v>
      </c>
      <c r="E2055" t="str">
        <f>IF(may[[#This Row],[ShiftCounter]]&gt;0, "Running", "Down")</f>
        <v>Running</v>
      </c>
    </row>
    <row r="2056" spans="1:5" x14ac:dyDescent="0.25">
      <c r="A2056" s="10">
        <v>44702</v>
      </c>
      <c r="B2056" s="11" t="s">
        <v>10</v>
      </c>
      <c r="C2056">
        <v>2284</v>
      </c>
      <c r="D2056" t="s">
        <v>7</v>
      </c>
      <c r="E2056" t="str">
        <f>IF(may[[#This Row],[ShiftCounter]]&gt;0, "Running", "Down")</f>
        <v>Running</v>
      </c>
    </row>
    <row r="2057" spans="1:5" x14ac:dyDescent="0.25">
      <c r="A2057" s="10">
        <v>44702</v>
      </c>
      <c r="B2057" s="11" t="s">
        <v>10</v>
      </c>
      <c r="C2057">
        <v>1730</v>
      </c>
      <c r="D2057" t="s">
        <v>8</v>
      </c>
      <c r="E2057" t="str">
        <f>IF(may[[#This Row],[ShiftCounter]]&gt;0, "Running", "Down")</f>
        <v>Running</v>
      </c>
    </row>
    <row r="2058" spans="1:5" x14ac:dyDescent="0.25">
      <c r="A2058" s="10">
        <v>44702</v>
      </c>
      <c r="B2058" s="11" t="s">
        <v>12</v>
      </c>
      <c r="C2058">
        <v>2030</v>
      </c>
      <c r="D2058" t="s">
        <v>6</v>
      </c>
      <c r="E2058" t="str">
        <f>IF(may[[#This Row],[ShiftCounter]]&gt;0, "Running", "Down")</f>
        <v>Running</v>
      </c>
    </row>
    <row r="2059" spans="1:5" x14ac:dyDescent="0.25">
      <c r="A2059" s="10">
        <v>44702</v>
      </c>
      <c r="B2059" s="11" t="s">
        <v>12</v>
      </c>
      <c r="C2059">
        <v>2207</v>
      </c>
      <c r="D2059" t="s">
        <v>7</v>
      </c>
      <c r="E2059" t="str">
        <f>IF(may[[#This Row],[ShiftCounter]]&gt;0, "Running", "Down")</f>
        <v>Running</v>
      </c>
    </row>
    <row r="2060" spans="1:5" x14ac:dyDescent="0.25">
      <c r="A2060" s="10">
        <v>44702</v>
      </c>
      <c r="B2060" s="11" t="s">
        <v>12</v>
      </c>
      <c r="C2060">
        <v>1792</v>
      </c>
      <c r="D2060" t="s">
        <v>8</v>
      </c>
      <c r="E2060" t="str">
        <f>IF(may[[#This Row],[ShiftCounter]]&gt;0, "Running", "Down")</f>
        <v>Running</v>
      </c>
    </row>
    <row r="2061" spans="1:5" x14ac:dyDescent="0.25">
      <c r="A2061" s="10">
        <v>44702</v>
      </c>
      <c r="B2061" s="11" t="s">
        <v>120</v>
      </c>
      <c r="C2061">
        <v>2053</v>
      </c>
      <c r="D2061" t="s">
        <v>6</v>
      </c>
      <c r="E2061" t="str">
        <f>IF(may[[#This Row],[ShiftCounter]]&gt;0, "Running", "Down")</f>
        <v>Running</v>
      </c>
    </row>
    <row r="2062" spans="1:5" x14ac:dyDescent="0.25">
      <c r="A2062" s="10">
        <v>44702</v>
      </c>
      <c r="B2062" s="11" t="s">
        <v>120</v>
      </c>
      <c r="C2062">
        <v>2185</v>
      </c>
      <c r="D2062" t="s">
        <v>7</v>
      </c>
      <c r="E2062" t="str">
        <f>IF(may[[#This Row],[ShiftCounter]]&gt;0, "Running", "Down")</f>
        <v>Running</v>
      </c>
    </row>
    <row r="2063" spans="1:5" x14ac:dyDescent="0.25">
      <c r="A2063" s="10">
        <v>44702</v>
      </c>
      <c r="B2063" s="11" t="s">
        <v>120</v>
      </c>
      <c r="C2063">
        <v>1799</v>
      </c>
      <c r="D2063" t="s">
        <v>8</v>
      </c>
      <c r="E2063" t="str">
        <f>IF(may[[#This Row],[ShiftCounter]]&gt;0, "Running", "Down")</f>
        <v>Running</v>
      </c>
    </row>
    <row r="2064" spans="1:5" x14ac:dyDescent="0.25">
      <c r="A2064" s="10">
        <v>44702</v>
      </c>
      <c r="B2064" s="11" t="s">
        <v>13</v>
      </c>
      <c r="C2064">
        <v>2156</v>
      </c>
      <c r="D2064" t="s">
        <v>6</v>
      </c>
      <c r="E2064" t="str">
        <f>IF(may[[#This Row],[ShiftCounter]]&gt;0, "Running", "Down")</f>
        <v>Running</v>
      </c>
    </row>
    <row r="2065" spans="1:5" x14ac:dyDescent="0.25">
      <c r="A2065" s="10">
        <v>44702</v>
      </c>
      <c r="B2065" s="11" t="s">
        <v>13</v>
      </c>
      <c r="C2065">
        <v>2204</v>
      </c>
      <c r="D2065" t="s">
        <v>7</v>
      </c>
      <c r="E2065" t="str">
        <f>IF(may[[#This Row],[ShiftCounter]]&gt;0, "Running", "Down")</f>
        <v>Running</v>
      </c>
    </row>
    <row r="2066" spans="1:5" x14ac:dyDescent="0.25">
      <c r="A2066" s="10">
        <v>44702</v>
      </c>
      <c r="B2066" s="11" t="s">
        <v>13</v>
      </c>
      <c r="C2066">
        <v>2029</v>
      </c>
      <c r="D2066" t="s">
        <v>8</v>
      </c>
      <c r="E2066" t="str">
        <f>IF(may[[#This Row],[ShiftCounter]]&gt;0, "Running", "Down")</f>
        <v>Running</v>
      </c>
    </row>
    <row r="2067" spans="1:5" x14ac:dyDescent="0.25">
      <c r="A2067" s="10">
        <v>44702</v>
      </c>
      <c r="B2067" s="11" t="s">
        <v>114</v>
      </c>
      <c r="C2067">
        <v>2161</v>
      </c>
      <c r="D2067" t="s">
        <v>6</v>
      </c>
      <c r="E2067" t="str">
        <f>IF(may[[#This Row],[ShiftCounter]]&gt;0, "Running", "Down")</f>
        <v>Running</v>
      </c>
    </row>
    <row r="2068" spans="1:5" x14ac:dyDescent="0.25">
      <c r="A2068" s="10">
        <v>44702</v>
      </c>
      <c r="B2068" s="11" t="s">
        <v>114</v>
      </c>
      <c r="C2068">
        <v>2183</v>
      </c>
      <c r="D2068" t="s">
        <v>7</v>
      </c>
      <c r="E2068" t="str">
        <f>IF(may[[#This Row],[ShiftCounter]]&gt;0, "Running", "Down")</f>
        <v>Running</v>
      </c>
    </row>
    <row r="2069" spans="1:5" x14ac:dyDescent="0.25">
      <c r="A2069" s="10">
        <v>44702</v>
      </c>
      <c r="B2069" s="11" t="s">
        <v>114</v>
      </c>
      <c r="C2069">
        <v>2052</v>
      </c>
      <c r="D2069" t="s">
        <v>8</v>
      </c>
      <c r="E2069" t="str">
        <f>IF(may[[#This Row],[ShiftCounter]]&gt;0, "Running", "Down")</f>
        <v>Running</v>
      </c>
    </row>
    <row r="2070" spans="1:5" x14ac:dyDescent="0.25">
      <c r="A2070" s="10">
        <v>44702</v>
      </c>
      <c r="B2070" s="11" t="s">
        <v>14</v>
      </c>
      <c r="C2070">
        <v>1871</v>
      </c>
      <c r="D2070" t="s">
        <v>6</v>
      </c>
      <c r="E2070" t="str">
        <f>IF(may[[#This Row],[ShiftCounter]]&gt;0, "Running", "Down")</f>
        <v>Running</v>
      </c>
    </row>
    <row r="2071" spans="1:5" x14ac:dyDescent="0.25">
      <c r="A2071" s="10">
        <v>44702</v>
      </c>
      <c r="B2071" s="11" t="s">
        <v>14</v>
      </c>
      <c r="C2071">
        <v>1935</v>
      </c>
      <c r="D2071" t="s">
        <v>7</v>
      </c>
      <c r="E2071" t="str">
        <f>IF(may[[#This Row],[ShiftCounter]]&gt;0, "Running", "Down")</f>
        <v>Running</v>
      </c>
    </row>
    <row r="2072" spans="1:5" x14ac:dyDescent="0.25">
      <c r="A2072" s="10">
        <v>44702</v>
      </c>
      <c r="B2072" s="11" t="s">
        <v>14</v>
      </c>
      <c r="C2072">
        <v>1745</v>
      </c>
      <c r="D2072" t="s">
        <v>8</v>
      </c>
      <c r="E2072" t="str">
        <f>IF(may[[#This Row],[ShiftCounter]]&gt;0, "Running", "Down")</f>
        <v>Running</v>
      </c>
    </row>
    <row r="2073" spans="1:5" x14ac:dyDescent="0.25">
      <c r="A2073" s="10">
        <v>44702</v>
      </c>
      <c r="B2073" s="11" t="s">
        <v>15</v>
      </c>
      <c r="C2073">
        <v>1411</v>
      </c>
      <c r="D2073" t="s">
        <v>6</v>
      </c>
      <c r="E2073" t="str">
        <f>IF(may[[#This Row],[ShiftCounter]]&gt;0, "Running", "Down")</f>
        <v>Running</v>
      </c>
    </row>
    <row r="2074" spans="1:5" x14ac:dyDescent="0.25">
      <c r="A2074" s="10">
        <v>44702</v>
      </c>
      <c r="B2074" s="11" t="s">
        <v>15</v>
      </c>
      <c r="C2074">
        <v>2063</v>
      </c>
      <c r="D2074" t="s">
        <v>7</v>
      </c>
      <c r="E2074" t="str">
        <f>IF(may[[#This Row],[ShiftCounter]]&gt;0, "Running", "Down")</f>
        <v>Running</v>
      </c>
    </row>
    <row r="2075" spans="1:5" x14ac:dyDescent="0.25">
      <c r="A2075" s="10">
        <v>44702</v>
      </c>
      <c r="B2075" s="11" t="s">
        <v>15</v>
      </c>
      <c r="C2075">
        <v>2020</v>
      </c>
      <c r="D2075" t="s">
        <v>8</v>
      </c>
      <c r="E2075" t="str">
        <f>IF(may[[#This Row],[ShiftCounter]]&gt;0, "Running", "Down")</f>
        <v>Running</v>
      </c>
    </row>
    <row r="2076" spans="1:5" x14ac:dyDescent="0.25">
      <c r="A2076" s="10">
        <v>44702</v>
      </c>
      <c r="B2076" s="11" t="s">
        <v>16</v>
      </c>
      <c r="C2076">
        <v>2281</v>
      </c>
      <c r="D2076" t="s">
        <v>6</v>
      </c>
      <c r="E2076" t="str">
        <f>IF(may[[#This Row],[ShiftCounter]]&gt;0, "Running", "Down")</f>
        <v>Running</v>
      </c>
    </row>
    <row r="2077" spans="1:5" x14ac:dyDescent="0.25">
      <c r="A2077" s="10">
        <v>44702</v>
      </c>
      <c r="B2077" s="11" t="s">
        <v>16</v>
      </c>
      <c r="C2077">
        <v>2299</v>
      </c>
      <c r="D2077" t="s">
        <v>7</v>
      </c>
      <c r="E2077" t="str">
        <f>IF(may[[#This Row],[ShiftCounter]]&gt;0, "Running", "Down")</f>
        <v>Running</v>
      </c>
    </row>
    <row r="2078" spans="1:5" x14ac:dyDescent="0.25">
      <c r="A2078" s="10">
        <v>44702</v>
      </c>
      <c r="B2078" s="11" t="s">
        <v>16</v>
      </c>
      <c r="C2078">
        <v>2104</v>
      </c>
      <c r="D2078" t="s">
        <v>8</v>
      </c>
      <c r="E2078" t="str">
        <f>IF(may[[#This Row],[ShiftCounter]]&gt;0, "Running", "Down")</f>
        <v>Running</v>
      </c>
    </row>
    <row r="2079" spans="1:5" x14ac:dyDescent="0.25">
      <c r="A2079" s="10">
        <v>44702</v>
      </c>
      <c r="B2079" s="11" t="s">
        <v>17</v>
      </c>
      <c r="C2079">
        <v>2182</v>
      </c>
      <c r="D2079" t="s">
        <v>6</v>
      </c>
      <c r="E2079" t="str">
        <f>IF(may[[#This Row],[ShiftCounter]]&gt;0, "Running", "Down")</f>
        <v>Running</v>
      </c>
    </row>
    <row r="2080" spans="1:5" x14ac:dyDescent="0.25">
      <c r="A2080" s="10">
        <v>44702</v>
      </c>
      <c r="B2080" s="11" t="s">
        <v>17</v>
      </c>
      <c r="C2080">
        <v>2319</v>
      </c>
      <c r="D2080" t="s">
        <v>7</v>
      </c>
      <c r="E2080" t="str">
        <f>IF(may[[#This Row],[ShiftCounter]]&gt;0, "Running", "Down")</f>
        <v>Running</v>
      </c>
    </row>
    <row r="2081" spans="1:5" x14ac:dyDescent="0.25">
      <c r="A2081" s="10">
        <v>44702</v>
      </c>
      <c r="B2081" s="11" t="s">
        <v>17</v>
      </c>
      <c r="C2081">
        <v>2198</v>
      </c>
      <c r="D2081" t="s">
        <v>8</v>
      </c>
      <c r="E2081" t="str">
        <f>IF(may[[#This Row],[ShiftCounter]]&gt;0, "Running", "Down")</f>
        <v>Running</v>
      </c>
    </row>
    <row r="2082" spans="1:5" x14ac:dyDescent="0.25">
      <c r="A2082" s="10">
        <v>44702</v>
      </c>
      <c r="B2082" s="11" t="s">
        <v>19</v>
      </c>
      <c r="C2082">
        <v>1988</v>
      </c>
      <c r="D2082" t="s">
        <v>6</v>
      </c>
      <c r="E2082" t="str">
        <f>IF(may[[#This Row],[ShiftCounter]]&gt;0, "Running", "Down")</f>
        <v>Running</v>
      </c>
    </row>
    <row r="2083" spans="1:5" x14ac:dyDescent="0.25">
      <c r="A2083" s="10">
        <v>44702</v>
      </c>
      <c r="B2083" s="11" t="s">
        <v>19</v>
      </c>
      <c r="C2083">
        <v>2068</v>
      </c>
      <c r="D2083" t="s">
        <v>7</v>
      </c>
      <c r="E2083" t="str">
        <f>IF(may[[#This Row],[ShiftCounter]]&gt;0, "Running", "Down")</f>
        <v>Running</v>
      </c>
    </row>
    <row r="2084" spans="1:5" x14ac:dyDescent="0.25">
      <c r="A2084" s="10">
        <v>44702</v>
      </c>
      <c r="B2084" s="11" t="s">
        <v>19</v>
      </c>
      <c r="C2084">
        <v>1939</v>
      </c>
      <c r="D2084" t="s">
        <v>8</v>
      </c>
      <c r="E2084" t="str">
        <f>IF(may[[#This Row],[ShiftCounter]]&gt;0, "Running", "Down")</f>
        <v>Running</v>
      </c>
    </row>
    <row r="2085" spans="1:5" x14ac:dyDescent="0.25">
      <c r="A2085" s="10">
        <v>44702</v>
      </c>
      <c r="B2085" s="11" t="s">
        <v>18</v>
      </c>
      <c r="C2085">
        <v>2063</v>
      </c>
      <c r="D2085" t="s">
        <v>6</v>
      </c>
      <c r="E2085" t="str">
        <f>IF(may[[#This Row],[ShiftCounter]]&gt;0, "Running", "Down")</f>
        <v>Running</v>
      </c>
    </row>
    <row r="2086" spans="1:5" x14ac:dyDescent="0.25">
      <c r="A2086" s="10">
        <v>44702</v>
      </c>
      <c r="B2086" s="11" t="s">
        <v>18</v>
      </c>
      <c r="C2086">
        <v>2231</v>
      </c>
      <c r="D2086" t="s">
        <v>7</v>
      </c>
      <c r="E2086" t="str">
        <f>IF(may[[#This Row],[ShiftCounter]]&gt;0, "Running", "Down")</f>
        <v>Running</v>
      </c>
    </row>
    <row r="2087" spans="1:5" x14ac:dyDescent="0.25">
      <c r="A2087" s="10">
        <v>44702</v>
      </c>
      <c r="B2087" s="11" t="s">
        <v>18</v>
      </c>
      <c r="C2087">
        <v>2279</v>
      </c>
      <c r="D2087" t="s">
        <v>8</v>
      </c>
      <c r="E2087" t="str">
        <f>IF(may[[#This Row],[ShiftCounter]]&gt;0, "Running", "Down")</f>
        <v>Running</v>
      </c>
    </row>
    <row r="2088" spans="1:5" x14ac:dyDescent="0.25">
      <c r="A2088" s="10">
        <v>44702</v>
      </c>
      <c r="B2088" s="11" t="s">
        <v>20</v>
      </c>
      <c r="C2088">
        <v>1979</v>
      </c>
      <c r="D2088" t="s">
        <v>6</v>
      </c>
      <c r="E2088" t="str">
        <f>IF(may[[#This Row],[ShiftCounter]]&gt;0, "Running", "Down")</f>
        <v>Running</v>
      </c>
    </row>
    <row r="2089" spans="1:5" x14ac:dyDescent="0.25">
      <c r="A2089" s="10">
        <v>44702</v>
      </c>
      <c r="B2089" s="11" t="s">
        <v>20</v>
      </c>
      <c r="C2089">
        <v>2008</v>
      </c>
      <c r="D2089" t="s">
        <v>7</v>
      </c>
      <c r="E2089" t="str">
        <f>IF(may[[#This Row],[ShiftCounter]]&gt;0, "Running", "Down")</f>
        <v>Running</v>
      </c>
    </row>
    <row r="2090" spans="1:5" x14ac:dyDescent="0.25">
      <c r="A2090" s="10">
        <v>44702</v>
      </c>
      <c r="B2090" s="11" t="s">
        <v>20</v>
      </c>
      <c r="C2090">
        <v>1902</v>
      </c>
      <c r="D2090" t="s">
        <v>8</v>
      </c>
      <c r="E2090" t="str">
        <f>IF(may[[#This Row],[ShiftCounter]]&gt;0, "Running", "Down")</f>
        <v>Running</v>
      </c>
    </row>
    <row r="2091" spans="1:5" x14ac:dyDescent="0.25">
      <c r="A2091" s="10">
        <v>44702</v>
      </c>
      <c r="B2091" s="11" t="s">
        <v>21</v>
      </c>
      <c r="C2091">
        <v>2059</v>
      </c>
      <c r="D2091" t="s">
        <v>6</v>
      </c>
      <c r="E2091" t="str">
        <f>IF(may[[#This Row],[ShiftCounter]]&gt;0, "Running", "Down")</f>
        <v>Running</v>
      </c>
    </row>
    <row r="2092" spans="1:5" x14ac:dyDescent="0.25">
      <c r="A2092" s="10">
        <v>44702</v>
      </c>
      <c r="B2092" s="11" t="s">
        <v>21</v>
      </c>
      <c r="C2092">
        <v>2064</v>
      </c>
      <c r="D2092" t="s">
        <v>7</v>
      </c>
      <c r="E2092" t="str">
        <f>IF(may[[#This Row],[ShiftCounter]]&gt;0, "Running", "Down")</f>
        <v>Running</v>
      </c>
    </row>
    <row r="2093" spans="1:5" x14ac:dyDescent="0.25">
      <c r="A2093" s="10">
        <v>44702</v>
      </c>
      <c r="B2093" s="11" t="s">
        <v>21</v>
      </c>
      <c r="C2093">
        <v>1953</v>
      </c>
      <c r="D2093" t="s">
        <v>8</v>
      </c>
      <c r="E2093" t="str">
        <f>IF(may[[#This Row],[ShiftCounter]]&gt;0, "Running", "Down")</f>
        <v>Running</v>
      </c>
    </row>
    <row r="2094" spans="1:5" x14ac:dyDescent="0.25">
      <c r="A2094" s="10">
        <v>44702</v>
      </c>
      <c r="B2094" s="11" t="s">
        <v>22</v>
      </c>
      <c r="C2094">
        <v>370</v>
      </c>
      <c r="D2094" t="s">
        <v>6</v>
      </c>
      <c r="E2094" t="str">
        <f>IF(may[[#This Row],[ShiftCounter]]&gt;0, "Running", "Down")</f>
        <v>Running</v>
      </c>
    </row>
    <row r="2095" spans="1:5" x14ac:dyDescent="0.25">
      <c r="A2095" s="10">
        <v>44702</v>
      </c>
      <c r="B2095" s="11" t="s">
        <v>22</v>
      </c>
      <c r="C2095">
        <v>2246</v>
      </c>
      <c r="D2095" t="s">
        <v>7</v>
      </c>
      <c r="E2095" t="str">
        <f>IF(may[[#This Row],[ShiftCounter]]&gt;0, "Running", "Down")</f>
        <v>Running</v>
      </c>
    </row>
    <row r="2096" spans="1:5" x14ac:dyDescent="0.25">
      <c r="A2096" s="10">
        <v>44702</v>
      </c>
      <c r="B2096" s="11" t="s">
        <v>22</v>
      </c>
      <c r="C2096">
        <v>2020</v>
      </c>
      <c r="D2096" t="s">
        <v>8</v>
      </c>
      <c r="E2096" t="str">
        <f>IF(may[[#This Row],[ShiftCounter]]&gt;0, "Running", "Down")</f>
        <v>Running</v>
      </c>
    </row>
    <row r="2097" spans="1:5" x14ac:dyDescent="0.25">
      <c r="A2097" s="10">
        <v>44702</v>
      </c>
      <c r="B2097" s="11" t="s">
        <v>23</v>
      </c>
      <c r="C2097">
        <v>2380</v>
      </c>
      <c r="D2097" t="s">
        <v>6</v>
      </c>
      <c r="E2097" t="str">
        <f>IF(may[[#This Row],[ShiftCounter]]&gt;0, "Running", "Down")</f>
        <v>Running</v>
      </c>
    </row>
    <row r="2098" spans="1:5" x14ac:dyDescent="0.25">
      <c r="A2098" s="10">
        <v>44702</v>
      </c>
      <c r="B2098" s="11" t="s">
        <v>23</v>
      </c>
      <c r="C2098">
        <v>2348</v>
      </c>
      <c r="D2098" t="s">
        <v>7</v>
      </c>
      <c r="E2098" t="str">
        <f>IF(may[[#This Row],[ShiftCounter]]&gt;0, "Running", "Down")</f>
        <v>Running</v>
      </c>
    </row>
    <row r="2099" spans="1:5" x14ac:dyDescent="0.25">
      <c r="A2099" s="10">
        <v>44702</v>
      </c>
      <c r="B2099" s="11" t="s">
        <v>23</v>
      </c>
      <c r="C2099">
        <v>2234</v>
      </c>
      <c r="D2099" t="s">
        <v>8</v>
      </c>
      <c r="E2099" t="str">
        <f>IF(may[[#This Row],[ShiftCounter]]&gt;0, "Running", "Down")</f>
        <v>Running</v>
      </c>
    </row>
    <row r="2100" spans="1:5" x14ac:dyDescent="0.25">
      <c r="A2100" s="10">
        <v>44702</v>
      </c>
      <c r="B2100" s="11" t="s">
        <v>24</v>
      </c>
      <c r="C2100">
        <v>1764</v>
      </c>
      <c r="D2100" t="s">
        <v>6</v>
      </c>
      <c r="E2100" t="str">
        <f>IF(may[[#This Row],[ShiftCounter]]&gt;0, "Running", "Down")</f>
        <v>Running</v>
      </c>
    </row>
    <row r="2101" spans="1:5" x14ac:dyDescent="0.25">
      <c r="A2101" s="10">
        <v>44702</v>
      </c>
      <c r="B2101" s="11" t="s">
        <v>24</v>
      </c>
      <c r="C2101">
        <v>2088</v>
      </c>
      <c r="D2101" t="s">
        <v>7</v>
      </c>
      <c r="E2101" t="str">
        <f>IF(may[[#This Row],[ShiftCounter]]&gt;0, "Running", "Down")</f>
        <v>Running</v>
      </c>
    </row>
    <row r="2102" spans="1:5" x14ac:dyDescent="0.25">
      <c r="A2102" s="10">
        <v>44702</v>
      </c>
      <c r="B2102" s="11" t="s">
        <v>24</v>
      </c>
      <c r="C2102">
        <v>1969</v>
      </c>
      <c r="D2102" t="s">
        <v>8</v>
      </c>
      <c r="E2102" t="str">
        <f>IF(may[[#This Row],[ShiftCounter]]&gt;0, "Running", "Down")</f>
        <v>Running</v>
      </c>
    </row>
    <row r="2103" spans="1:5" x14ac:dyDescent="0.25">
      <c r="A2103" s="10">
        <v>44702</v>
      </c>
      <c r="B2103" s="11" t="s">
        <v>25</v>
      </c>
      <c r="C2103">
        <v>2230</v>
      </c>
      <c r="D2103" t="s">
        <v>6</v>
      </c>
      <c r="E2103" t="str">
        <f>IF(may[[#This Row],[ShiftCounter]]&gt;0, "Running", "Down")</f>
        <v>Running</v>
      </c>
    </row>
    <row r="2104" spans="1:5" x14ac:dyDescent="0.25">
      <c r="A2104" s="10">
        <v>44702</v>
      </c>
      <c r="B2104" s="11" t="s">
        <v>25</v>
      </c>
      <c r="C2104">
        <v>2197</v>
      </c>
      <c r="D2104" t="s">
        <v>7</v>
      </c>
      <c r="E2104" t="str">
        <f>IF(may[[#This Row],[ShiftCounter]]&gt;0, "Running", "Down")</f>
        <v>Running</v>
      </c>
    </row>
    <row r="2105" spans="1:5" x14ac:dyDescent="0.25">
      <c r="A2105" s="10">
        <v>44702</v>
      </c>
      <c r="B2105" s="11" t="s">
        <v>25</v>
      </c>
      <c r="C2105">
        <v>1979</v>
      </c>
      <c r="D2105" t="s">
        <v>8</v>
      </c>
      <c r="E2105" t="str">
        <f>IF(may[[#This Row],[ShiftCounter]]&gt;0, "Running", "Down")</f>
        <v>Running</v>
      </c>
    </row>
    <row r="2106" spans="1:5" x14ac:dyDescent="0.25">
      <c r="A2106" s="10">
        <v>44702</v>
      </c>
      <c r="B2106" s="11" t="s">
        <v>26</v>
      </c>
      <c r="C2106">
        <v>2165</v>
      </c>
      <c r="D2106" t="s">
        <v>6</v>
      </c>
      <c r="E2106" t="str">
        <f>IF(may[[#This Row],[ShiftCounter]]&gt;0, "Running", "Down")</f>
        <v>Running</v>
      </c>
    </row>
    <row r="2107" spans="1:5" x14ac:dyDescent="0.25">
      <c r="A2107" s="10">
        <v>44702</v>
      </c>
      <c r="B2107" s="11" t="s">
        <v>26</v>
      </c>
      <c r="C2107">
        <v>1875</v>
      </c>
      <c r="D2107" t="s">
        <v>7</v>
      </c>
      <c r="E2107" t="str">
        <f>IF(may[[#This Row],[ShiftCounter]]&gt;0, "Running", "Down")</f>
        <v>Running</v>
      </c>
    </row>
    <row r="2108" spans="1:5" x14ac:dyDescent="0.25">
      <c r="A2108" s="10">
        <v>44702</v>
      </c>
      <c r="B2108" s="11" t="s">
        <v>26</v>
      </c>
      <c r="C2108">
        <v>1860</v>
      </c>
      <c r="D2108" t="s">
        <v>8</v>
      </c>
      <c r="E2108" t="str">
        <f>IF(may[[#This Row],[ShiftCounter]]&gt;0, "Running", "Down")</f>
        <v>Running</v>
      </c>
    </row>
    <row r="2109" spans="1:5" x14ac:dyDescent="0.25">
      <c r="A2109" s="10">
        <v>44702</v>
      </c>
      <c r="B2109" s="11" t="s">
        <v>27</v>
      </c>
      <c r="C2109">
        <v>2295</v>
      </c>
      <c r="D2109" t="s">
        <v>6</v>
      </c>
      <c r="E2109" t="str">
        <f>IF(may[[#This Row],[ShiftCounter]]&gt;0, "Running", "Down")</f>
        <v>Running</v>
      </c>
    </row>
    <row r="2110" spans="1:5" x14ac:dyDescent="0.25">
      <c r="A2110" s="10">
        <v>44702</v>
      </c>
      <c r="B2110" s="11" t="s">
        <v>27</v>
      </c>
      <c r="C2110">
        <v>1919</v>
      </c>
      <c r="D2110" t="s">
        <v>7</v>
      </c>
      <c r="E2110" t="str">
        <f>IF(may[[#This Row],[ShiftCounter]]&gt;0, "Running", "Down")</f>
        <v>Running</v>
      </c>
    </row>
    <row r="2111" spans="1:5" x14ac:dyDescent="0.25">
      <c r="A2111" s="10">
        <v>44702</v>
      </c>
      <c r="B2111" s="11" t="s">
        <v>27</v>
      </c>
      <c r="C2111">
        <v>2085</v>
      </c>
      <c r="D2111" t="s">
        <v>8</v>
      </c>
      <c r="E2111" t="str">
        <f>IF(may[[#This Row],[ShiftCounter]]&gt;0, "Running", "Down")</f>
        <v>Running</v>
      </c>
    </row>
    <row r="2112" spans="1:5" x14ac:dyDescent="0.25">
      <c r="A2112" s="10">
        <v>44702</v>
      </c>
      <c r="B2112" s="11" t="s">
        <v>28</v>
      </c>
      <c r="C2112">
        <v>2174</v>
      </c>
      <c r="D2112" t="s">
        <v>6</v>
      </c>
      <c r="E2112" t="str">
        <f>IF(may[[#This Row],[ShiftCounter]]&gt;0, "Running", "Down")</f>
        <v>Running</v>
      </c>
    </row>
    <row r="2113" spans="1:5" x14ac:dyDescent="0.25">
      <c r="A2113" s="10">
        <v>44702</v>
      </c>
      <c r="B2113" s="11" t="s">
        <v>28</v>
      </c>
      <c r="C2113">
        <v>1824</v>
      </c>
      <c r="D2113" t="s">
        <v>7</v>
      </c>
      <c r="E2113" t="str">
        <f>IF(may[[#This Row],[ShiftCounter]]&gt;0, "Running", "Down")</f>
        <v>Running</v>
      </c>
    </row>
    <row r="2114" spans="1:5" x14ac:dyDescent="0.25">
      <c r="A2114" s="10">
        <v>44702</v>
      </c>
      <c r="B2114" s="11" t="s">
        <v>28</v>
      </c>
      <c r="C2114">
        <v>1973</v>
      </c>
      <c r="D2114" t="s">
        <v>8</v>
      </c>
      <c r="E2114" t="str">
        <f>IF(may[[#This Row],[ShiftCounter]]&gt;0, "Running", "Down")</f>
        <v>Running</v>
      </c>
    </row>
    <row r="2115" spans="1:5" x14ac:dyDescent="0.25">
      <c r="A2115" s="10">
        <v>44702</v>
      </c>
      <c r="B2115" s="11" t="s">
        <v>29</v>
      </c>
      <c r="C2115">
        <v>2015</v>
      </c>
      <c r="D2115" t="s">
        <v>6</v>
      </c>
      <c r="E2115" t="str">
        <f>IF(may[[#This Row],[ShiftCounter]]&gt;0, "Running", "Down")</f>
        <v>Running</v>
      </c>
    </row>
    <row r="2116" spans="1:5" x14ac:dyDescent="0.25">
      <c r="A2116" s="10">
        <v>44702</v>
      </c>
      <c r="B2116" s="11" t="s">
        <v>29</v>
      </c>
      <c r="C2116">
        <v>1885</v>
      </c>
      <c r="D2116" t="s">
        <v>7</v>
      </c>
      <c r="E2116" t="str">
        <f>IF(may[[#This Row],[ShiftCounter]]&gt;0, "Running", "Down")</f>
        <v>Running</v>
      </c>
    </row>
    <row r="2117" spans="1:5" x14ac:dyDescent="0.25">
      <c r="A2117" s="10">
        <v>44702</v>
      </c>
      <c r="B2117" s="11" t="s">
        <v>29</v>
      </c>
      <c r="C2117">
        <v>1811</v>
      </c>
      <c r="D2117" t="s">
        <v>8</v>
      </c>
      <c r="E2117" t="str">
        <f>IF(may[[#This Row],[ShiftCounter]]&gt;0, "Running", "Down")</f>
        <v>Running</v>
      </c>
    </row>
    <row r="2118" spans="1:5" x14ac:dyDescent="0.25">
      <c r="A2118" s="10">
        <v>44702</v>
      </c>
      <c r="B2118" s="11" t="s">
        <v>30</v>
      </c>
      <c r="C2118">
        <v>2285</v>
      </c>
      <c r="D2118" t="s">
        <v>6</v>
      </c>
      <c r="E2118" t="str">
        <f>IF(may[[#This Row],[ShiftCounter]]&gt;0, "Running", "Down")</f>
        <v>Running</v>
      </c>
    </row>
    <row r="2119" spans="1:5" x14ac:dyDescent="0.25">
      <c r="A2119" s="10">
        <v>44702</v>
      </c>
      <c r="B2119" s="11" t="s">
        <v>30</v>
      </c>
      <c r="C2119">
        <v>2069</v>
      </c>
      <c r="D2119" t="s">
        <v>7</v>
      </c>
      <c r="E2119" t="str">
        <f>IF(may[[#This Row],[ShiftCounter]]&gt;0, "Running", "Down")</f>
        <v>Running</v>
      </c>
    </row>
    <row r="2120" spans="1:5" x14ac:dyDescent="0.25">
      <c r="A2120" s="10">
        <v>44702</v>
      </c>
      <c r="B2120" s="11" t="s">
        <v>30</v>
      </c>
      <c r="C2120">
        <v>2037</v>
      </c>
      <c r="D2120" t="s">
        <v>8</v>
      </c>
      <c r="E2120" t="str">
        <f>IF(may[[#This Row],[ShiftCounter]]&gt;0, "Running", "Down")</f>
        <v>Running</v>
      </c>
    </row>
    <row r="2121" spans="1:5" x14ac:dyDescent="0.25">
      <c r="A2121" s="10">
        <v>44702</v>
      </c>
      <c r="B2121" s="11" t="s">
        <v>31</v>
      </c>
      <c r="C2121">
        <v>1159</v>
      </c>
      <c r="D2121" t="s">
        <v>6</v>
      </c>
      <c r="E2121" t="str">
        <f>IF(may[[#This Row],[ShiftCounter]]&gt;0, "Running", "Down")</f>
        <v>Running</v>
      </c>
    </row>
    <row r="2122" spans="1:5" x14ac:dyDescent="0.25">
      <c r="A2122" s="10">
        <v>44702</v>
      </c>
      <c r="B2122" s="11" t="s">
        <v>31</v>
      </c>
      <c r="C2122">
        <v>2082</v>
      </c>
      <c r="D2122" t="s">
        <v>7</v>
      </c>
      <c r="E2122" t="str">
        <f>IF(may[[#This Row],[ShiftCounter]]&gt;0, "Running", "Down")</f>
        <v>Running</v>
      </c>
    </row>
    <row r="2123" spans="1:5" x14ac:dyDescent="0.25">
      <c r="A2123" s="10">
        <v>44702</v>
      </c>
      <c r="B2123" s="11" t="s">
        <v>31</v>
      </c>
      <c r="C2123">
        <v>1884</v>
      </c>
      <c r="D2123" t="s">
        <v>8</v>
      </c>
      <c r="E2123" t="str">
        <f>IF(may[[#This Row],[ShiftCounter]]&gt;0, "Running", "Down")</f>
        <v>Running</v>
      </c>
    </row>
    <row r="2124" spans="1:5" x14ac:dyDescent="0.25">
      <c r="A2124" s="10">
        <v>44702</v>
      </c>
      <c r="B2124" s="11" t="s">
        <v>32</v>
      </c>
      <c r="C2124">
        <v>2309</v>
      </c>
      <c r="D2124" t="s">
        <v>6</v>
      </c>
      <c r="E2124" t="str">
        <f>IF(may[[#This Row],[ShiftCounter]]&gt;0, "Running", "Down")</f>
        <v>Running</v>
      </c>
    </row>
    <row r="2125" spans="1:5" x14ac:dyDescent="0.25">
      <c r="A2125" s="10">
        <v>44702</v>
      </c>
      <c r="B2125" s="11" t="s">
        <v>32</v>
      </c>
      <c r="C2125">
        <v>2120</v>
      </c>
      <c r="D2125" t="s">
        <v>7</v>
      </c>
      <c r="E2125" t="str">
        <f>IF(may[[#This Row],[ShiftCounter]]&gt;0, "Running", "Down")</f>
        <v>Running</v>
      </c>
    </row>
    <row r="2126" spans="1:5" x14ac:dyDescent="0.25">
      <c r="A2126" s="10">
        <v>44702</v>
      </c>
      <c r="B2126" s="11" t="s">
        <v>32</v>
      </c>
      <c r="C2126">
        <v>1633</v>
      </c>
      <c r="D2126" t="s">
        <v>8</v>
      </c>
      <c r="E2126" t="str">
        <f>IF(may[[#This Row],[ShiftCounter]]&gt;0, "Running", "Down")</f>
        <v>Running</v>
      </c>
    </row>
    <row r="2127" spans="1:5" x14ac:dyDescent="0.25">
      <c r="A2127" s="10">
        <v>44702</v>
      </c>
      <c r="B2127" s="11" t="s">
        <v>33</v>
      </c>
      <c r="C2127">
        <v>2400</v>
      </c>
      <c r="D2127" t="s">
        <v>6</v>
      </c>
      <c r="E2127" t="str">
        <f>IF(may[[#This Row],[ShiftCounter]]&gt;0, "Running", "Down")</f>
        <v>Running</v>
      </c>
    </row>
    <row r="2128" spans="1:5" x14ac:dyDescent="0.25">
      <c r="A2128" s="10">
        <v>44702</v>
      </c>
      <c r="B2128" s="11" t="s">
        <v>33</v>
      </c>
      <c r="C2128">
        <v>2240</v>
      </c>
      <c r="D2128" t="s">
        <v>7</v>
      </c>
      <c r="E2128" t="str">
        <f>IF(may[[#This Row],[ShiftCounter]]&gt;0, "Running", "Down")</f>
        <v>Running</v>
      </c>
    </row>
    <row r="2129" spans="1:5" x14ac:dyDescent="0.25">
      <c r="A2129" s="10">
        <v>44702</v>
      </c>
      <c r="B2129" s="11" t="s">
        <v>33</v>
      </c>
      <c r="C2129">
        <v>2123</v>
      </c>
      <c r="D2129" t="s">
        <v>8</v>
      </c>
      <c r="E2129" t="str">
        <f>IF(may[[#This Row],[ShiftCounter]]&gt;0, "Running", "Down")</f>
        <v>Running</v>
      </c>
    </row>
    <row r="2130" spans="1:5" x14ac:dyDescent="0.25">
      <c r="A2130" s="10">
        <v>44702</v>
      </c>
      <c r="B2130" s="11" t="s">
        <v>34</v>
      </c>
      <c r="C2130">
        <v>2120</v>
      </c>
      <c r="D2130" t="s">
        <v>6</v>
      </c>
      <c r="E2130" t="str">
        <f>IF(may[[#This Row],[ShiftCounter]]&gt;0, "Running", "Down")</f>
        <v>Running</v>
      </c>
    </row>
    <row r="2131" spans="1:5" x14ac:dyDescent="0.25">
      <c r="A2131" s="10">
        <v>44702</v>
      </c>
      <c r="B2131" s="11" t="s">
        <v>34</v>
      </c>
      <c r="C2131">
        <v>1963</v>
      </c>
      <c r="D2131" t="s">
        <v>7</v>
      </c>
      <c r="E2131" t="str">
        <f>IF(may[[#This Row],[ShiftCounter]]&gt;0, "Running", "Down")</f>
        <v>Running</v>
      </c>
    </row>
    <row r="2132" spans="1:5" x14ac:dyDescent="0.25">
      <c r="A2132" s="10">
        <v>44702</v>
      </c>
      <c r="B2132" s="11" t="s">
        <v>34</v>
      </c>
      <c r="C2132">
        <v>1714</v>
      </c>
      <c r="D2132" t="s">
        <v>8</v>
      </c>
      <c r="E2132" t="str">
        <f>IF(may[[#This Row],[ShiftCounter]]&gt;0, "Running", "Down")</f>
        <v>Running</v>
      </c>
    </row>
    <row r="2133" spans="1:5" x14ac:dyDescent="0.25">
      <c r="A2133" s="10">
        <v>44702</v>
      </c>
      <c r="B2133" s="11" t="s">
        <v>36</v>
      </c>
      <c r="C2133">
        <v>2573</v>
      </c>
      <c r="D2133" t="s">
        <v>6</v>
      </c>
      <c r="E2133" t="str">
        <f>IF(may[[#This Row],[ShiftCounter]]&gt;0, "Running", "Down")</f>
        <v>Running</v>
      </c>
    </row>
    <row r="2134" spans="1:5" x14ac:dyDescent="0.25">
      <c r="A2134" s="10">
        <v>44702</v>
      </c>
      <c r="B2134" s="11" t="s">
        <v>36</v>
      </c>
      <c r="C2134">
        <v>2380</v>
      </c>
      <c r="D2134" t="s">
        <v>7</v>
      </c>
      <c r="E2134" t="str">
        <f>IF(may[[#This Row],[ShiftCounter]]&gt;0, "Running", "Down")</f>
        <v>Running</v>
      </c>
    </row>
    <row r="2135" spans="1:5" x14ac:dyDescent="0.25">
      <c r="A2135" s="10">
        <v>44702</v>
      </c>
      <c r="B2135" s="11" t="s">
        <v>36</v>
      </c>
      <c r="C2135">
        <v>2089</v>
      </c>
      <c r="D2135" t="s">
        <v>8</v>
      </c>
      <c r="E2135" t="str">
        <f>IF(may[[#This Row],[ShiftCounter]]&gt;0, "Running", "Down")</f>
        <v>Running</v>
      </c>
    </row>
    <row r="2136" spans="1:5" x14ac:dyDescent="0.25">
      <c r="A2136" s="10">
        <v>44702</v>
      </c>
      <c r="B2136" s="11" t="s">
        <v>37</v>
      </c>
      <c r="C2136">
        <v>2342</v>
      </c>
      <c r="D2136" t="s">
        <v>6</v>
      </c>
      <c r="E2136" t="str">
        <f>IF(may[[#This Row],[ShiftCounter]]&gt;0, "Running", "Down")</f>
        <v>Running</v>
      </c>
    </row>
    <row r="2137" spans="1:5" x14ac:dyDescent="0.25">
      <c r="A2137" s="10">
        <v>44702</v>
      </c>
      <c r="B2137" s="11" t="s">
        <v>37</v>
      </c>
      <c r="C2137">
        <v>2251</v>
      </c>
      <c r="D2137" t="s">
        <v>7</v>
      </c>
      <c r="E2137" t="str">
        <f>IF(may[[#This Row],[ShiftCounter]]&gt;0, "Running", "Down")</f>
        <v>Running</v>
      </c>
    </row>
    <row r="2138" spans="1:5" x14ac:dyDescent="0.25">
      <c r="A2138" s="10">
        <v>44702</v>
      </c>
      <c r="B2138" s="11" t="s">
        <v>37</v>
      </c>
      <c r="C2138">
        <v>2006</v>
      </c>
      <c r="D2138" t="s">
        <v>8</v>
      </c>
      <c r="E2138" t="str">
        <f>IF(may[[#This Row],[ShiftCounter]]&gt;0, "Running", "Down")</f>
        <v>Running</v>
      </c>
    </row>
    <row r="2139" spans="1:5" x14ac:dyDescent="0.25">
      <c r="A2139" s="10">
        <v>44704</v>
      </c>
      <c r="B2139" s="11" t="s">
        <v>40</v>
      </c>
      <c r="C2139">
        <v>2382</v>
      </c>
      <c r="D2139" t="s">
        <v>6</v>
      </c>
      <c r="E2139" t="str">
        <f>IF(may[[#This Row],[ShiftCounter]]&gt;0, "Running", "Down")</f>
        <v>Running</v>
      </c>
    </row>
    <row r="2140" spans="1:5" x14ac:dyDescent="0.25">
      <c r="A2140" s="10">
        <v>44704</v>
      </c>
      <c r="B2140" s="11" t="s">
        <v>40</v>
      </c>
      <c r="C2140">
        <v>2231</v>
      </c>
      <c r="D2140" t="s">
        <v>7</v>
      </c>
      <c r="E2140" t="str">
        <f>IF(may[[#This Row],[ShiftCounter]]&gt;0, "Running", "Down")</f>
        <v>Running</v>
      </c>
    </row>
    <row r="2141" spans="1:5" x14ac:dyDescent="0.25">
      <c r="A2141" s="10">
        <v>44704</v>
      </c>
      <c r="B2141" s="11" t="s">
        <v>40</v>
      </c>
      <c r="C2141">
        <v>2021</v>
      </c>
      <c r="D2141" t="s">
        <v>8</v>
      </c>
      <c r="E2141" t="str">
        <f>IF(may[[#This Row],[ShiftCounter]]&gt;0, "Running", "Down")</f>
        <v>Running</v>
      </c>
    </row>
    <row r="2142" spans="1:5" x14ac:dyDescent="0.25">
      <c r="A2142" s="10">
        <v>44704</v>
      </c>
      <c r="B2142" s="11" t="s">
        <v>39</v>
      </c>
      <c r="C2142">
        <v>2084</v>
      </c>
      <c r="D2142" t="s">
        <v>6</v>
      </c>
      <c r="E2142" t="str">
        <f>IF(may[[#This Row],[ShiftCounter]]&gt;0, "Running", "Down")</f>
        <v>Running</v>
      </c>
    </row>
    <row r="2143" spans="1:5" x14ac:dyDescent="0.25">
      <c r="A2143" s="10">
        <v>44704</v>
      </c>
      <c r="B2143" s="11" t="s">
        <v>39</v>
      </c>
      <c r="C2143">
        <v>2096</v>
      </c>
      <c r="D2143" t="s">
        <v>7</v>
      </c>
      <c r="E2143" t="str">
        <f>IF(may[[#This Row],[ShiftCounter]]&gt;0, "Running", "Down")</f>
        <v>Running</v>
      </c>
    </row>
    <row r="2144" spans="1:5" x14ac:dyDescent="0.25">
      <c r="A2144" s="10">
        <v>44704</v>
      </c>
      <c r="B2144" s="11" t="s">
        <v>39</v>
      </c>
      <c r="C2144">
        <v>1774</v>
      </c>
      <c r="D2144" t="s">
        <v>8</v>
      </c>
      <c r="E2144" t="str">
        <f>IF(may[[#This Row],[ShiftCounter]]&gt;0, "Running", "Down")</f>
        <v>Running</v>
      </c>
    </row>
    <row r="2145" spans="1:5" x14ac:dyDescent="0.25">
      <c r="A2145" s="10">
        <v>44704</v>
      </c>
      <c r="B2145" s="11" t="s">
        <v>41</v>
      </c>
      <c r="C2145">
        <v>2339</v>
      </c>
      <c r="D2145" t="s">
        <v>6</v>
      </c>
      <c r="E2145" t="str">
        <f>IF(may[[#This Row],[ShiftCounter]]&gt;0, "Running", "Down")</f>
        <v>Running</v>
      </c>
    </row>
    <row r="2146" spans="1:5" x14ac:dyDescent="0.25">
      <c r="A2146" s="10">
        <v>44704</v>
      </c>
      <c r="B2146" s="11" t="s">
        <v>41</v>
      </c>
      <c r="C2146">
        <v>2288</v>
      </c>
      <c r="D2146" t="s">
        <v>7</v>
      </c>
      <c r="E2146" t="str">
        <f>IF(may[[#This Row],[ShiftCounter]]&gt;0, "Running", "Down")</f>
        <v>Running</v>
      </c>
    </row>
    <row r="2147" spans="1:5" x14ac:dyDescent="0.25">
      <c r="A2147" s="10">
        <v>44704</v>
      </c>
      <c r="B2147" s="11" t="s">
        <v>41</v>
      </c>
      <c r="C2147">
        <v>1985</v>
      </c>
      <c r="D2147" t="s">
        <v>8</v>
      </c>
      <c r="E2147" t="str">
        <f>IF(may[[#This Row],[ShiftCounter]]&gt;0, "Running", "Down")</f>
        <v>Running</v>
      </c>
    </row>
    <row r="2148" spans="1:5" x14ac:dyDescent="0.25">
      <c r="A2148" s="10">
        <v>44704</v>
      </c>
      <c r="B2148" s="11" t="s">
        <v>5</v>
      </c>
      <c r="C2148">
        <v>0</v>
      </c>
      <c r="D2148" t="s">
        <v>6</v>
      </c>
      <c r="E2148" t="str">
        <f>IF(may[[#This Row],[ShiftCounter]]&gt;0, "Running", "Down")</f>
        <v>Down</v>
      </c>
    </row>
    <row r="2149" spans="1:5" x14ac:dyDescent="0.25">
      <c r="A2149" s="10">
        <v>44704</v>
      </c>
      <c r="B2149" s="11" t="s">
        <v>5</v>
      </c>
      <c r="C2149">
        <v>0</v>
      </c>
      <c r="D2149" t="s">
        <v>7</v>
      </c>
      <c r="E2149" t="str">
        <f>IF(may[[#This Row],[ShiftCounter]]&gt;0, "Running", "Down")</f>
        <v>Down</v>
      </c>
    </row>
    <row r="2150" spans="1:5" x14ac:dyDescent="0.25">
      <c r="A2150" s="10">
        <v>44704</v>
      </c>
      <c r="B2150" s="11" t="s">
        <v>5</v>
      </c>
      <c r="C2150">
        <v>0</v>
      </c>
      <c r="D2150" t="s">
        <v>8</v>
      </c>
      <c r="E2150" t="str">
        <f>IF(may[[#This Row],[ShiftCounter]]&gt;0, "Running", "Down")</f>
        <v>Down</v>
      </c>
    </row>
    <row r="2151" spans="1:5" x14ac:dyDescent="0.25">
      <c r="A2151" s="10">
        <v>44704</v>
      </c>
      <c r="B2151" s="11" t="s">
        <v>9</v>
      </c>
      <c r="C2151">
        <v>1785</v>
      </c>
      <c r="D2151" t="s">
        <v>6</v>
      </c>
      <c r="E2151" t="str">
        <f>IF(may[[#This Row],[ShiftCounter]]&gt;0, "Running", "Down")</f>
        <v>Running</v>
      </c>
    </row>
    <row r="2152" spans="1:5" x14ac:dyDescent="0.25">
      <c r="A2152" s="10">
        <v>44704</v>
      </c>
      <c r="B2152" s="11" t="s">
        <v>9</v>
      </c>
      <c r="C2152">
        <v>2285</v>
      </c>
      <c r="D2152" t="s">
        <v>7</v>
      </c>
      <c r="E2152" t="str">
        <f>IF(may[[#This Row],[ShiftCounter]]&gt;0, "Running", "Down")</f>
        <v>Running</v>
      </c>
    </row>
    <row r="2153" spans="1:5" x14ac:dyDescent="0.25">
      <c r="A2153" s="10">
        <v>44704</v>
      </c>
      <c r="B2153" s="11" t="s">
        <v>9</v>
      </c>
      <c r="C2153">
        <v>2075</v>
      </c>
      <c r="D2153" t="s">
        <v>8</v>
      </c>
      <c r="E2153" t="str">
        <f>IF(may[[#This Row],[ShiftCounter]]&gt;0, "Running", "Down")</f>
        <v>Running</v>
      </c>
    </row>
    <row r="2154" spans="1:5" x14ac:dyDescent="0.25">
      <c r="A2154" s="10">
        <v>44704</v>
      </c>
      <c r="B2154" s="11" t="s">
        <v>10</v>
      </c>
      <c r="C2154">
        <v>1950</v>
      </c>
      <c r="D2154" t="s">
        <v>6</v>
      </c>
      <c r="E2154" t="str">
        <f>IF(may[[#This Row],[ShiftCounter]]&gt;0, "Running", "Down")</f>
        <v>Running</v>
      </c>
    </row>
    <row r="2155" spans="1:5" x14ac:dyDescent="0.25">
      <c r="A2155" s="10">
        <v>44704</v>
      </c>
      <c r="B2155" s="11" t="s">
        <v>10</v>
      </c>
      <c r="C2155">
        <v>1902</v>
      </c>
      <c r="D2155" t="s">
        <v>7</v>
      </c>
      <c r="E2155" t="str">
        <f>IF(may[[#This Row],[ShiftCounter]]&gt;0, "Running", "Down")</f>
        <v>Running</v>
      </c>
    </row>
    <row r="2156" spans="1:5" x14ac:dyDescent="0.25">
      <c r="A2156" s="10">
        <v>44704</v>
      </c>
      <c r="B2156" s="11" t="s">
        <v>10</v>
      </c>
      <c r="C2156">
        <v>1775</v>
      </c>
      <c r="D2156" t="s">
        <v>8</v>
      </c>
      <c r="E2156" t="str">
        <f>IF(may[[#This Row],[ShiftCounter]]&gt;0, "Running", "Down")</f>
        <v>Running</v>
      </c>
    </row>
    <row r="2157" spans="1:5" x14ac:dyDescent="0.25">
      <c r="A2157" s="10">
        <v>44704</v>
      </c>
      <c r="B2157" s="11" t="s">
        <v>12</v>
      </c>
      <c r="C2157">
        <v>2170</v>
      </c>
      <c r="D2157" t="s">
        <v>6</v>
      </c>
      <c r="E2157" t="str">
        <f>IF(may[[#This Row],[ShiftCounter]]&gt;0, "Running", "Down")</f>
        <v>Running</v>
      </c>
    </row>
    <row r="2158" spans="1:5" x14ac:dyDescent="0.25">
      <c r="A2158" s="10">
        <v>44704</v>
      </c>
      <c r="B2158" s="11" t="s">
        <v>12</v>
      </c>
      <c r="C2158">
        <v>2117</v>
      </c>
      <c r="D2158" t="s">
        <v>7</v>
      </c>
      <c r="E2158" t="str">
        <f>IF(may[[#This Row],[ShiftCounter]]&gt;0, "Running", "Down")</f>
        <v>Running</v>
      </c>
    </row>
    <row r="2159" spans="1:5" x14ac:dyDescent="0.25">
      <c r="A2159" s="10">
        <v>44704</v>
      </c>
      <c r="B2159" s="11" t="s">
        <v>12</v>
      </c>
      <c r="C2159">
        <v>1865</v>
      </c>
      <c r="D2159" t="s">
        <v>8</v>
      </c>
      <c r="E2159" t="str">
        <f>IF(may[[#This Row],[ShiftCounter]]&gt;0, "Running", "Down")</f>
        <v>Running</v>
      </c>
    </row>
    <row r="2160" spans="1:5" x14ac:dyDescent="0.25">
      <c r="A2160" s="10">
        <v>44704</v>
      </c>
      <c r="B2160" s="11" t="s">
        <v>120</v>
      </c>
      <c r="C2160">
        <v>2287</v>
      </c>
      <c r="D2160" t="s">
        <v>6</v>
      </c>
      <c r="E2160" t="str">
        <f>IF(may[[#This Row],[ShiftCounter]]&gt;0, "Running", "Down")</f>
        <v>Running</v>
      </c>
    </row>
    <row r="2161" spans="1:5" x14ac:dyDescent="0.25">
      <c r="A2161" s="10">
        <v>44704</v>
      </c>
      <c r="B2161" s="11" t="s">
        <v>120</v>
      </c>
      <c r="C2161">
        <v>2192</v>
      </c>
      <c r="D2161" t="s">
        <v>7</v>
      </c>
      <c r="E2161" t="str">
        <f>IF(may[[#This Row],[ShiftCounter]]&gt;0, "Running", "Down")</f>
        <v>Running</v>
      </c>
    </row>
    <row r="2162" spans="1:5" x14ac:dyDescent="0.25">
      <c r="A2162" s="10">
        <v>44704</v>
      </c>
      <c r="B2162" s="11" t="s">
        <v>120</v>
      </c>
      <c r="C2162">
        <v>1962</v>
      </c>
      <c r="D2162" t="s">
        <v>8</v>
      </c>
      <c r="E2162" t="str">
        <f>IF(may[[#This Row],[ShiftCounter]]&gt;0, "Running", "Down")</f>
        <v>Running</v>
      </c>
    </row>
    <row r="2163" spans="1:5" x14ac:dyDescent="0.25">
      <c r="A2163" s="10">
        <v>44704</v>
      </c>
      <c r="B2163" s="11" t="s">
        <v>13</v>
      </c>
      <c r="C2163">
        <v>2195</v>
      </c>
      <c r="D2163" t="s">
        <v>6</v>
      </c>
      <c r="E2163" t="str">
        <f>IF(may[[#This Row],[ShiftCounter]]&gt;0, "Running", "Down")</f>
        <v>Running</v>
      </c>
    </row>
    <row r="2164" spans="1:5" x14ac:dyDescent="0.25">
      <c r="A2164" s="10">
        <v>44704</v>
      </c>
      <c r="B2164" s="11" t="s">
        <v>13</v>
      </c>
      <c r="C2164">
        <v>2053</v>
      </c>
      <c r="D2164" t="s">
        <v>7</v>
      </c>
      <c r="E2164" t="str">
        <f>IF(may[[#This Row],[ShiftCounter]]&gt;0, "Running", "Down")</f>
        <v>Running</v>
      </c>
    </row>
    <row r="2165" spans="1:5" x14ac:dyDescent="0.25">
      <c r="A2165" s="10">
        <v>44704</v>
      </c>
      <c r="B2165" s="11" t="s">
        <v>13</v>
      </c>
      <c r="C2165">
        <v>1795</v>
      </c>
      <c r="D2165" t="s">
        <v>8</v>
      </c>
      <c r="E2165" t="str">
        <f>IF(may[[#This Row],[ShiftCounter]]&gt;0, "Running", "Down")</f>
        <v>Running</v>
      </c>
    </row>
    <row r="2166" spans="1:5" x14ac:dyDescent="0.25">
      <c r="A2166" s="10">
        <v>44704</v>
      </c>
      <c r="B2166" s="11" t="s">
        <v>114</v>
      </c>
      <c r="C2166">
        <v>2226</v>
      </c>
      <c r="D2166" t="s">
        <v>6</v>
      </c>
      <c r="E2166" t="str">
        <f>IF(may[[#This Row],[ShiftCounter]]&gt;0, "Running", "Down")</f>
        <v>Running</v>
      </c>
    </row>
    <row r="2167" spans="1:5" x14ac:dyDescent="0.25">
      <c r="A2167" s="10">
        <v>44704</v>
      </c>
      <c r="B2167" s="11" t="s">
        <v>114</v>
      </c>
      <c r="C2167">
        <v>2081</v>
      </c>
      <c r="D2167" t="s">
        <v>7</v>
      </c>
      <c r="E2167" t="str">
        <f>IF(may[[#This Row],[ShiftCounter]]&gt;0, "Running", "Down")</f>
        <v>Running</v>
      </c>
    </row>
    <row r="2168" spans="1:5" x14ac:dyDescent="0.25">
      <c r="A2168" s="10">
        <v>44704</v>
      </c>
      <c r="B2168" s="11" t="s">
        <v>114</v>
      </c>
      <c r="C2168">
        <v>1825</v>
      </c>
      <c r="D2168" t="s">
        <v>8</v>
      </c>
      <c r="E2168" t="str">
        <f>IF(may[[#This Row],[ShiftCounter]]&gt;0, "Running", "Down")</f>
        <v>Running</v>
      </c>
    </row>
    <row r="2169" spans="1:5" x14ac:dyDescent="0.25">
      <c r="A2169" s="10">
        <v>44704</v>
      </c>
      <c r="B2169" s="11" t="s">
        <v>14</v>
      </c>
      <c r="C2169">
        <v>1900</v>
      </c>
      <c r="D2169" t="s">
        <v>6</v>
      </c>
      <c r="E2169" t="str">
        <f>IF(may[[#This Row],[ShiftCounter]]&gt;0, "Running", "Down")</f>
        <v>Running</v>
      </c>
    </row>
    <row r="2170" spans="1:5" x14ac:dyDescent="0.25">
      <c r="A2170" s="10">
        <v>44704</v>
      </c>
      <c r="B2170" s="11" t="s">
        <v>14</v>
      </c>
      <c r="C2170">
        <v>1797</v>
      </c>
      <c r="D2170" t="s">
        <v>7</v>
      </c>
      <c r="E2170" t="str">
        <f>IF(may[[#This Row],[ShiftCounter]]&gt;0, "Running", "Down")</f>
        <v>Running</v>
      </c>
    </row>
    <row r="2171" spans="1:5" x14ac:dyDescent="0.25">
      <c r="A2171" s="10">
        <v>44704</v>
      </c>
      <c r="B2171" s="11" t="s">
        <v>14</v>
      </c>
      <c r="C2171">
        <v>1563</v>
      </c>
      <c r="D2171" t="s">
        <v>8</v>
      </c>
      <c r="E2171" t="str">
        <f>IF(may[[#This Row],[ShiftCounter]]&gt;0, "Running", "Down")</f>
        <v>Running</v>
      </c>
    </row>
    <row r="2172" spans="1:5" x14ac:dyDescent="0.25">
      <c r="A2172" s="10">
        <v>44704</v>
      </c>
      <c r="B2172" s="11" t="s">
        <v>15</v>
      </c>
      <c r="C2172">
        <v>2194</v>
      </c>
      <c r="D2172" t="s">
        <v>6</v>
      </c>
      <c r="E2172" t="str">
        <f>IF(may[[#This Row],[ShiftCounter]]&gt;0, "Running", "Down")</f>
        <v>Running</v>
      </c>
    </row>
    <row r="2173" spans="1:5" x14ac:dyDescent="0.25">
      <c r="A2173" s="10">
        <v>44704</v>
      </c>
      <c r="B2173" s="11" t="s">
        <v>15</v>
      </c>
      <c r="C2173">
        <v>2049</v>
      </c>
      <c r="D2173" t="s">
        <v>7</v>
      </c>
      <c r="E2173" t="str">
        <f>IF(may[[#This Row],[ShiftCounter]]&gt;0, "Running", "Down")</f>
        <v>Running</v>
      </c>
    </row>
    <row r="2174" spans="1:5" x14ac:dyDescent="0.25">
      <c r="A2174" s="10">
        <v>44704</v>
      </c>
      <c r="B2174" s="11" t="s">
        <v>15</v>
      </c>
      <c r="C2174">
        <v>1819</v>
      </c>
      <c r="D2174" t="s">
        <v>8</v>
      </c>
      <c r="E2174" t="str">
        <f>IF(may[[#This Row],[ShiftCounter]]&gt;0, "Running", "Down")</f>
        <v>Running</v>
      </c>
    </row>
    <row r="2175" spans="1:5" x14ac:dyDescent="0.25">
      <c r="A2175" s="10">
        <v>44704</v>
      </c>
      <c r="B2175" s="11" t="s">
        <v>16</v>
      </c>
      <c r="C2175">
        <v>2185</v>
      </c>
      <c r="D2175" t="s">
        <v>6</v>
      </c>
      <c r="E2175" t="str">
        <f>IF(may[[#This Row],[ShiftCounter]]&gt;0, "Running", "Down")</f>
        <v>Running</v>
      </c>
    </row>
    <row r="2176" spans="1:5" x14ac:dyDescent="0.25">
      <c r="A2176" s="10">
        <v>44704</v>
      </c>
      <c r="B2176" s="11" t="s">
        <v>16</v>
      </c>
      <c r="C2176">
        <v>2207</v>
      </c>
      <c r="D2176" t="s">
        <v>7</v>
      </c>
      <c r="E2176" t="str">
        <f>IF(may[[#This Row],[ShiftCounter]]&gt;0, "Running", "Down")</f>
        <v>Running</v>
      </c>
    </row>
    <row r="2177" spans="1:5" x14ac:dyDescent="0.25">
      <c r="A2177" s="10">
        <v>44704</v>
      </c>
      <c r="B2177" s="11" t="s">
        <v>16</v>
      </c>
      <c r="C2177">
        <v>1918</v>
      </c>
      <c r="D2177" t="s">
        <v>8</v>
      </c>
      <c r="E2177" t="str">
        <f>IF(may[[#This Row],[ShiftCounter]]&gt;0, "Running", "Down")</f>
        <v>Running</v>
      </c>
    </row>
    <row r="2178" spans="1:5" x14ac:dyDescent="0.25">
      <c r="A2178" s="10">
        <v>44704</v>
      </c>
      <c r="B2178" s="11" t="s">
        <v>17</v>
      </c>
      <c r="C2178">
        <v>2397</v>
      </c>
      <c r="D2178" t="s">
        <v>6</v>
      </c>
      <c r="E2178" t="str">
        <f>IF(may[[#This Row],[ShiftCounter]]&gt;0, "Running", "Down")</f>
        <v>Running</v>
      </c>
    </row>
    <row r="2179" spans="1:5" x14ac:dyDescent="0.25">
      <c r="A2179" s="10">
        <v>44704</v>
      </c>
      <c r="B2179" s="11" t="s">
        <v>17</v>
      </c>
      <c r="C2179">
        <v>2333</v>
      </c>
      <c r="D2179" t="s">
        <v>7</v>
      </c>
      <c r="E2179" t="str">
        <f>IF(may[[#This Row],[ShiftCounter]]&gt;0, "Running", "Down")</f>
        <v>Running</v>
      </c>
    </row>
    <row r="2180" spans="1:5" x14ac:dyDescent="0.25">
      <c r="A2180" s="10">
        <v>44704</v>
      </c>
      <c r="B2180" s="11" t="s">
        <v>17</v>
      </c>
      <c r="C2180">
        <v>2041</v>
      </c>
      <c r="D2180" t="s">
        <v>8</v>
      </c>
      <c r="E2180" t="str">
        <f>IF(may[[#This Row],[ShiftCounter]]&gt;0, "Running", "Down")</f>
        <v>Running</v>
      </c>
    </row>
    <row r="2181" spans="1:5" x14ac:dyDescent="0.25">
      <c r="A2181" s="10">
        <v>44704</v>
      </c>
      <c r="B2181" s="11" t="s">
        <v>19</v>
      </c>
      <c r="C2181">
        <v>2378</v>
      </c>
      <c r="D2181" t="s">
        <v>6</v>
      </c>
      <c r="E2181" t="str">
        <f>IF(may[[#This Row],[ShiftCounter]]&gt;0, "Running", "Down")</f>
        <v>Running</v>
      </c>
    </row>
    <row r="2182" spans="1:5" x14ac:dyDescent="0.25">
      <c r="A2182" s="10">
        <v>44704</v>
      </c>
      <c r="B2182" s="11" t="s">
        <v>19</v>
      </c>
      <c r="C2182">
        <v>2038</v>
      </c>
      <c r="D2182" t="s">
        <v>7</v>
      </c>
      <c r="E2182" t="str">
        <f>IF(may[[#This Row],[ShiftCounter]]&gt;0, "Running", "Down")</f>
        <v>Running</v>
      </c>
    </row>
    <row r="2183" spans="1:5" x14ac:dyDescent="0.25">
      <c r="A2183" s="10">
        <v>44704</v>
      </c>
      <c r="B2183" s="11" t="s">
        <v>19</v>
      </c>
      <c r="C2183">
        <v>1700</v>
      </c>
      <c r="D2183" t="s">
        <v>8</v>
      </c>
      <c r="E2183" t="str">
        <f>IF(may[[#This Row],[ShiftCounter]]&gt;0, "Running", "Down")</f>
        <v>Running</v>
      </c>
    </row>
    <row r="2184" spans="1:5" x14ac:dyDescent="0.25">
      <c r="A2184" s="10">
        <v>44704</v>
      </c>
      <c r="B2184" s="11" t="s">
        <v>18</v>
      </c>
      <c r="C2184">
        <v>2653</v>
      </c>
      <c r="D2184" t="s">
        <v>6</v>
      </c>
      <c r="E2184" t="str">
        <f>IF(may[[#This Row],[ShiftCounter]]&gt;0, "Running", "Down")</f>
        <v>Running</v>
      </c>
    </row>
    <row r="2185" spans="1:5" x14ac:dyDescent="0.25">
      <c r="A2185" s="10">
        <v>44704</v>
      </c>
      <c r="B2185" s="11" t="s">
        <v>18</v>
      </c>
      <c r="C2185">
        <v>2307</v>
      </c>
      <c r="D2185" t="s">
        <v>7</v>
      </c>
      <c r="E2185" t="str">
        <f>IF(may[[#This Row],[ShiftCounter]]&gt;0, "Running", "Down")</f>
        <v>Running</v>
      </c>
    </row>
    <row r="2186" spans="1:5" x14ac:dyDescent="0.25">
      <c r="A2186" s="10">
        <v>44704</v>
      </c>
      <c r="B2186" s="11" t="s">
        <v>18</v>
      </c>
      <c r="C2186">
        <v>2133</v>
      </c>
      <c r="D2186" t="s">
        <v>8</v>
      </c>
      <c r="E2186" t="str">
        <f>IF(may[[#This Row],[ShiftCounter]]&gt;0, "Running", "Down")</f>
        <v>Running</v>
      </c>
    </row>
    <row r="2187" spans="1:5" x14ac:dyDescent="0.25">
      <c r="A2187" s="10">
        <v>44704</v>
      </c>
      <c r="B2187" s="11" t="s">
        <v>20</v>
      </c>
      <c r="C2187">
        <v>2012</v>
      </c>
      <c r="D2187" t="s">
        <v>6</v>
      </c>
      <c r="E2187" t="str">
        <f>IF(may[[#This Row],[ShiftCounter]]&gt;0, "Running", "Down")</f>
        <v>Running</v>
      </c>
    </row>
    <row r="2188" spans="1:5" x14ac:dyDescent="0.25">
      <c r="A2188" s="10">
        <v>44704</v>
      </c>
      <c r="B2188" s="11" t="s">
        <v>20</v>
      </c>
      <c r="C2188">
        <v>2020</v>
      </c>
      <c r="D2188" t="s">
        <v>7</v>
      </c>
      <c r="E2188" t="str">
        <f>IF(may[[#This Row],[ShiftCounter]]&gt;0, "Running", "Down")</f>
        <v>Running</v>
      </c>
    </row>
    <row r="2189" spans="1:5" x14ac:dyDescent="0.25">
      <c r="A2189" s="10">
        <v>44704</v>
      </c>
      <c r="B2189" s="11" t="s">
        <v>20</v>
      </c>
      <c r="C2189">
        <v>1786</v>
      </c>
      <c r="D2189" t="s">
        <v>8</v>
      </c>
      <c r="E2189" t="str">
        <f>IF(may[[#This Row],[ShiftCounter]]&gt;0, "Running", "Down")</f>
        <v>Running</v>
      </c>
    </row>
    <row r="2190" spans="1:5" x14ac:dyDescent="0.25">
      <c r="A2190" s="10">
        <v>44704</v>
      </c>
      <c r="B2190" s="11" t="s">
        <v>21</v>
      </c>
      <c r="C2190">
        <v>2118</v>
      </c>
      <c r="D2190" t="s">
        <v>6</v>
      </c>
      <c r="E2190" t="str">
        <f>IF(may[[#This Row],[ShiftCounter]]&gt;0, "Running", "Down")</f>
        <v>Running</v>
      </c>
    </row>
    <row r="2191" spans="1:5" x14ac:dyDescent="0.25">
      <c r="A2191" s="10">
        <v>44704</v>
      </c>
      <c r="B2191" s="11" t="s">
        <v>21</v>
      </c>
      <c r="C2191">
        <v>2098</v>
      </c>
      <c r="D2191" t="s">
        <v>7</v>
      </c>
      <c r="E2191" t="str">
        <f>IF(may[[#This Row],[ShiftCounter]]&gt;0, "Running", "Down")</f>
        <v>Running</v>
      </c>
    </row>
    <row r="2192" spans="1:5" x14ac:dyDescent="0.25">
      <c r="A2192" s="10">
        <v>44704</v>
      </c>
      <c r="B2192" s="11" t="s">
        <v>21</v>
      </c>
      <c r="C2192">
        <v>1792</v>
      </c>
      <c r="D2192" t="s">
        <v>8</v>
      </c>
      <c r="E2192" t="str">
        <f>IF(may[[#This Row],[ShiftCounter]]&gt;0, "Running", "Down")</f>
        <v>Running</v>
      </c>
    </row>
    <row r="2193" spans="1:5" x14ac:dyDescent="0.25">
      <c r="A2193" s="10">
        <v>44704</v>
      </c>
      <c r="B2193" s="11" t="s">
        <v>22</v>
      </c>
      <c r="C2193">
        <v>2053</v>
      </c>
      <c r="D2193" t="s">
        <v>6</v>
      </c>
      <c r="E2193" t="str">
        <f>IF(may[[#This Row],[ShiftCounter]]&gt;0, "Running", "Down")</f>
        <v>Running</v>
      </c>
    </row>
    <row r="2194" spans="1:5" x14ac:dyDescent="0.25">
      <c r="A2194" s="10">
        <v>44704</v>
      </c>
      <c r="B2194" s="11" t="s">
        <v>22</v>
      </c>
      <c r="C2194">
        <v>2283</v>
      </c>
      <c r="D2194" t="s">
        <v>7</v>
      </c>
      <c r="E2194" t="str">
        <f>IF(may[[#This Row],[ShiftCounter]]&gt;0, "Running", "Down")</f>
        <v>Running</v>
      </c>
    </row>
    <row r="2195" spans="1:5" x14ac:dyDescent="0.25">
      <c r="A2195" s="10">
        <v>44704</v>
      </c>
      <c r="B2195" s="11" t="s">
        <v>22</v>
      </c>
      <c r="C2195">
        <v>2021</v>
      </c>
      <c r="D2195" t="s">
        <v>8</v>
      </c>
      <c r="E2195" t="str">
        <f>IF(may[[#This Row],[ShiftCounter]]&gt;0, "Running", "Down")</f>
        <v>Running</v>
      </c>
    </row>
    <row r="2196" spans="1:5" x14ac:dyDescent="0.25">
      <c r="A2196" s="10">
        <v>44704</v>
      </c>
      <c r="B2196" s="11" t="s">
        <v>23</v>
      </c>
      <c r="C2196">
        <v>1811</v>
      </c>
      <c r="D2196" t="s">
        <v>6</v>
      </c>
      <c r="E2196" t="str">
        <f>IF(may[[#This Row],[ShiftCounter]]&gt;0, "Running", "Down")</f>
        <v>Running</v>
      </c>
    </row>
    <row r="2197" spans="1:5" x14ac:dyDescent="0.25">
      <c r="A2197" s="10">
        <v>44704</v>
      </c>
      <c r="B2197" s="11" t="s">
        <v>23</v>
      </c>
      <c r="C2197">
        <v>2385</v>
      </c>
      <c r="D2197" t="s">
        <v>7</v>
      </c>
      <c r="E2197" t="str">
        <f>IF(may[[#This Row],[ShiftCounter]]&gt;0, "Running", "Down")</f>
        <v>Running</v>
      </c>
    </row>
    <row r="2198" spans="1:5" x14ac:dyDescent="0.25">
      <c r="A2198" s="10">
        <v>44704</v>
      </c>
      <c r="B2198" s="11" t="s">
        <v>23</v>
      </c>
      <c r="C2198">
        <v>2085</v>
      </c>
      <c r="D2198" t="s">
        <v>8</v>
      </c>
      <c r="E2198" t="str">
        <f>IF(may[[#This Row],[ShiftCounter]]&gt;0, "Running", "Down")</f>
        <v>Running</v>
      </c>
    </row>
    <row r="2199" spans="1:5" x14ac:dyDescent="0.25">
      <c r="A2199" s="10">
        <v>44704</v>
      </c>
      <c r="B2199" s="11" t="s">
        <v>24</v>
      </c>
      <c r="C2199">
        <v>1954</v>
      </c>
      <c r="D2199" t="s">
        <v>6</v>
      </c>
      <c r="E2199" t="str">
        <f>IF(may[[#This Row],[ShiftCounter]]&gt;0, "Running", "Down")</f>
        <v>Running</v>
      </c>
    </row>
    <row r="2200" spans="1:5" x14ac:dyDescent="0.25">
      <c r="A2200" s="10">
        <v>44704</v>
      </c>
      <c r="B2200" s="11" t="s">
        <v>24</v>
      </c>
      <c r="C2200">
        <v>2080</v>
      </c>
      <c r="D2200" t="s">
        <v>7</v>
      </c>
      <c r="E2200" t="str">
        <f>IF(may[[#This Row],[ShiftCounter]]&gt;0, "Running", "Down")</f>
        <v>Running</v>
      </c>
    </row>
    <row r="2201" spans="1:5" x14ac:dyDescent="0.25">
      <c r="A2201" s="10">
        <v>44704</v>
      </c>
      <c r="B2201" s="11" t="s">
        <v>24</v>
      </c>
      <c r="C2201">
        <v>1939</v>
      </c>
      <c r="D2201" t="s">
        <v>8</v>
      </c>
      <c r="E2201" t="str">
        <f>IF(may[[#This Row],[ShiftCounter]]&gt;0, "Running", "Down")</f>
        <v>Running</v>
      </c>
    </row>
    <row r="2202" spans="1:5" x14ac:dyDescent="0.25">
      <c r="A2202" s="10">
        <v>44704</v>
      </c>
      <c r="B2202" s="11" t="s">
        <v>25</v>
      </c>
      <c r="C2202">
        <v>2235</v>
      </c>
      <c r="D2202" t="s">
        <v>6</v>
      </c>
      <c r="E2202" t="str">
        <f>IF(may[[#This Row],[ShiftCounter]]&gt;0, "Running", "Down")</f>
        <v>Running</v>
      </c>
    </row>
    <row r="2203" spans="1:5" x14ac:dyDescent="0.25">
      <c r="A2203" s="10">
        <v>44704</v>
      </c>
      <c r="B2203" s="11" t="s">
        <v>25</v>
      </c>
      <c r="C2203">
        <v>2214</v>
      </c>
      <c r="D2203" t="s">
        <v>7</v>
      </c>
      <c r="E2203" t="str">
        <f>IF(may[[#This Row],[ShiftCounter]]&gt;0, "Running", "Down")</f>
        <v>Running</v>
      </c>
    </row>
    <row r="2204" spans="1:5" x14ac:dyDescent="0.25">
      <c r="A2204" s="10">
        <v>44704</v>
      </c>
      <c r="B2204" s="11" t="s">
        <v>25</v>
      </c>
      <c r="C2204">
        <v>1959</v>
      </c>
      <c r="D2204" t="s">
        <v>8</v>
      </c>
      <c r="E2204" t="str">
        <f>IF(may[[#This Row],[ShiftCounter]]&gt;0, "Running", "Down")</f>
        <v>Running</v>
      </c>
    </row>
    <row r="2205" spans="1:5" x14ac:dyDescent="0.25">
      <c r="A2205" s="10">
        <v>44704</v>
      </c>
      <c r="B2205" s="11" t="s">
        <v>26</v>
      </c>
      <c r="C2205">
        <v>2172</v>
      </c>
      <c r="D2205" t="s">
        <v>6</v>
      </c>
      <c r="E2205" t="str">
        <f>IF(may[[#This Row],[ShiftCounter]]&gt;0, "Running", "Down")</f>
        <v>Running</v>
      </c>
    </row>
    <row r="2206" spans="1:5" x14ac:dyDescent="0.25">
      <c r="A2206" s="10">
        <v>44704</v>
      </c>
      <c r="B2206" s="11" t="s">
        <v>26</v>
      </c>
      <c r="C2206">
        <v>2092</v>
      </c>
      <c r="D2206" t="s">
        <v>7</v>
      </c>
      <c r="E2206" t="str">
        <f>IF(may[[#This Row],[ShiftCounter]]&gt;0, "Running", "Down")</f>
        <v>Running</v>
      </c>
    </row>
    <row r="2207" spans="1:5" x14ac:dyDescent="0.25">
      <c r="A2207" s="10">
        <v>44704</v>
      </c>
      <c r="B2207" s="11" t="s">
        <v>26</v>
      </c>
      <c r="C2207">
        <v>1917</v>
      </c>
      <c r="D2207" t="s">
        <v>8</v>
      </c>
      <c r="E2207" t="str">
        <f>IF(may[[#This Row],[ShiftCounter]]&gt;0, "Running", "Down")</f>
        <v>Running</v>
      </c>
    </row>
    <row r="2208" spans="1:5" x14ac:dyDescent="0.25">
      <c r="A2208" s="10">
        <v>44704</v>
      </c>
      <c r="B2208" s="11" t="s">
        <v>27</v>
      </c>
      <c r="C2208">
        <v>2280</v>
      </c>
      <c r="D2208" t="s">
        <v>6</v>
      </c>
      <c r="E2208" t="str">
        <f>IF(may[[#This Row],[ShiftCounter]]&gt;0, "Running", "Down")</f>
        <v>Running</v>
      </c>
    </row>
    <row r="2209" spans="1:5" x14ac:dyDescent="0.25">
      <c r="A2209" s="10">
        <v>44704</v>
      </c>
      <c r="B2209" s="11" t="s">
        <v>27</v>
      </c>
      <c r="C2209">
        <v>2249</v>
      </c>
      <c r="D2209" t="s">
        <v>7</v>
      </c>
      <c r="E2209" t="str">
        <f>IF(may[[#This Row],[ShiftCounter]]&gt;0, "Running", "Down")</f>
        <v>Running</v>
      </c>
    </row>
    <row r="2210" spans="1:5" x14ac:dyDescent="0.25">
      <c r="A2210" s="10">
        <v>44704</v>
      </c>
      <c r="B2210" s="11" t="s">
        <v>27</v>
      </c>
      <c r="C2210">
        <v>2028</v>
      </c>
      <c r="D2210" t="s">
        <v>8</v>
      </c>
      <c r="E2210" t="str">
        <f>IF(may[[#This Row],[ShiftCounter]]&gt;0, "Running", "Down")</f>
        <v>Running</v>
      </c>
    </row>
    <row r="2211" spans="1:5" x14ac:dyDescent="0.25">
      <c r="A2211" s="10">
        <v>44704</v>
      </c>
      <c r="B2211" s="11" t="s">
        <v>28</v>
      </c>
      <c r="C2211">
        <v>2226</v>
      </c>
      <c r="D2211" t="s">
        <v>6</v>
      </c>
      <c r="E2211" t="str">
        <f>IF(may[[#This Row],[ShiftCounter]]&gt;0, "Running", "Down")</f>
        <v>Running</v>
      </c>
    </row>
    <row r="2212" spans="1:5" x14ac:dyDescent="0.25">
      <c r="A2212" s="10">
        <v>44704</v>
      </c>
      <c r="B2212" s="11" t="s">
        <v>28</v>
      </c>
      <c r="C2212">
        <v>2125</v>
      </c>
      <c r="D2212" t="s">
        <v>7</v>
      </c>
      <c r="E2212" t="str">
        <f>IF(may[[#This Row],[ShiftCounter]]&gt;0, "Running", "Down")</f>
        <v>Running</v>
      </c>
    </row>
    <row r="2213" spans="1:5" x14ac:dyDescent="0.25">
      <c r="A2213" s="10">
        <v>44704</v>
      </c>
      <c r="B2213" s="11" t="s">
        <v>28</v>
      </c>
      <c r="C2213">
        <v>1957</v>
      </c>
      <c r="D2213" t="s">
        <v>8</v>
      </c>
      <c r="E2213" t="str">
        <f>IF(may[[#This Row],[ShiftCounter]]&gt;0, "Running", "Down")</f>
        <v>Running</v>
      </c>
    </row>
    <row r="2214" spans="1:5" x14ac:dyDescent="0.25">
      <c r="A2214" s="10">
        <v>44704</v>
      </c>
      <c r="B2214" s="11" t="s">
        <v>29</v>
      </c>
      <c r="C2214">
        <v>2048</v>
      </c>
      <c r="D2214" t="s">
        <v>6</v>
      </c>
      <c r="E2214" t="str">
        <f>IF(may[[#This Row],[ShiftCounter]]&gt;0, "Running", "Down")</f>
        <v>Running</v>
      </c>
    </row>
    <row r="2215" spans="1:5" x14ac:dyDescent="0.25">
      <c r="A2215" s="10">
        <v>44704</v>
      </c>
      <c r="B2215" s="11" t="s">
        <v>29</v>
      </c>
      <c r="C2215">
        <v>1962</v>
      </c>
      <c r="D2215" t="s">
        <v>7</v>
      </c>
      <c r="E2215" t="str">
        <f>IF(may[[#This Row],[ShiftCounter]]&gt;0, "Running", "Down")</f>
        <v>Running</v>
      </c>
    </row>
    <row r="2216" spans="1:5" x14ac:dyDescent="0.25">
      <c r="A2216" s="10">
        <v>44704</v>
      </c>
      <c r="B2216" s="11" t="s">
        <v>29</v>
      </c>
      <c r="C2216">
        <v>1801</v>
      </c>
      <c r="D2216" t="s">
        <v>8</v>
      </c>
      <c r="E2216" t="str">
        <f>IF(may[[#This Row],[ShiftCounter]]&gt;0, "Running", "Down")</f>
        <v>Running</v>
      </c>
    </row>
    <row r="2217" spans="1:5" x14ac:dyDescent="0.25">
      <c r="A2217" s="10">
        <v>44704</v>
      </c>
      <c r="B2217" s="11" t="s">
        <v>30</v>
      </c>
      <c r="C2217">
        <v>2302</v>
      </c>
      <c r="D2217" t="s">
        <v>6</v>
      </c>
      <c r="E2217" t="str">
        <f>IF(may[[#This Row],[ShiftCounter]]&gt;0, "Running", "Down")</f>
        <v>Running</v>
      </c>
    </row>
    <row r="2218" spans="1:5" x14ac:dyDescent="0.25">
      <c r="A2218" s="10">
        <v>44704</v>
      </c>
      <c r="B2218" s="11" t="s">
        <v>30</v>
      </c>
      <c r="C2218">
        <v>2157</v>
      </c>
      <c r="D2218" t="s">
        <v>7</v>
      </c>
      <c r="E2218" t="str">
        <f>IF(may[[#This Row],[ShiftCounter]]&gt;0, "Running", "Down")</f>
        <v>Running</v>
      </c>
    </row>
    <row r="2219" spans="1:5" x14ac:dyDescent="0.25">
      <c r="A2219" s="10">
        <v>44704</v>
      </c>
      <c r="B2219" s="11" t="s">
        <v>30</v>
      </c>
      <c r="C2219">
        <v>1957</v>
      </c>
      <c r="D2219" t="s">
        <v>8</v>
      </c>
      <c r="E2219" t="str">
        <f>IF(may[[#This Row],[ShiftCounter]]&gt;0, "Running", "Down")</f>
        <v>Running</v>
      </c>
    </row>
    <row r="2220" spans="1:5" x14ac:dyDescent="0.25">
      <c r="A2220" s="10">
        <v>44704</v>
      </c>
      <c r="B2220" s="11" t="s">
        <v>31</v>
      </c>
      <c r="C2220">
        <v>2223</v>
      </c>
      <c r="D2220" t="s">
        <v>6</v>
      </c>
      <c r="E2220" t="str">
        <f>IF(may[[#This Row],[ShiftCounter]]&gt;0, "Running", "Down")</f>
        <v>Running</v>
      </c>
    </row>
    <row r="2221" spans="1:5" x14ac:dyDescent="0.25">
      <c r="A2221" s="10">
        <v>44704</v>
      </c>
      <c r="B2221" s="11" t="s">
        <v>31</v>
      </c>
      <c r="C2221">
        <v>2133</v>
      </c>
      <c r="D2221" t="s">
        <v>7</v>
      </c>
      <c r="E2221" t="str">
        <f>IF(may[[#This Row],[ShiftCounter]]&gt;0, "Running", "Down")</f>
        <v>Running</v>
      </c>
    </row>
    <row r="2222" spans="1:5" x14ac:dyDescent="0.25">
      <c r="A2222" s="10">
        <v>44704</v>
      </c>
      <c r="B2222" s="11" t="s">
        <v>31</v>
      </c>
      <c r="C2222">
        <v>1925</v>
      </c>
      <c r="D2222" t="s">
        <v>8</v>
      </c>
      <c r="E2222" t="str">
        <f>IF(may[[#This Row],[ShiftCounter]]&gt;0, "Running", "Down")</f>
        <v>Running</v>
      </c>
    </row>
    <row r="2223" spans="1:5" x14ac:dyDescent="0.25">
      <c r="A2223" s="10">
        <v>44704</v>
      </c>
      <c r="B2223" s="11" t="s">
        <v>32</v>
      </c>
      <c r="C2223">
        <v>2309</v>
      </c>
      <c r="D2223" t="s">
        <v>6</v>
      </c>
      <c r="E2223" t="str">
        <f>IF(may[[#This Row],[ShiftCounter]]&gt;0, "Running", "Down")</f>
        <v>Running</v>
      </c>
    </row>
    <row r="2224" spans="1:5" x14ac:dyDescent="0.25">
      <c r="A2224" s="10">
        <v>44704</v>
      </c>
      <c r="B2224" s="11" t="s">
        <v>32</v>
      </c>
      <c r="C2224">
        <v>2259</v>
      </c>
      <c r="D2224" t="s">
        <v>7</v>
      </c>
      <c r="E2224" t="str">
        <f>IF(may[[#This Row],[ShiftCounter]]&gt;0, "Running", "Down")</f>
        <v>Running</v>
      </c>
    </row>
    <row r="2225" spans="1:5" x14ac:dyDescent="0.25">
      <c r="A2225" s="10">
        <v>44704</v>
      </c>
      <c r="B2225" s="11" t="s">
        <v>32</v>
      </c>
      <c r="C2225">
        <v>1978</v>
      </c>
      <c r="D2225" t="s">
        <v>8</v>
      </c>
      <c r="E2225" t="str">
        <f>IF(may[[#This Row],[ShiftCounter]]&gt;0, "Running", "Down")</f>
        <v>Running</v>
      </c>
    </row>
    <row r="2226" spans="1:5" x14ac:dyDescent="0.25">
      <c r="A2226" s="10">
        <v>44704</v>
      </c>
      <c r="B2226" s="11" t="s">
        <v>33</v>
      </c>
      <c r="C2226">
        <v>2321</v>
      </c>
      <c r="D2226" t="s">
        <v>6</v>
      </c>
      <c r="E2226" t="str">
        <f>IF(may[[#This Row],[ShiftCounter]]&gt;0, "Running", "Down")</f>
        <v>Running</v>
      </c>
    </row>
    <row r="2227" spans="1:5" x14ac:dyDescent="0.25">
      <c r="A2227" s="10">
        <v>44704</v>
      </c>
      <c r="B2227" s="11" t="s">
        <v>33</v>
      </c>
      <c r="C2227">
        <v>2470</v>
      </c>
      <c r="D2227" t="s">
        <v>7</v>
      </c>
      <c r="E2227" t="str">
        <f>IF(may[[#This Row],[ShiftCounter]]&gt;0, "Running", "Down")</f>
        <v>Running</v>
      </c>
    </row>
    <row r="2228" spans="1:5" x14ac:dyDescent="0.25">
      <c r="A2228" s="10">
        <v>44704</v>
      </c>
      <c r="B2228" s="11" t="s">
        <v>33</v>
      </c>
      <c r="C2228">
        <v>2202</v>
      </c>
      <c r="D2228" t="s">
        <v>8</v>
      </c>
      <c r="E2228" t="str">
        <f>IF(may[[#This Row],[ShiftCounter]]&gt;0, "Running", "Down")</f>
        <v>Running</v>
      </c>
    </row>
    <row r="2229" spans="1:5" x14ac:dyDescent="0.25">
      <c r="A2229" s="10">
        <v>44704</v>
      </c>
      <c r="B2229" s="11" t="s">
        <v>34</v>
      </c>
      <c r="C2229">
        <v>2055</v>
      </c>
      <c r="D2229" t="s">
        <v>6</v>
      </c>
      <c r="E2229" t="str">
        <f>IF(may[[#This Row],[ShiftCounter]]&gt;0, "Running", "Down")</f>
        <v>Running</v>
      </c>
    </row>
    <row r="2230" spans="1:5" x14ac:dyDescent="0.25">
      <c r="A2230" s="10">
        <v>44704</v>
      </c>
      <c r="B2230" s="11" t="s">
        <v>34</v>
      </c>
      <c r="C2230">
        <v>2038</v>
      </c>
      <c r="D2230" t="s">
        <v>7</v>
      </c>
      <c r="E2230" t="str">
        <f>IF(may[[#This Row],[ShiftCounter]]&gt;0, "Running", "Down")</f>
        <v>Running</v>
      </c>
    </row>
    <row r="2231" spans="1:5" x14ac:dyDescent="0.25">
      <c r="A2231" s="10">
        <v>44704</v>
      </c>
      <c r="B2231" s="11" t="s">
        <v>34</v>
      </c>
      <c r="C2231">
        <v>1808</v>
      </c>
      <c r="D2231" t="s">
        <v>8</v>
      </c>
      <c r="E2231" t="str">
        <f>IF(may[[#This Row],[ShiftCounter]]&gt;0, "Running", "Down")</f>
        <v>Running</v>
      </c>
    </row>
    <row r="2232" spans="1:5" x14ac:dyDescent="0.25">
      <c r="A2232" s="10">
        <v>44704</v>
      </c>
      <c r="B2232" s="11" t="s">
        <v>36</v>
      </c>
      <c r="C2232">
        <v>1890</v>
      </c>
      <c r="D2232" t="s">
        <v>6</v>
      </c>
      <c r="E2232" t="str">
        <f>IF(may[[#This Row],[ShiftCounter]]&gt;0, "Running", "Down")</f>
        <v>Running</v>
      </c>
    </row>
    <row r="2233" spans="1:5" x14ac:dyDescent="0.25">
      <c r="A2233" s="10">
        <v>44704</v>
      </c>
      <c r="B2233" s="11" t="s">
        <v>36</v>
      </c>
      <c r="C2233">
        <v>2476</v>
      </c>
      <c r="D2233" t="s">
        <v>7</v>
      </c>
      <c r="E2233" t="str">
        <f>IF(may[[#This Row],[ShiftCounter]]&gt;0, "Running", "Down")</f>
        <v>Running</v>
      </c>
    </row>
    <row r="2234" spans="1:5" x14ac:dyDescent="0.25">
      <c r="A2234" s="10">
        <v>44704</v>
      </c>
      <c r="B2234" s="11" t="s">
        <v>36</v>
      </c>
      <c r="C2234">
        <v>2194</v>
      </c>
      <c r="D2234" t="s">
        <v>8</v>
      </c>
      <c r="E2234" t="str">
        <f>IF(may[[#This Row],[ShiftCounter]]&gt;0, "Running", "Down")</f>
        <v>Running</v>
      </c>
    </row>
    <row r="2235" spans="1:5" x14ac:dyDescent="0.25">
      <c r="A2235" s="10">
        <v>44705</v>
      </c>
      <c r="B2235" s="11" t="s">
        <v>40</v>
      </c>
      <c r="C2235">
        <v>2355</v>
      </c>
      <c r="D2235" t="s">
        <v>6</v>
      </c>
      <c r="E2235" t="str">
        <f>IF(may[[#This Row],[ShiftCounter]]&gt;0, "Running", "Down")</f>
        <v>Running</v>
      </c>
    </row>
    <row r="2236" spans="1:5" x14ac:dyDescent="0.25">
      <c r="A2236" s="10">
        <v>44705</v>
      </c>
      <c r="B2236" s="11" t="s">
        <v>40</v>
      </c>
      <c r="C2236">
        <v>2216</v>
      </c>
      <c r="D2236" t="s">
        <v>7</v>
      </c>
      <c r="E2236" t="str">
        <f>IF(may[[#This Row],[ShiftCounter]]&gt;0, "Running", "Down")</f>
        <v>Running</v>
      </c>
    </row>
    <row r="2237" spans="1:5" x14ac:dyDescent="0.25">
      <c r="A2237" s="10">
        <v>44705</v>
      </c>
      <c r="B2237" s="11" t="s">
        <v>40</v>
      </c>
      <c r="C2237">
        <v>2086</v>
      </c>
      <c r="D2237" t="s">
        <v>8</v>
      </c>
      <c r="E2237" t="str">
        <f>IF(may[[#This Row],[ShiftCounter]]&gt;0, "Running", "Down")</f>
        <v>Running</v>
      </c>
    </row>
    <row r="2238" spans="1:5" x14ac:dyDescent="0.25">
      <c r="A2238" s="10">
        <v>44705</v>
      </c>
      <c r="B2238" s="11" t="s">
        <v>39</v>
      </c>
      <c r="C2238">
        <v>2078</v>
      </c>
      <c r="D2238" t="s">
        <v>6</v>
      </c>
      <c r="E2238" t="str">
        <f>IF(may[[#This Row],[ShiftCounter]]&gt;0, "Running", "Down")</f>
        <v>Running</v>
      </c>
    </row>
    <row r="2239" spans="1:5" x14ac:dyDescent="0.25">
      <c r="A2239" s="10">
        <v>44705</v>
      </c>
      <c r="B2239" s="11" t="s">
        <v>39</v>
      </c>
      <c r="C2239">
        <v>2009</v>
      </c>
      <c r="D2239" t="s">
        <v>7</v>
      </c>
      <c r="E2239" t="str">
        <f>IF(may[[#This Row],[ShiftCounter]]&gt;0, "Running", "Down")</f>
        <v>Running</v>
      </c>
    </row>
    <row r="2240" spans="1:5" x14ac:dyDescent="0.25">
      <c r="A2240" s="10">
        <v>44705</v>
      </c>
      <c r="B2240" s="11" t="s">
        <v>39</v>
      </c>
      <c r="C2240">
        <v>1848</v>
      </c>
      <c r="D2240" t="s">
        <v>8</v>
      </c>
      <c r="E2240" t="str">
        <f>IF(may[[#This Row],[ShiftCounter]]&gt;0, "Running", "Down")</f>
        <v>Running</v>
      </c>
    </row>
    <row r="2241" spans="1:5" x14ac:dyDescent="0.25">
      <c r="A2241" s="10">
        <v>44705</v>
      </c>
      <c r="B2241" s="11" t="s">
        <v>41</v>
      </c>
      <c r="C2241">
        <v>2362</v>
      </c>
      <c r="D2241" t="s">
        <v>6</v>
      </c>
      <c r="E2241" t="str">
        <f>IF(may[[#This Row],[ShiftCounter]]&gt;0, "Running", "Down")</f>
        <v>Running</v>
      </c>
    </row>
    <row r="2242" spans="1:5" x14ac:dyDescent="0.25">
      <c r="A2242" s="10">
        <v>44705</v>
      </c>
      <c r="B2242" s="11" t="s">
        <v>41</v>
      </c>
      <c r="C2242">
        <v>2248</v>
      </c>
      <c r="D2242" t="s">
        <v>7</v>
      </c>
      <c r="E2242" t="str">
        <f>IF(may[[#This Row],[ShiftCounter]]&gt;0, "Running", "Down")</f>
        <v>Running</v>
      </c>
    </row>
    <row r="2243" spans="1:5" x14ac:dyDescent="0.25">
      <c r="A2243" s="10">
        <v>44705</v>
      </c>
      <c r="B2243" s="11" t="s">
        <v>41</v>
      </c>
      <c r="C2243">
        <v>2083</v>
      </c>
      <c r="D2243" t="s">
        <v>8</v>
      </c>
      <c r="E2243" t="str">
        <f>IF(may[[#This Row],[ShiftCounter]]&gt;0, "Running", "Down")</f>
        <v>Running</v>
      </c>
    </row>
    <row r="2244" spans="1:5" x14ac:dyDescent="0.25">
      <c r="A2244" s="10">
        <v>44705</v>
      </c>
      <c r="B2244" s="11" t="s">
        <v>5</v>
      </c>
      <c r="C2244">
        <v>-1</v>
      </c>
      <c r="D2244" t="s">
        <v>6</v>
      </c>
      <c r="E2244" t="str">
        <f>IF(may[[#This Row],[ShiftCounter]]&gt;0, "Running", "Down")</f>
        <v>Down</v>
      </c>
    </row>
    <row r="2245" spans="1:5" x14ac:dyDescent="0.25">
      <c r="A2245" s="10">
        <v>44705</v>
      </c>
      <c r="B2245" s="11" t="s">
        <v>5</v>
      </c>
      <c r="C2245">
        <v>2305</v>
      </c>
      <c r="D2245" t="s">
        <v>7</v>
      </c>
      <c r="E2245" t="str">
        <f>IF(may[[#This Row],[ShiftCounter]]&gt;0, "Running", "Down")</f>
        <v>Running</v>
      </c>
    </row>
    <row r="2246" spans="1:5" x14ac:dyDescent="0.25">
      <c r="A2246" s="10">
        <v>44705</v>
      </c>
      <c r="B2246" s="11" t="s">
        <v>5</v>
      </c>
      <c r="C2246">
        <v>0</v>
      </c>
      <c r="D2246" t="s">
        <v>8</v>
      </c>
      <c r="E2246" t="str">
        <f>IF(may[[#This Row],[ShiftCounter]]&gt;0, "Running", "Down")</f>
        <v>Down</v>
      </c>
    </row>
    <row r="2247" spans="1:5" x14ac:dyDescent="0.25">
      <c r="A2247" s="10">
        <v>44705</v>
      </c>
      <c r="B2247" s="11" t="s">
        <v>9</v>
      </c>
      <c r="C2247">
        <v>2311</v>
      </c>
      <c r="D2247" t="s">
        <v>6</v>
      </c>
      <c r="E2247" t="str">
        <f>IF(may[[#This Row],[ShiftCounter]]&gt;0, "Running", "Down")</f>
        <v>Running</v>
      </c>
    </row>
    <row r="2248" spans="1:5" x14ac:dyDescent="0.25">
      <c r="A2248" s="10">
        <v>44705</v>
      </c>
      <c r="B2248" s="11" t="s">
        <v>9</v>
      </c>
      <c r="C2248">
        <v>2255</v>
      </c>
      <c r="D2248" t="s">
        <v>7</v>
      </c>
      <c r="E2248" t="str">
        <f>IF(may[[#This Row],[ShiftCounter]]&gt;0, "Running", "Down")</f>
        <v>Running</v>
      </c>
    </row>
    <row r="2249" spans="1:5" x14ac:dyDescent="0.25">
      <c r="A2249" s="10">
        <v>44705</v>
      </c>
      <c r="B2249" s="11" t="s">
        <v>9</v>
      </c>
      <c r="C2249">
        <v>2111</v>
      </c>
      <c r="D2249" t="s">
        <v>8</v>
      </c>
      <c r="E2249" t="str">
        <f>IF(may[[#This Row],[ShiftCounter]]&gt;0, "Running", "Down")</f>
        <v>Running</v>
      </c>
    </row>
    <row r="2250" spans="1:5" x14ac:dyDescent="0.25">
      <c r="A2250" s="10">
        <v>44705</v>
      </c>
      <c r="B2250" s="11" t="s">
        <v>10</v>
      </c>
      <c r="C2250">
        <v>2091</v>
      </c>
      <c r="D2250" t="s">
        <v>6</v>
      </c>
      <c r="E2250" t="str">
        <f>IF(may[[#This Row],[ShiftCounter]]&gt;0, "Running", "Down")</f>
        <v>Running</v>
      </c>
    </row>
    <row r="2251" spans="1:5" x14ac:dyDescent="0.25">
      <c r="A2251" s="10">
        <v>44705</v>
      </c>
      <c r="B2251" s="11" t="s">
        <v>10</v>
      </c>
      <c r="C2251">
        <v>2263</v>
      </c>
      <c r="D2251" t="s">
        <v>7</v>
      </c>
      <c r="E2251" t="str">
        <f>IF(may[[#This Row],[ShiftCounter]]&gt;0, "Running", "Down")</f>
        <v>Running</v>
      </c>
    </row>
    <row r="2252" spans="1:5" x14ac:dyDescent="0.25">
      <c r="A2252" s="10">
        <v>44705</v>
      </c>
      <c r="B2252" s="11" t="s">
        <v>10</v>
      </c>
      <c r="C2252">
        <v>2147</v>
      </c>
      <c r="D2252" t="s">
        <v>8</v>
      </c>
      <c r="E2252" t="str">
        <f>IF(may[[#This Row],[ShiftCounter]]&gt;0, "Running", "Down")</f>
        <v>Running</v>
      </c>
    </row>
    <row r="2253" spans="1:5" x14ac:dyDescent="0.25">
      <c r="A2253" s="10">
        <v>44705</v>
      </c>
      <c r="B2253" s="11" t="s">
        <v>12</v>
      </c>
      <c r="C2253">
        <v>2159</v>
      </c>
      <c r="D2253" t="s">
        <v>6</v>
      </c>
      <c r="E2253" t="str">
        <f>IF(may[[#This Row],[ShiftCounter]]&gt;0, "Running", "Down")</f>
        <v>Running</v>
      </c>
    </row>
    <row r="2254" spans="1:5" x14ac:dyDescent="0.25">
      <c r="A2254" s="10">
        <v>44705</v>
      </c>
      <c r="B2254" s="11" t="s">
        <v>12</v>
      </c>
      <c r="C2254">
        <v>2065</v>
      </c>
      <c r="D2254" t="s">
        <v>7</v>
      </c>
      <c r="E2254" t="str">
        <f>IF(may[[#This Row],[ShiftCounter]]&gt;0, "Running", "Down")</f>
        <v>Running</v>
      </c>
    </row>
    <row r="2255" spans="1:5" x14ac:dyDescent="0.25">
      <c r="A2255" s="10">
        <v>44705</v>
      </c>
      <c r="B2255" s="11" t="s">
        <v>12</v>
      </c>
      <c r="C2255">
        <v>1931</v>
      </c>
      <c r="D2255" t="s">
        <v>8</v>
      </c>
      <c r="E2255" t="str">
        <f>IF(may[[#This Row],[ShiftCounter]]&gt;0, "Running", "Down")</f>
        <v>Running</v>
      </c>
    </row>
    <row r="2256" spans="1:5" x14ac:dyDescent="0.25">
      <c r="A2256" s="10">
        <v>44705</v>
      </c>
      <c r="B2256" s="11" t="s">
        <v>120</v>
      </c>
      <c r="C2256">
        <v>2266</v>
      </c>
      <c r="D2256" t="s">
        <v>6</v>
      </c>
      <c r="E2256" t="str">
        <f>IF(may[[#This Row],[ShiftCounter]]&gt;0, "Running", "Down")</f>
        <v>Running</v>
      </c>
    </row>
    <row r="2257" spans="1:5" x14ac:dyDescent="0.25">
      <c r="A2257" s="10">
        <v>44705</v>
      </c>
      <c r="B2257" s="11" t="s">
        <v>120</v>
      </c>
      <c r="C2257">
        <v>2166</v>
      </c>
      <c r="D2257" t="s">
        <v>7</v>
      </c>
      <c r="E2257" t="str">
        <f>IF(may[[#This Row],[ShiftCounter]]&gt;0, "Running", "Down")</f>
        <v>Running</v>
      </c>
    </row>
    <row r="2258" spans="1:5" x14ac:dyDescent="0.25">
      <c r="A2258" s="10">
        <v>44705</v>
      </c>
      <c r="B2258" s="11" t="s">
        <v>120</v>
      </c>
      <c r="C2258">
        <v>2017</v>
      </c>
      <c r="D2258" t="s">
        <v>8</v>
      </c>
      <c r="E2258" t="str">
        <f>IF(may[[#This Row],[ShiftCounter]]&gt;0, "Running", "Down")</f>
        <v>Running</v>
      </c>
    </row>
    <row r="2259" spans="1:5" x14ac:dyDescent="0.25">
      <c r="A2259" s="10">
        <v>44705</v>
      </c>
      <c r="B2259" s="11" t="s">
        <v>13</v>
      </c>
      <c r="C2259">
        <v>2187</v>
      </c>
      <c r="D2259" t="s">
        <v>6</v>
      </c>
      <c r="E2259" t="str">
        <f>IF(may[[#This Row],[ShiftCounter]]&gt;0, "Running", "Down")</f>
        <v>Running</v>
      </c>
    </row>
    <row r="2260" spans="1:5" x14ac:dyDescent="0.25">
      <c r="A2260" s="10">
        <v>44705</v>
      </c>
      <c r="B2260" s="11" t="s">
        <v>13</v>
      </c>
      <c r="C2260">
        <v>2066</v>
      </c>
      <c r="D2260" t="s">
        <v>7</v>
      </c>
      <c r="E2260" t="str">
        <f>IF(may[[#This Row],[ShiftCounter]]&gt;0, "Running", "Down")</f>
        <v>Running</v>
      </c>
    </row>
    <row r="2261" spans="1:5" x14ac:dyDescent="0.25">
      <c r="A2261" s="10">
        <v>44705</v>
      </c>
      <c r="B2261" s="11" t="s">
        <v>13</v>
      </c>
      <c r="C2261">
        <v>1781</v>
      </c>
      <c r="D2261" t="s">
        <v>8</v>
      </c>
      <c r="E2261" t="str">
        <f>IF(may[[#This Row],[ShiftCounter]]&gt;0, "Running", "Down")</f>
        <v>Running</v>
      </c>
    </row>
    <row r="2262" spans="1:5" x14ac:dyDescent="0.25">
      <c r="A2262" s="10">
        <v>44705</v>
      </c>
      <c r="B2262" s="11" t="s">
        <v>114</v>
      </c>
      <c r="C2262">
        <v>1785</v>
      </c>
      <c r="D2262" t="s">
        <v>6</v>
      </c>
      <c r="E2262" t="str">
        <f>IF(may[[#This Row],[ShiftCounter]]&gt;0, "Running", "Down")</f>
        <v>Running</v>
      </c>
    </row>
    <row r="2263" spans="1:5" x14ac:dyDescent="0.25">
      <c r="A2263" s="10">
        <v>44705</v>
      </c>
      <c r="B2263" s="11" t="s">
        <v>114</v>
      </c>
      <c r="C2263">
        <v>2101</v>
      </c>
      <c r="D2263" t="s">
        <v>7</v>
      </c>
      <c r="E2263" t="str">
        <f>IF(may[[#This Row],[ShiftCounter]]&gt;0, "Running", "Down")</f>
        <v>Running</v>
      </c>
    </row>
    <row r="2264" spans="1:5" x14ac:dyDescent="0.25">
      <c r="A2264" s="10">
        <v>44705</v>
      </c>
      <c r="B2264" s="11" t="s">
        <v>114</v>
      </c>
      <c r="C2264">
        <v>1808</v>
      </c>
      <c r="D2264" t="s">
        <v>8</v>
      </c>
      <c r="E2264" t="str">
        <f>IF(may[[#This Row],[ShiftCounter]]&gt;0, "Running", "Down")</f>
        <v>Running</v>
      </c>
    </row>
    <row r="2265" spans="1:5" x14ac:dyDescent="0.25">
      <c r="A2265" s="10">
        <v>44705</v>
      </c>
      <c r="B2265" s="11" t="s">
        <v>14</v>
      </c>
      <c r="C2265">
        <v>1898</v>
      </c>
      <c r="D2265" t="s">
        <v>6</v>
      </c>
      <c r="E2265" t="str">
        <f>IF(may[[#This Row],[ShiftCounter]]&gt;0, "Running", "Down")</f>
        <v>Running</v>
      </c>
    </row>
    <row r="2266" spans="1:5" x14ac:dyDescent="0.25">
      <c r="A2266" s="10">
        <v>44705</v>
      </c>
      <c r="B2266" s="11" t="s">
        <v>14</v>
      </c>
      <c r="C2266">
        <v>1786</v>
      </c>
      <c r="D2266" t="s">
        <v>7</v>
      </c>
      <c r="E2266" t="str">
        <f>IF(may[[#This Row],[ShiftCounter]]&gt;0, "Running", "Down")</f>
        <v>Running</v>
      </c>
    </row>
    <row r="2267" spans="1:5" x14ac:dyDescent="0.25">
      <c r="A2267" s="10">
        <v>44705</v>
      </c>
      <c r="B2267" s="11" t="s">
        <v>14</v>
      </c>
      <c r="C2267">
        <v>1544</v>
      </c>
      <c r="D2267" t="s">
        <v>8</v>
      </c>
      <c r="E2267" t="str">
        <f>IF(may[[#This Row],[ShiftCounter]]&gt;0, "Running", "Down")</f>
        <v>Running</v>
      </c>
    </row>
    <row r="2268" spans="1:5" x14ac:dyDescent="0.25">
      <c r="A2268" s="10">
        <v>44705</v>
      </c>
      <c r="B2268" s="11" t="s">
        <v>15</v>
      </c>
      <c r="C2268">
        <v>2192</v>
      </c>
      <c r="D2268" t="s">
        <v>6</v>
      </c>
      <c r="E2268" t="str">
        <f>IF(may[[#This Row],[ShiftCounter]]&gt;0, "Running", "Down")</f>
        <v>Running</v>
      </c>
    </row>
    <row r="2269" spans="1:5" x14ac:dyDescent="0.25">
      <c r="A2269" s="10">
        <v>44705</v>
      </c>
      <c r="B2269" s="11" t="s">
        <v>15</v>
      </c>
      <c r="C2269">
        <v>2071</v>
      </c>
      <c r="D2269" t="s">
        <v>7</v>
      </c>
      <c r="E2269" t="str">
        <f>IF(may[[#This Row],[ShiftCounter]]&gt;0, "Running", "Down")</f>
        <v>Running</v>
      </c>
    </row>
    <row r="2270" spans="1:5" x14ac:dyDescent="0.25">
      <c r="A2270" s="10">
        <v>44705</v>
      </c>
      <c r="B2270" s="11" t="s">
        <v>15</v>
      </c>
      <c r="C2270">
        <v>1796</v>
      </c>
      <c r="D2270" t="s">
        <v>8</v>
      </c>
      <c r="E2270" t="str">
        <f>IF(may[[#This Row],[ShiftCounter]]&gt;0, "Running", "Down")</f>
        <v>Running</v>
      </c>
    </row>
    <row r="2271" spans="1:5" x14ac:dyDescent="0.25">
      <c r="A2271" s="10">
        <v>44705</v>
      </c>
      <c r="B2271" s="11" t="s">
        <v>16</v>
      </c>
      <c r="C2271">
        <v>2281</v>
      </c>
      <c r="D2271" t="s">
        <v>6</v>
      </c>
      <c r="E2271" t="str">
        <f>IF(may[[#This Row],[ShiftCounter]]&gt;0, "Running", "Down")</f>
        <v>Running</v>
      </c>
    </row>
    <row r="2272" spans="1:5" x14ac:dyDescent="0.25">
      <c r="A2272" s="10">
        <v>44705</v>
      </c>
      <c r="B2272" s="11" t="s">
        <v>16</v>
      </c>
      <c r="C2272">
        <v>2198</v>
      </c>
      <c r="D2272" t="s">
        <v>7</v>
      </c>
      <c r="E2272" t="str">
        <f>IF(may[[#This Row],[ShiftCounter]]&gt;0, "Running", "Down")</f>
        <v>Running</v>
      </c>
    </row>
    <row r="2273" spans="1:5" x14ac:dyDescent="0.25">
      <c r="A2273" s="10">
        <v>44705</v>
      </c>
      <c r="B2273" s="11" t="s">
        <v>16</v>
      </c>
      <c r="C2273">
        <v>1889</v>
      </c>
      <c r="D2273" t="s">
        <v>8</v>
      </c>
      <c r="E2273" t="str">
        <f>IF(may[[#This Row],[ShiftCounter]]&gt;0, "Running", "Down")</f>
        <v>Running</v>
      </c>
    </row>
    <row r="2274" spans="1:5" x14ac:dyDescent="0.25">
      <c r="A2274" s="10">
        <v>44705</v>
      </c>
      <c r="B2274" s="11" t="s">
        <v>17</v>
      </c>
      <c r="C2274">
        <v>2429</v>
      </c>
      <c r="D2274" t="s">
        <v>6</v>
      </c>
      <c r="E2274" t="str">
        <f>IF(may[[#This Row],[ShiftCounter]]&gt;0, "Running", "Down")</f>
        <v>Running</v>
      </c>
    </row>
    <row r="2275" spans="1:5" x14ac:dyDescent="0.25">
      <c r="A2275" s="10">
        <v>44705</v>
      </c>
      <c r="B2275" s="11" t="s">
        <v>17</v>
      </c>
      <c r="C2275">
        <v>2336</v>
      </c>
      <c r="D2275" t="s">
        <v>7</v>
      </c>
      <c r="E2275" t="str">
        <f>IF(may[[#This Row],[ShiftCounter]]&gt;0, "Running", "Down")</f>
        <v>Running</v>
      </c>
    </row>
    <row r="2276" spans="1:5" x14ac:dyDescent="0.25">
      <c r="A2276" s="10">
        <v>44705</v>
      </c>
      <c r="B2276" s="11" t="s">
        <v>17</v>
      </c>
      <c r="C2276">
        <v>2003</v>
      </c>
      <c r="D2276" t="s">
        <v>8</v>
      </c>
      <c r="E2276" t="str">
        <f>IF(may[[#This Row],[ShiftCounter]]&gt;0, "Running", "Down")</f>
        <v>Running</v>
      </c>
    </row>
    <row r="2277" spans="1:5" x14ac:dyDescent="0.25">
      <c r="A2277" s="10">
        <v>44705</v>
      </c>
      <c r="B2277" s="11" t="s">
        <v>19</v>
      </c>
      <c r="C2277">
        <v>2143</v>
      </c>
      <c r="D2277" t="s">
        <v>6</v>
      </c>
      <c r="E2277" t="str">
        <f>IF(may[[#This Row],[ShiftCounter]]&gt;0, "Running", "Down")</f>
        <v>Running</v>
      </c>
    </row>
    <row r="2278" spans="1:5" x14ac:dyDescent="0.25">
      <c r="A2278" s="10">
        <v>44705</v>
      </c>
      <c r="B2278" s="11" t="s">
        <v>19</v>
      </c>
      <c r="C2278">
        <v>1983</v>
      </c>
      <c r="D2278" t="s">
        <v>7</v>
      </c>
      <c r="E2278" t="str">
        <f>IF(may[[#This Row],[ShiftCounter]]&gt;0, "Running", "Down")</f>
        <v>Running</v>
      </c>
    </row>
    <row r="2279" spans="1:5" x14ac:dyDescent="0.25">
      <c r="A2279" s="10">
        <v>44705</v>
      </c>
      <c r="B2279" s="11" t="s">
        <v>19</v>
      </c>
      <c r="C2279">
        <v>1763</v>
      </c>
      <c r="D2279" t="s">
        <v>8</v>
      </c>
      <c r="E2279" t="str">
        <f>IF(may[[#This Row],[ShiftCounter]]&gt;0, "Running", "Down")</f>
        <v>Running</v>
      </c>
    </row>
    <row r="2280" spans="1:5" x14ac:dyDescent="0.25">
      <c r="A2280" s="10">
        <v>44705</v>
      </c>
      <c r="B2280" s="11" t="s">
        <v>18</v>
      </c>
      <c r="C2280">
        <v>2360</v>
      </c>
      <c r="D2280" t="s">
        <v>6</v>
      </c>
      <c r="E2280" t="str">
        <f>IF(may[[#This Row],[ShiftCounter]]&gt;0, "Running", "Down")</f>
        <v>Running</v>
      </c>
    </row>
    <row r="2281" spans="1:5" x14ac:dyDescent="0.25">
      <c r="A2281" s="10">
        <v>44705</v>
      </c>
      <c r="B2281" s="11" t="s">
        <v>18</v>
      </c>
      <c r="C2281">
        <v>2182</v>
      </c>
      <c r="D2281" t="s">
        <v>7</v>
      </c>
      <c r="E2281" t="str">
        <f>IF(may[[#This Row],[ShiftCounter]]&gt;0, "Running", "Down")</f>
        <v>Running</v>
      </c>
    </row>
    <row r="2282" spans="1:5" x14ac:dyDescent="0.25">
      <c r="A2282" s="10">
        <v>44705</v>
      </c>
      <c r="B2282" s="11" t="s">
        <v>18</v>
      </c>
      <c r="C2282">
        <v>2063</v>
      </c>
      <c r="D2282" t="s">
        <v>8</v>
      </c>
      <c r="E2282" t="str">
        <f>IF(may[[#This Row],[ShiftCounter]]&gt;0, "Running", "Down")</f>
        <v>Running</v>
      </c>
    </row>
    <row r="2283" spans="1:5" x14ac:dyDescent="0.25">
      <c r="A2283" s="10">
        <v>44705</v>
      </c>
      <c r="B2283" s="11" t="s">
        <v>20</v>
      </c>
      <c r="C2283">
        <v>1477</v>
      </c>
      <c r="D2283" t="s">
        <v>6</v>
      </c>
      <c r="E2283" t="str">
        <f>IF(may[[#This Row],[ShiftCounter]]&gt;0, "Running", "Down")</f>
        <v>Running</v>
      </c>
    </row>
    <row r="2284" spans="1:5" x14ac:dyDescent="0.25">
      <c r="A2284" s="10">
        <v>44705</v>
      </c>
      <c r="B2284" s="11" t="s">
        <v>20</v>
      </c>
      <c r="C2284">
        <v>2252</v>
      </c>
      <c r="D2284" t="s">
        <v>7</v>
      </c>
      <c r="E2284" t="str">
        <f>IF(may[[#This Row],[ShiftCounter]]&gt;0, "Running", "Down")</f>
        <v>Running</v>
      </c>
    </row>
    <row r="2285" spans="1:5" x14ac:dyDescent="0.25">
      <c r="A2285" s="10">
        <v>44705</v>
      </c>
      <c r="B2285" s="11" t="s">
        <v>20</v>
      </c>
      <c r="C2285">
        <v>2002</v>
      </c>
      <c r="D2285" t="s">
        <v>8</v>
      </c>
      <c r="E2285" t="str">
        <f>IF(may[[#This Row],[ShiftCounter]]&gt;0, "Running", "Down")</f>
        <v>Running</v>
      </c>
    </row>
    <row r="2286" spans="1:5" x14ac:dyDescent="0.25">
      <c r="A2286" s="10">
        <v>44705</v>
      </c>
      <c r="B2286" s="11" t="s">
        <v>21</v>
      </c>
      <c r="C2286">
        <v>1014</v>
      </c>
      <c r="D2286" t="s">
        <v>6</v>
      </c>
      <c r="E2286" t="str">
        <f>IF(may[[#This Row],[ShiftCounter]]&gt;0, "Running", "Down")</f>
        <v>Running</v>
      </c>
    </row>
    <row r="2287" spans="1:5" x14ac:dyDescent="0.25">
      <c r="A2287" s="10">
        <v>44705</v>
      </c>
      <c r="B2287" s="11" t="s">
        <v>21</v>
      </c>
      <c r="C2287">
        <v>2034</v>
      </c>
      <c r="D2287" t="s">
        <v>7</v>
      </c>
      <c r="E2287" t="str">
        <f>IF(may[[#This Row],[ShiftCounter]]&gt;0, "Running", "Down")</f>
        <v>Running</v>
      </c>
    </row>
    <row r="2288" spans="1:5" x14ac:dyDescent="0.25">
      <c r="A2288" s="10">
        <v>44705</v>
      </c>
      <c r="B2288" s="11" t="s">
        <v>21</v>
      </c>
      <c r="C2288">
        <v>1782</v>
      </c>
      <c r="D2288" t="s">
        <v>8</v>
      </c>
      <c r="E2288" t="str">
        <f>IF(may[[#This Row],[ShiftCounter]]&gt;0, "Running", "Down")</f>
        <v>Running</v>
      </c>
    </row>
    <row r="2289" spans="1:5" x14ac:dyDescent="0.25">
      <c r="A2289" s="10">
        <v>44705</v>
      </c>
      <c r="B2289" s="11" t="s">
        <v>22</v>
      </c>
      <c r="C2289">
        <v>660</v>
      </c>
      <c r="D2289" t="s">
        <v>6</v>
      </c>
      <c r="E2289" t="str">
        <f>IF(may[[#This Row],[ShiftCounter]]&gt;0, "Running", "Down")</f>
        <v>Running</v>
      </c>
    </row>
    <row r="2290" spans="1:5" x14ac:dyDescent="0.25">
      <c r="A2290" s="10">
        <v>44705</v>
      </c>
      <c r="B2290" s="11" t="s">
        <v>22</v>
      </c>
      <c r="C2290">
        <v>0</v>
      </c>
      <c r="D2290" t="s">
        <v>7</v>
      </c>
      <c r="E2290" t="str">
        <f>IF(may[[#This Row],[ShiftCounter]]&gt;0, "Running", "Down")</f>
        <v>Down</v>
      </c>
    </row>
    <row r="2291" spans="1:5" x14ac:dyDescent="0.25">
      <c r="A2291" s="10">
        <v>44705</v>
      </c>
      <c r="B2291" s="11" t="s">
        <v>22</v>
      </c>
      <c r="C2291">
        <v>0</v>
      </c>
      <c r="D2291" t="s">
        <v>8</v>
      </c>
      <c r="E2291" t="str">
        <f>IF(may[[#This Row],[ShiftCounter]]&gt;0, "Running", "Down")</f>
        <v>Down</v>
      </c>
    </row>
    <row r="2292" spans="1:5" x14ac:dyDescent="0.25">
      <c r="A2292" s="10">
        <v>44705</v>
      </c>
      <c r="B2292" s="11" t="s">
        <v>23</v>
      </c>
      <c r="C2292">
        <v>2356</v>
      </c>
      <c r="D2292" t="s">
        <v>6</v>
      </c>
      <c r="E2292" t="str">
        <f>IF(may[[#This Row],[ShiftCounter]]&gt;0, "Running", "Down")</f>
        <v>Running</v>
      </c>
    </row>
    <row r="2293" spans="1:5" x14ac:dyDescent="0.25">
      <c r="A2293" s="10">
        <v>44705</v>
      </c>
      <c r="B2293" s="11" t="s">
        <v>23</v>
      </c>
      <c r="C2293">
        <v>2254</v>
      </c>
      <c r="D2293" t="s">
        <v>7</v>
      </c>
      <c r="E2293" t="str">
        <f>IF(may[[#This Row],[ShiftCounter]]&gt;0, "Running", "Down")</f>
        <v>Running</v>
      </c>
    </row>
    <row r="2294" spans="1:5" x14ac:dyDescent="0.25">
      <c r="A2294" s="10">
        <v>44705</v>
      </c>
      <c r="B2294" s="11" t="s">
        <v>23</v>
      </c>
      <c r="C2294">
        <v>2056</v>
      </c>
      <c r="D2294" t="s">
        <v>8</v>
      </c>
      <c r="E2294" t="str">
        <f>IF(may[[#This Row],[ShiftCounter]]&gt;0, "Running", "Down")</f>
        <v>Running</v>
      </c>
    </row>
    <row r="2295" spans="1:5" x14ac:dyDescent="0.25">
      <c r="A2295" s="10">
        <v>44705</v>
      </c>
      <c r="B2295" s="11" t="s">
        <v>24</v>
      </c>
      <c r="C2295">
        <v>2075</v>
      </c>
      <c r="D2295" t="s">
        <v>6</v>
      </c>
      <c r="E2295" t="str">
        <f>IF(may[[#This Row],[ShiftCounter]]&gt;0, "Running", "Down")</f>
        <v>Running</v>
      </c>
    </row>
    <row r="2296" spans="1:5" x14ac:dyDescent="0.25">
      <c r="A2296" s="10">
        <v>44705</v>
      </c>
      <c r="B2296" s="11" t="s">
        <v>24</v>
      </c>
      <c r="C2296">
        <v>2150</v>
      </c>
      <c r="D2296" t="s">
        <v>7</v>
      </c>
      <c r="E2296" t="str">
        <f>IF(may[[#This Row],[ShiftCounter]]&gt;0, "Running", "Down")</f>
        <v>Running</v>
      </c>
    </row>
    <row r="2297" spans="1:5" x14ac:dyDescent="0.25">
      <c r="A2297" s="10">
        <v>44705</v>
      </c>
      <c r="B2297" s="11" t="s">
        <v>24</v>
      </c>
      <c r="C2297">
        <v>1844</v>
      </c>
      <c r="D2297" t="s">
        <v>8</v>
      </c>
      <c r="E2297" t="str">
        <f>IF(may[[#This Row],[ShiftCounter]]&gt;0, "Running", "Down")</f>
        <v>Running</v>
      </c>
    </row>
    <row r="2298" spans="1:5" x14ac:dyDescent="0.25">
      <c r="A2298" s="10">
        <v>44705</v>
      </c>
      <c r="B2298" s="11" t="s">
        <v>25</v>
      </c>
      <c r="C2298">
        <v>2219</v>
      </c>
      <c r="D2298" t="s">
        <v>6</v>
      </c>
      <c r="E2298" t="str">
        <f>IF(may[[#This Row],[ShiftCounter]]&gt;0, "Running", "Down")</f>
        <v>Running</v>
      </c>
    </row>
    <row r="2299" spans="1:5" x14ac:dyDescent="0.25">
      <c r="A2299" s="10">
        <v>44705</v>
      </c>
      <c r="B2299" s="11" t="s">
        <v>25</v>
      </c>
      <c r="C2299">
        <v>2206</v>
      </c>
      <c r="D2299" t="s">
        <v>7</v>
      </c>
      <c r="E2299" t="str">
        <f>IF(may[[#This Row],[ShiftCounter]]&gt;0, "Running", "Down")</f>
        <v>Running</v>
      </c>
    </row>
    <row r="2300" spans="1:5" x14ac:dyDescent="0.25">
      <c r="A2300" s="10">
        <v>44705</v>
      </c>
      <c r="B2300" s="11" t="s">
        <v>25</v>
      </c>
      <c r="C2300">
        <v>1974</v>
      </c>
      <c r="D2300" t="s">
        <v>8</v>
      </c>
      <c r="E2300" t="str">
        <f>IF(may[[#This Row],[ShiftCounter]]&gt;0, "Running", "Down")</f>
        <v>Running</v>
      </c>
    </row>
    <row r="2301" spans="1:5" x14ac:dyDescent="0.25">
      <c r="A2301" s="10">
        <v>44705</v>
      </c>
      <c r="B2301" s="11" t="s">
        <v>26</v>
      </c>
      <c r="C2301">
        <v>2184</v>
      </c>
      <c r="D2301" t="s">
        <v>6</v>
      </c>
      <c r="E2301" t="str">
        <f>IF(may[[#This Row],[ShiftCounter]]&gt;0, "Running", "Down")</f>
        <v>Running</v>
      </c>
    </row>
    <row r="2302" spans="1:5" x14ac:dyDescent="0.25">
      <c r="A2302" s="10">
        <v>44705</v>
      </c>
      <c r="B2302" s="11" t="s">
        <v>26</v>
      </c>
      <c r="C2302">
        <v>2246</v>
      </c>
      <c r="D2302" t="s">
        <v>7</v>
      </c>
      <c r="E2302" t="str">
        <f>IF(may[[#This Row],[ShiftCounter]]&gt;0, "Running", "Down")</f>
        <v>Running</v>
      </c>
    </row>
    <row r="2303" spans="1:5" x14ac:dyDescent="0.25">
      <c r="A2303" s="10">
        <v>44705</v>
      </c>
      <c r="B2303" s="11" t="s">
        <v>26</v>
      </c>
      <c r="C2303">
        <v>1873</v>
      </c>
      <c r="D2303" t="s">
        <v>8</v>
      </c>
      <c r="E2303" t="str">
        <f>IF(may[[#This Row],[ShiftCounter]]&gt;0, "Running", "Down")</f>
        <v>Running</v>
      </c>
    </row>
    <row r="2304" spans="1:5" x14ac:dyDescent="0.25">
      <c r="A2304" s="10">
        <v>44705</v>
      </c>
      <c r="B2304" s="11" t="s">
        <v>27</v>
      </c>
      <c r="C2304">
        <v>2395</v>
      </c>
      <c r="D2304" t="s">
        <v>6</v>
      </c>
      <c r="E2304" t="str">
        <f>IF(may[[#This Row],[ShiftCounter]]&gt;0, "Running", "Down")</f>
        <v>Running</v>
      </c>
    </row>
    <row r="2305" spans="1:5" x14ac:dyDescent="0.25">
      <c r="A2305" s="10">
        <v>44705</v>
      </c>
      <c r="B2305" s="11" t="s">
        <v>27</v>
      </c>
      <c r="C2305">
        <v>2336</v>
      </c>
      <c r="D2305" t="s">
        <v>7</v>
      </c>
      <c r="E2305" t="str">
        <f>IF(may[[#This Row],[ShiftCounter]]&gt;0, "Running", "Down")</f>
        <v>Running</v>
      </c>
    </row>
    <row r="2306" spans="1:5" x14ac:dyDescent="0.25">
      <c r="A2306" s="10">
        <v>44705</v>
      </c>
      <c r="B2306" s="11" t="s">
        <v>27</v>
      </c>
      <c r="C2306">
        <v>2041</v>
      </c>
      <c r="D2306" t="s">
        <v>8</v>
      </c>
      <c r="E2306" t="str">
        <f>IF(may[[#This Row],[ShiftCounter]]&gt;0, "Running", "Down")</f>
        <v>Running</v>
      </c>
    </row>
    <row r="2307" spans="1:5" x14ac:dyDescent="0.25">
      <c r="A2307" s="10">
        <v>44705</v>
      </c>
      <c r="B2307" s="11" t="s">
        <v>28</v>
      </c>
      <c r="C2307">
        <v>2254</v>
      </c>
      <c r="D2307" t="s">
        <v>6</v>
      </c>
      <c r="E2307" t="str">
        <f>IF(may[[#This Row],[ShiftCounter]]&gt;0, "Running", "Down")</f>
        <v>Running</v>
      </c>
    </row>
    <row r="2308" spans="1:5" x14ac:dyDescent="0.25">
      <c r="A2308" s="10">
        <v>44705</v>
      </c>
      <c r="B2308" s="11" t="s">
        <v>28</v>
      </c>
      <c r="C2308">
        <v>2274</v>
      </c>
      <c r="D2308" t="s">
        <v>7</v>
      </c>
      <c r="E2308" t="str">
        <f>IF(may[[#This Row],[ShiftCounter]]&gt;0, "Running", "Down")</f>
        <v>Running</v>
      </c>
    </row>
    <row r="2309" spans="1:5" x14ac:dyDescent="0.25">
      <c r="A2309" s="10">
        <v>44705</v>
      </c>
      <c r="B2309" s="11" t="s">
        <v>28</v>
      </c>
      <c r="C2309">
        <v>1938</v>
      </c>
      <c r="D2309" t="s">
        <v>8</v>
      </c>
      <c r="E2309" t="str">
        <f>IF(may[[#This Row],[ShiftCounter]]&gt;0, "Running", "Down")</f>
        <v>Running</v>
      </c>
    </row>
    <row r="2310" spans="1:5" x14ac:dyDescent="0.25">
      <c r="A2310" s="10">
        <v>44705</v>
      </c>
      <c r="B2310" s="11" t="s">
        <v>29</v>
      </c>
      <c r="C2310">
        <v>2180</v>
      </c>
      <c r="D2310" t="s">
        <v>6</v>
      </c>
      <c r="E2310" t="str">
        <f>IF(may[[#This Row],[ShiftCounter]]&gt;0, "Running", "Down")</f>
        <v>Running</v>
      </c>
    </row>
    <row r="2311" spans="1:5" x14ac:dyDescent="0.25">
      <c r="A2311" s="10">
        <v>44705</v>
      </c>
      <c r="B2311" s="11" t="s">
        <v>29</v>
      </c>
      <c r="C2311">
        <v>2100</v>
      </c>
      <c r="D2311" t="s">
        <v>7</v>
      </c>
      <c r="E2311" t="str">
        <f>IF(may[[#This Row],[ShiftCounter]]&gt;0, "Running", "Down")</f>
        <v>Running</v>
      </c>
    </row>
    <row r="2312" spans="1:5" x14ac:dyDescent="0.25">
      <c r="A2312" s="10">
        <v>44705</v>
      </c>
      <c r="B2312" s="11" t="s">
        <v>29</v>
      </c>
      <c r="C2312">
        <v>1739</v>
      </c>
      <c r="D2312" t="s">
        <v>8</v>
      </c>
      <c r="E2312" t="str">
        <f>IF(may[[#This Row],[ShiftCounter]]&gt;0, "Running", "Down")</f>
        <v>Running</v>
      </c>
    </row>
    <row r="2313" spans="1:5" x14ac:dyDescent="0.25">
      <c r="A2313" s="10">
        <v>44705</v>
      </c>
      <c r="B2313" s="11" t="s">
        <v>30</v>
      </c>
      <c r="C2313">
        <v>2292</v>
      </c>
      <c r="D2313" t="s">
        <v>6</v>
      </c>
      <c r="E2313" t="str">
        <f>IF(may[[#This Row],[ShiftCounter]]&gt;0, "Running", "Down")</f>
        <v>Running</v>
      </c>
    </row>
    <row r="2314" spans="1:5" x14ac:dyDescent="0.25">
      <c r="A2314" s="10">
        <v>44705</v>
      </c>
      <c r="B2314" s="11" t="s">
        <v>30</v>
      </c>
      <c r="C2314">
        <v>2243</v>
      </c>
      <c r="D2314" t="s">
        <v>7</v>
      </c>
      <c r="E2314" t="str">
        <f>IF(may[[#This Row],[ShiftCounter]]&gt;0, "Running", "Down")</f>
        <v>Running</v>
      </c>
    </row>
    <row r="2315" spans="1:5" x14ac:dyDescent="0.25">
      <c r="A2315" s="10">
        <v>44705</v>
      </c>
      <c r="B2315" s="11" t="s">
        <v>30</v>
      </c>
      <c r="C2315">
        <v>2012</v>
      </c>
      <c r="D2315" t="s">
        <v>8</v>
      </c>
      <c r="E2315" t="str">
        <f>IF(may[[#This Row],[ShiftCounter]]&gt;0, "Running", "Down")</f>
        <v>Running</v>
      </c>
    </row>
    <row r="2316" spans="1:5" x14ac:dyDescent="0.25">
      <c r="A2316" s="10">
        <v>44705</v>
      </c>
      <c r="B2316" s="11" t="s">
        <v>31</v>
      </c>
      <c r="C2316">
        <v>2172</v>
      </c>
      <c r="D2316" t="s">
        <v>6</v>
      </c>
      <c r="E2316" t="str">
        <f>IF(may[[#This Row],[ShiftCounter]]&gt;0, "Running", "Down")</f>
        <v>Running</v>
      </c>
    </row>
    <row r="2317" spans="1:5" x14ac:dyDescent="0.25">
      <c r="A2317" s="10">
        <v>44705</v>
      </c>
      <c r="B2317" s="11" t="s">
        <v>31</v>
      </c>
      <c r="C2317">
        <v>2188</v>
      </c>
      <c r="D2317" t="s">
        <v>7</v>
      </c>
      <c r="E2317" t="str">
        <f>IF(may[[#This Row],[ShiftCounter]]&gt;0, "Running", "Down")</f>
        <v>Running</v>
      </c>
    </row>
    <row r="2318" spans="1:5" x14ac:dyDescent="0.25">
      <c r="A2318" s="10">
        <v>44705</v>
      </c>
      <c r="B2318" s="11" t="s">
        <v>31</v>
      </c>
      <c r="C2318">
        <v>1905</v>
      </c>
      <c r="D2318" t="s">
        <v>8</v>
      </c>
      <c r="E2318" t="str">
        <f>IF(may[[#This Row],[ShiftCounter]]&gt;0, "Running", "Down")</f>
        <v>Running</v>
      </c>
    </row>
    <row r="2319" spans="1:5" x14ac:dyDescent="0.25">
      <c r="A2319" s="10">
        <v>44705</v>
      </c>
      <c r="B2319" s="11" t="s">
        <v>32</v>
      </c>
      <c r="C2319">
        <v>2263</v>
      </c>
      <c r="D2319" t="s">
        <v>6</v>
      </c>
      <c r="E2319" t="str">
        <f>IF(may[[#This Row],[ShiftCounter]]&gt;0, "Running", "Down")</f>
        <v>Running</v>
      </c>
    </row>
    <row r="2320" spans="1:5" x14ac:dyDescent="0.25">
      <c r="A2320" s="10">
        <v>44705</v>
      </c>
      <c r="B2320" s="11" t="s">
        <v>32</v>
      </c>
      <c r="C2320">
        <v>2280</v>
      </c>
      <c r="D2320" t="s">
        <v>7</v>
      </c>
      <c r="E2320" t="str">
        <f>IF(may[[#This Row],[ShiftCounter]]&gt;0, "Running", "Down")</f>
        <v>Running</v>
      </c>
    </row>
    <row r="2321" spans="1:5" x14ac:dyDescent="0.25">
      <c r="A2321" s="10">
        <v>44705</v>
      </c>
      <c r="B2321" s="11" t="s">
        <v>32</v>
      </c>
      <c r="C2321">
        <v>2000</v>
      </c>
      <c r="D2321" t="s">
        <v>8</v>
      </c>
      <c r="E2321" t="str">
        <f>IF(may[[#This Row],[ShiftCounter]]&gt;0, "Running", "Down")</f>
        <v>Running</v>
      </c>
    </row>
    <row r="2322" spans="1:5" x14ac:dyDescent="0.25">
      <c r="A2322" s="10">
        <v>44705</v>
      </c>
      <c r="B2322" s="11" t="s">
        <v>33</v>
      </c>
      <c r="C2322">
        <v>2531</v>
      </c>
      <c r="D2322" t="s">
        <v>6</v>
      </c>
      <c r="E2322" t="str">
        <f>IF(may[[#This Row],[ShiftCounter]]&gt;0, "Running", "Down")</f>
        <v>Running</v>
      </c>
    </row>
    <row r="2323" spans="1:5" x14ac:dyDescent="0.25">
      <c r="A2323" s="10">
        <v>44705</v>
      </c>
      <c r="B2323" s="11" t="s">
        <v>33</v>
      </c>
      <c r="C2323">
        <v>2577</v>
      </c>
      <c r="D2323" t="s">
        <v>7</v>
      </c>
      <c r="E2323" t="str">
        <f>IF(may[[#This Row],[ShiftCounter]]&gt;0, "Running", "Down")</f>
        <v>Running</v>
      </c>
    </row>
    <row r="2324" spans="1:5" x14ac:dyDescent="0.25">
      <c r="A2324" s="10">
        <v>44705</v>
      </c>
      <c r="B2324" s="11" t="s">
        <v>33</v>
      </c>
      <c r="C2324">
        <v>2236</v>
      </c>
      <c r="D2324" t="s">
        <v>8</v>
      </c>
      <c r="E2324" t="str">
        <f>IF(may[[#This Row],[ShiftCounter]]&gt;0, "Running", "Down")</f>
        <v>Running</v>
      </c>
    </row>
    <row r="2325" spans="1:5" x14ac:dyDescent="0.25">
      <c r="A2325" s="10">
        <v>44705</v>
      </c>
      <c r="B2325" s="11" t="s">
        <v>34</v>
      </c>
      <c r="C2325">
        <v>2052</v>
      </c>
      <c r="D2325" t="s">
        <v>6</v>
      </c>
      <c r="E2325" t="str">
        <f>IF(may[[#This Row],[ShiftCounter]]&gt;0, "Running", "Down")</f>
        <v>Running</v>
      </c>
    </row>
    <row r="2326" spans="1:5" x14ac:dyDescent="0.25">
      <c r="A2326" s="10">
        <v>44705</v>
      </c>
      <c r="B2326" s="11" t="s">
        <v>34</v>
      </c>
      <c r="C2326">
        <v>2050</v>
      </c>
      <c r="D2326" t="s">
        <v>7</v>
      </c>
      <c r="E2326" t="str">
        <f>IF(may[[#This Row],[ShiftCounter]]&gt;0, "Running", "Down")</f>
        <v>Running</v>
      </c>
    </row>
    <row r="2327" spans="1:5" x14ac:dyDescent="0.25">
      <c r="A2327" s="10">
        <v>44705</v>
      </c>
      <c r="B2327" s="11" t="s">
        <v>34</v>
      </c>
      <c r="C2327">
        <v>1819</v>
      </c>
      <c r="D2327" t="s">
        <v>8</v>
      </c>
      <c r="E2327" t="str">
        <f>IF(may[[#This Row],[ShiftCounter]]&gt;0, "Running", "Down")</f>
        <v>Running</v>
      </c>
    </row>
    <row r="2328" spans="1:5" x14ac:dyDescent="0.25">
      <c r="A2328" s="10">
        <v>44705</v>
      </c>
      <c r="B2328" s="11" t="s">
        <v>35</v>
      </c>
      <c r="C2328">
        <v>0</v>
      </c>
      <c r="D2328" t="s">
        <v>6</v>
      </c>
      <c r="E2328" t="str">
        <f>IF(may[[#This Row],[ShiftCounter]]&gt;0, "Running", "Down")</f>
        <v>Down</v>
      </c>
    </row>
    <row r="2329" spans="1:5" x14ac:dyDescent="0.25">
      <c r="A2329" s="10">
        <v>44705</v>
      </c>
      <c r="B2329" s="11" t="s">
        <v>35</v>
      </c>
      <c r="C2329">
        <v>1956</v>
      </c>
      <c r="D2329" t="s">
        <v>7</v>
      </c>
      <c r="E2329" t="str">
        <f>IF(may[[#This Row],[ShiftCounter]]&gt;0, "Running", "Down")</f>
        <v>Running</v>
      </c>
    </row>
    <row r="2330" spans="1:5" x14ac:dyDescent="0.25">
      <c r="A2330" s="10">
        <v>44705</v>
      </c>
      <c r="B2330" s="11" t="s">
        <v>35</v>
      </c>
      <c r="C2330">
        <v>1976</v>
      </c>
      <c r="D2330" t="s">
        <v>8</v>
      </c>
      <c r="E2330" t="str">
        <f>IF(may[[#This Row],[ShiftCounter]]&gt;0, "Running", "Down")</f>
        <v>Running</v>
      </c>
    </row>
    <row r="2331" spans="1:5" x14ac:dyDescent="0.25">
      <c r="A2331" s="10">
        <v>44705</v>
      </c>
      <c r="B2331" s="11" t="s">
        <v>36</v>
      </c>
      <c r="C2331">
        <v>2312</v>
      </c>
      <c r="D2331" t="s">
        <v>6</v>
      </c>
      <c r="E2331" t="str">
        <f>IF(may[[#This Row],[ShiftCounter]]&gt;0, "Running", "Down")</f>
        <v>Running</v>
      </c>
    </row>
    <row r="2332" spans="1:5" x14ac:dyDescent="0.25">
      <c r="A2332" s="10">
        <v>44705</v>
      </c>
      <c r="B2332" s="11" t="s">
        <v>36</v>
      </c>
      <c r="C2332">
        <v>2180</v>
      </c>
      <c r="D2332" t="s">
        <v>7</v>
      </c>
      <c r="E2332" t="str">
        <f>IF(may[[#This Row],[ShiftCounter]]&gt;0, "Running", "Down")</f>
        <v>Running</v>
      </c>
    </row>
    <row r="2333" spans="1:5" x14ac:dyDescent="0.25">
      <c r="A2333" s="10">
        <v>44705</v>
      </c>
      <c r="B2333" s="11" t="s">
        <v>36</v>
      </c>
      <c r="C2333">
        <v>2225</v>
      </c>
      <c r="D2333" t="s">
        <v>8</v>
      </c>
      <c r="E2333" t="str">
        <f>IF(may[[#This Row],[ShiftCounter]]&gt;0, "Running", "Down")</f>
        <v>Running</v>
      </c>
    </row>
    <row r="2334" spans="1:5" x14ac:dyDescent="0.25">
      <c r="A2334" s="10">
        <v>44705</v>
      </c>
      <c r="B2334" s="11" t="s">
        <v>37</v>
      </c>
      <c r="C2334">
        <v>1555</v>
      </c>
      <c r="D2334" t="s">
        <v>6</v>
      </c>
      <c r="E2334" t="str">
        <f>IF(may[[#This Row],[ShiftCounter]]&gt;0, "Running", "Down")</f>
        <v>Running</v>
      </c>
    </row>
    <row r="2335" spans="1:5" x14ac:dyDescent="0.25">
      <c r="A2335" s="10">
        <v>44705</v>
      </c>
      <c r="B2335" s="11" t="s">
        <v>37</v>
      </c>
      <c r="C2335">
        <v>2310</v>
      </c>
      <c r="D2335" t="s">
        <v>7</v>
      </c>
      <c r="E2335" t="str">
        <f>IF(may[[#This Row],[ShiftCounter]]&gt;0, "Running", "Down")</f>
        <v>Running</v>
      </c>
    </row>
    <row r="2336" spans="1:5" x14ac:dyDescent="0.25">
      <c r="A2336" s="10">
        <v>44705</v>
      </c>
      <c r="B2336" s="11" t="s">
        <v>37</v>
      </c>
      <c r="C2336">
        <v>2124</v>
      </c>
      <c r="D2336" t="s">
        <v>8</v>
      </c>
      <c r="E2336" t="str">
        <f>IF(may[[#This Row],[ShiftCounter]]&gt;0, "Running", "Down")</f>
        <v>Running</v>
      </c>
    </row>
    <row r="2337" spans="1:5" x14ac:dyDescent="0.25">
      <c r="A2337" s="10">
        <v>44706</v>
      </c>
      <c r="B2337" s="11" t="s">
        <v>40</v>
      </c>
      <c r="C2337">
        <v>2086</v>
      </c>
      <c r="D2337" t="s">
        <v>6</v>
      </c>
      <c r="E2337" t="str">
        <f>IF(may[[#This Row],[ShiftCounter]]&gt;0, "Running", "Down")</f>
        <v>Running</v>
      </c>
    </row>
    <row r="2338" spans="1:5" x14ac:dyDescent="0.25">
      <c r="A2338" s="10">
        <v>44706</v>
      </c>
      <c r="B2338" s="11" t="s">
        <v>40</v>
      </c>
      <c r="C2338">
        <v>2291</v>
      </c>
      <c r="D2338" t="s">
        <v>7</v>
      </c>
      <c r="E2338" t="str">
        <f>IF(may[[#This Row],[ShiftCounter]]&gt;0, "Running", "Down")</f>
        <v>Running</v>
      </c>
    </row>
    <row r="2339" spans="1:5" x14ac:dyDescent="0.25">
      <c r="A2339" s="10">
        <v>44706</v>
      </c>
      <c r="B2339" s="11" t="s">
        <v>40</v>
      </c>
      <c r="C2339">
        <v>2113</v>
      </c>
      <c r="D2339" t="s">
        <v>8</v>
      </c>
      <c r="E2339" t="str">
        <f>IF(may[[#This Row],[ShiftCounter]]&gt;0, "Running", "Down")</f>
        <v>Running</v>
      </c>
    </row>
    <row r="2340" spans="1:5" x14ac:dyDescent="0.25">
      <c r="A2340" s="10">
        <v>44706</v>
      </c>
      <c r="B2340" s="11" t="s">
        <v>39</v>
      </c>
      <c r="C2340">
        <v>1900</v>
      </c>
      <c r="D2340" t="s">
        <v>6</v>
      </c>
      <c r="E2340" t="str">
        <f>IF(may[[#This Row],[ShiftCounter]]&gt;0, "Running", "Down")</f>
        <v>Running</v>
      </c>
    </row>
    <row r="2341" spans="1:5" x14ac:dyDescent="0.25">
      <c r="A2341" s="10">
        <v>44706</v>
      </c>
      <c r="B2341" s="11" t="s">
        <v>39</v>
      </c>
      <c r="C2341">
        <v>2096</v>
      </c>
      <c r="D2341" t="s">
        <v>7</v>
      </c>
      <c r="E2341" t="str">
        <f>IF(may[[#This Row],[ShiftCounter]]&gt;0, "Running", "Down")</f>
        <v>Running</v>
      </c>
    </row>
    <row r="2342" spans="1:5" x14ac:dyDescent="0.25">
      <c r="A2342" s="10">
        <v>44706</v>
      </c>
      <c r="B2342" s="11" t="s">
        <v>39</v>
      </c>
      <c r="C2342">
        <v>1868</v>
      </c>
      <c r="D2342" t="s">
        <v>8</v>
      </c>
      <c r="E2342" t="str">
        <f>IF(may[[#This Row],[ShiftCounter]]&gt;0, "Running", "Down")</f>
        <v>Running</v>
      </c>
    </row>
    <row r="2343" spans="1:5" x14ac:dyDescent="0.25">
      <c r="A2343" s="10">
        <v>44706</v>
      </c>
      <c r="B2343" s="11" t="s">
        <v>41</v>
      </c>
      <c r="C2343">
        <v>2209</v>
      </c>
      <c r="D2343" t="s">
        <v>6</v>
      </c>
      <c r="E2343" t="str">
        <f>IF(may[[#This Row],[ShiftCounter]]&gt;0, "Running", "Down")</f>
        <v>Running</v>
      </c>
    </row>
    <row r="2344" spans="1:5" x14ac:dyDescent="0.25">
      <c r="A2344" s="10">
        <v>44706</v>
      </c>
      <c r="B2344" s="11" t="s">
        <v>41</v>
      </c>
      <c r="C2344">
        <v>2364</v>
      </c>
      <c r="D2344" t="s">
        <v>7</v>
      </c>
      <c r="E2344" t="str">
        <f>IF(may[[#This Row],[ShiftCounter]]&gt;0, "Running", "Down")</f>
        <v>Running</v>
      </c>
    </row>
    <row r="2345" spans="1:5" x14ac:dyDescent="0.25">
      <c r="A2345" s="10">
        <v>44706</v>
      </c>
      <c r="B2345" s="11" t="s">
        <v>41</v>
      </c>
      <c r="C2345">
        <v>2108</v>
      </c>
      <c r="D2345" t="s">
        <v>8</v>
      </c>
      <c r="E2345" t="str">
        <f>IF(may[[#This Row],[ShiftCounter]]&gt;0, "Running", "Down")</f>
        <v>Running</v>
      </c>
    </row>
    <row r="2346" spans="1:5" x14ac:dyDescent="0.25">
      <c r="A2346" s="10">
        <v>44706</v>
      </c>
      <c r="B2346" s="11" t="s">
        <v>17</v>
      </c>
      <c r="C2346">
        <v>1950</v>
      </c>
      <c r="D2346" t="s">
        <v>6</v>
      </c>
      <c r="E2346" t="str">
        <f>IF(may[[#This Row],[ShiftCounter]]&gt;0, "Running", "Down")</f>
        <v>Running</v>
      </c>
    </row>
    <row r="2347" spans="1:5" x14ac:dyDescent="0.25">
      <c r="A2347" s="10">
        <v>44706</v>
      </c>
      <c r="B2347" s="11" t="s">
        <v>17</v>
      </c>
      <c r="C2347">
        <v>530</v>
      </c>
      <c r="D2347" t="s">
        <v>7</v>
      </c>
      <c r="E2347" t="str">
        <f>IF(may[[#This Row],[ShiftCounter]]&gt;0, "Running", "Down")</f>
        <v>Running</v>
      </c>
    </row>
    <row r="2348" spans="1:5" x14ac:dyDescent="0.25">
      <c r="A2348" s="10">
        <v>44706</v>
      </c>
      <c r="B2348" s="11" t="s">
        <v>17</v>
      </c>
      <c r="C2348">
        <v>0</v>
      </c>
      <c r="D2348" t="s">
        <v>8</v>
      </c>
      <c r="E2348" t="str">
        <f>IF(may[[#This Row],[ShiftCounter]]&gt;0, "Running", "Down")</f>
        <v>Down</v>
      </c>
    </row>
    <row r="2349" spans="1:5" x14ac:dyDescent="0.25">
      <c r="A2349" s="10">
        <v>44706</v>
      </c>
      <c r="B2349" s="11" t="s">
        <v>9</v>
      </c>
      <c r="C2349">
        <v>2181</v>
      </c>
      <c r="D2349" t="s">
        <v>6</v>
      </c>
      <c r="E2349" t="str">
        <f>IF(may[[#This Row],[ShiftCounter]]&gt;0, "Running", "Down")</f>
        <v>Running</v>
      </c>
    </row>
    <row r="2350" spans="1:5" x14ac:dyDescent="0.25">
      <c r="A2350" s="10">
        <v>44706</v>
      </c>
      <c r="B2350" s="11" t="s">
        <v>9</v>
      </c>
      <c r="C2350">
        <v>2367</v>
      </c>
      <c r="D2350" t="s">
        <v>7</v>
      </c>
      <c r="E2350" t="str">
        <f>IF(may[[#This Row],[ShiftCounter]]&gt;0, "Running", "Down")</f>
        <v>Running</v>
      </c>
    </row>
    <row r="2351" spans="1:5" x14ac:dyDescent="0.25">
      <c r="A2351" s="10">
        <v>44706</v>
      </c>
      <c r="B2351" s="11" t="s">
        <v>9</v>
      </c>
      <c r="C2351">
        <v>2134</v>
      </c>
      <c r="D2351" t="s">
        <v>8</v>
      </c>
      <c r="E2351" t="str">
        <f>IF(may[[#This Row],[ShiftCounter]]&gt;0, "Running", "Down")</f>
        <v>Running</v>
      </c>
    </row>
    <row r="2352" spans="1:5" x14ac:dyDescent="0.25">
      <c r="A2352" s="10">
        <v>44706</v>
      </c>
      <c r="B2352" s="11" t="s">
        <v>10</v>
      </c>
      <c r="C2352">
        <v>1413</v>
      </c>
      <c r="D2352" t="s">
        <v>6</v>
      </c>
      <c r="E2352" t="str">
        <f>IF(may[[#This Row],[ShiftCounter]]&gt;0, "Running", "Down")</f>
        <v>Running</v>
      </c>
    </row>
    <row r="2353" spans="1:5" x14ac:dyDescent="0.25">
      <c r="A2353" s="10">
        <v>44706</v>
      </c>
      <c r="B2353" s="11" t="s">
        <v>10</v>
      </c>
      <c r="C2353">
        <v>2296</v>
      </c>
      <c r="D2353" t="s">
        <v>7</v>
      </c>
      <c r="E2353" t="str">
        <f>IF(may[[#This Row],[ShiftCounter]]&gt;0, "Running", "Down")</f>
        <v>Running</v>
      </c>
    </row>
    <row r="2354" spans="1:5" x14ac:dyDescent="0.25">
      <c r="A2354" s="10">
        <v>44706</v>
      </c>
      <c r="B2354" s="11" t="s">
        <v>10</v>
      </c>
      <c r="C2354">
        <v>1780</v>
      </c>
      <c r="D2354" t="s">
        <v>8</v>
      </c>
      <c r="E2354" t="str">
        <f>IF(may[[#This Row],[ShiftCounter]]&gt;0, "Running", "Down")</f>
        <v>Running</v>
      </c>
    </row>
    <row r="2355" spans="1:5" x14ac:dyDescent="0.25">
      <c r="A2355" s="10">
        <v>44706</v>
      </c>
      <c r="B2355" s="11" t="s">
        <v>11</v>
      </c>
      <c r="C2355">
        <v>2324</v>
      </c>
      <c r="D2355" t="s">
        <v>6</v>
      </c>
      <c r="E2355" t="str">
        <f>IF(may[[#This Row],[ShiftCounter]]&gt;0, "Running", "Down")</f>
        <v>Running</v>
      </c>
    </row>
    <row r="2356" spans="1:5" x14ac:dyDescent="0.25">
      <c r="A2356" s="10">
        <v>44706</v>
      </c>
      <c r="B2356" s="11" t="s">
        <v>11</v>
      </c>
      <c r="C2356">
        <v>2443</v>
      </c>
      <c r="D2356" t="s">
        <v>7</v>
      </c>
      <c r="E2356" t="str">
        <f>IF(may[[#This Row],[ShiftCounter]]&gt;0, "Running", "Down")</f>
        <v>Running</v>
      </c>
    </row>
    <row r="2357" spans="1:5" x14ac:dyDescent="0.25">
      <c r="A2357" s="10">
        <v>44706</v>
      </c>
      <c r="B2357" s="11" t="s">
        <v>11</v>
      </c>
      <c r="C2357">
        <v>2214</v>
      </c>
      <c r="D2357" t="s">
        <v>8</v>
      </c>
      <c r="E2357" t="str">
        <f>IF(may[[#This Row],[ShiftCounter]]&gt;0, "Running", "Down")</f>
        <v>Running</v>
      </c>
    </row>
    <row r="2358" spans="1:5" x14ac:dyDescent="0.25">
      <c r="A2358" s="10">
        <v>44706</v>
      </c>
      <c r="B2358" s="11" t="s">
        <v>12</v>
      </c>
      <c r="C2358">
        <v>1991</v>
      </c>
      <c r="D2358" t="s">
        <v>6</v>
      </c>
      <c r="E2358" t="str">
        <f>IF(may[[#This Row],[ShiftCounter]]&gt;0, "Running", "Down")</f>
        <v>Running</v>
      </c>
    </row>
    <row r="2359" spans="1:5" x14ac:dyDescent="0.25">
      <c r="A2359" s="10">
        <v>44706</v>
      </c>
      <c r="B2359" s="11" t="s">
        <v>12</v>
      </c>
      <c r="C2359">
        <v>2166</v>
      </c>
      <c r="D2359" t="s">
        <v>7</v>
      </c>
      <c r="E2359" t="str">
        <f>IF(may[[#This Row],[ShiftCounter]]&gt;0, "Running", "Down")</f>
        <v>Running</v>
      </c>
    </row>
    <row r="2360" spans="1:5" x14ac:dyDescent="0.25">
      <c r="A2360" s="10">
        <v>44706</v>
      </c>
      <c r="B2360" s="11" t="s">
        <v>12</v>
      </c>
      <c r="C2360">
        <v>1957</v>
      </c>
      <c r="D2360" t="s">
        <v>8</v>
      </c>
      <c r="E2360" t="str">
        <f>IF(may[[#This Row],[ShiftCounter]]&gt;0, "Running", "Down")</f>
        <v>Running</v>
      </c>
    </row>
    <row r="2361" spans="1:5" x14ac:dyDescent="0.25">
      <c r="A2361" s="10">
        <v>44706</v>
      </c>
      <c r="B2361" s="11" t="s">
        <v>120</v>
      </c>
      <c r="C2361">
        <v>2066</v>
      </c>
      <c r="D2361" t="s">
        <v>6</v>
      </c>
      <c r="E2361" t="str">
        <f>IF(may[[#This Row],[ShiftCounter]]&gt;0, "Running", "Down")</f>
        <v>Running</v>
      </c>
    </row>
    <row r="2362" spans="1:5" x14ac:dyDescent="0.25">
      <c r="A2362" s="10">
        <v>44706</v>
      </c>
      <c r="B2362" s="11" t="s">
        <v>120</v>
      </c>
      <c r="C2362">
        <v>2266</v>
      </c>
      <c r="D2362" t="s">
        <v>7</v>
      </c>
      <c r="E2362" t="str">
        <f>IF(may[[#This Row],[ShiftCounter]]&gt;0, "Running", "Down")</f>
        <v>Running</v>
      </c>
    </row>
    <row r="2363" spans="1:5" x14ac:dyDescent="0.25">
      <c r="A2363" s="10">
        <v>44706</v>
      </c>
      <c r="B2363" s="11" t="s">
        <v>120</v>
      </c>
      <c r="C2363">
        <v>2047</v>
      </c>
      <c r="D2363" t="s">
        <v>8</v>
      </c>
      <c r="E2363" t="str">
        <f>IF(may[[#This Row],[ShiftCounter]]&gt;0, "Running", "Down")</f>
        <v>Running</v>
      </c>
    </row>
    <row r="2364" spans="1:5" x14ac:dyDescent="0.25">
      <c r="A2364" s="10">
        <v>44706</v>
      </c>
      <c r="B2364" s="11" t="s">
        <v>13</v>
      </c>
      <c r="C2364">
        <v>2048</v>
      </c>
      <c r="D2364" t="s">
        <v>6</v>
      </c>
      <c r="E2364" t="str">
        <f>IF(may[[#This Row],[ShiftCounter]]&gt;0, "Running", "Down")</f>
        <v>Running</v>
      </c>
    </row>
    <row r="2365" spans="1:5" x14ac:dyDescent="0.25">
      <c r="A2365" s="10">
        <v>44706</v>
      </c>
      <c r="B2365" s="11" t="s">
        <v>13</v>
      </c>
      <c r="C2365">
        <v>2011</v>
      </c>
      <c r="D2365" t="s">
        <v>7</v>
      </c>
      <c r="E2365" t="str">
        <f>IF(may[[#This Row],[ShiftCounter]]&gt;0, "Running", "Down")</f>
        <v>Running</v>
      </c>
    </row>
    <row r="2366" spans="1:5" x14ac:dyDescent="0.25">
      <c r="A2366" s="10">
        <v>44706</v>
      </c>
      <c r="B2366" s="11" t="s">
        <v>13</v>
      </c>
      <c r="C2366">
        <v>1856</v>
      </c>
      <c r="D2366" t="s">
        <v>8</v>
      </c>
      <c r="E2366" t="str">
        <f>IF(may[[#This Row],[ShiftCounter]]&gt;0, "Running", "Down")</f>
        <v>Running</v>
      </c>
    </row>
    <row r="2367" spans="1:5" x14ac:dyDescent="0.25">
      <c r="A2367" s="10">
        <v>44706</v>
      </c>
      <c r="B2367" s="11" t="s">
        <v>114</v>
      </c>
      <c r="C2367">
        <v>2122</v>
      </c>
      <c r="D2367" t="s">
        <v>6</v>
      </c>
      <c r="E2367" t="str">
        <f>IF(may[[#This Row],[ShiftCounter]]&gt;0, "Running", "Down")</f>
        <v>Running</v>
      </c>
    </row>
    <row r="2368" spans="1:5" x14ac:dyDescent="0.25">
      <c r="A2368" s="10">
        <v>44706</v>
      </c>
      <c r="B2368" s="11" t="s">
        <v>114</v>
      </c>
      <c r="C2368">
        <v>2041</v>
      </c>
      <c r="D2368" t="s">
        <v>7</v>
      </c>
      <c r="E2368" t="str">
        <f>IF(may[[#This Row],[ShiftCounter]]&gt;0, "Running", "Down")</f>
        <v>Running</v>
      </c>
    </row>
    <row r="2369" spans="1:5" x14ac:dyDescent="0.25">
      <c r="A2369" s="10">
        <v>44706</v>
      </c>
      <c r="B2369" s="11" t="s">
        <v>114</v>
      </c>
      <c r="C2369">
        <v>1877</v>
      </c>
      <c r="D2369" t="s">
        <v>8</v>
      </c>
      <c r="E2369" t="str">
        <f>IF(may[[#This Row],[ShiftCounter]]&gt;0, "Running", "Down")</f>
        <v>Running</v>
      </c>
    </row>
    <row r="2370" spans="1:5" x14ac:dyDescent="0.25">
      <c r="A2370" s="10">
        <v>44706</v>
      </c>
      <c r="B2370" s="11" t="s">
        <v>14</v>
      </c>
      <c r="C2370">
        <v>1805</v>
      </c>
      <c r="D2370" t="s">
        <v>6</v>
      </c>
      <c r="E2370" t="str">
        <f>IF(may[[#This Row],[ShiftCounter]]&gt;0, "Running", "Down")</f>
        <v>Running</v>
      </c>
    </row>
    <row r="2371" spans="1:5" x14ac:dyDescent="0.25">
      <c r="A2371" s="10">
        <v>44706</v>
      </c>
      <c r="B2371" s="11" t="s">
        <v>14</v>
      </c>
      <c r="C2371">
        <v>1745</v>
      </c>
      <c r="D2371" t="s">
        <v>7</v>
      </c>
      <c r="E2371" t="str">
        <f>IF(may[[#This Row],[ShiftCounter]]&gt;0, "Running", "Down")</f>
        <v>Running</v>
      </c>
    </row>
    <row r="2372" spans="1:5" x14ac:dyDescent="0.25">
      <c r="A2372" s="10">
        <v>44706</v>
      </c>
      <c r="B2372" s="11" t="s">
        <v>14</v>
      </c>
      <c r="C2372">
        <v>1583</v>
      </c>
      <c r="D2372" t="s">
        <v>8</v>
      </c>
      <c r="E2372" t="str">
        <f>IF(may[[#This Row],[ShiftCounter]]&gt;0, "Running", "Down")</f>
        <v>Running</v>
      </c>
    </row>
    <row r="2373" spans="1:5" x14ac:dyDescent="0.25">
      <c r="A2373" s="10">
        <v>44706</v>
      </c>
      <c r="B2373" s="11" t="s">
        <v>15</v>
      </c>
      <c r="C2373">
        <v>2111</v>
      </c>
      <c r="D2373" t="s">
        <v>6</v>
      </c>
      <c r="E2373" t="str">
        <f>IF(may[[#This Row],[ShiftCounter]]&gt;0, "Running", "Down")</f>
        <v>Running</v>
      </c>
    </row>
    <row r="2374" spans="1:5" x14ac:dyDescent="0.25">
      <c r="A2374" s="10">
        <v>44706</v>
      </c>
      <c r="B2374" s="11" t="s">
        <v>15</v>
      </c>
      <c r="C2374">
        <v>2009</v>
      </c>
      <c r="D2374" t="s">
        <v>7</v>
      </c>
      <c r="E2374" t="str">
        <f>IF(may[[#This Row],[ShiftCounter]]&gt;0, "Running", "Down")</f>
        <v>Running</v>
      </c>
    </row>
    <row r="2375" spans="1:5" x14ac:dyDescent="0.25">
      <c r="A2375" s="10">
        <v>44706</v>
      </c>
      <c r="B2375" s="11" t="s">
        <v>15</v>
      </c>
      <c r="C2375">
        <v>1859</v>
      </c>
      <c r="D2375" t="s">
        <v>8</v>
      </c>
      <c r="E2375" t="str">
        <f>IF(may[[#This Row],[ShiftCounter]]&gt;0, "Running", "Down")</f>
        <v>Running</v>
      </c>
    </row>
    <row r="2376" spans="1:5" x14ac:dyDescent="0.25">
      <c r="A2376" s="10">
        <v>44706</v>
      </c>
      <c r="B2376" s="11" t="s">
        <v>16</v>
      </c>
      <c r="C2376">
        <v>2203</v>
      </c>
      <c r="D2376" t="s">
        <v>6</v>
      </c>
      <c r="E2376" t="str">
        <f>IF(may[[#This Row],[ShiftCounter]]&gt;0, "Running", "Down")</f>
        <v>Running</v>
      </c>
    </row>
    <row r="2377" spans="1:5" x14ac:dyDescent="0.25">
      <c r="A2377" s="10">
        <v>44706</v>
      </c>
      <c r="B2377" s="11" t="s">
        <v>16</v>
      </c>
      <c r="C2377">
        <v>2126</v>
      </c>
      <c r="D2377" t="s">
        <v>7</v>
      </c>
      <c r="E2377" t="str">
        <f>IF(may[[#This Row],[ShiftCounter]]&gt;0, "Running", "Down")</f>
        <v>Running</v>
      </c>
    </row>
    <row r="2378" spans="1:5" x14ac:dyDescent="0.25">
      <c r="A2378" s="10">
        <v>44706</v>
      </c>
      <c r="B2378" s="11" t="s">
        <v>16</v>
      </c>
      <c r="C2378">
        <v>1989</v>
      </c>
      <c r="D2378" t="s">
        <v>8</v>
      </c>
      <c r="E2378" t="str">
        <f>IF(may[[#This Row],[ShiftCounter]]&gt;0, "Running", "Down")</f>
        <v>Running</v>
      </c>
    </row>
    <row r="2379" spans="1:5" x14ac:dyDescent="0.25">
      <c r="A2379" s="10">
        <v>44706</v>
      </c>
      <c r="B2379" s="11" t="s">
        <v>19</v>
      </c>
      <c r="C2379">
        <v>2012</v>
      </c>
      <c r="D2379" t="s">
        <v>6</v>
      </c>
      <c r="E2379" t="str">
        <f>IF(may[[#This Row],[ShiftCounter]]&gt;0, "Running", "Down")</f>
        <v>Running</v>
      </c>
    </row>
    <row r="2380" spans="1:5" x14ac:dyDescent="0.25">
      <c r="A2380" s="10">
        <v>44706</v>
      </c>
      <c r="B2380" s="11" t="s">
        <v>19</v>
      </c>
      <c r="C2380">
        <v>1895</v>
      </c>
      <c r="D2380" t="s">
        <v>7</v>
      </c>
      <c r="E2380" t="str">
        <f>IF(may[[#This Row],[ShiftCounter]]&gt;0, "Running", "Down")</f>
        <v>Running</v>
      </c>
    </row>
    <row r="2381" spans="1:5" x14ac:dyDescent="0.25">
      <c r="A2381" s="10">
        <v>44706</v>
      </c>
      <c r="B2381" s="11" t="s">
        <v>19</v>
      </c>
      <c r="C2381">
        <v>1665</v>
      </c>
      <c r="D2381" t="s">
        <v>8</v>
      </c>
      <c r="E2381" t="str">
        <f>IF(may[[#This Row],[ShiftCounter]]&gt;0, "Running", "Down")</f>
        <v>Running</v>
      </c>
    </row>
    <row r="2382" spans="1:5" x14ac:dyDescent="0.25">
      <c r="A2382" s="10">
        <v>44706</v>
      </c>
      <c r="B2382" s="11" t="s">
        <v>18</v>
      </c>
      <c r="C2382">
        <v>2127</v>
      </c>
      <c r="D2382" t="s">
        <v>6</v>
      </c>
      <c r="E2382" t="str">
        <f>IF(may[[#This Row],[ShiftCounter]]&gt;0, "Running", "Down")</f>
        <v>Running</v>
      </c>
    </row>
    <row r="2383" spans="1:5" x14ac:dyDescent="0.25">
      <c r="A2383" s="10">
        <v>44706</v>
      </c>
      <c r="B2383" s="11" t="s">
        <v>18</v>
      </c>
      <c r="C2383">
        <v>2192</v>
      </c>
      <c r="D2383" t="s">
        <v>7</v>
      </c>
      <c r="E2383" t="str">
        <f>IF(may[[#This Row],[ShiftCounter]]&gt;0, "Running", "Down")</f>
        <v>Running</v>
      </c>
    </row>
    <row r="2384" spans="1:5" x14ac:dyDescent="0.25">
      <c r="A2384" s="10">
        <v>44706</v>
      </c>
      <c r="B2384" s="11" t="s">
        <v>18</v>
      </c>
      <c r="C2384">
        <v>2078</v>
      </c>
      <c r="D2384" t="s">
        <v>8</v>
      </c>
      <c r="E2384" t="str">
        <f>IF(may[[#This Row],[ShiftCounter]]&gt;0, "Running", "Down")</f>
        <v>Running</v>
      </c>
    </row>
    <row r="2385" spans="1:5" x14ac:dyDescent="0.25">
      <c r="A2385" s="10">
        <v>44706</v>
      </c>
      <c r="B2385" s="11" t="s">
        <v>20</v>
      </c>
      <c r="C2385">
        <v>2125</v>
      </c>
      <c r="D2385" t="s">
        <v>6</v>
      </c>
      <c r="E2385" t="str">
        <f>IF(may[[#This Row],[ShiftCounter]]&gt;0, "Running", "Down")</f>
        <v>Running</v>
      </c>
    </row>
    <row r="2386" spans="1:5" x14ac:dyDescent="0.25">
      <c r="A2386" s="10">
        <v>44706</v>
      </c>
      <c r="B2386" s="11" t="s">
        <v>20</v>
      </c>
      <c r="C2386">
        <v>2221</v>
      </c>
      <c r="D2386" t="s">
        <v>7</v>
      </c>
      <c r="E2386" t="str">
        <f>IF(may[[#This Row],[ShiftCounter]]&gt;0, "Running", "Down")</f>
        <v>Running</v>
      </c>
    </row>
    <row r="2387" spans="1:5" x14ac:dyDescent="0.25">
      <c r="A2387" s="10">
        <v>44706</v>
      </c>
      <c r="B2387" s="11" t="s">
        <v>20</v>
      </c>
      <c r="C2387">
        <v>2118</v>
      </c>
      <c r="D2387" t="s">
        <v>8</v>
      </c>
      <c r="E2387" t="str">
        <f>IF(may[[#This Row],[ShiftCounter]]&gt;0, "Running", "Down")</f>
        <v>Running</v>
      </c>
    </row>
    <row r="2388" spans="1:5" x14ac:dyDescent="0.25">
      <c r="A2388" s="10">
        <v>44706</v>
      </c>
      <c r="B2388" s="11" t="s">
        <v>21</v>
      </c>
      <c r="C2388">
        <v>1990</v>
      </c>
      <c r="D2388" t="s">
        <v>6</v>
      </c>
      <c r="E2388" t="str">
        <f>IF(may[[#This Row],[ShiftCounter]]&gt;0, "Running", "Down")</f>
        <v>Running</v>
      </c>
    </row>
    <row r="2389" spans="1:5" x14ac:dyDescent="0.25">
      <c r="A2389" s="10">
        <v>44706</v>
      </c>
      <c r="B2389" s="11" t="s">
        <v>21</v>
      </c>
      <c r="C2389">
        <v>1988</v>
      </c>
      <c r="D2389" t="s">
        <v>7</v>
      </c>
      <c r="E2389" t="str">
        <f>IF(may[[#This Row],[ShiftCounter]]&gt;0, "Running", "Down")</f>
        <v>Running</v>
      </c>
    </row>
    <row r="2390" spans="1:5" x14ac:dyDescent="0.25">
      <c r="A2390" s="10">
        <v>44706</v>
      </c>
      <c r="B2390" s="11" t="s">
        <v>21</v>
      </c>
      <c r="C2390">
        <v>1918</v>
      </c>
      <c r="D2390" t="s">
        <v>8</v>
      </c>
      <c r="E2390" t="str">
        <f>IF(may[[#This Row],[ShiftCounter]]&gt;0, "Running", "Down")</f>
        <v>Running</v>
      </c>
    </row>
    <row r="2391" spans="1:5" x14ac:dyDescent="0.25">
      <c r="A2391" s="10">
        <v>44706</v>
      </c>
      <c r="B2391" s="11" t="s">
        <v>22</v>
      </c>
      <c r="C2391">
        <v>0</v>
      </c>
      <c r="D2391" t="s">
        <v>6</v>
      </c>
      <c r="E2391" t="str">
        <f>IF(may[[#This Row],[ShiftCounter]]&gt;0, "Running", "Down")</f>
        <v>Down</v>
      </c>
    </row>
    <row r="2392" spans="1:5" x14ac:dyDescent="0.25">
      <c r="A2392" s="10">
        <v>44706</v>
      </c>
      <c r="B2392" s="11" t="s">
        <v>22</v>
      </c>
      <c r="C2392">
        <v>2078</v>
      </c>
      <c r="D2392" t="s">
        <v>7</v>
      </c>
      <c r="E2392" t="str">
        <f>IF(may[[#This Row],[ShiftCounter]]&gt;0, "Running", "Down")</f>
        <v>Running</v>
      </c>
    </row>
    <row r="2393" spans="1:5" x14ac:dyDescent="0.25">
      <c r="A2393" s="10">
        <v>44706</v>
      </c>
      <c r="B2393" s="11" t="s">
        <v>22</v>
      </c>
      <c r="C2393">
        <v>1978</v>
      </c>
      <c r="D2393" t="s">
        <v>8</v>
      </c>
      <c r="E2393" t="str">
        <f>IF(may[[#This Row],[ShiftCounter]]&gt;0, "Running", "Down")</f>
        <v>Running</v>
      </c>
    </row>
    <row r="2394" spans="1:5" x14ac:dyDescent="0.25">
      <c r="A2394" s="10">
        <v>44706</v>
      </c>
      <c r="B2394" s="11" t="s">
        <v>23</v>
      </c>
      <c r="C2394">
        <v>2346</v>
      </c>
      <c r="D2394" t="s">
        <v>6</v>
      </c>
      <c r="E2394" t="str">
        <f>IF(may[[#This Row],[ShiftCounter]]&gt;0, "Running", "Down")</f>
        <v>Running</v>
      </c>
    </row>
    <row r="2395" spans="1:5" x14ac:dyDescent="0.25">
      <c r="A2395" s="10">
        <v>44706</v>
      </c>
      <c r="B2395" s="11" t="s">
        <v>23</v>
      </c>
      <c r="C2395">
        <v>2283</v>
      </c>
      <c r="D2395" t="s">
        <v>7</v>
      </c>
      <c r="E2395" t="str">
        <f>IF(may[[#This Row],[ShiftCounter]]&gt;0, "Running", "Down")</f>
        <v>Running</v>
      </c>
    </row>
    <row r="2396" spans="1:5" x14ac:dyDescent="0.25">
      <c r="A2396" s="10">
        <v>44706</v>
      </c>
      <c r="B2396" s="11" t="s">
        <v>23</v>
      </c>
      <c r="C2396">
        <v>2164</v>
      </c>
      <c r="D2396" t="s">
        <v>8</v>
      </c>
      <c r="E2396" t="str">
        <f>IF(may[[#This Row],[ShiftCounter]]&gt;0, "Running", "Down")</f>
        <v>Running</v>
      </c>
    </row>
    <row r="2397" spans="1:5" x14ac:dyDescent="0.25">
      <c r="A2397" s="10">
        <v>44706</v>
      </c>
      <c r="B2397" s="11" t="s">
        <v>24</v>
      </c>
      <c r="C2397">
        <v>1992</v>
      </c>
      <c r="D2397" t="s">
        <v>6</v>
      </c>
      <c r="E2397" t="str">
        <f>IF(may[[#This Row],[ShiftCounter]]&gt;0, "Running", "Down")</f>
        <v>Running</v>
      </c>
    </row>
    <row r="2398" spans="1:5" x14ac:dyDescent="0.25">
      <c r="A2398" s="10">
        <v>44706</v>
      </c>
      <c r="B2398" s="11" t="s">
        <v>24</v>
      </c>
      <c r="C2398">
        <v>2098</v>
      </c>
      <c r="D2398" t="s">
        <v>7</v>
      </c>
      <c r="E2398" t="str">
        <f>IF(may[[#This Row],[ShiftCounter]]&gt;0, "Running", "Down")</f>
        <v>Running</v>
      </c>
    </row>
    <row r="2399" spans="1:5" x14ac:dyDescent="0.25">
      <c r="A2399" s="10">
        <v>44706</v>
      </c>
      <c r="B2399" s="11" t="s">
        <v>24</v>
      </c>
      <c r="C2399">
        <v>1911</v>
      </c>
      <c r="D2399" t="s">
        <v>8</v>
      </c>
      <c r="E2399" t="str">
        <f>IF(may[[#This Row],[ShiftCounter]]&gt;0, "Running", "Down")</f>
        <v>Running</v>
      </c>
    </row>
    <row r="2400" spans="1:5" x14ac:dyDescent="0.25">
      <c r="A2400" s="10">
        <v>44706</v>
      </c>
      <c r="B2400" s="11" t="s">
        <v>25</v>
      </c>
      <c r="C2400">
        <v>1641</v>
      </c>
      <c r="D2400" t="s">
        <v>6</v>
      </c>
      <c r="E2400" t="str">
        <f>IF(may[[#This Row],[ShiftCounter]]&gt;0, "Running", "Down")</f>
        <v>Running</v>
      </c>
    </row>
    <row r="2401" spans="1:5" x14ac:dyDescent="0.25">
      <c r="A2401" s="10">
        <v>44706</v>
      </c>
      <c r="B2401" s="11" t="s">
        <v>25</v>
      </c>
      <c r="C2401">
        <v>2205</v>
      </c>
      <c r="D2401" t="s">
        <v>7</v>
      </c>
      <c r="E2401" t="str">
        <f>IF(may[[#This Row],[ShiftCounter]]&gt;0, "Running", "Down")</f>
        <v>Running</v>
      </c>
    </row>
    <row r="2402" spans="1:5" x14ac:dyDescent="0.25">
      <c r="A2402" s="10">
        <v>44706</v>
      </c>
      <c r="B2402" s="11" t="s">
        <v>25</v>
      </c>
      <c r="C2402">
        <v>1864</v>
      </c>
      <c r="D2402" t="s">
        <v>8</v>
      </c>
      <c r="E2402" t="str">
        <f>IF(may[[#This Row],[ShiftCounter]]&gt;0, "Running", "Down")</f>
        <v>Running</v>
      </c>
    </row>
    <row r="2403" spans="1:5" x14ac:dyDescent="0.25">
      <c r="A2403" s="10">
        <v>44706</v>
      </c>
      <c r="B2403" s="11" t="s">
        <v>26</v>
      </c>
      <c r="C2403">
        <v>2079</v>
      </c>
      <c r="D2403" t="s">
        <v>6</v>
      </c>
      <c r="E2403" t="str">
        <f>IF(may[[#This Row],[ShiftCounter]]&gt;0, "Running", "Down")</f>
        <v>Running</v>
      </c>
    </row>
    <row r="2404" spans="1:5" x14ac:dyDescent="0.25">
      <c r="A2404" s="10">
        <v>44706</v>
      </c>
      <c r="B2404" s="11" t="s">
        <v>26</v>
      </c>
      <c r="C2404">
        <v>2128</v>
      </c>
      <c r="D2404" t="s">
        <v>7</v>
      </c>
      <c r="E2404" t="str">
        <f>IF(may[[#This Row],[ShiftCounter]]&gt;0, "Running", "Down")</f>
        <v>Running</v>
      </c>
    </row>
    <row r="2405" spans="1:5" x14ac:dyDescent="0.25">
      <c r="A2405" s="10">
        <v>44706</v>
      </c>
      <c r="B2405" s="11" t="s">
        <v>26</v>
      </c>
      <c r="C2405">
        <v>1573</v>
      </c>
      <c r="D2405" t="s">
        <v>8</v>
      </c>
      <c r="E2405" t="str">
        <f>IF(may[[#This Row],[ShiftCounter]]&gt;0, "Running", "Down")</f>
        <v>Running</v>
      </c>
    </row>
    <row r="2406" spans="1:5" x14ac:dyDescent="0.25">
      <c r="A2406" s="10">
        <v>44706</v>
      </c>
      <c r="B2406" s="11" t="s">
        <v>27</v>
      </c>
      <c r="C2406">
        <v>2209</v>
      </c>
      <c r="D2406" t="s">
        <v>6</v>
      </c>
      <c r="E2406" t="str">
        <f>IF(may[[#This Row],[ShiftCounter]]&gt;0, "Running", "Down")</f>
        <v>Running</v>
      </c>
    </row>
    <row r="2407" spans="1:5" x14ac:dyDescent="0.25">
      <c r="A2407" s="10">
        <v>44706</v>
      </c>
      <c r="B2407" s="11" t="s">
        <v>27</v>
      </c>
      <c r="C2407">
        <v>2225</v>
      </c>
      <c r="D2407" t="s">
        <v>7</v>
      </c>
      <c r="E2407" t="str">
        <f>IF(may[[#This Row],[ShiftCounter]]&gt;0, "Running", "Down")</f>
        <v>Running</v>
      </c>
    </row>
    <row r="2408" spans="1:5" x14ac:dyDescent="0.25">
      <c r="A2408" s="10">
        <v>44706</v>
      </c>
      <c r="B2408" s="11" t="s">
        <v>27</v>
      </c>
      <c r="C2408">
        <v>1922</v>
      </c>
      <c r="D2408" t="s">
        <v>8</v>
      </c>
      <c r="E2408" t="str">
        <f>IF(may[[#This Row],[ShiftCounter]]&gt;0, "Running", "Down")</f>
        <v>Running</v>
      </c>
    </row>
    <row r="2409" spans="1:5" x14ac:dyDescent="0.25">
      <c r="A2409" s="10">
        <v>44706</v>
      </c>
      <c r="B2409" s="11" t="s">
        <v>28</v>
      </c>
      <c r="C2409">
        <v>2114</v>
      </c>
      <c r="D2409" t="s">
        <v>6</v>
      </c>
      <c r="E2409" t="str">
        <f>IF(may[[#This Row],[ShiftCounter]]&gt;0, "Running", "Down")</f>
        <v>Running</v>
      </c>
    </row>
    <row r="2410" spans="1:5" x14ac:dyDescent="0.25">
      <c r="A2410" s="10">
        <v>44706</v>
      </c>
      <c r="B2410" s="11" t="s">
        <v>28</v>
      </c>
      <c r="C2410">
        <v>2150</v>
      </c>
      <c r="D2410" t="s">
        <v>7</v>
      </c>
      <c r="E2410" t="str">
        <f>IF(may[[#This Row],[ShiftCounter]]&gt;0, "Running", "Down")</f>
        <v>Running</v>
      </c>
    </row>
    <row r="2411" spans="1:5" x14ac:dyDescent="0.25">
      <c r="A2411" s="10">
        <v>44706</v>
      </c>
      <c r="B2411" s="11" t="s">
        <v>28</v>
      </c>
      <c r="C2411">
        <v>1853</v>
      </c>
      <c r="D2411" t="s">
        <v>8</v>
      </c>
      <c r="E2411" t="str">
        <f>IF(may[[#This Row],[ShiftCounter]]&gt;0, "Running", "Down")</f>
        <v>Running</v>
      </c>
    </row>
    <row r="2412" spans="1:5" x14ac:dyDescent="0.25">
      <c r="A2412" s="10">
        <v>44706</v>
      </c>
      <c r="B2412" s="11" t="s">
        <v>29</v>
      </c>
      <c r="C2412">
        <v>1935</v>
      </c>
      <c r="D2412" t="s">
        <v>6</v>
      </c>
      <c r="E2412" t="str">
        <f>IF(may[[#This Row],[ShiftCounter]]&gt;0, "Running", "Down")</f>
        <v>Running</v>
      </c>
    </row>
    <row r="2413" spans="1:5" x14ac:dyDescent="0.25">
      <c r="A2413" s="10">
        <v>44706</v>
      </c>
      <c r="B2413" s="11" t="s">
        <v>29</v>
      </c>
      <c r="C2413">
        <v>2005</v>
      </c>
      <c r="D2413" t="s">
        <v>7</v>
      </c>
      <c r="E2413" t="str">
        <f>IF(may[[#This Row],[ShiftCounter]]&gt;0, "Running", "Down")</f>
        <v>Running</v>
      </c>
    </row>
    <row r="2414" spans="1:5" x14ac:dyDescent="0.25">
      <c r="A2414" s="10">
        <v>44706</v>
      </c>
      <c r="B2414" s="11" t="s">
        <v>29</v>
      </c>
      <c r="C2414">
        <v>1694</v>
      </c>
      <c r="D2414" t="s">
        <v>8</v>
      </c>
      <c r="E2414" t="str">
        <f>IF(may[[#This Row],[ShiftCounter]]&gt;0, "Running", "Down")</f>
        <v>Running</v>
      </c>
    </row>
    <row r="2415" spans="1:5" x14ac:dyDescent="0.25">
      <c r="A2415" s="10">
        <v>44706</v>
      </c>
      <c r="B2415" s="11" t="s">
        <v>30</v>
      </c>
      <c r="C2415">
        <v>2019</v>
      </c>
      <c r="D2415" t="s">
        <v>6</v>
      </c>
      <c r="E2415" t="str">
        <f>IF(may[[#This Row],[ShiftCounter]]&gt;0, "Running", "Down")</f>
        <v>Running</v>
      </c>
    </row>
    <row r="2416" spans="1:5" x14ac:dyDescent="0.25">
      <c r="A2416" s="10">
        <v>44706</v>
      </c>
      <c r="B2416" s="11" t="s">
        <v>30</v>
      </c>
      <c r="C2416">
        <v>2196</v>
      </c>
      <c r="D2416" t="s">
        <v>7</v>
      </c>
      <c r="E2416" t="str">
        <f>IF(may[[#This Row],[ShiftCounter]]&gt;0, "Running", "Down")</f>
        <v>Running</v>
      </c>
    </row>
    <row r="2417" spans="1:5" x14ac:dyDescent="0.25">
      <c r="A2417" s="10">
        <v>44706</v>
      </c>
      <c r="B2417" s="11" t="s">
        <v>30</v>
      </c>
      <c r="C2417">
        <v>1899</v>
      </c>
      <c r="D2417" t="s">
        <v>8</v>
      </c>
      <c r="E2417" t="str">
        <f>IF(may[[#This Row],[ShiftCounter]]&gt;0, "Running", "Down")</f>
        <v>Running</v>
      </c>
    </row>
    <row r="2418" spans="1:5" x14ac:dyDescent="0.25">
      <c r="A2418" s="10">
        <v>44706</v>
      </c>
      <c r="B2418" s="11" t="s">
        <v>31</v>
      </c>
      <c r="C2418">
        <v>2034</v>
      </c>
      <c r="D2418" t="s">
        <v>6</v>
      </c>
      <c r="E2418" t="str">
        <f>IF(may[[#This Row],[ShiftCounter]]&gt;0, "Running", "Down")</f>
        <v>Running</v>
      </c>
    </row>
    <row r="2419" spans="1:5" x14ac:dyDescent="0.25">
      <c r="A2419" s="10">
        <v>44706</v>
      </c>
      <c r="B2419" s="11" t="s">
        <v>31</v>
      </c>
      <c r="C2419">
        <v>2110</v>
      </c>
      <c r="D2419" t="s">
        <v>7</v>
      </c>
      <c r="E2419" t="str">
        <f>IF(may[[#This Row],[ShiftCounter]]&gt;0, "Running", "Down")</f>
        <v>Running</v>
      </c>
    </row>
    <row r="2420" spans="1:5" x14ac:dyDescent="0.25">
      <c r="A2420" s="10">
        <v>44706</v>
      </c>
      <c r="B2420" s="11" t="s">
        <v>31</v>
      </c>
      <c r="C2420">
        <v>1799</v>
      </c>
      <c r="D2420" t="s">
        <v>8</v>
      </c>
      <c r="E2420" t="str">
        <f>IF(may[[#This Row],[ShiftCounter]]&gt;0, "Running", "Down")</f>
        <v>Running</v>
      </c>
    </row>
    <row r="2421" spans="1:5" x14ac:dyDescent="0.25">
      <c r="A2421" s="10">
        <v>44706</v>
      </c>
      <c r="B2421" s="11" t="s">
        <v>32</v>
      </c>
      <c r="C2421">
        <v>2237</v>
      </c>
      <c r="D2421" t="s">
        <v>6</v>
      </c>
      <c r="E2421" t="str">
        <f>IF(may[[#This Row],[ShiftCounter]]&gt;0, "Running", "Down")</f>
        <v>Running</v>
      </c>
    </row>
    <row r="2422" spans="1:5" x14ac:dyDescent="0.25">
      <c r="A2422" s="10">
        <v>44706</v>
      </c>
      <c r="B2422" s="11" t="s">
        <v>32</v>
      </c>
      <c r="C2422">
        <v>2285</v>
      </c>
      <c r="D2422" t="s">
        <v>7</v>
      </c>
      <c r="E2422" t="str">
        <f>IF(may[[#This Row],[ShiftCounter]]&gt;0, "Running", "Down")</f>
        <v>Running</v>
      </c>
    </row>
    <row r="2423" spans="1:5" x14ac:dyDescent="0.25">
      <c r="A2423" s="10">
        <v>44706</v>
      </c>
      <c r="B2423" s="11" t="s">
        <v>32</v>
      </c>
      <c r="C2423">
        <v>1916</v>
      </c>
      <c r="D2423" t="s">
        <v>8</v>
      </c>
      <c r="E2423" t="str">
        <f>IF(may[[#This Row],[ShiftCounter]]&gt;0, "Running", "Down")</f>
        <v>Running</v>
      </c>
    </row>
    <row r="2424" spans="1:5" x14ac:dyDescent="0.25">
      <c r="A2424" s="10">
        <v>44706</v>
      </c>
      <c r="B2424" s="11" t="s">
        <v>33</v>
      </c>
      <c r="C2424">
        <v>2438</v>
      </c>
      <c r="D2424" t="s">
        <v>6</v>
      </c>
      <c r="E2424" t="str">
        <f>IF(may[[#This Row],[ShiftCounter]]&gt;0, "Running", "Down")</f>
        <v>Running</v>
      </c>
    </row>
    <row r="2425" spans="1:5" x14ac:dyDescent="0.25">
      <c r="A2425" s="10">
        <v>44706</v>
      </c>
      <c r="B2425" s="11" t="s">
        <v>33</v>
      </c>
      <c r="C2425">
        <v>2565</v>
      </c>
      <c r="D2425" t="s">
        <v>7</v>
      </c>
      <c r="E2425" t="str">
        <f>IF(may[[#This Row],[ShiftCounter]]&gt;0, "Running", "Down")</f>
        <v>Running</v>
      </c>
    </row>
    <row r="2426" spans="1:5" x14ac:dyDescent="0.25">
      <c r="A2426" s="10">
        <v>44706</v>
      </c>
      <c r="B2426" s="11" t="s">
        <v>33</v>
      </c>
      <c r="C2426">
        <v>2150</v>
      </c>
      <c r="D2426" t="s">
        <v>8</v>
      </c>
      <c r="E2426" t="str">
        <f>IF(may[[#This Row],[ShiftCounter]]&gt;0, "Running", "Down")</f>
        <v>Running</v>
      </c>
    </row>
    <row r="2427" spans="1:5" x14ac:dyDescent="0.25">
      <c r="A2427" s="10">
        <v>44706</v>
      </c>
      <c r="B2427" s="11" t="s">
        <v>34</v>
      </c>
      <c r="C2427">
        <v>2195</v>
      </c>
      <c r="D2427" t="s">
        <v>6</v>
      </c>
      <c r="E2427" t="str">
        <f>IF(may[[#This Row],[ShiftCounter]]&gt;0, "Running", "Down")</f>
        <v>Running</v>
      </c>
    </row>
    <row r="2428" spans="1:5" x14ac:dyDescent="0.25">
      <c r="A2428" s="10">
        <v>44706</v>
      </c>
      <c r="B2428" s="11" t="s">
        <v>34</v>
      </c>
      <c r="C2428">
        <v>1980</v>
      </c>
      <c r="D2428" t="s">
        <v>7</v>
      </c>
      <c r="E2428" t="str">
        <f>IF(may[[#This Row],[ShiftCounter]]&gt;0, "Running", "Down")</f>
        <v>Running</v>
      </c>
    </row>
    <row r="2429" spans="1:5" x14ac:dyDescent="0.25">
      <c r="A2429" s="10">
        <v>44706</v>
      </c>
      <c r="B2429" s="11" t="s">
        <v>34</v>
      </c>
      <c r="C2429">
        <v>1749</v>
      </c>
      <c r="D2429" t="s">
        <v>8</v>
      </c>
      <c r="E2429" t="str">
        <f>IF(may[[#This Row],[ShiftCounter]]&gt;0, "Running", "Down")</f>
        <v>Running</v>
      </c>
    </row>
    <row r="2430" spans="1:5" x14ac:dyDescent="0.25">
      <c r="A2430" s="10">
        <v>44706</v>
      </c>
      <c r="B2430" s="11" t="s">
        <v>35</v>
      </c>
      <c r="C2430">
        <v>1768</v>
      </c>
      <c r="D2430" t="s">
        <v>6</v>
      </c>
      <c r="E2430" t="str">
        <f>IF(may[[#This Row],[ShiftCounter]]&gt;0, "Running", "Down")</f>
        <v>Running</v>
      </c>
    </row>
    <row r="2431" spans="1:5" x14ac:dyDescent="0.25">
      <c r="A2431" s="10">
        <v>44706</v>
      </c>
      <c r="B2431" s="11" t="s">
        <v>35</v>
      </c>
      <c r="C2431">
        <v>2325</v>
      </c>
      <c r="D2431" t="s">
        <v>7</v>
      </c>
      <c r="E2431" t="str">
        <f>IF(may[[#This Row],[ShiftCounter]]&gt;0, "Running", "Down")</f>
        <v>Running</v>
      </c>
    </row>
    <row r="2432" spans="1:5" x14ac:dyDescent="0.25">
      <c r="A2432" s="10">
        <v>44706</v>
      </c>
      <c r="B2432" s="11" t="s">
        <v>35</v>
      </c>
      <c r="C2432">
        <v>1967</v>
      </c>
      <c r="D2432" t="s">
        <v>8</v>
      </c>
      <c r="E2432" t="str">
        <f>IF(may[[#This Row],[ShiftCounter]]&gt;0, "Running", "Down")</f>
        <v>Running</v>
      </c>
    </row>
    <row r="2433" spans="1:5" x14ac:dyDescent="0.25">
      <c r="A2433" s="10">
        <v>44706</v>
      </c>
      <c r="B2433" s="11" t="s">
        <v>37</v>
      </c>
      <c r="C2433">
        <v>2318</v>
      </c>
      <c r="D2433" t="s">
        <v>6</v>
      </c>
      <c r="E2433" t="str">
        <f>IF(may[[#This Row],[ShiftCounter]]&gt;0, "Running", "Down")</f>
        <v>Running</v>
      </c>
    </row>
    <row r="2434" spans="1:5" x14ac:dyDescent="0.25">
      <c r="A2434" s="10">
        <v>44706</v>
      </c>
      <c r="B2434" s="11" t="s">
        <v>37</v>
      </c>
      <c r="C2434">
        <v>2250</v>
      </c>
      <c r="D2434" t="s">
        <v>7</v>
      </c>
      <c r="E2434" t="str">
        <f>IF(may[[#This Row],[ShiftCounter]]&gt;0, "Running", "Down")</f>
        <v>Running</v>
      </c>
    </row>
    <row r="2435" spans="1:5" x14ac:dyDescent="0.25">
      <c r="A2435" s="10">
        <v>44706</v>
      </c>
      <c r="B2435" s="11" t="s">
        <v>37</v>
      </c>
      <c r="C2435">
        <v>2019</v>
      </c>
      <c r="D2435" t="s">
        <v>8</v>
      </c>
      <c r="E2435" t="str">
        <f>IF(may[[#This Row],[ShiftCounter]]&gt;0, "Running", "Down")</f>
        <v>Running</v>
      </c>
    </row>
    <row r="2436" spans="1:5" x14ac:dyDescent="0.25">
      <c r="A2436" s="10">
        <v>44707</v>
      </c>
      <c r="B2436" s="11" t="s">
        <v>39</v>
      </c>
      <c r="C2436">
        <v>2107</v>
      </c>
      <c r="D2436" t="s">
        <v>6</v>
      </c>
      <c r="E2436" t="str">
        <f>IF(may[[#This Row],[ShiftCounter]]&gt;0, "Running", "Down")</f>
        <v>Running</v>
      </c>
    </row>
    <row r="2437" spans="1:5" x14ac:dyDescent="0.25">
      <c r="A2437" s="10">
        <v>44707</v>
      </c>
      <c r="B2437" s="11" t="s">
        <v>39</v>
      </c>
      <c r="C2437">
        <v>2195</v>
      </c>
      <c r="D2437" t="s">
        <v>7</v>
      </c>
      <c r="E2437" t="str">
        <f>IF(may[[#This Row],[ShiftCounter]]&gt;0, "Running", "Down")</f>
        <v>Running</v>
      </c>
    </row>
    <row r="2438" spans="1:5" x14ac:dyDescent="0.25">
      <c r="A2438" s="10">
        <v>44707</v>
      </c>
      <c r="B2438" s="11" t="s">
        <v>39</v>
      </c>
      <c r="C2438">
        <v>1790</v>
      </c>
      <c r="D2438" t="s">
        <v>8</v>
      </c>
      <c r="E2438" t="str">
        <f>IF(may[[#This Row],[ShiftCounter]]&gt;0, "Running", "Down")</f>
        <v>Running</v>
      </c>
    </row>
    <row r="2439" spans="1:5" x14ac:dyDescent="0.25">
      <c r="A2439" s="10">
        <v>44707</v>
      </c>
      <c r="B2439" s="11" t="s">
        <v>40</v>
      </c>
      <c r="C2439">
        <v>0</v>
      </c>
      <c r="D2439" t="s">
        <v>6</v>
      </c>
      <c r="E2439" t="str">
        <f>IF(may[[#This Row],[ShiftCounter]]&gt;0, "Running", "Down")</f>
        <v>Down</v>
      </c>
    </row>
    <row r="2440" spans="1:5" x14ac:dyDescent="0.25">
      <c r="A2440" s="10">
        <v>44707</v>
      </c>
      <c r="B2440" s="11" t="s">
        <v>40</v>
      </c>
      <c r="C2440">
        <v>1878</v>
      </c>
      <c r="D2440" t="s">
        <v>7</v>
      </c>
      <c r="E2440" t="str">
        <f>IF(may[[#This Row],[ShiftCounter]]&gt;0, "Running", "Down")</f>
        <v>Running</v>
      </c>
    </row>
    <row r="2441" spans="1:5" x14ac:dyDescent="0.25">
      <c r="A2441" s="10">
        <v>44707</v>
      </c>
      <c r="B2441" s="11" t="s">
        <v>40</v>
      </c>
      <c r="C2441">
        <v>2047</v>
      </c>
      <c r="D2441" t="s">
        <v>8</v>
      </c>
      <c r="E2441" t="str">
        <f>IF(may[[#This Row],[ShiftCounter]]&gt;0, "Running", "Down")</f>
        <v>Running</v>
      </c>
    </row>
    <row r="2442" spans="1:5" x14ac:dyDescent="0.25">
      <c r="A2442" s="10">
        <v>44707</v>
      </c>
      <c r="B2442" s="11" t="s">
        <v>41</v>
      </c>
      <c r="C2442">
        <v>2375</v>
      </c>
      <c r="D2442" t="s">
        <v>6</v>
      </c>
      <c r="E2442" t="str">
        <f>IF(may[[#This Row],[ShiftCounter]]&gt;0, "Running", "Down")</f>
        <v>Running</v>
      </c>
    </row>
    <row r="2443" spans="1:5" x14ac:dyDescent="0.25">
      <c r="A2443" s="10">
        <v>44707</v>
      </c>
      <c r="B2443" s="11" t="s">
        <v>41</v>
      </c>
      <c r="C2443">
        <v>2390</v>
      </c>
      <c r="D2443" t="s">
        <v>7</v>
      </c>
      <c r="E2443" t="str">
        <f>IF(may[[#This Row],[ShiftCounter]]&gt;0, "Running", "Down")</f>
        <v>Running</v>
      </c>
    </row>
    <row r="2444" spans="1:5" x14ac:dyDescent="0.25">
      <c r="A2444" s="10">
        <v>44707</v>
      </c>
      <c r="B2444" s="11" t="s">
        <v>41</v>
      </c>
      <c r="C2444">
        <v>2036</v>
      </c>
      <c r="D2444" t="s">
        <v>8</v>
      </c>
      <c r="E2444" t="str">
        <f>IF(may[[#This Row],[ShiftCounter]]&gt;0, "Running", "Down")</f>
        <v>Running</v>
      </c>
    </row>
    <row r="2445" spans="1:5" x14ac:dyDescent="0.25">
      <c r="A2445" s="10">
        <v>44707</v>
      </c>
      <c r="B2445" s="11" t="s">
        <v>9</v>
      </c>
      <c r="C2445">
        <v>2334</v>
      </c>
      <c r="D2445" t="s">
        <v>6</v>
      </c>
      <c r="E2445" t="str">
        <f>IF(may[[#This Row],[ShiftCounter]]&gt;0, "Running", "Down")</f>
        <v>Running</v>
      </c>
    </row>
    <row r="2446" spans="1:5" x14ac:dyDescent="0.25">
      <c r="A2446" s="10">
        <v>44707</v>
      </c>
      <c r="B2446" s="11" t="s">
        <v>9</v>
      </c>
      <c r="C2446">
        <v>2388</v>
      </c>
      <c r="D2446" t="s">
        <v>7</v>
      </c>
      <c r="E2446" t="str">
        <f>IF(may[[#This Row],[ShiftCounter]]&gt;0, "Running", "Down")</f>
        <v>Running</v>
      </c>
    </row>
    <row r="2447" spans="1:5" x14ac:dyDescent="0.25">
      <c r="A2447" s="10">
        <v>44707</v>
      </c>
      <c r="B2447" s="11" t="s">
        <v>9</v>
      </c>
      <c r="C2447">
        <v>2025</v>
      </c>
      <c r="D2447" t="s">
        <v>8</v>
      </c>
      <c r="E2447" t="str">
        <f>IF(may[[#This Row],[ShiftCounter]]&gt;0, "Running", "Down")</f>
        <v>Running</v>
      </c>
    </row>
    <row r="2448" spans="1:5" x14ac:dyDescent="0.25">
      <c r="A2448" s="10">
        <v>44707</v>
      </c>
      <c r="B2448" s="11" t="s">
        <v>10</v>
      </c>
      <c r="C2448">
        <v>2385</v>
      </c>
      <c r="D2448" t="s">
        <v>6</v>
      </c>
      <c r="E2448" t="str">
        <f>IF(may[[#This Row],[ShiftCounter]]&gt;0, "Running", "Down")</f>
        <v>Running</v>
      </c>
    </row>
    <row r="2449" spans="1:5" x14ac:dyDescent="0.25">
      <c r="A2449" s="10">
        <v>44707</v>
      </c>
      <c r="B2449" s="11" t="s">
        <v>10</v>
      </c>
      <c r="C2449">
        <v>2388</v>
      </c>
      <c r="D2449" t="s">
        <v>7</v>
      </c>
      <c r="E2449" t="str">
        <f>IF(may[[#This Row],[ShiftCounter]]&gt;0, "Running", "Down")</f>
        <v>Running</v>
      </c>
    </row>
    <row r="2450" spans="1:5" x14ac:dyDescent="0.25">
      <c r="A2450" s="10">
        <v>44707</v>
      </c>
      <c r="B2450" s="11" t="s">
        <v>10</v>
      </c>
      <c r="C2450">
        <v>2063</v>
      </c>
      <c r="D2450" t="s">
        <v>8</v>
      </c>
      <c r="E2450" t="str">
        <f>IF(may[[#This Row],[ShiftCounter]]&gt;0, "Running", "Down")</f>
        <v>Running</v>
      </c>
    </row>
    <row r="2451" spans="1:5" x14ac:dyDescent="0.25">
      <c r="A2451" s="10">
        <v>44707</v>
      </c>
      <c r="B2451" s="11" t="s">
        <v>12</v>
      </c>
      <c r="C2451">
        <v>2090</v>
      </c>
      <c r="D2451" t="s">
        <v>6</v>
      </c>
      <c r="E2451" t="str">
        <f>IF(may[[#This Row],[ShiftCounter]]&gt;0, "Running", "Down")</f>
        <v>Running</v>
      </c>
    </row>
    <row r="2452" spans="1:5" x14ac:dyDescent="0.25">
      <c r="A2452" s="10">
        <v>44707</v>
      </c>
      <c r="B2452" s="11" t="s">
        <v>12</v>
      </c>
      <c r="C2452">
        <v>2134</v>
      </c>
      <c r="D2452" t="s">
        <v>7</v>
      </c>
      <c r="E2452" t="str">
        <f>IF(may[[#This Row],[ShiftCounter]]&gt;0, "Running", "Down")</f>
        <v>Running</v>
      </c>
    </row>
    <row r="2453" spans="1:5" x14ac:dyDescent="0.25">
      <c r="A2453" s="10">
        <v>44707</v>
      </c>
      <c r="B2453" s="11" t="s">
        <v>12</v>
      </c>
      <c r="C2453">
        <v>1866</v>
      </c>
      <c r="D2453" t="s">
        <v>8</v>
      </c>
      <c r="E2453" t="str">
        <f>IF(may[[#This Row],[ShiftCounter]]&gt;0, "Running", "Down")</f>
        <v>Running</v>
      </c>
    </row>
    <row r="2454" spans="1:5" x14ac:dyDescent="0.25">
      <c r="A2454" s="10">
        <v>44707</v>
      </c>
      <c r="B2454" s="11" t="s">
        <v>120</v>
      </c>
      <c r="C2454">
        <v>2195</v>
      </c>
      <c r="D2454" t="s">
        <v>6</v>
      </c>
      <c r="E2454" t="str">
        <f>IF(may[[#This Row],[ShiftCounter]]&gt;0, "Running", "Down")</f>
        <v>Running</v>
      </c>
    </row>
    <row r="2455" spans="1:5" x14ac:dyDescent="0.25">
      <c r="A2455" s="10">
        <v>44707</v>
      </c>
      <c r="B2455" s="11" t="s">
        <v>120</v>
      </c>
      <c r="C2455">
        <v>2089</v>
      </c>
      <c r="D2455" t="s">
        <v>7</v>
      </c>
      <c r="E2455" t="str">
        <f>IF(may[[#This Row],[ShiftCounter]]&gt;0, "Running", "Down")</f>
        <v>Running</v>
      </c>
    </row>
    <row r="2456" spans="1:5" x14ac:dyDescent="0.25">
      <c r="A2456" s="10">
        <v>44707</v>
      </c>
      <c r="B2456" s="11" t="s">
        <v>120</v>
      </c>
      <c r="C2456">
        <v>1950</v>
      </c>
      <c r="D2456" t="s">
        <v>8</v>
      </c>
      <c r="E2456" t="str">
        <f>IF(may[[#This Row],[ShiftCounter]]&gt;0, "Running", "Down")</f>
        <v>Running</v>
      </c>
    </row>
    <row r="2457" spans="1:5" x14ac:dyDescent="0.25">
      <c r="A2457" s="10">
        <v>44707</v>
      </c>
      <c r="B2457" s="11" t="s">
        <v>13</v>
      </c>
      <c r="C2457">
        <v>2156</v>
      </c>
      <c r="D2457" t="s">
        <v>6</v>
      </c>
      <c r="E2457" t="str">
        <f>IF(may[[#This Row],[ShiftCounter]]&gt;0, "Running", "Down")</f>
        <v>Running</v>
      </c>
    </row>
    <row r="2458" spans="1:5" x14ac:dyDescent="0.25">
      <c r="A2458" s="10">
        <v>44707</v>
      </c>
      <c r="B2458" s="11" t="s">
        <v>13</v>
      </c>
      <c r="C2458">
        <v>2180</v>
      </c>
      <c r="D2458" t="s">
        <v>7</v>
      </c>
      <c r="E2458" t="str">
        <f>IF(may[[#This Row],[ShiftCounter]]&gt;0, "Running", "Down")</f>
        <v>Running</v>
      </c>
    </row>
    <row r="2459" spans="1:5" x14ac:dyDescent="0.25">
      <c r="A2459" s="10">
        <v>44707</v>
      </c>
      <c r="B2459" s="11" t="s">
        <v>13</v>
      </c>
      <c r="C2459">
        <v>1807</v>
      </c>
      <c r="D2459" t="s">
        <v>8</v>
      </c>
      <c r="E2459" t="str">
        <f>IF(may[[#This Row],[ShiftCounter]]&gt;0, "Running", "Down")</f>
        <v>Running</v>
      </c>
    </row>
    <row r="2460" spans="1:5" x14ac:dyDescent="0.25">
      <c r="A2460" s="10">
        <v>44707</v>
      </c>
      <c r="B2460" s="11" t="s">
        <v>114</v>
      </c>
      <c r="C2460">
        <v>1842</v>
      </c>
      <c r="D2460" t="s">
        <v>6</v>
      </c>
      <c r="E2460" t="str">
        <f>IF(may[[#This Row],[ShiftCounter]]&gt;0, "Running", "Down")</f>
        <v>Running</v>
      </c>
    </row>
    <row r="2461" spans="1:5" x14ac:dyDescent="0.25">
      <c r="A2461" s="10">
        <v>44707</v>
      </c>
      <c r="B2461" s="11" t="s">
        <v>114</v>
      </c>
      <c r="C2461">
        <v>2206</v>
      </c>
      <c r="D2461" t="s">
        <v>7</v>
      </c>
      <c r="E2461" t="str">
        <f>IF(may[[#This Row],[ShiftCounter]]&gt;0, "Running", "Down")</f>
        <v>Running</v>
      </c>
    </row>
    <row r="2462" spans="1:5" x14ac:dyDescent="0.25">
      <c r="A2462" s="10">
        <v>44707</v>
      </c>
      <c r="B2462" s="11" t="s">
        <v>114</v>
      </c>
      <c r="C2462">
        <v>1821</v>
      </c>
      <c r="D2462" t="s">
        <v>8</v>
      </c>
      <c r="E2462" t="str">
        <f>IF(may[[#This Row],[ShiftCounter]]&gt;0, "Running", "Down")</f>
        <v>Running</v>
      </c>
    </row>
    <row r="2463" spans="1:5" x14ac:dyDescent="0.25">
      <c r="A2463" s="10">
        <v>44707</v>
      </c>
      <c r="B2463" s="11" t="s">
        <v>14</v>
      </c>
      <c r="C2463">
        <v>1874</v>
      </c>
      <c r="D2463" t="s">
        <v>6</v>
      </c>
      <c r="E2463" t="str">
        <f>IF(may[[#This Row],[ShiftCounter]]&gt;0, "Running", "Down")</f>
        <v>Running</v>
      </c>
    </row>
    <row r="2464" spans="1:5" x14ac:dyDescent="0.25">
      <c r="A2464" s="10">
        <v>44707</v>
      </c>
      <c r="B2464" s="11" t="s">
        <v>14</v>
      </c>
      <c r="C2464">
        <v>1891</v>
      </c>
      <c r="D2464" t="s">
        <v>7</v>
      </c>
      <c r="E2464" t="str">
        <f>IF(may[[#This Row],[ShiftCounter]]&gt;0, "Running", "Down")</f>
        <v>Running</v>
      </c>
    </row>
    <row r="2465" spans="1:5" x14ac:dyDescent="0.25">
      <c r="A2465" s="10">
        <v>44707</v>
      </c>
      <c r="B2465" s="11" t="s">
        <v>14</v>
      </c>
      <c r="C2465">
        <v>1563</v>
      </c>
      <c r="D2465" t="s">
        <v>8</v>
      </c>
      <c r="E2465" t="str">
        <f>IF(may[[#This Row],[ShiftCounter]]&gt;0, "Running", "Down")</f>
        <v>Running</v>
      </c>
    </row>
    <row r="2466" spans="1:5" x14ac:dyDescent="0.25">
      <c r="A2466" s="10">
        <v>44707</v>
      </c>
      <c r="B2466" s="11" t="s">
        <v>15</v>
      </c>
      <c r="C2466">
        <v>2177</v>
      </c>
      <c r="D2466" t="s">
        <v>6</v>
      </c>
      <c r="E2466" t="str">
        <f>IF(may[[#This Row],[ShiftCounter]]&gt;0, "Running", "Down")</f>
        <v>Running</v>
      </c>
    </row>
    <row r="2467" spans="1:5" x14ac:dyDescent="0.25">
      <c r="A2467" s="10">
        <v>44707</v>
      </c>
      <c r="B2467" s="11" t="s">
        <v>15</v>
      </c>
      <c r="C2467">
        <v>2178</v>
      </c>
      <c r="D2467" t="s">
        <v>7</v>
      </c>
      <c r="E2467" t="str">
        <f>IF(may[[#This Row],[ShiftCounter]]&gt;0, "Running", "Down")</f>
        <v>Running</v>
      </c>
    </row>
    <row r="2468" spans="1:5" x14ac:dyDescent="0.25">
      <c r="A2468" s="10">
        <v>44707</v>
      </c>
      <c r="B2468" s="11" t="s">
        <v>15</v>
      </c>
      <c r="C2468">
        <v>1833</v>
      </c>
      <c r="D2468" t="s">
        <v>8</v>
      </c>
      <c r="E2468" t="str">
        <f>IF(may[[#This Row],[ShiftCounter]]&gt;0, "Running", "Down")</f>
        <v>Running</v>
      </c>
    </row>
    <row r="2469" spans="1:5" x14ac:dyDescent="0.25">
      <c r="A2469" s="10">
        <v>44707</v>
      </c>
      <c r="B2469" s="11" t="s">
        <v>16</v>
      </c>
      <c r="C2469">
        <v>2185</v>
      </c>
      <c r="D2469" t="s">
        <v>6</v>
      </c>
      <c r="E2469" t="str">
        <f>IF(may[[#This Row],[ShiftCounter]]&gt;0, "Running", "Down")</f>
        <v>Running</v>
      </c>
    </row>
    <row r="2470" spans="1:5" x14ac:dyDescent="0.25">
      <c r="A2470" s="10">
        <v>44707</v>
      </c>
      <c r="B2470" s="11" t="s">
        <v>16</v>
      </c>
      <c r="C2470">
        <v>2335</v>
      </c>
      <c r="D2470" t="s">
        <v>7</v>
      </c>
      <c r="E2470" t="str">
        <f>IF(may[[#This Row],[ShiftCounter]]&gt;0, "Running", "Down")</f>
        <v>Running</v>
      </c>
    </row>
    <row r="2471" spans="1:5" x14ac:dyDescent="0.25">
      <c r="A2471" s="10">
        <v>44707</v>
      </c>
      <c r="B2471" s="11" t="s">
        <v>16</v>
      </c>
      <c r="C2471">
        <v>1908</v>
      </c>
      <c r="D2471" t="s">
        <v>8</v>
      </c>
      <c r="E2471" t="str">
        <f>IF(may[[#This Row],[ShiftCounter]]&gt;0, "Running", "Down")</f>
        <v>Running</v>
      </c>
    </row>
    <row r="2472" spans="1:5" x14ac:dyDescent="0.25">
      <c r="A2472" s="10">
        <v>44707</v>
      </c>
      <c r="B2472" s="11" t="s">
        <v>17</v>
      </c>
      <c r="C2472">
        <v>292</v>
      </c>
      <c r="D2472" t="s">
        <v>6</v>
      </c>
      <c r="E2472" t="str">
        <f>IF(may[[#This Row],[ShiftCounter]]&gt;0, "Running", "Down")</f>
        <v>Running</v>
      </c>
    </row>
    <row r="2473" spans="1:5" x14ac:dyDescent="0.25">
      <c r="A2473" s="10">
        <v>44707</v>
      </c>
      <c r="B2473" s="11" t="s">
        <v>17</v>
      </c>
      <c r="C2473">
        <v>2300</v>
      </c>
      <c r="D2473" t="s">
        <v>7</v>
      </c>
      <c r="E2473" t="str">
        <f>IF(may[[#This Row],[ShiftCounter]]&gt;0, "Running", "Down")</f>
        <v>Running</v>
      </c>
    </row>
    <row r="2474" spans="1:5" x14ac:dyDescent="0.25">
      <c r="A2474" s="10">
        <v>44707</v>
      </c>
      <c r="B2474" s="11" t="s">
        <v>17</v>
      </c>
      <c r="C2474">
        <v>2017</v>
      </c>
      <c r="D2474" t="s">
        <v>8</v>
      </c>
      <c r="E2474" t="str">
        <f>IF(may[[#This Row],[ShiftCounter]]&gt;0, "Running", "Down")</f>
        <v>Running</v>
      </c>
    </row>
    <row r="2475" spans="1:5" x14ac:dyDescent="0.25">
      <c r="A2475" s="10">
        <v>44707</v>
      </c>
      <c r="B2475" s="11" t="s">
        <v>19</v>
      </c>
      <c r="C2475">
        <v>1944</v>
      </c>
      <c r="D2475" t="s">
        <v>6</v>
      </c>
      <c r="E2475" t="str">
        <f>IF(may[[#This Row],[ShiftCounter]]&gt;0, "Running", "Down")</f>
        <v>Running</v>
      </c>
    </row>
    <row r="2476" spans="1:5" x14ac:dyDescent="0.25">
      <c r="A2476" s="10">
        <v>44707</v>
      </c>
      <c r="B2476" s="11" t="s">
        <v>19</v>
      </c>
      <c r="C2476">
        <v>1871</v>
      </c>
      <c r="D2476" t="s">
        <v>7</v>
      </c>
      <c r="E2476" t="str">
        <f>IF(may[[#This Row],[ShiftCounter]]&gt;0, "Running", "Down")</f>
        <v>Running</v>
      </c>
    </row>
    <row r="2477" spans="1:5" x14ac:dyDescent="0.25">
      <c r="A2477" s="10">
        <v>44707</v>
      </c>
      <c r="B2477" s="11" t="s">
        <v>19</v>
      </c>
      <c r="C2477">
        <v>1768</v>
      </c>
      <c r="D2477" t="s">
        <v>8</v>
      </c>
      <c r="E2477" t="str">
        <f>IF(may[[#This Row],[ShiftCounter]]&gt;0, "Running", "Down")</f>
        <v>Running</v>
      </c>
    </row>
    <row r="2478" spans="1:5" x14ac:dyDescent="0.25">
      <c r="A2478" s="10">
        <v>44707</v>
      </c>
      <c r="B2478" s="11" t="s">
        <v>18</v>
      </c>
      <c r="C2478">
        <v>2291</v>
      </c>
      <c r="D2478" t="s">
        <v>6</v>
      </c>
      <c r="E2478" t="str">
        <f>IF(may[[#This Row],[ShiftCounter]]&gt;0, "Running", "Down")</f>
        <v>Running</v>
      </c>
    </row>
    <row r="2479" spans="1:5" x14ac:dyDescent="0.25">
      <c r="A2479" s="10">
        <v>44707</v>
      </c>
      <c r="B2479" s="11" t="s">
        <v>18</v>
      </c>
      <c r="C2479">
        <v>2337</v>
      </c>
      <c r="D2479" t="s">
        <v>7</v>
      </c>
      <c r="E2479" t="str">
        <f>IF(may[[#This Row],[ShiftCounter]]&gt;0, "Running", "Down")</f>
        <v>Running</v>
      </c>
    </row>
    <row r="2480" spans="1:5" x14ac:dyDescent="0.25">
      <c r="A2480" s="10">
        <v>44707</v>
      </c>
      <c r="B2480" s="11" t="s">
        <v>18</v>
      </c>
      <c r="C2480">
        <v>2220</v>
      </c>
      <c r="D2480" t="s">
        <v>8</v>
      </c>
      <c r="E2480" t="str">
        <f>IF(may[[#This Row],[ShiftCounter]]&gt;0, "Running", "Down")</f>
        <v>Running</v>
      </c>
    </row>
    <row r="2481" spans="1:5" x14ac:dyDescent="0.25">
      <c r="A2481" s="10">
        <v>44707</v>
      </c>
      <c r="B2481" s="11" t="s">
        <v>20</v>
      </c>
      <c r="C2481">
        <v>2241</v>
      </c>
      <c r="D2481" t="s">
        <v>6</v>
      </c>
      <c r="E2481" t="str">
        <f>IF(may[[#This Row],[ShiftCounter]]&gt;0, "Running", "Down")</f>
        <v>Running</v>
      </c>
    </row>
    <row r="2482" spans="1:5" x14ac:dyDescent="0.25">
      <c r="A2482" s="10">
        <v>44707</v>
      </c>
      <c r="B2482" s="11" t="s">
        <v>20</v>
      </c>
      <c r="C2482">
        <v>2276</v>
      </c>
      <c r="D2482" t="s">
        <v>7</v>
      </c>
      <c r="E2482" t="str">
        <f>IF(may[[#This Row],[ShiftCounter]]&gt;0, "Running", "Down")</f>
        <v>Running</v>
      </c>
    </row>
    <row r="2483" spans="1:5" x14ac:dyDescent="0.25">
      <c r="A2483" s="10">
        <v>44707</v>
      </c>
      <c r="B2483" s="11" t="s">
        <v>20</v>
      </c>
      <c r="C2483">
        <v>2108</v>
      </c>
      <c r="D2483" t="s">
        <v>8</v>
      </c>
      <c r="E2483" t="str">
        <f>IF(may[[#This Row],[ShiftCounter]]&gt;0, "Running", "Down")</f>
        <v>Running</v>
      </c>
    </row>
    <row r="2484" spans="1:5" x14ac:dyDescent="0.25">
      <c r="A2484" s="10">
        <v>44707</v>
      </c>
      <c r="B2484" s="11" t="s">
        <v>21</v>
      </c>
      <c r="C2484">
        <v>2026</v>
      </c>
      <c r="D2484" t="s">
        <v>6</v>
      </c>
      <c r="E2484" t="str">
        <f>IF(may[[#This Row],[ShiftCounter]]&gt;0, "Running", "Down")</f>
        <v>Running</v>
      </c>
    </row>
    <row r="2485" spans="1:5" x14ac:dyDescent="0.25">
      <c r="A2485" s="10">
        <v>44707</v>
      </c>
      <c r="B2485" s="11" t="s">
        <v>21</v>
      </c>
      <c r="C2485">
        <v>2049</v>
      </c>
      <c r="D2485" t="s">
        <v>7</v>
      </c>
      <c r="E2485" t="str">
        <f>IF(may[[#This Row],[ShiftCounter]]&gt;0, "Running", "Down")</f>
        <v>Running</v>
      </c>
    </row>
    <row r="2486" spans="1:5" x14ac:dyDescent="0.25">
      <c r="A2486" s="10">
        <v>44707</v>
      </c>
      <c r="B2486" s="11" t="s">
        <v>21</v>
      </c>
      <c r="C2486">
        <v>1875</v>
      </c>
      <c r="D2486" t="s">
        <v>8</v>
      </c>
      <c r="E2486" t="str">
        <f>IF(may[[#This Row],[ShiftCounter]]&gt;0, "Running", "Down")</f>
        <v>Running</v>
      </c>
    </row>
    <row r="2487" spans="1:5" x14ac:dyDescent="0.25">
      <c r="A2487" s="10">
        <v>44707</v>
      </c>
      <c r="B2487" s="11" t="s">
        <v>22</v>
      </c>
      <c r="C2487">
        <v>1998</v>
      </c>
      <c r="D2487" t="s">
        <v>6</v>
      </c>
      <c r="E2487" t="str">
        <f>IF(may[[#This Row],[ShiftCounter]]&gt;0, "Running", "Down")</f>
        <v>Running</v>
      </c>
    </row>
    <row r="2488" spans="1:5" x14ac:dyDescent="0.25">
      <c r="A2488" s="10">
        <v>44707</v>
      </c>
      <c r="B2488" s="11" t="s">
        <v>22</v>
      </c>
      <c r="C2488">
        <v>1806</v>
      </c>
      <c r="D2488" t="s">
        <v>7</v>
      </c>
      <c r="E2488" t="str">
        <f>IF(may[[#This Row],[ShiftCounter]]&gt;0, "Running", "Down")</f>
        <v>Running</v>
      </c>
    </row>
    <row r="2489" spans="1:5" x14ac:dyDescent="0.25">
      <c r="A2489" s="10">
        <v>44707</v>
      </c>
      <c r="B2489" s="11" t="s">
        <v>22</v>
      </c>
      <c r="C2489">
        <v>1655</v>
      </c>
      <c r="D2489" t="s">
        <v>8</v>
      </c>
      <c r="E2489" t="str">
        <f>IF(may[[#This Row],[ShiftCounter]]&gt;0, "Running", "Down")</f>
        <v>Running</v>
      </c>
    </row>
    <row r="2490" spans="1:5" x14ac:dyDescent="0.25">
      <c r="A2490" s="10">
        <v>44707</v>
      </c>
      <c r="B2490" s="11" t="s">
        <v>23</v>
      </c>
      <c r="C2490">
        <v>2177</v>
      </c>
      <c r="D2490" t="s">
        <v>6</v>
      </c>
      <c r="E2490" t="str">
        <f>IF(may[[#This Row],[ShiftCounter]]&gt;0, "Running", "Down")</f>
        <v>Running</v>
      </c>
    </row>
    <row r="2491" spans="1:5" x14ac:dyDescent="0.25">
      <c r="A2491" s="10">
        <v>44707</v>
      </c>
      <c r="B2491" s="11" t="s">
        <v>23</v>
      </c>
      <c r="C2491">
        <v>2308</v>
      </c>
      <c r="D2491" t="s">
        <v>7</v>
      </c>
      <c r="E2491" t="str">
        <f>IF(may[[#This Row],[ShiftCounter]]&gt;0, "Running", "Down")</f>
        <v>Running</v>
      </c>
    </row>
    <row r="2492" spans="1:5" x14ac:dyDescent="0.25">
      <c r="A2492" s="10">
        <v>44707</v>
      </c>
      <c r="B2492" s="11" t="s">
        <v>23</v>
      </c>
      <c r="C2492">
        <v>2149</v>
      </c>
      <c r="D2492" t="s">
        <v>8</v>
      </c>
      <c r="E2492" t="str">
        <f>IF(may[[#This Row],[ShiftCounter]]&gt;0, "Running", "Down")</f>
        <v>Running</v>
      </c>
    </row>
    <row r="2493" spans="1:5" x14ac:dyDescent="0.25">
      <c r="A2493" s="10">
        <v>44707</v>
      </c>
      <c r="B2493" s="11" t="s">
        <v>24</v>
      </c>
      <c r="C2493">
        <v>2151</v>
      </c>
      <c r="D2493" t="s">
        <v>6</v>
      </c>
      <c r="E2493" t="str">
        <f>IF(may[[#This Row],[ShiftCounter]]&gt;0, "Running", "Down")</f>
        <v>Running</v>
      </c>
    </row>
    <row r="2494" spans="1:5" x14ac:dyDescent="0.25">
      <c r="A2494" s="10">
        <v>44707</v>
      </c>
      <c r="B2494" s="11" t="s">
        <v>24</v>
      </c>
      <c r="C2494">
        <v>2022</v>
      </c>
      <c r="D2494" t="s">
        <v>7</v>
      </c>
      <c r="E2494" t="str">
        <f>IF(may[[#This Row],[ShiftCounter]]&gt;0, "Running", "Down")</f>
        <v>Running</v>
      </c>
    </row>
    <row r="2495" spans="1:5" x14ac:dyDescent="0.25">
      <c r="A2495" s="10">
        <v>44707</v>
      </c>
      <c r="B2495" s="11" t="s">
        <v>24</v>
      </c>
      <c r="C2495">
        <v>1924</v>
      </c>
      <c r="D2495" t="s">
        <v>8</v>
      </c>
      <c r="E2495" t="str">
        <f>IF(may[[#This Row],[ShiftCounter]]&gt;0, "Running", "Down")</f>
        <v>Running</v>
      </c>
    </row>
    <row r="2496" spans="1:5" x14ac:dyDescent="0.25">
      <c r="A2496" s="10">
        <v>44707</v>
      </c>
      <c r="B2496" s="11" t="s">
        <v>25</v>
      </c>
      <c r="C2496">
        <v>2365</v>
      </c>
      <c r="D2496" t="s">
        <v>6</v>
      </c>
      <c r="E2496" t="str">
        <f>IF(may[[#This Row],[ShiftCounter]]&gt;0, "Running", "Down")</f>
        <v>Running</v>
      </c>
    </row>
    <row r="2497" spans="1:5" x14ac:dyDescent="0.25">
      <c r="A2497" s="10">
        <v>44707</v>
      </c>
      <c r="B2497" s="11" t="s">
        <v>25</v>
      </c>
      <c r="C2497">
        <v>2218</v>
      </c>
      <c r="D2497" t="s">
        <v>7</v>
      </c>
      <c r="E2497" t="str">
        <f>IF(may[[#This Row],[ShiftCounter]]&gt;0, "Running", "Down")</f>
        <v>Running</v>
      </c>
    </row>
    <row r="2498" spans="1:5" x14ac:dyDescent="0.25">
      <c r="A2498" s="10">
        <v>44707</v>
      </c>
      <c r="B2498" s="11" t="s">
        <v>25</v>
      </c>
      <c r="C2498">
        <v>2013</v>
      </c>
      <c r="D2498" t="s">
        <v>8</v>
      </c>
      <c r="E2498" t="str">
        <f>IF(may[[#This Row],[ShiftCounter]]&gt;0, "Running", "Down")</f>
        <v>Running</v>
      </c>
    </row>
    <row r="2499" spans="1:5" x14ac:dyDescent="0.25">
      <c r="A2499" s="10">
        <v>44707</v>
      </c>
      <c r="B2499" s="11" t="s">
        <v>26</v>
      </c>
      <c r="C2499">
        <v>2268</v>
      </c>
      <c r="D2499" t="s">
        <v>6</v>
      </c>
      <c r="E2499" t="str">
        <f>IF(may[[#This Row],[ShiftCounter]]&gt;0, "Running", "Down")</f>
        <v>Running</v>
      </c>
    </row>
    <row r="2500" spans="1:5" x14ac:dyDescent="0.25">
      <c r="A2500" s="10">
        <v>44707</v>
      </c>
      <c r="B2500" s="11" t="s">
        <v>26</v>
      </c>
      <c r="C2500">
        <v>2145</v>
      </c>
      <c r="D2500" t="s">
        <v>7</v>
      </c>
      <c r="E2500" t="str">
        <f>IF(may[[#This Row],[ShiftCounter]]&gt;0, "Running", "Down")</f>
        <v>Running</v>
      </c>
    </row>
    <row r="2501" spans="1:5" x14ac:dyDescent="0.25">
      <c r="A2501" s="10">
        <v>44707</v>
      </c>
      <c r="B2501" s="11" t="s">
        <v>26</v>
      </c>
      <c r="C2501">
        <v>1951</v>
      </c>
      <c r="D2501" t="s">
        <v>8</v>
      </c>
      <c r="E2501" t="str">
        <f>IF(may[[#This Row],[ShiftCounter]]&gt;0, "Running", "Down")</f>
        <v>Running</v>
      </c>
    </row>
    <row r="2502" spans="1:5" x14ac:dyDescent="0.25">
      <c r="A2502" s="10">
        <v>44707</v>
      </c>
      <c r="B2502" s="11" t="s">
        <v>27</v>
      </c>
      <c r="C2502">
        <v>2443</v>
      </c>
      <c r="D2502" t="s">
        <v>6</v>
      </c>
      <c r="E2502" t="str">
        <f>IF(may[[#This Row],[ShiftCounter]]&gt;0, "Running", "Down")</f>
        <v>Running</v>
      </c>
    </row>
    <row r="2503" spans="1:5" x14ac:dyDescent="0.25">
      <c r="A2503" s="10">
        <v>44707</v>
      </c>
      <c r="B2503" s="11" t="s">
        <v>27</v>
      </c>
      <c r="C2503">
        <v>2011</v>
      </c>
      <c r="D2503" t="s">
        <v>7</v>
      </c>
      <c r="E2503" t="str">
        <f>IF(may[[#This Row],[ShiftCounter]]&gt;0, "Running", "Down")</f>
        <v>Running</v>
      </c>
    </row>
    <row r="2504" spans="1:5" x14ac:dyDescent="0.25">
      <c r="A2504" s="10">
        <v>44707</v>
      </c>
      <c r="B2504" s="11" t="s">
        <v>27</v>
      </c>
      <c r="C2504">
        <v>2040</v>
      </c>
      <c r="D2504" t="s">
        <v>8</v>
      </c>
      <c r="E2504" t="str">
        <f>IF(may[[#This Row],[ShiftCounter]]&gt;0, "Running", "Down")</f>
        <v>Running</v>
      </c>
    </row>
    <row r="2505" spans="1:5" x14ac:dyDescent="0.25">
      <c r="A2505" s="10">
        <v>44707</v>
      </c>
      <c r="B2505" s="11" t="s">
        <v>28</v>
      </c>
      <c r="C2505">
        <v>2330</v>
      </c>
      <c r="D2505" t="s">
        <v>6</v>
      </c>
      <c r="E2505" t="str">
        <f>IF(may[[#This Row],[ShiftCounter]]&gt;0, "Running", "Down")</f>
        <v>Running</v>
      </c>
    </row>
    <row r="2506" spans="1:5" x14ac:dyDescent="0.25">
      <c r="A2506" s="10">
        <v>44707</v>
      </c>
      <c r="B2506" s="11" t="s">
        <v>28</v>
      </c>
      <c r="C2506">
        <v>2163</v>
      </c>
      <c r="D2506" t="s">
        <v>7</v>
      </c>
      <c r="E2506" t="str">
        <f>IF(may[[#This Row],[ShiftCounter]]&gt;0, "Running", "Down")</f>
        <v>Running</v>
      </c>
    </row>
    <row r="2507" spans="1:5" x14ac:dyDescent="0.25">
      <c r="A2507" s="10">
        <v>44707</v>
      </c>
      <c r="B2507" s="11" t="s">
        <v>28</v>
      </c>
      <c r="C2507">
        <v>1945</v>
      </c>
      <c r="D2507" t="s">
        <v>8</v>
      </c>
      <c r="E2507" t="str">
        <f>IF(may[[#This Row],[ShiftCounter]]&gt;0, "Running", "Down")</f>
        <v>Running</v>
      </c>
    </row>
    <row r="2508" spans="1:5" x14ac:dyDescent="0.25">
      <c r="A2508" s="10">
        <v>44707</v>
      </c>
      <c r="B2508" s="11" t="s">
        <v>29</v>
      </c>
      <c r="C2508">
        <v>2136</v>
      </c>
      <c r="D2508" t="s">
        <v>6</v>
      </c>
      <c r="E2508" t="str">
        <f>IF(may[[#This Row],[ShiftCounter]]&gt;0, "Running", "Down")</f>
        <v>Running</v>
      </c>
    </row>
    <row r="2509" spans="1:5" x14ac:dyDescent="0.25">
      <c r="A2509" s="10">
        <v>44707</v>
      </c>
      <c r="B2509" s="11" t="s">
        <v>29</v>
      </c>
      <c r="C2509">
        <v>2001</v>
      </c>
      <c r="D2509" t="s">
        <v>7</v>
      </c>
      <c r="E2509" t="str">
        <f>IF(may[[#This Row],[ShiftCounter]]&gt;0, "Running", "Down")</f>
        <v>Running</v>
      </c>
    </row>
    <row r="2510" spans="1:5" x14ac:dyDescent="0.25">
      <c r="A2510" s="10">
        <v>44707</v>
      </c>
      <c r="B2510" s="11" t="s">
        <v>29</v>
      </c>
      <c r="C2510">
        <v>1802</v>
      </c>
      <c r="D2510" t="s">
        <v>8</v>
      </c>
      <c r="E2510" t="str">
        <f>IF(may[[#This Row],[ShiftCounter]]&gt;0, "Running", "Down")</f>
        <v>Running</v>
      </c>
    </row>
    <row r="2511" spans="1:5" x14ac:dyDescent="0.25">
      <c r="A2511" s="10">
        <v>44707</v>
      </c>
      <c r="B2511" s="11" t="s">
        <v>30</v>
      </c>
      <c r="C2511">
        <v>2389</v>
      </c>
      <c r="D2511" t="s">
        <v>6</v>
      </c>
      <c r="E2511" t="str">
        <f>IF(may[[#This Row],[ShiftCounter]]&gt;0, "Running", "Down")</f>
        <v>Running</v>
      </c>
    </row>
    <row r="2512" spans="1:5" x14ac:dyDescent="0.25">
      <c r="A2512" s="10">
        <v>44707</v>
      </c>
      <c r="B2512" s="11" t="s">
        <v>30</v>
      </c>
      <c r="C2512">
        <v>2216</v>
      </c>
      <c r="D2512" t="s">
        <v>7</v>
      </c>
      <c r="E2512" t="str">
        <f>IF(may[[#This Row],[ShiftCounter]]&gt;0, "Running", "Down")</f>
        <v>Running</v>
      </c>
    </row>
    <row r="2513" spans="1:5" x14ac:dyDescent="0.25">
      <c r="A2513" s="10">
        <v>44707</v>
      </c>
      <c r="B2513" s="11" t="s">
        <v>30</v>
      </c>
      <c r="C2513">
        <v>2004</v>
      </c>
      <c r="D2513" t="s">
        <v>8</v>
      </c>
      <c r="E2513" t="str">
        <f>IF(may[[#This Row],[ShiftCounter]]&gt;0, "Running", "Down")</f>
        <v>Running</v>
      </c>
    </row>
    <row r="2514" spans="1:5" x14ac:dyDescent="0.25">
      <c r="A2514" s="10">
        <v>44707</v>
      </c>
      <c r="B2514" s="11" t="s">
        <v>31</v>
      </c>
      <c r="C2514">
        <v>2253</v>
      </c>
      <c r="D2514" t="s">
        <v>6</v>
      </c>
      <c r="E2514" t="str">
        <f>IF(may[[#This Row],[ShiftCounter]]&gt;0, "Running", "Down")</f>
        <v>Running</v>
      </c>
    </row>
    <row r="2515" spans="1:5" x14ac:dyDescent="0.25">
      <c r="A2515" s="10">
        <v>44707</v>
      </c>
      <c r="B2515" s="11" t="s">
        <v>31</v>
      </c>
      <c r="C2515">
        <v>2103</v>
      </c>
      <c r="D2515" t="s">
        <v>7</v>
      </c>
      <c r="E2515" t="str">
        <f>IF(may[[#This Row],[ShiftCounter]]&gt;0, "Running", "Down")</f>
        <v>Running</v>
      </c>
    </row>
    <row r="2516" spans="1:5" x14ac:dyDescent="0.25">
      <c r="A2516" s="10">
        <v>44707</v>
      </c>
      <c r="B2516" s="11" t="s">
        <v>31</v>
      </c>
      <c r="C2516">
        <v>1902</v>
      </c>
      <c r="D2516" t="s">
        <v>8</v>
      </c>
      <c r="E2516" t="str">
        <f>IF(may[[#This Row],[ShiftCounter]]&gt;0, "Running", "Down")</f>
        <v>Running</v>
      </c>
    </row>
    <row r="2517" spans="1:5" x14ac:dyDescent="0.25">
      <c r="A2517" s="10">
        <v>44707</v>
      </c>
      <c r="B2517" s="11" t="s">
        <v>32</v>
      </c>
      <c r="C2517">
        <v>2242</v>
      </c>
      <c r="D2517" t="s">
        <v>6</v>
      </c>
      <c r="E2517" t="str">
        <f>IF(may[[#This Row],[ShiftCounter]]&gt;0, "Running", "Down")</f>
        <v>Running</v>
      </c>
    </row>
    <row r="2518" spans="1:5" x14ac:dyDescent="0.25">
      <c r="A2518" s="10">
        <v>44707</v>
      </c>
      <c r="B2518" s="11" t="s">
        <v>32</v>
      </c>
      <c r="C2518">
        <v>2176</v>
      </c>
      <c r="D2518" t="s">
        <v>7</v>
      </c>
      <c r="E2518" t="str">
        <f>IF(may[[#This Row],[ShiftCounter]]&gt;0, "Running", "Down")</f>
        <v>Running</v>
      </c>
    </row>
    <row r="2519" spans="1:5" x14ac:dyDescent="0.25">
      <c r="A2519" s="10">
        <v>44707</v>
      </c>
      <c r="B2519" s="11" t="s">
        <v>32</v>
      </c>
      <c r="C2519">
        <v>2072</v>
      </c>
      <c r="D2519" t="s">
        <v>8</v>
      </c>
      <c r="E2519" t="str">
        <f>IF(may[[#This Row],[ShiftCounter]]&gt;0, "Running", "Down")</f>
        <v>Running</v>
      </c>
    </row>
    <row r="2520" spans="1:5" x14ac:dyDescent="0.25">
      <c r="A2520" s="10">
        <v>44707</v>
      </c>
      <c r="B2520" s="11" t="s">
        <v>33</v>
      </c>
      <c r="C2520">
        <v>2518</v>
      </c>
      <c r="D2520" t="s">
        <v>6</v>
      </c>
      <c r="E2520" t="str">
        <f>IF(may[[#This Row],[ShiftCounter]]&gt;0, "Running", "Down")</f>
        <v>Running</v>
      </c>
    </row>
    <row r="2521" spans="1:5" x14ac:dyDescent="0.25">
      <c r="A2521" s="10">
        <v>44707</v>
      </c>
      <c r="B2521" s="11" t="s">
        <v>33</v>
      </c>
      <c r="C2521">
        <v>2447</v>
      </c>
      <c r="D2521" t="s">
        <v>7</v>
      </c>
      <c r="E2521" t="str">
        <f>IF(may[[#This Row],[ShiftCounter]]&gt;0, "Running", "Down")</f>
        <v>Running</v>
      </c>
    </row>
    <row r="2522" spans="1:5" x14ac:dyDescent="0.25">
      <c r="A2522" s="10">
        <v>44707</v>
      </c>
      <c r="B2522" s="11" t="s">
        <v>33</v>
      </c>
      <c r="C2522">
        <v>2340</v>
      </c>
      <c r="D2522" t="s">
        <v>8</v>
      </c>
      <c r="E2522" t="str">
        <f>IF(may[[#This Row],[ShiftCounter]]&gt;0, "Running", "Down")</f>
        <v>Running</v>
      </c>
    </row>
    <row r="2523" spans="1:5" x14ac:dyDescent="0.25">
      <c r="A2523" s="10">
        <v>44707</v>
      </c>
      <c r="B2523" s="11" t="s">
        <v>34</v>
      </c>
      <c r="C2523">
        <v>1874</v>
      </c>
      <c r="D2523" t="s">
        <v>6</v>
      </c>
      <c r="E2523" t="str">
        <f>IF(may[[#This Row],[ShiftCounter]]&gt;0, "Running", "Down")</f>
        <v>Running</v>
      </c>
    </row>
    <row r="2524" spans="1:5" x14ac:dyDescent="0.25">
      <c r="A2524" s="10">
        <v>44707</v>
      </c>
      <c r="B2524" s="11" t="s">
        <v>34</v>
      </c>
      <c r="C2524">
        <v>1924</v>
      </c>
      <c r="D2524" t="s">
        <v>7</v>
      </c>
      <c r="E2524" t="str">
        <f>IF(may[[#This Row],[ShiftCounter]]&gt;0, "Running", "Down")</f>
        <v>Running</v>
      </c>
    </row>
    <row r="2525" spans="1:5" x14ac:dyDescent="0.25">
      <c r="A2525" s="10">
        <v>44707</v>
      </c>
      <c r="B2525" s="11" t="s">
        <v>34</v>
      </c>
      <c r="C2525">
        <v>1728</v>
      </c>
      <c r="D2525" t="s">
        <v>8</v>
      </c>
      <c r="E2525" t="str">
        <f>IF(may[[#This Row],[ShiftCounter]]&gt;0, "Running", "Down")</f>
        <v>Running</v>
      </c>
    </row>
    <row r="2526" spans="1:5" x14ac:dyDescent="0.25">
      <c r="A2526" s="10">
        <v>44707</v>
      </c>
      <c r="B2526" s="11" t="s">
        <v>35</v>
      </c>
      <c r="C2526">
        <v>2330</v>
      </c>
      <c r="D2526" t="s">
        <v>6</v>
      </c>
      <c r="E2526" t="str">
        <f>IF(may[[#This Row],[ShiftCounter]]&gt;0, "Running", "Down")</f>
        <v>Running</v>
      </c>
    </row>
    <row r="2527" spans="1:5" x14ac:dyDescent="0.25">
      <c r="A2527" s="10">
        <v>44707</v>
      </c>
      <c r="B2527" s="11" t="s">
        <v>35</v>
      </c>
      <c r="C2527">
        <v>2234</v>
      </c>
      <c r="D2527" t="s">
        <v>7</v>
      </c>
      <c r="E2527" t="str">
        <f>IF(may[[#This Row],[ShiftCounter]]&gt;0, "Running", "Down")</f>
        <v>Running</v>
      </c>
    </row>
    <row r="2528" spans="1:5" x14ac:dyDescent="0.25">
      <c r="A2528" s="10">
        <v>44707</v>
      </c>
      <c r="B2528" s="11" t="s">
        <v>35</v>
      </c>
      <c r="C2528">
        <v>2135</v>
      </c>
      <c r="D2528" t="s">
        <v>8</v>
      </c>
      <c r="E2528" t="str">
        <f>IF(may[[#This Row],[ShiftCounter]]&gt;0, "Running", "Down")</f>
        <v>Running</v>
      </c>
    </row>
    <row r="2529" spans="1:5" x14ac:dyDescent="0.25">
      <c r="A2529" s="10">
        <v>44707</v>
      </c>
      <c r="B2529" s="11" t="s">
        <v>37</v>
      </c>
      <c r="C2529">
        <v>2376</v>
      </c>
      <c r="D2529" t="s">
        <v>6</v>
      </c>
      <c r="E2529" t="str">
        <f>IF(may[[#This Row],[ShiftCounter]]&gt;0, "Running", "Down")</f>
        <v>Running</v>
      </c>
    </row>
    <row r="2530" spans="1:5" x14ac:dyDescent="0.25">
      <c r="A2530" s="10">
        <v>44707</v>
      </c>
      <c r="B2530" s="11" t="s">
        <v>37</v>
      </c>
      <c r="C2530">
        <v>2274</v>
      </c>
      <c r="D2530" t="s">
        <v>7</v>
      </c>
      <c r="E2530" t="str">
        <f>IF(may[[#This Row],[ShiftCounter]]&gt;0, "Running", "Down")</f>
        <v>Running</v>
      </c>
    </row>
    <row r="2531" spans="1:5" x14ac:dyDescent="0.25">
      <c r="A2531" s="10">
        <v>44707</v>
      </c>
      <c r="B2531" s="11" t="s">
        <v>37</v>
      </c>
      <c r="C2531">
        <v>2106</v>
      </c>
      <c r="D2531" t="s">
        <v>8</v>
      </c>
      <c r="E2531" t="str">
        <f>IF(may[[#This Row],[ShiftCounter]]&gt;0, "Running", "Down")</f>
        <v>Running</v>
      </c>
    </row>
    <row r="2532" spans="1:5" x14ac:dyDescent="0.25">
      <c r="A2532" s="10">
        <v>44708</v>
      </c>
      <c r="B2532" s="11" t="s">
        <v>40</v>
      </c>
      <c r="C2532">
        <v>2395</v>
      </c>
      <c r="D2532" t="s">
        <v>6</v>
      </c>
      <c r="E2532" t="str">
        <f>IF(may[[#This Row],[ShiftCounter]]&gt;0, "Running", "Down")</f>
        <v>Running</v>
      </c>
    </row>
    <row r="2533" spans="1:5" x14ac:dyDescent="0.25">
      <c r="A2533" s="10">
        <v>44708</v>
      </c>
      <c r="B2533" s="11" t="s">
        <v>40</v>
      </c>
      <c r="C2533">
        <v>2247</v>
      </c>
      <c r="D2533" t="s">
        <v>7</v>
      </c>
      <c r="E2533" t="str">
        <f>IF(may[[#This Row],[ShiftCounter]]&gt;0, "Running", "Down")</f>
        <v>Running</v>
      </c>
    </row>
    <row r="2534" spans="1:5" x14ac:dyDescent="0.25">
      <c r="A2534" s="10">
        <v>44708</v>
      </c>
      <c r="B2534" s="11" t="s">
        <v>40</v>
      </c>
      <c r="C2534">
        <v>2103</v>
      </c>
      <c r="D2534" t="s">
        <v>8</v>
      </c>
      <c r="E2534" t="str">
        <f>IF(may[[#This Row],[ShiftCounter]]&gt;0, "Running", "Down")</f>
        <v>Running</v>
      </c>
    </row>
    <row r="2535" spans="1:5" x14ac:dyDescent="0.25">
      <c r="A2535" s="10">
        <v>44708</v>
      </c>
      <c r="B2535" s="11" t="s">
        <v>39</v>
      </c>
      <c r="C2535">
        <v>2100</v>
      </c>
      <c r="D2535" t="s">
        <v>6</v>
      </c>
      <c r="E2535" t="str">
        <f>IF(may[[#This Row],[ShiftCounter]]&gt;0, "Running", "Down")</f>
        <v>Running</v>
      </c>
    </row>
    <row r="2536" spans="1:5" x14ac:dyDescent="0.25">
      <c r="A2536" s="10">
        <v>44708</v>
      </c>
      <c r="B2536" s="11" t="s">
        <v>39</v>
      </c>
      <c r="C2536">
        <v>2121</v>
      </c>
      <c r="D2536" t="s">
        <v>7</v>
      </c>
      <c r="E2536" t="str">
        <f>IF(may[[#This Row],[ShiftCounter]]&gt;0, "Running", "Down")</f>
        <v>Running</v>
      </c>
    </row>
    <row r="2537" spans="1:5" x14ac:dyDescent="0.25">
      <c r="A2537" s="10">
        <v>44708</v>
      </c>
      <c r="B2537" s="11" t="s">
        <v>39</v>
      </c>
      <c r="C2537">
        <v>1872</v>
      </c>
      <c r="D2537" t="s">
        <v>8</v>
      </c>
      <c r="E2537" t="str">
        <f>IF(may[[#This Row],[ShiftCounter]]&gt;0, "Running", "Down")</f>
        <v>Running</v>
      </c>
    </row>
    <row r="2538" spans="1:5" x14ac:dyDescent="0.25">
      <c r="A2538" s="10">
        <v>44708</v>
      </c>
      <c r="B2538" s="11" t="s">
        <v>41</v>
      </c>
      <c r="C2538">
        <v>516</v>
      </c>
      <c r="D2538" t="s">
        <v>6</v>
      </c>
      <c r="E2538" t="str">
        <f>IF(may[[#This Row],[ShiftCounter]]&gt;0, "Running", "Down")</f>
        <v>Running</v>
      </c>
    </row>
    <row r="2539" spans="1:5" x14ac:dyDescent="0.25">
      <c r="A2539" s="10">
        <v>44708</v>
      </c>
      <c r="B2539" s="11" t="s">
        <v>41</v>
      </c>
      <c r="C2539">
        <v>2275</v>
      </c>
      <c r="D2539" t="s">
        <v>7</v>
      </c>
      <c r="E2539" t="str">
        <f>IF(may[[#This Row],[ShiftCounter]]&gt;0, "Running", "Down")</f>
        <v>Running</v>
      </c>
    </row>
    <row r="2540" spans="1:5" x14ac:dyDescent="0.25">
      <c r="A2540" s="10">
        <v>44708</v>
      </c>
      <c r="B2540" s="11" t="s">
        <v>41</v>
      </c>
      <c r="C2540">
        <v>2154</v>
      </c>
      <c r="D2540" t="s">
        <v>8</v>
      </c>
      <c r="E2540" t="str">
        <f>IF(may[[#This Row],[ShiftCounter]]&gt;0, "Running", "Down")</f>
        <v>Running</v>
      </c>
    </row>
    <row r="2541" spans="1:5" x14ac:dyDescent="0.25">
      <c r="A2541" s="10">
        <v>44708</v>
      </c>
      <c r="B2541" s="11" t="s">
        <v>5</v>
      </c>
      <c r="C2541">
        <v>1426</v>
      </c>
      <c r="D2541" t="s">
        <v>6</v>
      </c>
      <c r="E2541" t="str">
        <f>IF(may[[#This Row],[ShiftCounter]]&gt;0, "Running", "Down")</f>
        <v>Running</v>
      </c>
    </row>
    <row r="2542" spans="1:5" x14ac:dyDescent="0.25">
      <c r="A2542" s="10">
        <v>44708</v>
      </c>
      <c r="B2542" s="11" t="s">
        <v>5</v>
      </c>
      <c r="C2542">
        <v>2242</v>
      </c>
      <c r="D2542" t="s">
        <v>7</v>
      </c>
      <c r="E2542" t="str">
        <f>IF(may[[#This Row],[ShiftCounter]]&gt;0, "Running", "Down")</f>
        <v>Running</v>
      </c>
    </row>
    <row r="2543" spans="1:5" x14ac:dyDescent="0.25">
      <c r="A2543" s="10">
        <v>44708</v>
      </c>
      <c r="B2543" s="11" t="s">
        <v>5</v>
      </c>
      <c r="C2543">
        <v>2158</v>
      </c>
      <c r="D2543" t="s">
        <v>8</v>
      </c>
      <c r="E2543" t="str">
        <f>IF(may[[#This Row],[ShiftCounter]]&gt;0, "Running", "Down")</f>
        <v>Running</v>
      </c>
    </row>
    <row r="2544" spans="1:5" x14ac:dyDescent="0.25">
      <c r="A2544" s="10">
        <v>44708</v>
      </c>
      <c r="B2544" s="11" t="s">
        <v>9</v>
      </c>
      <c r="C2544">
        <v>2438</v>
      </c>
      <c r="D2544" t="s">
        <v>6</v>
      </c>
      <c r="E2544" t="str">
        <f>IF(may[[#This Row],[ShiftCounter]]&gt;0, "Running", "Down")</f>
        <v>Running</v>
      </c>
    </row>
    <row r="2545" spans="1:5" x14ac:dyDescent="0.25">
      <c r="A2545" s="10">
        <v>44708</v>
      </c>
      <c r="B2545" s="11" t="s">
        <v>9</v>
      </c>
      <c r="C2545">
        <v>2247</v>
      </c>
      <c r="D2545" t="s">
        <v>7</v>
      </c>
      <c r="E2545" t="str">
        <f>IF(may[[#This Row],[ShiftCounter]]&gt;0, "Running", "Down")</f>
        <v>Running</v>
      </c>
    </row>
    <row r="2546" spans="1:5" x14ac:dyDescent="0.25">
      <c r="A2546" s="10">
        <v>44708</v>
      </c>
      <c r="B2546" s="11" t="s">
        <v>9</v>
      </c>
      <c r="C2546">
        <v>2229</v>
      </c>
      <c r="D2546" t="s">
        <v>8</v>
      </c>
      <c r="E2546" t="str">
        <f>IF(may[[#This Row],[ShiftCounter]]&gt;0, "Running", "Down")</f>
        <v>Running</v>
      </c>
    </row>
    <row r="2547" spans="1:5" x14ac:dyDescent="0.25">
      <c r="A2547" s="10">
        <v>44708</v>
      </c>
      <c r="B2547" s="11" t="s">
        <v>10</v>
      </c>
      <c r="C2547">
        <v>2461</v>
      </c>
      <c r="D2547" t="s">
        <v>6</v>
      </c>
      <c r="E2547" t="str">
        <f>IF(may[[#This Row],[ShiftCounter]]&gt;0, "Running", "Down")</f>
        <v>Running</v>
      </c>
    </row>
    <row r="2548" spans="1:5" x14ac:dyDescent="0.25">
      <c r="A2548" s="10">
        <v>44708</v>
      </c>
      <c r="B2548" s="11" t="s">
        <v>10</v>
      </c>
      <c r="C2548">
        <v>2295</v>
      </c>
      <c r="D2548" t="s">
        <v>7</v>
      </c>
      <c r="E2548" t="str">
        <f>IF(may[[#This Row],[ShiftCounter]]&gt;0, "Running", "Down")</f>
        <v>Running</v>
      </c>
    </row>
    <row r="2549" spans="1:5" x14ac:dyDescent="0.25">
      <c r="A2549" s="10">
        <v>44708</v>
      </c>
      <c r="B2549" s="11" t="s">
        <v>10</v>
      </c>
      <c r="C2549">
        <v>2270</v>
      </c>
      <c r="D2549" t="s">
        <v>8</v>
      </c>
      <c r="E2549" t="str">
        <f>IF(may[[#This Row],[ShiftCounter]]&gt;0, "Running", "Down")</f>
        <v>Running</v>
      </c>
    </row>
    <row r="2550" spans="1:5" x14ac:dyDescent="0.25">
      <c r="A2550" s="10">
        <v>44708</v>
      </c>
      <c r="B2550" s="11" t="s">
        <v>12</v>
      </c>
      <c r="C2550">
        <v>2215</v>
      </c>
      <c r="D2550" t="s">
        <v>6</v>
      </c>
      <c r="E2550" t="str">
        <f>IF(may[[#This Row],[ShiftCounter]]&gt;0, "Running", "Down")</f>
        <v>Running</v>
      </c>
    </row>
    <row r="2551" spans="1:5" x14ac:dyDescent="0.25">
      <c r="A2551" s="10">
        <v>44708</v>
      </c>
      <c r="B2551" s="11" t="s">
        <v>12</v>
      </c>
      <c r="C2551">
        <v>2066</v>
      </c>
      <c r="D2551" t="s">
        <v>7</v>
      </c>
      <c r="E2551" t="str">
        <f>IF(may[[#This Row],[ShiftCounter]]&gt;0, "Running", "Down")</f>
        <v>Running</v>
      </c>
    </row>
    <row r="2552" spans="1:5" x14ac:dyDescent="0.25">
      <c r="A2552" s="10">
        <v>44708</v>
      </c>
      <c r="B2552" s="11" t="s">
        <v>12</v>
      </c>
      <c r="C2552">
        <v>2138</v>
      </c>
      <c r="D2552" t="s">
        <v>8</v>
      </c>
      <c r="E2552" t="str">
        <f>IF(may[[#This Row],[ShiftCounter]]&gt;0, "Running", "Down")</f>
        <v>Running</v>
      </c>
    </row>
    <row r="2553" spans="1:5" x14ac:dyDescent="0.25">
      <c r="A2553" s="10">
        <v>44708</v>
      </c>
      <c r="B2553" s="11" t="s">
        <v>120</v>
      </c>
      <c r="C2553">
        <v>2277</v>
      </c>
      <c r="D2553" t="s">
        <v>6</v>
      </c>
      <c r="E2553" t="str">
        <f>IF(may[[#This Row],[ShiftCounter]]&gt;0, "Running", "Down")</f>
        <v>Running</v>
      </c>
    </row>
    <row r="2554" spans="1:5" x14ac:dyDescent="0.25">
      <c r="A2554" s="10">
        <v>44708</v>
      </c>
      <c r="B2554" s="11" t="s">
        <v>120</v>
      </c>
      <c r="C2554">
        <v>2200</v>
      </c>
      <c r="D2554" t="s">
        <v>7</v>
      </c>
      <c r="E2554" t="str">
        <f>IF(may[[#This Row],[ShiftCounter]]&gt;0, "Running", "Down")</f>
        <v>Running</v>
      </c>
    </row>
    <row r="2555" spans="1:5" x14ac:dyDescent="0.25">
      <c r="A2555" s="10">
        <v>44708</v>
      </c>
      <c r="B2555" s="11" t="s">
        <v>120</v>
      </c>
      <c r="C2555">
        <v>2072</v>
      </c>
      <c r="D2555" t="s">
        <v>8</v>
      </c>
      <c r="E2555" t="str">
        <f>IF(may[[#This Row],[ShiftCounter]]&gt;0, "Running", "Down")</f>
        <v>Running</v>
      </c>
    </row>
    <row r="2556" spans="1:5" x14ac:dyDescent="0.25">
      <c r="A2556" s="10">
        <v>44708</v>
      </c>
      <c r="B2556" s="11" t="s">
        <v>13</v>
      </c>
      <c r="C2556">
        <v>2189</v>
      </c>
      <c r="D2556" t="s">
        <v>6</v>
      </c>
      <c r="E2556" t="str">
        <f>IF(may[[#This Row],[ShiftCounter]]&gt;0, "Running", "Down")</f>
        <v>Running</v>
      </c>
    </row>
    <row r="2557" spans="1:5" x14ac:dyDescent="0.25">
      <c r="A2557" s="10">
        <v>44708</v>
      </c>
      <c r="B2557" s="11" t="s">
        <v>13</v>
      </c>
      <c r="C2557">
        <v>2049</v>
      </c>
      <c r="D2557" t="s">
        <v>7</v>
      </c>
      <c r="E2557" t="str">
        <f>IF(may[[#This Row],[ShiftCounter]]&gt;0, "Running", "Down")</f>
        <v>Running</v>
      </c>
    </row>
    <row r="2558" spans="1:5" x14ac:dyDescent="0.25">
      <c r="A2558" s="10">
        <v>44708</v>
      </c>
      <c r="B2558" s="11" t="s">
        <v>13</v>
      </c>
      <c r="C2558">
        <v>1831</v>
      </c>
      <c r="D2558" t="s">
        <v>8</v>
      </c>
      <c r="E2558" t="str">
        <f>IF(may[[#This Row],[ShiftCounter]]&gt;0, "Running", "Down")</f>
        <v>Running</v>
      </c>
    </row>
    <row r="2559" spans="1:5" x14ac:dyDescent="0.25">
      <c r="A2559" s="10">
        <v>44708</v>
      </c>
      <c r="B2559" s="11" t="s">
        <v>114</v>
      </c>
      <c r="C2559">
        <v>2209</v>
      </c>
      <c r="D2559" t="s">
        <v>6</v>
      </c>
      <c r="E2559" t="str">
        <f>IF(may[[#This Row],[ShiftCounter]]&gt;0, "Running", "Down")</f>
        <v>Running</v>
      </c>
    </row>
    <row r="2560" spans="1:5" x14ac:dyDescent="0.25">
      <c r="A2560" s="10">
        <v>44708</v>
      </c>
      <c r="B2560" s="11" t="s">
        <v>114</v>
      </c>
      <c r="C2560">
        <v>2022</v>
      </c>
      <c r="D2560" t="s">
        <v>7</v>
      </c>
      <c r="E2560" t="str">
        <f>IF(may[[#This Row],[ShiftCounter]]&gt;0, "Running", "Down")</f>
        <v>Running</v>
      </c>
    </row>
    <row r="2561" spans="1:5" x14ac:dyDescent="0.25">
      <c r="A2561" s="10">
        <v>44708</v>
      </c>
      <c r="B2561" s="11" t="s">
        <v>114</v>
      </c>
      <c r="C2561">
        <v>1791</v>
      </c>
      <c r="D2561" t="s">
        <v>8</v>
      </c>
      <c r="E2561" t="str">
        <f>IF(may[[#This Row],[ShiftCounter]]&gt;0, "Running", "Down")</f>
        <v>Running</v>
      </c>
    </row>
    <row r="2562" spans="1:5" x14ac:dyDescent="0.25">
      <c r="A2562" s="10">
        <v>44708</v>
      </c>
      <c r="B2562" s="11" t="s">
        <v>14</v>
      </c>
      <c r="C2562">
        <v>1895</v>
      </c>
      <c r="D2562" t="s">
        <v>6</v>
      </c>
      <c r="E2562" t="str">
        <f>IF(may[[#This Row],[ShiftCounter]]&gt;0, "Running", "Down")</f>
        <v>Running</v>
      </c>
    </row>
    <row r="2563" spans="1:5" x14ac:dyDescent="0.25">
      <c r="A2563" s="10">
        <v>44708</v>
      </c>
      <c r="B2563" s="11" t="s">
        <v>14</v>
      </c>
      <c r="C2563">
        <v>1888</v>
      </c>
      <c r="D2563" t="s">
        <v>7</v>
      </c>
      <c r="E2563" t="str">
        <f>IF(may[[#This Row],[ShiftCounter]]&gt;0, "Running", "Down")</f>
        <v>Running</v>
      </c>
    </row>
    <row r="2564" spans="1:5" x14ac:dyDescent="0.25">
      <c r="A2564" s="10">
        <v>44708</v>
      </c>
      <c r="B2564" s="11" t="s">
        <v>14</v>
      </c>
      <c r="C2564">
        <v>1589</v>
      </c>
      <c r="D2564" t="s">
        <v>8</v>
      </c>
      <c r="E2564" t="str">
        <f>IF(may[[#This Row],[ShiftCounter]]&gt;0, "Running", "Down")</f>
        <v>Running</v>
      </c>
    </row>
    <row r="2565" spans="1:5" x14ac:dyDescent="0.25">
      <c r="A2565" s="10">
        <v>44708</v>
      </c>
      <c r="B2565" s="11" t="s">
        <v>15</v>
      </c>
      <c r="C2565">
        <v>2187</v>
      </c>
      <c r="D2565" t="s">
        <v>6</v>
      </c>
      <c r="E2565" t="str">
        <f>IF(may[[#This Row],[ShiftCounter]]&gt;0, "Running", "Down")</f>
        <v>Running</v>
      </c>
    </row>
    <row r="2566" spans="1:5" x14ac:dyDescent="0.25">
      <c r="A2566" s="10">
        <v>44708</v>
      </c>
      <c r="B2566" s="11" t="s">
        <v>15</v>
      </c>
      <c r="C2566">
        <v>2088</v>
      </c>
      <c r="D2566" t="s">
        <v>7</v>
      </c>
      <c r="E2566" t="str">
        <f>IF(may[[#This Row],[ShiftCounter]]&gt;0, "Running", "Down")</f>
        <v>Running</v>
      </c>
    </row>
    <row r="2567" spans="1:5" x14ac:dyDescent="0.25">
      <c r="A2567" s="10">
        <v>44708</v>
      </c>
      <c r="B2567" s="11" t="s">
        <v>15</v>
      </c>
      <c r="C2567">
        <v>1845</v>
      </c>
      <c r="D2567" t="s">
        <v>8</v>
      </c>
      <c r="E2567" t="str">
        <f>IF(may[[#This Row],[ShiftCounter]]&gt;0, "Running", "Down")</f>
        <v>Running</v>
      </c>
    </row>
    <row r="2568" spans="1:5" x14ac:dyDescent="0.25">
      <c r="A2568" s="10">
        <v>44708</v>
      </c>
      <c r="B2568" s="11" t="s">
        <v>16</v>
      </c>
      <c r="C2568">
        <v>2301</v>
      </c>
      <c r="D2568" t="s">
        <v>6</v>
      </c>
      <c r="E2568" t="str">
        <f>IF(may[[#This Row],[ShiftCounter]]&gt;0, "Running", "Down")</f>
        <v>Running</v>
      </c>
    </row>
    <row r="2569" spans="1:5" x14ac:dyDescent="0.25">
      <c r="A2569" s="10">
        <v>44708</v>
      </c>
      <c r="B2569" s="11" t="s">
        <v>16</v>
      </c>
      <c r="C2569">
        <v>2233</v>
      </c>
      <c r="D2569" t="s">
        <v>7</v>
      </c>
      <c r="E2569" t="str">
        <f>IF(may[[#This Row],[ShiftCounter]]&gt;0, "Running", "Down")</f>
        <v>Running</v>
      </c>
    </row>
    <row r="2570" spans="1:5" x14ac:dyDescent="0.25">
      <c r="A2570" s="10">
        <v>44708</v>
      </c>
      <c r="B2570" s="11" t="s">
        <v>16</v>
      </c>
      <c r="C2570">
        <v>1931</v>
      </c>
      <c r="D2570" t="s">
        <v>8</v>
      </c>
      <c r="E2570" t="str">
        <f>IF(may[[#This Row],[ShiftCounter]]&gt;0, "Running", "Down")</f>
        <v>Running</v>
      </c>
    </row>
    <row r="2571" spans="1:5" x14ac:dyDescent="0.25">
      <c r="A2571" s="10">
        <v>44708</v>
      </c>
      <c r="B2571" s="11" t="s">
        <v>17</v>
      </c>
      <c r="C2571">
        <v>2222</v>
      </c>
      <c r="D2571" t="s">
        <v>6</v>
      </c>
      <c r="E2571" t="str">
        <f>IF(may[[#This Row],[ShiftCounter]]&gt;0, "Running", "Down")</f>
        <v>Running</v>
      </c>
    </row>
    <row r="2572" spans="1:5" x14ac:dyDescent="0.25">
      <c r="A2572" s="10">
        <v>44708</v>
      </c>
      <c r="B2572" s="11" t="s">
        <v>17</v>
      </c>
      <c r="C2572">
        <v>2350</v>
      </c>
      <c r="D2572" t="s">
        <v>7</v>
      </c>
      <c r="E2572" t="str">
        <f>IF(may[[#This Row],[ShiftCounter]]&gt;0, "Running", "Down")</f>
        <v>Running</v>
      </c>
    </row>
    <row r="2573" spans="1:5" x14ac:dyDescent="0.25">
      <c r="A2573" s="10">
        <v>44708</v>
      </c>
      <c r="B2573" s="11" t="s">
        <v>17</v>
      </c>
      <c r="C2573">
        <v>2084</v>
      </c>
      <c r="D2573" t="s">
        <v>8</v>
      </c>
      <c r="E2573" t="str">
        <f>IF(may[[#This Row],[ShiftCounter]]&gt;0, "Running", "Down")</f>
        <v>Running</v>
      </c>
    </row>
    <row r="2574" spans="1:5" x14ac:dyDescent="0.25">
      <c r="A2574" s="10">
        <v>44708</v>
      </c>
      <c r="B2574" s="11" t="s">
        <v>19</v>
      </c>
      <c r="C2574">
        <v>1929</v>
      </c>
      <c r="D2574" t="s">
        <v>6</v>
      </c>
      <c r="E2574" t="str">
        <f>IF(may[[#This Row],[ShiftCounter]]&gt;0, "Running", "Down")</f>
        <v>Running</v>
      </c>
    </row>
    <row r="2575" spans="1:5" x14ac:dyDescent="0.25">
      <c r="A2575" s="10">
        <v>44708</v>
      </c>
      <c r="B2575" s="11" t="s">
        <v>19</v>
      </c>
      <c r="C2575">
        <v>2008</v>
      </c>
      <c r="D2575" t="s">
        <v>7</v>
      </c>
      <c r="E2575" t="str">
        <f>IF(may[[#This Row],[ShiftCounter]]&gt;0, "Running", "Down")</f>
        <v>Running</v>
      </c>
    </row>
    <row r="2576" spans="1:5" x14ac:dyDescent="0.25">
      <c r="A2576" s="10">
        <v>44708</v>
      </c>
      <c r="B2576" s="11" t="s">
        <v>19</v>
      </c>
      <c r="C2576">
        <v>1858</v>
      </c>
      <c r="D2576" t="s">
        <v>8</v>
      </c>
      <c r="E2576" t="str">
        <f>IF(may[[#This Row],[ShiftCounter]]&gt;0, "Running", "Down")</f>
        <v>Running</v>
      </c>
    </row>
    <row r="2577" spans="1:5" x14ac:dyDescent="0.25">
      <c r="A2577" s="10">
        <v>44708</v>
      </c>
      <c r="B2577" s="11" t="s">
        <v>18</v>
      </c>
      <c r="C2577">
        <v>1667</v>
      </c>
      <c r="D2577" t="s">
        <v>6</v>
      </c>
      <c r="E2577" t="str">
        <f>IF(may[[#This Row],[ShiftCounter]]&gt;0, "Running", "Down")</f>
        <v>Running</v>
      </c>
    </row>
    <row r="2578" spans="1:5" x14ac:dyDescent="0.25">
      <c r="A2578" s="10">
        <v>44708</v>
      </c>
      <c r="B2578" s="11" t="s">
        <v>18</v>
      </c>
      <c r="C2578">
        <v>2436</v>
      </c>
      <c r="D2578" t="s">
        <v>7</v>
      </c>
      <c r="E2578" t="str">
        <f>IF(may[[#This Row],[ShiftCounter]]&gt;0, "Running", "Down")</f>
        <v>Running</v>
      </c>
    </row>
    <row r="2579" spans="1:5" x14ac:dyDescent="0.25">
      <c r="A2579" s="10">
        <v>44708</v>
      </c>
      <c r="B2579" s="11" t="s">
        <v>18</v>
      </c>
      <c r="C2579">
        <v>2254</v>
      </c>
      <c r="D2579" t="s">
        <v>8</v>
      </c>
      <c r="E2579" t="str">
        <f>IF(may[[#This Row],[ShiftCounter]]&gt;0, "Running", "Down")</f>
        <v>Running</v>
      </c>
    </row>
    <row r="2580" spans="1:5" x14ac:dyDescent="0.25">
      <c r="A2580" s="10">
        <v>44708</v>
      </c>
      <c r="B2580" s="11" t="s">
        <v>20</v>
      </c>
      <c r="C2580">
        <v>2207</v>
      </c>
      <c r="D2580" t="s">
        <v>6</v>
      </c>
      <c r="E2580" t="str">
        <f>IF(may[[#This Row],[ShiftCounter]]&gt;0, "Running", "Down")</f>
        <v>Running</v>
      </c>
    </row>
    <row r="2581" spans="1:5" x14ac:dyDescent="0.25">
      <c r="A2581" s="10">
        <v>44708</v>
      </c>
      <c r="B2581" s="11" t="s">
        <v>20</v>
      </c>
      <c r="C2581">
        <v>2352</v>
      </c>
      <c r="D2581" t="s">
        <v>7</v>
      </c>
      <c r="E2581" t="str">
        <f>IF(may[[#This Row],[ShiftCounter]]&gt;0, "Running", "Down")</f>
        <v>Running</v>
      </c>
    </row>
    <row r="2582" spans="1:5" x14ac:dyDescent="0.25">
      <c r="A2582" s="10">
        <v>44708</v>
      </c>
      <c r="B2582" s="11" t="s">
        <v>20</v>
      </c>
      <c r="C2582">
        <v>2139</v>
      </c>
      <c r="D2582" t="s">
        <v>8</v>
      </c>
      <c r="E2582" t="str">
        <f>IF(may[[#This Row],[ShiftCounter]]&gt;0, "Running", "Down")</f>
        <v>Running</v>
      </c>
    </row>
    <row r="2583" spans="1:5" x14ac:dyDescent="0.25">
      <c r="A2583" s="10">
        <v>44708</v>
      </c>
      <c r="B2583" s="11" t="s">
        <v>21</v>
      </c>
      <c r="C2583">
        <v>1196</v>
      </c>
      <c r="D2583" t="s">
        <v>6</v>
      </c>
      <c r="E2583" t="str">
        <f>IF(may[[#This Row],[ShiftCounter]]&gt;0, "Running", "Down")</f>
        <v>Running</v>
      </c>
    </row>
    <row r="2584" spans="1:5" x14ac:dyDescent="0.25">
      <c r="A2584" s="10">
        <v>44708</v>
      </c>
      <c r="B2584" s="11" t="s">
        <v>21</v>
      </c>
      <c r="C2584">
        <v>2081</v>
      </c>
      <c r="D2584" t="s">
        <v>7</v>
      </c>
      <c r="E2584" t="str">
        <f>IF(may[[#This Row],[ShiftCounter]]&gt;0, "Running", "Down")</f>
        <v>Running</v>
      </c>
    </row>
    <row r="2585" spans="1:5" x14ac:dyDescent="0.25">
      <c r="A2585" s="10">
        <v>44708</v>
      </c>
      <c r="B2585" s="11" t="s">
        <v>21</v>
      </c>
      <c r="C2585">
        <v>1914</v>
      </c>
      <c r="D2585" t="s">
        <v>8</v>
      </c>
      <c r="E2585" t="str">
        <f>IF(may[[#This Row],[ShiftCounter]]&gt;0, "Running", "Down")</f>
        <v>Running</v>
      </c>
    </row>
    <row r="2586" spans="1:5" x14ac:dyDescent="0.25">
      <c r="A2586" s="10">
        <v>44708</v>
      </c>
      <c r="B2586" s="11" t="s">
        <v>22</v>
      </c>
      <c r="C2586">
        <v>2079</v>
      </c>
      <c r="D2586" t="s">
        <v>6</v>
      </c>
      <c r="E2586" t="str">
        <f>IF(may[[#This Row],[ShiftCounter]]&gt;0, "Running", "Down")</f>
        <v>Running</v>
      </c>
    </row>
    <row r="2587" spans="1:5" x14ac:dyDescent="0.25">
      <c r="A2587" s="10">
        <v>44708</v>
      </c>
      <c r="B2587" s="11" t="s">
        <v>22</v>
      </c>
      <c r="C2587">
        <v>2244</v>
      </c>
      <c r="D2587" t="s">
        <v>7</v>
      </c>
      <c r="E2587" t="str">
        <f>IF(may[[#This Row],[ShiftCounter]]&gt;0, "Running", "Down")</f>
        <v>Running</v>
      </c>
    </row>
    <row r="2588" spans="1:5" x14ac:dyDescent="0.25">
      <c r="A2588" s="10">
        <v>44708</v>
      </c>
      <c r="B2588" s="11" t="s">
        <v>22</v>
      </c>
      <c r="C2588">
        <v>2035</v>
      </c>
      <c r="D2588" t="s">
        <v>8</v>
      </c>
      <c r="E2588" t="str">
        <f>IF(may[[#This Row],[ShiftCounter]]&gt;0, "Running", "Down")</f>
        <v>Running</v>
      </c>
    </row>
    <row r="2589" spans="1:5" x14ac:dyDescent="0.25">
      <c r="A2589" s="10">
        <v>44708</v>
      </c>
      <c r="B2589" s="11" t="s">
        <v>23</v>
      </c>
      <c r="C2589">
        <v>2257</v>
      </c>
      <c r="D2589" t="s">
        <v>6</v>
      </c>
      <c r="E2589" t="str">
        <f>IF(may[[#This Row],[ShiftCounter]]&gt;0, "Running", "Down")</f>
        <v>Running</v>
      </c>
    </row>
    <row r="2590" spans="1:5" x14ac:dyDescent="0.25">
      <c r="A2590" s="10">
        <v>44708</v>
      </c>
      <c r="B2590" s="11" t="s">
        <v>23</v>
      </c>
      <c r="C2590">
        <v>2437</v>
      </c>
      <c r="D2590" t="s">
        <v>7</v>
      </c>
      <c r="E2590" t="str">
        <f>IF(may[[#This Row],[ShiftCounter]]&gt;0, "Running", "Down")</f>
        <v>Running</v>
      </c>
    </row>
    <row r="2591" spans="1:5" x14ac:dyDescent="0.25">
      <c r="A2591" s="10">
        <v>44708</v>
      </c>
      <c r="B2591" s="11" t="s">
        <v>23</v>
      </c>
      <c r="C2591">
        <v>2161</v>
      </c>
      <c r="D2591" t="s">
        <v>8</v>
      </c>
      <c r="E2591" t="str">
        <f>IF(may[[#This Row],[ShiftCounter]]&gt;0, "Running", "Down")</f>
        <v>Running</v>
      </c>
    </row>
    <row r="2592" spans="1:5" x14ac:dyDescent="0.25">
      <c r="A2592" s="10">
        <v>44708</v>
      </c>
      <c r="B2592" s="11" t="s">
        <v>24</v>
      </c>
      <c r="C2592">
        <v>2047</v>
      </c>
      <c r="D2592" t="s">
        <v>6</v>
      </c>
      <c r="E2592" t="str">
        <f>IF(may[[#This Row],[ShiftCounter]]&gt;0, "Running", "Down")</f>
        <v>Running</v>
      </c>
    </row>
    <row r="2593" spans="1:5" x14ac:dyDescent="0.25">
      <c r="A2593" s="10">
        <v>44708</v>
      </c>
      <c r="B2593" s="11" t="s">
        <v>24</v>
      </c>
      <c r="C2593">
        <v>2151</v>
      </c>
      <c r="D2593" t="s">
        <v>7</v>
      </c>
      <c r="E2593" t="str">
        <f>IF(may[[#This Row],[ShiftCounter]]&gt;0, "Running", "Down")</f>
        <v>Running</v>
      </c>
    </row>
    <row r="2594" spans="1:5" x14ac:dyDescent="0.25">
      <c r="A2594" s="10">
        <v>44708</v>
      </c>
      <c r="B2594" s="11" t="s">
        <v>24</v>
      </c>
      <c r="C2594">
        <v>1899</v>
      </c>
      <c r="D2594" t="s">
        <v>8</v>
      </c>
      <c r="E2594" t="str">
        <f>IF(may[[#This Row],[ShiftCounter]]&gt;0, "Running", "Down")</f>
        <v>Running</v>
      </c>
    </row>
    <row r="2595" spans="1:5" x14ac:dyDescent="0.25">
      <c r="A2595" s="10">
        <v>44708</v>
      </c>
      <c r="B2595" s="11" t="s">
        <v>25</v>
      </c>
      <c r="C2595">
        <v>2100</v>
      </c>
      <c r="D2595" t="s">
        <v>6</v>
      </c>
      <c r="E2595" t="str">
        <f>IF(may[[#This Row],[ShiftCounter]]&gt;0, "Running", "Down")</f>
        <v>Running</v>
      </c>
    </row>
    <row r="2596" spans="1:5" x14ac:dyDescent="0.25">
      <c r="A2596" s="10">
        <v>44708</v>
      </c>
      <c r="B2596" s="11" t="s">
        <v>25</v>
      </c>
      <c r="C2596">
        <v>2120</v>
      </c>
      <c r="D2596" t="s">
        <v>7</v>
      </c>
      <c r="E2596" t="str">
        <f>IF(may[[#This Row],[ShiftCounter]]&gt;0, "Running", "Down")</f>
        <v>Running</v>
      </c>
    </row>
    <row r="2597" spans="1:5" x14ac:dyDescent="0.25">
      <c r="A2597" s="10">
        <v>44708</v>
      </c>
      <c r="B2597" s="11" t="s">
        <v>25</v>
      </c>
      <c r="C2597">
        <v>2062</v>
      </c>
      <c r="D2597" t="s">
        <v>8</v>
      </c>
      <c r="E2597" t="str">
        <f>IF(may[[#This Row],[ShiftCounter]]&gt;0, "Running", "Down")</f>
        <v>Running</v>
      </c>
    </row>
    <row r="2598" spans="1:5" x14ac:dyDescent="0.25">
      <c r="A2598" s="10">
        <v>44708</v>
      </c>
      <c r="B2598" s="11" t="s">
        <v>26</v>
      </c>
      <c r="C2598">
        <v>1243</v>
      </c>
      <c r="D2598" t="s">
        <v>6</v>
      </c>
      <c r="E2598" t="str">
        <f>IF(may[[#This Row],[ShiftCounter]]&gt;0, "Running", "Down")</f>
        <v>Running</v>
      </c>
    </row>
    <row r="2599" spans="1:5" x14ac:dyDescent="0.25">
      <c r="A2599" s="10">
        <v>44708</v>
      </c>
      <c r="B2599" s="11" t="s">
        <v>26</v>
      </c>
      <c r="C2599">
        <v>2110</v>
      </c>
      <c r="D2599" t="s">
        <v>7</v>
      </c>
      <c r="E2599" t="str">
        <f>IF(may[[#This Row],[ShiftCounter]]&gt;0, "Running", "Down")</f>
        <v>Running</v>
      </c>
    </row>
    <row r="2600" spans="1:5" x14ac:dyDescent="0.25">
      <c r="A2600" s="10">
        <v>44708</v>
      </c>
      <c r="B2600" s="11" t="s">
        <v>26</v>
      </c>
      <c r="C2600">
        <v>2012</v>
      </c>
      <c r="D2600" t="s">
        <v>8</v>
      </c>
      <c r="E2600" t="str">
        <f>IF(may[[#This Row],[ShiftCounter]]&gt;0, "Running", "Down")</f>
        <v>Running</v>
      </c>
    </row>
    <row r="2601" spans="1:5" x14ac:dyDescent="0.25">
      <c r="A2601" s="10">
        <v>44708</v>
      </c>
      <c r="B2601" s="11" t="s">
        <v>27</v>
      </c>
      <c r="C2601">
        <v>2235</v>
      </c>
      <c r="D2601" t="s">
        <v>6</v>
      </c>
      <c r="E2601" t="str">
        <f>IF(may[[#This Row],[ShiftCounter]]&gt;0, "Running", "Down")</f>
        <v>Running</v>
      </c>
    </row>
    <row r="2602" spans="1:5" x14ac:dyDescent="0.25">
      <c r="A2602" s="10">
        <v>44708</v>
      </c>
      <c r="B2602" s="11" t="s">
        <v>27</v>
      </c>
      <c r="C2602">
        <v>2228</v>
      </c>
      <c r="D2602" t="s">
        <v>7</v>
      </c>
      <c r="E2602" t="str">
        <f>IF(may[[#This Row],[ShiftCounter]]&gt;0, "Running", "Down")</f>
        <v>Running</v>
      </c>
    </row>
    <row r="2603" spans="1:5" x14ac:dyDescent="0.25">
      <c r="A2603" s="10">
        <v>44708</v>
      </c>
      <c r="B2603" s="11" t="s">
        <v>27</v>
      </c>
      <c r="C2603">
        <v>2086</v>
      </c>
      <c r="D2603" t="s">
        <v>8</v>
      </c>
      <c r="E2603" t="str">
        <f>IF(may[[#This Row],[ShiftCounter]]&gt;0, "Running", "Down")</f>
        <v>Running</v>
      </c>
    </row>
    <row r="2604" spans="1:5" x14ac:dyDescent="0.25">
      <c r="A2604" s="10">
        <v>44708</v>
      </c>
      <c r="B2604" s="11" t="s">
        <v>28</v>
      </c>
      <c r="C2604">
        <v>2043</v>
      </c>
      <c r="D2604" t="s">
        <v>6</v>
      </c>
      <c r="E2604" t="str">
        <f>IF(may[[#This Row],[ShiftCounter]]&gt;0, "Running", "Down")</f>
        <v>Running</v>
      </c>
    </row>
    <row r="2605" spans="1:5" x14ac:dyDescent="0.25">
      <c r="A2605" s="10">
        <v>44708</v>
      </c>
      <c r="B2605" s="11" t="s">
        <v>28</v>
      </c>
      <c r="C2605">
        <v>2146</v>
      </c>
      <c r="D2605" t="s">
        <v>7</v>
      </c>
      <c r="E2605" t="str">
        <f>IF(may[[#This Row],[ShiftCounter]]&gt;0, "Running", "Down")</f>
        <v>Running</v>
      </c>
    </row>
    <row r="2606" spans="1:5" x14ac:dyDescent="0.25">
      <c r="A2606" s="10">
        <v>44708</v>
      </c>
      <c r="B2606" s="11" t="s">
        <v>28</v>
      </c>
      <c r="C2606">
        <v>1973</v>
      </c>
      <c r="D2606" t="s">
        <v>8</v>
      </c>
      <c r="E2606" t="str">
        <f>IF(may[[#This Row],[ShiftCounter]]&gt;0, "Running", "Down")</f>
        <v>Running</v>
      </c>
    </row>
    <row r="2607" spans="1:5" x14ac:dyDescent="0.25">
      <c r="A2607" s="10">
        <v>44708</v>
      </c>
      <c r="B2607" s="11" t="s">
        <v>29</v>
      </c>
      <c r="C2607">
        <v>2007</v>
      </c>
      <c r="D2607" t="s">
        <v>6</v>
      </c>
      <c r="E2607" t="str">
        <f>IF(may[[#This Row],[ShiftCounter]]&gt;0, "Running", "Down")</f>
        <v>Running</v>
      </c>
    </row>
    <row r="2608" spans="1:5" x14ac:dyDescent="0.25">
      <c r="A2608" s="10">
        <v>44708</v>
      </c>
      <c r="B2608" s="11" t="s">
        <v>29</v>
      </c>
      <c r="C2608">
        <v>2011</v>
      </c>
      <c r="D2608" t="s">
        <v>7</v>
      </c>
      <c r="E2608" t="str">
        <f>IF(may[[#This Row],[ShiftCounter]]&gt;0, "Running", "Down")</f>
        <v>Running</v>
      </c>
    </row>
    <row r="2609" spans="1:5" x14ac:dyDescent="0.25">
      <c r="A2609" s="10">
        <v>44708</v>
      </c>
      <c r="B2609" s="11" t="s">
        <v>29</v>
      </c>
      <c r="C2609">
        <v>1851</v>
      </c>
      <c r="D2609" t="s">
        <v>8</v>
      </c>
      <c r="E2609" t="str">
        <f>IF(may[[#This Row],[ShiftCounter]]&gt;0, "Running", "Down")</f>
        <v>Running</v>
      </c>
    </row>
    <row r="2610" spans="1:5" x14ac:dyDescent="0.25">
      <c r="A2610" s="10">
        <v>44708</v>
      </c>
      <c r="B2610" s="11" t="s">
        <v>30</v>
      </c>
      <c r="C2610">
        <v>2254</v>
      </c>
      <c r="D2610" t="s">
        <v>6</v>
      </c>
      <c r="E2610" t="str">
        <f>IF(may[[#This Row],[ShiftCounter]]&gt;0, "Running", "Down")</f>
        <v>Running</v>
      </c>
    </row>
    <row r="2611" spans="1:5" x14ac:dyDescent="0.25">
      <c r="A2611" s="10">
        <v>44708</v>
      </c>
      <c r="B2611" s="11" t="s">
        <v>30</v>
      </c>
      <c r="C2611">
        <v>2189</v>
      </c>
      <c r="D2611" t="s">
        <v>7</v>
      </c>
      <c r="E2611" t="str">
        <f>IF(may[[#This Row],[ShiftCounter]]&gt;0, "Running", "Down")</f>
        <v>Running</v>
      </c>
    </row>
    <row r="2612" spans="1:5" x14ac:dyDescent="0.25">
      <c r="A2612" s="10">
        <v>44708</v>
      </c>
      <c r="B2612" s="11" t="s">
        <v>30</v>
      </c>
      <c r="C2612">
        <v>1902</v>
      </c>
      <c r="D2612" t="s">
        <v>8</v>
      </c>
      <c r="E2612" t="str">
        <f>IF(may[[#This Row],[ShiftCounter]]&gt;0, "Running", "Down")</f>
        <v>Running</v>
      </c>
    </row>
    <row r="2613" spans="1:5" x14ac:dyDescent="0.25">
      <c r="A2613" s="10">
        <v>44708</v>
      </c>
      <c r="B2613" s="11" t="s">
        <v>31</v>
      </c>
      <c r="C2613">
        <v>2147</v>
      </c>
      <c r="D2613" t="s">
        <v>6</v>
      </c>
      <c r="E2613" t="str">
        <f>IF(may[[#This Row],[ShiftCounter]]&gt;0, "Running", "Down")</f>
        <v>Running</v>
      </c>
    </row>
    <row r="2614" spans="1:5" x14ac:dyDescent="0.25">
      <c r="A2614" s="10">
        <v>44708</v>
      </c>
      <c r="B2614" s="11" t="s">
        <v>31</v>
      </c>
      <c r="C2614">
        <v>2083</v>
      </c>
      <c r="D2614" t="s">
        <v>7</v>
      </c>
      <c r="E2614" t="str">
        <f>IF(may[[#This Row],[ShiftCounter]]&gt;0, "Running", "Down")</f>
        <v>Running</v>
      </c>
    </row>
    <row r="2615" spans="1:5" x14ac:dyDescent="0.25">
      <c r="A2615" s="10">
        <v>44708</v>
      </c>
      <c r="B2615" s="11" t="s">
        <v>31</v>
      </c>
      <c r="C2615">
        <v>1943</v>
      </c>
      <c r="D2615" t="s">
        <v>8</v>
      </c>
      <c r="E2615" t="str">
        <f>IF(may[[#This Row],[ShiftCounter]]&gt;0, "Running", "Down")</f>
        <v>Running</v>
      </c>
    </row>
    <row r="2616" spans="1:5" x14ac:dyDescent="0.25">
      <c r="A2616" s="10">
        <v>44708</v>
      </c>
      <c r="B2616" s="11" t="s">
        <v>32</v>
      </c>
      <c r="C2616">
        <v>2255</v>
      </c>
      <c r="D2616" t="s">
        <v>6</v>
      </c>
      <c r="E2616" t="str">
        <f>IF(may[[#This Row],[ShiftCounter]]&gt;0, "Running", "Down")</f>
        <v>Running</v>
      </c>
    </row>
    <row r="2617" spans="1:5" x14ac:dyDescent="0.25">
      <c r="A2617" s="10">
        <v>44708</v>
      </c>
      <c r="B2617" s="11" t="s">
        <v>32</v>
      </c>
      <c r="C2617">
        <v>2082</v>
      </c>
      <c r="D2617" t="s">
        <v>7</v>
      </c>
      <c r="E2617" t="str">
        <f>IF(may[[#This Row],[ShiftCounter]]&gt;0, "Running", "Down")</f>
        <v>Running</v>
      </c>
    </row>
    <row r="2618" spans="1:5" x14ac:dyDescent="0.25">
      <c r="A2618" s="10">
        <v>44708</v>
      </c>
      <c r="B2618" s="11" t="s">
        <v>32</v>
      </c>
      <c r="C2618">
        <v>2056</v>
      </c>
      <c r="D2618" t="s">
        <v>8</v>
      </c>
      <c r="E2618" t="str">
        <f>IF(may[[#This Row],[ShiftCounter]]&gt;0, "Running", "Down")</f>
        <v>Running</v>
      </c>
    </row>
    <row r="2619" spans="1:5" x14ac:dyDescent="0.25">
      <c r="A2619" s="10">
        <v>44708</v>
      </c>
      <c r="B2619" s="11" t="s">
        <v>33</v>
      </c>
      <c r="C2619">
        <v>2552</v>
      </c>
      <c r="D2619" t="s">
        <v>6</v>
      </c>
      <c r="E2619" t="str">
        <f>IF(may[[#This Row],[ShiftCounter]]&gt;0, "Running", "Down")</f>
        <v>Running</v>
      </c>
    </row>
    <row r="2620" spans="1:5" x14ac:dyDescent="0.25">
      <c r="A2620" s="10">
        <v>44708</v>
      </c>
      <c r="B2620" s="11" t="s">
        <v>33</v>
      </c>
      <c r="C2620">
        <v>2385</v>
      </c>
      <c r="D2620" t="s">
        <v>7</v>
      </c>
      <c r="E2620" t="str">
        <f>IF(may[[#This Row],[ShiftCounter]]&gt;0, "Running", "Down")</f>
        <v>Running</v>
      </c>
    </row>
    <row r="2621" spans="1:5" x14ac:dyDescent="0.25">
      <c r="A2621" s="10">
        <v>44708</v>
      </c>
      <c r="B2621" s="11" t="s">
        <v>33</v>
      </c>
      <c r="C2621">
        <v>2298</v>
      </c>
      <c r="D2621" t="s">
        <v>8</v>
      </c>
      <c r="E2621" t="str">
        <f>IF(may[[#This Row],[ShiftCounter]]&gt;0, "Running", "Down")</f>
        <v>Running</v>
      </c>
    </row>
    <row r="2622" spans="1:5" x14ac:dyDescent="0.25">
      <c r="A2622" s="10">
        <v>44708</v>
      </c>
      <c r="B2622" s="11" t="s">
        <v>34</v>
      </c>
      <c r="C2622">
        <v>2086</v>
      </c>
      <c r="D2622" t="s">
        <v>6</v>
      </c>
      <c r="E2622" t="str">
        <f>IF(may[[#This Row],[ShiftCounter]]&gt;0, "Running", "Down")</f>
        <v>Running</v>
      </c>
    </row>
    <row r="2623" spans="1:5" x14ac:dyDescent="0.25">
      <c r="A2623" s="10">
        <v>44708</v>
      </c>
      <c r="B2623" s="11" t="s">
        <v>34</v>
      </c>
      <c r="C2623">
        <v>1826</v>
      </c>
      <c r="D2623" t="s">
        <v>7</v>
      </c>
      <c r="E2623" t="str">
        <f>IF(may[[#This Row],[ShiftCounter]]&gt;0, "Running", "Down")</f>
        <v>Running</v>
      </c>
    </row>
    <row r="2624" spans="1:5" x14ac:dyDescent="0.25">
      <c r="A2624" s="10">
        <v>44708</v>
      </c>
      <c r="B2624" s="11" t="s">
        <v>34</v>
      </c>
      <c r="C2624">
        <v>1965</v>
      </c>
      <c r="D2624" t="s">
        <v>8</v>
      </c>
      <c r="E2624" t="str">
        <f>IF(may[[#This Row],[ShiftCounter]]&gt;0, "Running", "Down")</f>
        <v>Running</v>
      </c>
    </row>
    <row r="2625" spans="1:5" x14ac:dyDescent="0.25">
      <c r="A2625" s="10">
        <v>44708</v>
      </c>
      <c r="B2625" s="11" t="s">
        <v>35</v>
      </c>
      <c r="C2625">
        <v>2330</v>
      </c>
      <c r="D2625" t="s">
        <v>6</v>
      </c>
      <c r="E2625" t="str">
        <f>IF(may[[#This Row],[ShiftCounter]]&gt;0, "Running", "Down")</f>
        <v>Running</v>
      </c>
    </row>
    <row r="2626" spans="1:5" x14ac:dyDescent="0.25">
      <c r="A2626" s="10">
        <v>44708</v>
      </c>
      <c r="B2626" s="11" t="s">
        <v>35</v>
      </c>
      <c r="C2626">
        <v>2150</v>
      </c>
      <c r="D2626" t="s">
        <v>7</v>
      </c>
      <c r="E2626" t="str">
        <f>IF(may[[#This Row],[ShiftCounter]]&gt;0, "Running", "Down")</f>
        <v>Running</v>
      </c>
    </row>
    <row r="2627" spans="1:5" x14ac:dyDescent="0.25">
      <c r="A2627" s="10">
        <v>44708</v>
      </c>
      <c r="B2627" s="11" t="s">
        <v>35</v>
      </c>
      <c r="C2627">
        <v>2058</v>
      </c>
      <c r="D2627" t="s">
        <v>8</v>
      </c>
      <c r="E2627" t="str">
        <f>IF(may[[#This Row],[ShiftCounter]]&gt;0, "Running", "Down")</f>
        <v>Running</v>
      </c>
    </row>
    <row r="2628" spans="1:5" x14ac:dyDescent="0.25">
      <c r="A2628" s="10">
        <v>44708</v>
      </c>
      <c r="B2628" s="11" t="s">
        <v>36</v>
      </c>
      <c r="C2628">
        <v>3321</v>
      </c>
      <c r="D2628" t="s">
        <v>6</v>
      </c>
      <c r="E2628" t="str">
        <f>IF(may[[#This Row],[ShiftCounter]]&gt;0, "Running", "Down")</f>
        <v>Running</v>
      </c>
    </row>
    <row r="2629" spans="1:5" x14ac:dyDescent="0.25">
      <c r="A2629" s="10">
        <v>44708</v>
      </c>
      <c r="B2629" s="11" t="s">
        <v>36</v>
      </c>
      <c r="C2629">
        <v>1567</v>
      </c>
      <c r="D2629" t="s">
        <v>7</v>
      </c>
      <c r="E2629" t="str">
        <f>IF(may[[#This Row],[ShiftCounter]]&gt;0, "Running", "Down")</f>
        <v>Running</v>
      </c>
    </row>
    <row r="2630" spans="1:5" x14ac:dyDescent="0.25">
      <c r="A2630" s="10">
        <v>44708</v>
      </c>
      <c r="B2630" s="11" t="s">
        <v>36</v>
      </c>
      <c r="C2630">
        <v>1926</v>
      </c>
      <c r="D2630" t="s">
        <v>8</v>
      </c>
      <c r="E2630" t="str">
        <f>IF(may[[#This Row],[ShiftCounter]]&gt;0, "Running", "Down")</f>
        <v>Running</v>
      </c>
    </row>
    <row r="2631" spans="1:5" x14ac:dyDescent="0.25">
      <c r="A2631" s="10">
        <v>44708</v>
      </c>
      <c r="B2631" s="11" t="s">
        <v>37</v>
      </c>
      <c r="C2631">
        <v>2442</v>
      </c>
      <c r="D2631" t="s">
        <v>6</v>
      </c>
      <c r="E2631" t="str">
        <f>IF(may[[#This Row],[ShiftCounter]]&gt;0, "Running", "Down")</f>
        <v>Running</v>
      </c>
    </row>
    <row r="2632" spans="1:5" x14ac:dyDescent="0.25">
      <c r="A2632" s="10">
        <v>44708</v>
      </c>
      <c r="B2632" s="11" t="s">
        <v>37</v>
      </c>
      <c r="C2632">
        <v>2244</v>
      </c>
      <c r="D2632" t="s">
        <v>7</v>
      </c>
      <c r="E2632" t="str">
        <f>IF(may[[#This Row],[ShiftCounter]]&gt;0, "Running", "Down")</f>
        <v>Running</v>
      </c>
    </row>
    <row r="2633" spans="1:5" x14ac:dyDescent="0.25">
      <c r="A2633" s="10">
        <v>44708</v>
      </c>
      <c r="B2633" s="11" t="s">
        <v>37</v>
      </c>
      <c r="C2633">
        <v>2007</v>
      </c>
      <c r="D2633" t="s">
        <v>8</v>
      </c>
      <c r="E2633" t="str">
        <f>IF(may[[#This Row],[ShiftCounter]]&gt;0, "Running", "Down")</f>
        <v>Running</v>
      </c>
    </row>
    <row r="2634" spans="1:5" x14ac:dyDescent="0.25">
      <c r="A2634" s="10">
        <v>44709</v>
      </c>
      <c r="B2634" s="11" t="s">
        <v>40</v>
      </c>
      <c r="C2634">
        <v>2341</v>
      </c>
      <c r="D2634" t="s">
        <v>6</v>
      </c>
      <c r="E2634" t="str">
        <f>IF(may[[#This Row],[ShiftCounter]]&gt;0, "Running", "Down")</f>
        <v>Running</v>
      </c>
    </row>
    <row r="2635" spans="1:5" x14ac:dyDescent="0.25">
      <c r="A2635" s="10">
        <v>44709</v>
      </c>
      <c r="B2635" s="11" t="s">
        <v>40</v>
      </c>
      <c r="C2635">
        <v>2170</v>
      </c>
      <c r="D2635" t="s">
        <v>7</v>
      </c>
      <c r="E2635" t="str">
        <f>IF(may[[#This Row],[ShiftCounter]]&gt;0, "Running", "Down")</f>
        <v>Running</v>
      </c>
    </row>
    <row r="2636" spans="1:5" x14ac:dyDescent="0.25">
      <c r="A2636" s="10">
        <v>44709</v>
      </c>
      <c r="B2636" s="11" t="s">
        <v>40</v>
      </c>
      <c r="C2636">
        <v>2078</v>
      </c>
      <c r="D2636" t="s">
        <v>8</v>
      </c>
      <c r="E2636" t="str">
        <f>IF(may[[#This Row],[ShiftCounter]]&gt;0, "Running", "Down")</f>
        <v>Running</v>
      </c>
    </row>
    <row r="2637" spans="1:5" x14ac:dyDescent="0.25">
      <c r="A2637" s="10">
        <v>44709</v>
      </c>
      <c r="B2637" s="11" t="s">
        <v>39</v>
      </c>
      <c r="C2637">
        <v>1749</v>
      </c>
      <c r="D2637" t="s">
        <v>6</v>
      </c>
      <c r="E2637" t="str">
        <f>IF(may[[#This Row],[ShiftCounter]]&gt;0, "Running", "Down")</f>
        <v>Running</v>
      </c>
    </row>
    <row r="2638" spans="1:5" x14ac:dyDescent="0.25">
      <c r="A2638" s="10">
        <v>44709</v>
      </c>
      <c r="B2638" s="11" t="s">
        <v>39</v>
      </c>
      <c r="C2638">
        <v>1912</v>
      </c>
      <c r="D2638" t="s">
        <v>7</v>
      </c>
      <c r="E2638" t="str">
        <f>IF(may[[#This Row],[ShiftCounter]]&gt;0, "Running", "Down")</f>
        <v>Running</v>
      </c>
    </row>
    <row r="2639" spans="1:5" x14ac:dyDescent="0.25">
      <c r="A2639" s="10">
        <v>44709</v>
      </c>
      <c r="B2639" s="11" t="s">
        <v>39</v>
      </c>
      <c r="C2639">
        <v>1850</v>
      </c>
      <c r="D2639" t="s">
        <v>8</v>
      </c>
      <c r="E2639" t="str">
        <f>IF(may[[#This Row],[ShiftCounter]]&gt;0, "Running", "Down")</f>
        <v>Running</v>
      </c>
    </row>
    <row r="2640" spans="1:5" x14ac:dyDescent="0.25">
      <c r="A2640" s="10">
        <v>44709</v>
      </c>
      <c r="B2640" s="11" t="s">
        <v>41</v>
      </c>
      <c r="C2640">
        <v>2386</v>
      </c>
      <c r="D2640" t="s">
        <v>6</v>
      </c>
      <c r="E2640" t="str">
        <f>IF(may[[#This Row],[ShiftCounter]]&gt;0, "Running", "Down")</f>
        <v>Running</v>
      </c>
    </row>
    <row r="2641" spans="1:5" x14ac:dyDescent="0.25">
      <c r="A2641" s="10">
        <v>44709</v>
      </c>
      <c r="B2641" s="11" t="s">
        <v>41</v>
      </c>
      <c r="C2641">
        <v>2182</v>
      </c>
      <c r="D2641" t="s">
        <v>7</v>
      </c>
      <c r="E2641" t="str">
        <f>IF(may[[#This Row],[ShiftCounter]]&gt;0, "Running", "Down")</f>
        <v>Running</v>
      </c>
    </row>
    <row r="2642" spans="1:5" x14ac:dyDescent="0.25">
      <c r="A2642" s="10">
        <v>44709</v>
      </c>
      <c r="B2642" s="11" t="s">
        <v>41</v>
      </c>
      <c r="C2642">
        <v>2137</v>
      </c>
      <c r="D2642" t="s">
        <v>8</v>
      </c>
      <c r="E2642" t="str">
        <f>IF(may[[#This Row],[ShiftCounter]]&gt;0, "Running", "Down")</f>
        <v>Running</v>
      </c>
    </row>
    <row r="2643" spans="1:5" x14ac:dyDescent="0.25">
      <c r="A2643" s="10">
        <v>44709</v>
      </c>
      <c r="B2643" s="11" t="s">
        <v>9</v>
      </c>
      <c r="C2643">
        <v>2315</v>
      </c>
      <c r="D2643" t="s">
        <v>6</v>
      </c>
      <c r="E2643" t="str">
        <f>IF(may[[#This Row],[ShiftCounter]]&gt;0, "Running", "Down")</f>
        <v>Running</v>
      </c>
    </row>
    <row r="2644" spans="1:5" x14ac:dyDescent="0.25">
      <c r="A2644" s="10">
        <v>44709</v>
      </c>
      <c r="B2644" s="11" t="s">
        <v>9</v>
      </c>
      <c r="C2644">
        <v>2173</v>
      </c>
      <c r="D2644" t="s">
        <v>7</v>
      </c>
      <c r="E2644" t="str">
        <f>IF(may[[#This Row],[ShiftCounter]]&gt;0, "Running", "Down")</f>
        <v>Running</v>
      </c>
    </row>
    <row r="2645" spans="1:5" x14ac:dyDescent="0.25">
      <c r="A2645" s="10">
        <v>44709</v>
      </c>
      <c r="B2645" s="11" t="s">
        <v>9</v>
      </c>
      <c r="C2645">
        <v>2128</v>
      </c>
      <c r="D2645" t="s">
        <v>8</v>
      </c>
      <c r="E2645" t="str">
        <f>IF(may[[#This Row],[ShiftCounter]]&gt;0, "Running", "Down")</f>
        <v>Running</v>
      </c>
    </row>
    <row r="2646" spans="1:5" x14ac:dyDescent="0.25">
      <c r="A2646" s="10">
        <v>44709</v>
      </c>
      <c r="B2646" s="11" t="s">
        <v>5</v>
      </c>
      <c r="C2646">
        <v>2079</v>
      </c>
      <c r="D2646" t="s">
        <v>6</v>
      </c>
      <c r="E2646" t="str">
        <f>IF(may[[#This Row],[ShiftCounter]]&gt;0, "Running", "Down")</f>
        <v>Running</v>
      </c>
    </row>
    <row r="2647" spans="1:5" x14ac:dyDescent="0.25">
      <c r="A2647" s="10">
        <v>44709</v>
      </c>
      <c r="B2647" s="11" t="s">
        <v>5</v>
      </c>
      <c r="C2647">
        <v>2152</v>
      </c>
      <c r="D2647" t="s">
        <v>7</v>
      </c>
      <c r="E2647" t="str">
        <f>IF(may[[#This Row],[ShiftCounter]]&gt;0, "Running", "Down")</f>
        <v>Running</v>
      </c>
    </row>
    <row r="2648" spans="1:5" x14ac:dyDescent="0.25">
      <c r="A2648" s="10">
        <v>44709</v>
      </c>
      <c r="B2648" s="11" t="s">
        <v>5</v>
      </c>
      <c r="C2648">
        <v>2048</v>
      </c>
      <c r="D2648" t="s">
        <v>8</v>
      </c>
      <c r="E2648" t="str">
        <f>IF(may[[#This Row],[ShiftCounter]]&gt;0, "Running", "Down")</f>
        <v>Running</v>
      </c>
    </row>
    <row r="2649" spans="1:5" x14ac:dyDescent="0.25">
      <c r="A2649" s="10">
        <v>44709</v>
      </c>
      <c r="B2649" s="11" t="s">
        <v>10</v>
      </c>
      <c r="C2649">
        <v>1969</v>
      </c>
      <c r="D2649" t="s">
        <v>6</v>
      </c>
      <c r="E2649" t="str">
        <f>IF(may[[#This Row],[ShiftCounter]]&gt;0, "Running", "Down")</f>
        <v>Running</v>
      </c>
    </row>
    <row r="2650" spans="1:5" x14ac:dyDescent="0.25">
      <c r="A2650" s="10">
        <v>44709</v>
      </c>
      <c r="B2650" s="11" t="s">
        <v>10</v>
      </c>
      <c r="C2650">
        <v>2218</v>
      </c>
      <c r="D2650" t="s">
        <v>7</v>
      </c>
      <c r="E2650" t="str">
        <f>IF(may[[#This Row],[ShiftCounter]]&gt;0, "Running", "Down")</f>
        <v>Running</v>
      </c>
    </row>
    <row r="2651" spans="1:5" x14ac:dyDescent="0.25">
      <c r="A2651" s="10">
        <v>44709</v>
      </c>
      <c r="B2651" s="11" t="s">
        <v>10</v>
      </c>
      <c r="C2651">
        <v>2091</v>
      </c>
      <c r="D2651" t="s">
        <v>8</v>
      </c>
      <c r="E2651" t="str">
        <f>IF(may[[#This Row],[ShiftCounter]]&gt;0, "Running", "Down")</f>
        <v>Running</v>
      </c>
    </row>
    <row r="2652" spans="1:5" x14ac:dyDescent="0.25">
      <c r="A2652" s="10">
        <v>44709</v>
      </c>
      <c r="B2652" s="11" t="s">
        <v>12</v>
      </c>
      <c r="C2652">
        <v>1759</v>
      </c>
      <c r="D2652" t="s">
        <v>6</v>
      </c>
      <c r="E2652" t="str">
        <f>IF(may[[#This Row],[ShiftCounter]]&gt;0, "Running", "Down")</f>
        <v>Running</v>
      </c>
    </row>
    <row r="2653" spans="1:5" x14ac:dyDescent="0.25">
      <c r="A2653" s="10">
        <v>44709</v>
      </c>
      <c r="B2653" s="11" t="s">
        <v>12</v>
      </c>
      <c r="C2653">
        <v>2181</v>
      </c>
      <c r="D2653" t="s">
        <v>7</v>
      </c>
      <c r="E2653" t="str">
        <f>IF(may[[#This Row],[ShiftCounter]]&gt;0, "Running", "Down")</f>
        <v>Running</v>
      </c>
    </row>
    <row r="2654" spans="1:5" x14ac:dyDescent="0.25">
      <c r="A2654" s="10">
        <v>44709</v>
      </c>
      <c r="B2654" s="11" t="s">
        <v>12</v>
      </c>
      <c r="C2654">
        <v>2059</v>
      </c>
      <c r="D2654" t="s">
        <v>8</v>
      </c>
      <c r="E2654" t="str">
        <f>IF(may[[#This Row],[ShiftCounter]]&gt;0, "Running", "Down")</f>
        <v>Running</v>
      </c>
    </row>
    <row r="2655" spans="1:5" x14ac:dyDescent="0.25">
      <c r="A2655" s="10">
        <v>44709</v>
      </c>
      <c r="B2655" s="11" t="s">
        <v>120</v>
      </c>
      <c r="C2655">
        <v>2260</v>
      </c>
      <c r="D2655" t="s">
        <v>6</v>
      </c>
      <c r="E2655" t="str">
        <f>IF(may[[#This Row],[ShiftCounter]]&gt;0, "Running", "Down")</f>
        <v>Running</v>
      </c>
    </row>
    <row r="2656" spans="1:5" x14ac:dyDescent="0.25">
      <c r="A2656" s="10">
        <v>44709</v>
      </c>
      <c r="B2656" s="11" t="s">
        <v>120</v>
      </c>
      <c r="C2656">
        <v>2103</v>
      </c>
      <c r="D2656" t="s">
        <v>7</v>
      </c>
      <c r="E2656" t="str">
        <f>IF(may[[#This Row],[ShiftCounter]]&gt;0, "Running", "Down")</f>
        <v>Running</v>
      </c>
    </row>
    <row r="2657" spans="1:5" x14ac:dyDescent="0.25">
      <c r="A2657" s="10">
        <v>44709</v>
      </c>
      <c r="B2657" s="11" t="s">
        <v>120</v>
      </c>
      <c r="C2657">
        <v>2015</v>
      </c>
      <c r="D2657" t="s">
        <v>8</v>
      </c>
      <c r="E2657" t="str">
        <f>IF(may[[#This Row],[ShiftCounter]]&gt;0, "Running", "Down")</f>
        <v>Running</v>
      </c>
    </row>
    <row r="2658" spans="1:5" x14ac:dyDescent="0.25">
      <c r="A2658" s="10">
        <v>44709</v>
      </c>
      <c r="B2658" s="11" t="s">
        <v>13</v>
      </c>
      <c r="C2658">
        <v>2165</v>
      </c>
      <c r="D2658" t="s">
        <v>6</v>
      </c>
      <c r="E2658" t="str">
        <f>IF(may[[#This Row],[ShiftCounter]]&gt;0, "Running", "Down")</f>
        <v>Running</v>
      </c>
    </row>
    <row r="2659" spans="1:5" x14ac:dyDescent="0.25">
      <c r="A2659" s="10">
        <v>44709</v>
      </c>
      <c r="B2659" s="11" t="s">
        <v>13</v>
      </c>
      <c r="C2659">
        <v>2122</v>
      </c>
      <c r="D2659" t="s">
        <v>7</v>
      </c>
      <c r="E2659" t="str">
        <f>IF(may[[#This Row],[ShiftCounter]]&gt;0, "Running", "Down")</f>
        <v>Running</v>
      </c>
    </row>
    <row r="2660" spans="1:5" x14ac:dyDescent="0.25">
      <c r="A2660" s="10">
        <v>44709</v>
      </c>
      <c r="B2660" s="11" t="s">
        <v>13</v>
      </c>
      <c r="C2660">
        <v>1958</v>
      </c>
      <c r="D2660" t="s">
        <v>8</v>
      </c>
      <c r="E2660" t="str">
        <f>IF(may[[#This Row],[ShiftCounter]]&gt;0, "Running", "Down")</f>
        <v>Running</v>
      </c>
    </row>
    <row r="2661" spans="1:5" x14ac:dyDescent="0.25">
      <c r="A2661" s="10">
        <v>44709</v>
      </c>
      <c r="B2661" s="11" t="s">
        <v>114</v>
      </c>
      <c r="C2661">
        <v>2139</v>
      </c>
      <c r="D2661" t="s">
        <v>6</v>
      </c>
      <c r="E2661" t="str">
        <f>IF(may[[#This Row],[ShiftCounter]]&gt;0, "Running", "Down")</f>
        <v>Running</v>
      </c>
    </row>
    <row r="2662" spans="1:5" x14ac:dyDescent="0.25">
      <c r="A2662" s="10">
        <v>44709</v>
      </c>
      <c r="B2662" s="11" t="s">
        <v>114</v>
      </c>
      <c r="C2662">
        <v>2078</v>
      </c>
      <c r="D2662" t="s">
        <v>7</v>
      </c>
      <c r="E2662" t="str">
        <f>IF(may[[#This Row],[ShiftCounter]]&gt;0, "Running", "Down")</f>
        <v>Running</v>
      </c>
    </row>
    <row r="2663" spans="1:5" x14ac:dyDescent="0.25">
      <c r="A2663" s="10">
        <v>44709</v>
      </c>
      <c r="B2663" s="11" t="s">
        <v>114</v>
      </c>
      <c r="C2663">
        <v>1884</v>
      </c>
      <c r="D2663" t="s">
        <v>8</v>
      </c>
      <c r="E2663" t="str">
        <f>IF(may[[#This Row],[ShiftCounter]]&gt;0, "Running", "Down")</f>
        <v>Running</v>
      </c>
    </row>
    <row r="2664" spans="1:5" x14ac:dyDescent="0.25">
      <c r="A2664" s="10">
        <v>44709</v>
      </c>
      <c r="B2664" s="11" t="s">
        <v>14</v>
      </c>
      <c r="C2664">
        <v>1896</v>
      </c>
      <c r="D2664" t="s">
        <v>6</v>
      </c>
      <c r="E2664" t="str">
        <f>IF(may[[#This Row],[ShiftCounter]]&gt;0, "Running", "Down")</f>
        <v>Running</v>
      </c>
    </row>
    <row r="2665" spans="1:5" x14ac:dyDescent="0.25">
      <c r="A2665" s="10">
        <v>44709</v>
      </c>
      <c r="B2665" s="11" t="s">
        <v>14</v>
      </c>
      <c r="C2665">
        <v>1809</v>
      </c>
      <c r="D2665" t="s">
        <v>7</v>
      </c>
      <c r="E2665" t="str">
        <f>IF(may[[#This Row],[ShiftCounter]]&gt;0, "Running", "Down")</f>
        <v>Running</v>
      </c>
    </row>
    <row r="2666" spans="1:5" x14ac:dyDescent="0.25">
      <c r="A2666" s="10">
        <v>44709</v>
      </c>
      <c r="B2666" s="11" t="s">
        <v>14</v>
      </c>
      <c r="C2666">
        <v>1650</v>
      </c>
      <c r="D2666" t="s">
        <v>8</v>
      </c>
      <c r="E2666" t="str">
        <f>IF(may[[#This Row],[ShiftCounter]]&gt;0, "Running", "Down")</f>
        <v>Running</v>
      </c>
    </row>
    <row r="2667" spans="1:5" x14ac:dyDescent="0.25">
      <c r="A2667" s="10">
        <v>44709</v>
      </c>
      <c r="B2667" s="11" t="s">
        <v>15</v>
      </c>
      <c r="C2667">
        <v>2182</v>
      </c>
      <c r="D2667" t="s">
        <v>6</v>
      </c>
      <c r="E2667" t="str">
        <f>IF(may[[#This Row],[ShiftCounter]]&gt;0, "Running", "Down")</f>
        <v>Running</v>
      </c>
    </row>
    <row r="2668" spans="1:5" x14ac:dyDescent="0.25">
      <c r="A2668" s="10">
        <v>44709</v>
      </c>
      <c r="B2668" s="11" t="s">
        <v>15</v>
      </c>
      <c r="C2668">
        <v>2081</v>
      </c>
      <c r="D2668" t="s">
        <v>7</v>
      </c>
      <c r="E2668" t="str">
        <f>IF(may[[#This Row],[ShiftCounter]]&gt;0, "Running", "Down")</f>
        <v>Running</v>
      </c>
    </row>
    <row r="2669" spans="1:5" x14ac:dyDescent="0.25">
      <c r="A2669" s="10">
        <v>44709</v>
      </c>
      <c r="B2669" s="11" t="s">
        <v>15</v>
      </c>
      <c r="C2669">
        <v>1933</v>
      </c>
      <c r="D2669" t="s">
        <v>8</v>
      </c>
      <c r="E2669" t="str">
        <f>IF(may[[#This Row],[ShiftCounter]]&gt;0, "Running", "Down")</f>
        <v>Running</v>
      </c>
    </row>
    <row r="2670" spans="1:5" x14ac:dyDescent="0.25">
      <c r="A2670" s="10">
        <v>44709</v>
      </c>
      <c r="B2670" s="11" t="s">
        <v>16</v>
      </c>
      <c r="C2670">
        <v>2286</v>
      </c>
      <c r="D2670" t="s">
        <v>6</v>
      </c>
      <c r="E2670" t="str">
        <f>IF(may[[#This Row],[ShiftCounter]]&gt;0, "Running", "Down")</f>
        <v>Running</v>
      </c>
    </row>
    <row r="2671" spans="1:5" x14ac:dyDescent="0.25">
      <c r="A2671" s="10">
        <v>44709</v>
      </c>
      <c r="B2671" s="11" t="s">
        <v>16</v>
      </c>
      <c r="C2671">
        <v>2164</v>
      </c>
      <c r="D2671" t="s">
        <v>7</v>
      </c>
      <c r="E2671" t="str">
        <f>IF(may[[#This Row],[ShiftCounter]]&gt;0, "Running", "Down")</f>
        <v>Running</v>
      </c>
    </row>
    <row r="2672" spans="1:5" x14ac:dyDescent="0.25">
      <c r="A2672" s="10">
        <v>44709</v>
      </c>
      <c r="B2672" s="11" t="s">
        <v>16</v>
      </c>
      <c r="C2672">
        <v>2033</v>
      </c>
      <c r="D2672" t="s">
        <v>8</v>
      </c>
      <c r="E2672" t="str">
        <f>IF(may[[#This Row],[ShiftCounter]]&gt;0, "Running", "Down")</f>
        <v>Running</v>
      </c>
    </row>
    <row r="2673" spans="1:5" x14ac:dyDescent="0.25">
      <c r="A2673" s="10">
        <v>44709</v>
      </c>
      <c r="B2673" s="11" t="s">
        <v>17</v>
      </c>
      <c r="C2673">
        <v>2387</v>
      </c>
      <c r="D2673" t="s">
        <v>6</v>
      </c>
      <c r="E2673" t="str">
        <f>IF(may[[#This Row],[ShiftCounter]]&gt;0, "Running", "Down")</f>
        <v>Running</v>
      </c>
    </row>
    <row r="2674" spans="1:5" x14ac:dyDescent="0.25">
      <c r="A2674" s="10">
        <v>44709</v>
      </c>
      <c r="B2674" s="11" t="s">
        <v>17</v>
      </c>
      <c r="C2674">
        <v>2336</v>
      </c>
      <c r="D2674" t="s">
        <v>7</v>
      </c>
      <c r="E2674" t="str">
        <f>IF(may[[#This Row],[ShiftCounter]]&gt;0, "Running", "Down")</f>
        <v>Running</v>
      </c>
    </row>
    <row r="2675" spans="1:5" x14ac:dyDescent="0.25">
      <c r="A2675" s="10">
        <v>44709</v>
      </c>
      <c r="B2675" s="11" t="s">
        <v>17</v>
      </c>
      <c r="C2675">
        <v>2077</v>
      </c>
      <c r="D2675" t="s">
        <v>8</v>
      </c>
      <c r="E2675" t="str">
        <f>IF(may[[#This Row],[ShiftCounter]]&gt;0, "Running", "Down")</f>
        <v>Running</v>
      </c>
    </row>
    <row r="2676" spans="1:5" x14ac:dyDescent="0.25">
      <c r="A2676" s="10">
        <v>44709</v>
      </c>
      <c r="B2676" s="11" t="s">
        <v>19</v>
      </c>
      <c r="C2676">
        <v>1999</v>
      </c>
      <c r="D2676" t="s">
        <v>6</v>
      </c>
      <c r="E2676" t="str">
        <f>IF(may[[#This Row],[ShiftCounter]]&gt;0, "Running", "Down")</f>
        <v>Running</v>
      </c>
    </row>
    <row r="2677" spans="1:5" x14ac:dyDescent="0.25">
      <c r="A2677" s="10">
        <v>44709</v>
      </c>
      <c r="B2677" s="11" t="s">
        <v>19</v>
      </c>
      <c r="C2677">
        <v>2040</v>
      </c>
      <c r="D2677" t="s">
        <v>7</v>
      </c>
      <c r="E2677" t="str">
        <f>IF(may[[#This Row],[ShiftCounter]]&gt;0, "Running", "Down")</f>
        <v>Running</v>
      </c>
    </row>
    <row r="2678" spans="1:5" x14ac:dyDescent="0.25">
      <c r="A2678" s="10">
        <v>44709</v>
      </c>
      <c r="B2678" s="11" t="s">
        <v>19</v>
      </c>
      <c r="C2678">
        <v>1735</v>
      </c>
      <c r="D2678" t="s">
        <v>8</v>
      </c>
      <c r="E2678" t="str">
        <f>IF(may[[#This Row],[ShiftCounter]]&gt;0, "Running", "Down")</f>
        <v>Running</v>
      </c>
    </row>
    <row r="2679" spans="1:5" x14ac:dyDescent="0.25">
      <c r="A2679" s="10">
        <v>44709</v>
      </c>
      <c r="B2679" s="11" t="s">
        <v>18</v>
      </c>
      <c r="C2679">
        <v>2257</v>
      </c>
      <c r="D2679" t="s">
        <v>6</v>
      </c>
      <c r="E2679" t="str">
        <f>IF(may[[#This Row],[ShiftCounter]]&gt;0, "Running", "Down")</f>
        <v>Running</v>
      </c>
    </row>
    <row r="2680" spans="1:5" x14ac:dyDescent="0.25">
      <c r="A2680" s="10">
        <v>44709</v>
      </c>
      <c r="B2680" s="11" t="s">
        <v>18</v>
      </c>
      <c r="C2680">
        <v>2195</v>
      </c>
      <c r="D2680" t="s">
        <v>7</v>
      </c>
      <c r="E2680" t="str">
        <f>IF(may[[#This Row],[ShiftCounter]]&gt;0, "Running", "Down")</f>
        <v>Running</v>
      </c>
    </row>
    <row r="2681" spans="1:5" x14ac:dyDescent="0.25">
      <c r="A2681" s="10">
        <v>44709</v>
      </c>
      <c r="B2681" s="11" t="s">
        <v>18</v>
      </c>
      <c r="C2681">
        <v>2154</v>
      </c>
      <c r="D2681" t="s">
        <v>8</v>
      </c>
      <c r="E2681" t="str">
        <f>IF(may[[#This Row],[ShiftCounter]]&gt;0, "Running", "Down")</f>
        <v>Running</v>
      </c>
    </row>
    <row r="2682" spans="1:5" x14ac:dyDescent="0.25">
      <c r="A2682" s="10">
        <v>44709</v>
      </c>
      <c r="B2682" s="11" t="s">
        <v>38</v>
      </c>
      <c r="C2682">
        <v>0</v>
      </c>
      <c r="D2682" t="s">
        <v>6</v>
      </c>
      <c r="E2682" t="str">
        <f>IF(may[[#This Row],[ShiftCounter]]&gt;0, "Running", "Down")</f>
        <v>Down</v>
      </c>
    </row>
    <row r="2683" spans="1:5" x14ac:dyDescent="0.25">
      <c r="A2683" s="10">
        <v>44709</v>
      </c>
      <c r="B2683" s="11" t="s">
        <v>38</v>
      </c>
      <c r="C2683">
        <v>1280</v>
      </c>
      <c r="D2683" t="s">
        <v>7</v>
      </c>
      <c r="E2683" t="str">
        <f>IF(may[[#This Row],[ShiftCounter]]&gt;0, "Running", "Down")</f>
        <v>Running</v>
      </c>
    </row>
    <row r="2684" spans="1:5" x14ac:dyDescent="0.25">
      <c r="A2684" s="10">
        <v>44709</v>
      </c>
      <c r="B2684" s="11" t="s">
        <v>38</v>
      </c>
      <c r="C2684">
        <v>2040</v>
      </c>
      <c r="D2684" t="s">
        <v>8</v>
      </c>
      <c r="E2684" t="str">
        <f>IF(may[[#This Row],[ShiftCounter]]&gt;0, "Running", "Down")</f>
        <v>Running</v>
      </c>
    </row>
    <row r="2685" spans="1:5" x14ac:dyDescent="0.25">
      <c r="A2685" s="10">
        <v>44709</v>
      </c>
      <c r="B2685" s="11" t="s">
        <v>20</v>
      </c>
      <c r="C2685">
        <v>2260</v>
      </c>
      <c r="D2685" t="s">
        <v>6</v>
      </c>
      <c r="E2685" t="str">
        <f>IF(may[[#This Row],[ShiftCounter]]&gt;0, "Running", "Down")</f>
        <v>Running</v>
      </c>
    </row>
    <row r="2686" spans="1:5" x14ac:dyDescent="0.25">
      <c r="A2686" s="10">
        <v>44709</v>
      </c>
      <c r="B2686" s="11" t="s">
        <v>20</v>
      </c>
      <c r="C2686">
        <v>2250</v>
      </c>
      <c r="D2686" t="s">
        <v>7</v>
      </c>
      <c r="E2686" t="str">
        <f>IF(may[[#This Row],[ShiftCounter]]&gt;0, "Running", "Down")</f>
        <v>Running</v>
      </c>
    </row>
    <row r="2687" spans="1:5" x14ac:dyDescent="0.25">
      <c r="A2687" s="10">
        <v>44709</v>
      </c>
      <c r="B2687" s="11" t="s">
        <v>20</v>
      </c>
      <c r="C2687">
        <v>2170</v>
      </c>
      <c r="D2687" t="s">
        <v>8</v>
      </c>
      <c r="E2687" t="str">
        <f>IF(may[[#This Row],[ShiftCounter]]&gt;0, "Running", "Down")</f>
        <v>Running</v>
      </c>
    </row>
    <row r="2688" spans="1:5" x14ac:dyDescent="0.25">
      <c r="A2688" s="10">
        <v>44709</v>
      </c>
      <c r="B2688" s="11" t="s">
        <v>21</v>
      </c>
      <c r="C2688">
        <v>2052</v>
      </c>
      <c r="D2688" t="s">
        <v>6</v>
      </c>
      <c r="E2688" t="str">
        <f>IF(may[[#This Row],[ShiftCounter]]&gt;0, "Running", "Down")</f>
        <v>Running</v>
      </c>
    </row>
    <row r="2689" spans="1:5" x14ac:dyDescent="0.25">
      <c r="A2689" s="10">
        <v>44709</v>
      </c>
      <c r="B2689" s="11" t="s">
        <v>21</v>
      </c>
      <c r="C2689">
        <v>2060</v>
      </c>
      <c r="D2689" t="s">
        <v>7</v>
      </c>
      <c r="E2689" t="str">
        <f>IF(may[[#This Row],[ShiftCounter]]&gt;0, "Running", "Down")</f>
        <v>Running</v>
      </c>
    </row>
    <row r="2690" spans="1:5" x14ac:dyDescent="0.25">
      <c r="A2690" s="10">
        <v>44709</v>
      </c>
      <c r="B2690" s="11" t="s">
        <v>21</v>
      </c>
      <c r="C2690">
        <v>1896</v>
      </c>
      <c r="D2690" t="s">
        <v>8</v>
      </c>
      <c r="E2690" t="str">
        <f>IF(may[[#This Row],[ShiftCounter]]&gt;0, "Running", "Down")</f>
        <v>Running</v>
      </c>
    </row>
    <row r="2691" spans="1:5" x14ac:dyDescent="0.25">
      <c r="A2691" s="10">
        <v>44709</v>
      </c>
      <c r="B2691" s="11" t="s">
        <v>22</v>
      </c>
      <c r="C2691">
        <v>2174</v>
      </c>
      <c r="D2691" t="s">
        <v>6</v>
      </c>
      <c r="E2691" t="str">
        <f>IF(may[[#This Row],[ShiftCounter]]&gt;0, "Running", "Down")</f>
        <v>Running</v>
      </c>
    </row>
    <row r="2692" spans="1:5" x14ac:dyDescent="0.25">
      <c r="A2692" s="10">
        <v>44709</v>
      </c>
      <c r="B2692" s="11" t="s">
        <v>22</v>
      </c>
      <c r="C2692">
        <v>2185</v>
      </c>
      <c r="D2692" t="s">
        <v>7</v>
      </c>
      <c r="E2692" t="str">
        <f>IF(may[[#This Row],[ShiftCounter]]&gt;0, "Running", "Down")</f>
        <v>Running</v>
      </c>
    </row>
    <row r="2693" spans="1:5" x14ac:dyDescent="0.25">
      <c r="A2693" s="10">
        <v>44709</v>
      </c>
      <c r="B2693" s="11" t="s">
        <v>22</v>
      </c>
      <c r="C2693">
        <v>2066</v>
      </c>
      <c r="D2693" t="s">
        <v>8</v>
      </c>
      <c r="E2693" t="str">
        <f>IF(may[[#This Row],[ShiftCounter]]&gt;0, "Running", "Down")</f>
        <v>Running</v>
      </c>
    </row>
    <row r="2694" spans="1:5" x14ac:dyDescent="0.25">
      <c r="A2694" s="10">
        <v>44709</v>
      </c>
      <c r="B2694" s="11" t="s">
        <v>23</v>
      </c>
      <c r="C2694">
        <v>2355</v>
      </c>
      <c r="D2694" t="s">
        <v>6</v>
      </c>
      <c r="E2694" t="str">
        <f>IF(may[[#This Row],[ShiftCounter]]&gt;0, "Running", "Down")</f>
        <v>Running</v>
      </c>
    </row>
    <row r="2695" spans="1:5" x14ac:dyDescent="0.25">
      <c r="A2695" s="10">
        <v>44709</v>
      </c>
      <c r="B2695" s="11" t="s">
        <v>23</v>
      </c>
      <c r="C2695">
        <v>2340</v>
      </c>
      <c r="D2695" t="s">
        <v>7</v>
      </c>
      <c r="E2695" t="str">
        <f>IF(may[[#This Row],[ShiftCounter]]&gt;0, "Running", "Down")</f>
        <v>Running</v>
      </c>
    </row>
    <row r="2696" spans="1:5" x14ac:dyDescent="0.25">
      <c r="A2696" s="10">
        <v>44709</v>
      </c>
      <c r="B2696" s="11" t="s">
        <v>23</v>
      </c>
      <c r="C2696">
        <v>2195</v>
      </c>
      <c r="D2696" t="s">
        <v>8</v>
      </c>
      <c r="E2696" t="str">
        <f>IF(may[[#This Row],[ShiftCounter]]&gt;0, "Running", "Down")</f>
        <v>Running</v>
      </c>
    </row>
    <row r="2697" spans="1:5" x14ac:dyDescent="0.25">
      <c r="A2697" s="10">
        <v>44709</v>
      </c>
      <c r="B2697" s="11" t="s">
        <v>24</v>
      </c>
      <c r="C2697">
        <v>2031</v>
      </c>
      <c r="D2697" t="s">
        <v>6</v>
      </c>
      <c r="E2697" t="str">
        <f>IF(may[[#This Row],[ShiftCounter]]&gt;0, "Running", "Down")</f>
        <v>Running</v>
      </c>
    </row>
    <row r="2698" spans="1:5" x14ac:dyDescent="0.25">
      <c r="A2698" s="10">
        <v>44709</v>
      </c>
      <c r="B2698" s="11" t="s">
        <v>24</v>
      </c>
      <c r="C2698">
        <v>2110</v>
      </c>
      <c r="D2698" t="s">
        <v>7</v>
      </c>
      <c r="E2698" t="str">
        <f>IF(may[[#This Row],[ShiftCounter]]&gt;0, "Running", "Down")</f>
        <v>Running</v>
      </c>
    </row>
    <row r="2699" spans="1:5" x14ac:dyDescent="0.25">
      <c r="A2699" s="10">
        <v>44709</v>
      </c>
      <c r="B2699" s="11" t="s">
        <v>24</v>
      </c>
      <c r="C2699">
        <v>1947</v>
      </c>
      <c r="D2699" t="s">
        <v>8</v>
      </c>
      <c r="E2699" t="str">
        <f>IF(may[[#This Row],[ShiftCounter]]&gt;0, "Running", "Down")</f>
        <v>Running</v>
      </c>
    </row>
    <row r="2700" spans="1:5" x14ac:dyDescent="0.25">
      <c r="A2700" s="10">
        <v>44709</v>
      </c>
      <c r="B2700" s="11" t="s">
        <v>25</v>
      </c>
      <c r="C2700">
        <v>2037</v>
      </c>
      <c r="D2700" t="s">
        <v>6</v>
      </c>
      <c r="E2700" t="str">
        <f>IF(may[[#This Row],[ShiftCounter]]&gt;0, "Running", "Down")</f>
        <v>Running</v>
      </c>
    </row>
    <row r="2701" spans="1:5" x14ac:dyDescent="0.25">
      <c r="A2701" s="10">
        <v>44709</v>
      </c>
      <c r="B2701" s="11" t="s">
        <v>25</v>
      </c>
      <c r="C2701">
        <v>2135</v>
      </c>
      <c r="D2701" t="s">
        <v>7</v>
      </c>
      <c r="E2701" t="str">
        <f>IF(may[[#This Row],[ShiftCounter]]&gt;0, "Running", "Down")</f>
        <v>Running</v>
      </c>
    </row>
    <row r="2702" spans="1:5" x14ac:dyDescent="0.25">
      <c r="A2702" s="10">
        <v>44709</v>
      </c>
      <c r="B2702" s="11" t="s">
        <v>25</v>
      </c>
      <c r="C2702">
        <v>2108</v>
      </c>
      <c r="D2702" t="s">
        <v>8</v>
      </c>
      <c r="E2702" t="str">
        <f>IF(may[[#This Row],[ShiftCounter]]&gt;0, "Running", "Down")</f>
        <v>Running</v>
      </c>
    </row>
    <row r="2703" spans="1:5" x14ac:dyDescent="0.25">
      <c r="A2703" s="10">
        <v>44709</v>
      </c>
      <c r="B2703" s="11" t="s">
        <v>162</v>
      </c>
      <c r="C2703">
        <v>2039</v>
      </c>
      <c r="D2703" t="s">
        <v>6</v>
      </c>
      <c r="E2703" t="str">
        <f>IF(may[[#This Row],[ShiftCounter]]&gt;0, "Running", "Down")</f>
        <v>Running</v>
      </c>
    </row>
    <row r="2704" spans="1:5" x14ac:dyDescent="0.25">
      <c r="A2704" s="10">
        <v>44709</v>
      </c>
      <c r="B2704" s="11" t="s">
        <v>162</v>
      </c>
      <c r="C2704">
        <v>1891</v>
      </c>
      <c r="D2704" t="s">
        <v>7</v>
      </c>
      <c r="E2704" t="str">
        <f>IF(may[[#This Row],[ShiftCounter]]&gt;0, "Running", "Down")</f>
        <v>Running</v>
      </c>
    </row>
    <row r="2705" spans="1:5" x14ac:dyDescent="0.25">
      <c r="A2705" s="10">
        <v>44709</v>
      </c>
      <c r="B2705" s="11" t="s">
        <v>162</v>
      </c>
      <c r="C2705">
        <v>1928</v>
      </c>
      <c r="D2705" t="s">
        <v>8</v>
      </c>
      <c r="E2705" t="str">
        <f>IF(may[[#This Row],[ShiftCounter]]&gt;0, "Running", "Down")</f>
        <v>Running</v>
      </c>
    </row>
    <row r="2706" spans="1:5" x14ac:dyDescent="0.25">
      <c r="A2706" s="10">
        <v>44709</v>
      </c>
      <c r="B2706" s="11" t="s">
        <v>27</v>
      </c>
      <c r="C2706">
        <v>2043</v>
      </c>
      <c r="D2706" t="s">
        <v>6</v>
      </c>
      <c r="E2706" t="str">
        <f>IF(may[[#This Row],[ShiftCounter]]&gt;0, "Running", "Down")</f>
        <v>Running</v>
      </c>
    </row>
    <row r="2707" spans="1:5" x14ac:dyDescent="0.25">
      <c r="A2707" s="10">
        <v>44709</v>
      </c>
      <c r="B2707" s="11" t="s">
        <v>27</v>
      </c>
      <c r="C2707">
        <v>2328</v>
      </c>
      <c r="D2707" t="s">
        <v>7</v>
      </c>
      <c r="E2707" t="str">
        <f>IF(may[[#This Row],[ShiftCounter]]&gt;0, "Running", "Down")</f>
        <v>Running</v>
      </c>
    </row>
    <row r="2708" spans="1:5" x14ac:dyDescent="0.25">
      <c r="A2708" s="10">
        <v>44709</v>
      </c>
      <c r="B2708" s="11" t="s">
        <v>27</v>
      </c>
      <c r="C2708">
        <v>2148</v>
      </c>
      <c r="D2708" t="s">
        <v>8</v>
      </c>
      <c r="E2708" t="str">
        <f>IF(may[[#This Row],[ShiftCounter]]&gt;0, "Running", "Down")</f>
        <v>Running</v>
      </c>
    </row>
    <row r="2709" spans="1:5" x14ac:dyDescent="0.25">
      <c r="A2709" s="10">
        <v>44709</v>
      </c>
      <c r="B2709" s="11" t="s">
        <v>28</v>
      </c>
      <c r="C2709">
        <v>2169</v>
      </c>
      <c r="D2709" t="s">
        <v>6</v>
      </c>
      <c r="E2709" t="str">
        <f>IF(may[[#This Row],[ShiftCounter]]&gt;0, "Running", "Down")</f>
        <v>Running</v>
      </c>
    </row>
    <row r="2710" spans="1:5" x14ac:dyDescent="0.25">
      <c r="A2710" s="10">
        <v>44709</v>
      </c>
      <c r="B2710" s="11" t="s">
        <v>28</v>
      </c>
      <c r="C2710">
        <v>2239</v>
      </c>
      <c r="D2710" t="s">
        <v>7</v>
      </c>
      <c r="E2710" t="str">
        <f>IF(may[[#This Row],[ShiftCounter]]&gt;0, "Running", "Down")</f>
        <v>Running</v>
      </c>
    </row>
    <row r="2711" spans="1:5" x14ac:dyDescent="0.25">
      <c r="A2711" s="10">
        <v>44709</v>
      </c>
      <c r="B2711" s="11" t="s">
        <v>28</v>
      </c>
      <c r="C2711">
        <v>2038</v>
      </c>
      <c r="D2711" t="s">
        <v>8</v>
      </c>
      <c r="E2711" t="str">
        <f>IF(may[[#This Row],[ShiftCounter]]&gt;0, "Running", "Down")</f>
        <v>Running</v>
      </c>
    </row>
    <row r="2712" spans="1:5" x14ac:dyDescent="0.25">
      <c r="A2712" s="10">
        <v>44709</v>
      </c>
      <c r="B2712" s="11" t="s">
        <v>30</v>
      </c>
      <c r="C2712">
        <v>2243</v>
      </c>
      <c r="D2712" t="s">
        <v>6</v>
      </c>
      <c r="E2712" t="str">
        <f>IF(may[[#This Row],[ShiftCounter]]&gt;0, "Running", "Down")</f>
        <v>Running</v>
      </c>
    </row>
    <row r="2713" spans="1:5" x14ac:dyDescent="0.25">
      <c r="A2713" s="10">
        <v>44709</v>
      </c>
      <c r="B2713" s="11" t="s">
        <v>30</v>
      </c>
      <c r="C2713">
        <v>2284</v>
      </c>
      <c r="D2713" t="s">
        <v>7</v>
      </c>
      <c r="E2713" t="str">
        <f>IF(may[[#This Row],[ShiftCounter]]&gt;0, "Running", "Down")</f>
        <v>Running</v>
      </c>
    </row>
    <row r="2714" spans="1:5" x14ac:dyDescent="0.25">
      <c r="A2714" s="10">
        <v>44709</v>
      </c>
      <c r="B2714" s="11" t="s">
        <v>30</v>
      </c>
      <c r="C2714">
        <v>2102</v>
      </c>
      <c r="D2714" t="s">
        <v>8</v>
      </c>
      <c r="E2714" t="str">
        <f>IF(may[[#This Row],[ShiftCounter]]&gt;0, "Running", "Down")</f>
        <v>Running</v>
      </c>
    </row>
    <row r="2715" spans="1:5" x14ac:dyDescent="0.25">
      <c r="A2715" s="10">
        <v>44709</v>
      </c>
      <c r="B2715" s="11" t="s">
        <v>29</v>
      </c>
      <c r="C2715">
        <v>1999</v>
      </c>
      <c r="D2715" t="s">
        <v>6</v>
      </c>
      <c r="E2715" t="str">
        <f>IF(may[[#This Row],[ShiftCounter]]&gt;0, "Running", "Down")</f>
        <v>Running</v>
      </c>
    </row>
    <row r="2716" spans="1:5" x14ac:dyDescent="0.25">
      <c r="A2716" s="10">
        <v>44709</v>
      </c>
      <c r="B2716" s="11" t="s">
        <v>29</v>
      </c>
      <c r="C2716">
        <v>2060</v>
      </c>
      <c r="D2716" t="s">
        <v>7</v>
      </c>
      <c r="E2716" t="str">
        <f>IF(may[[#This Row],[ShiftCounter]]&gt;0, "Running", "Down")</f>
        <v>Running</v>
      </c>
    </row>
    <row r="2717" spans="1:5" x14ac:dyDescent="0.25">
      <c r="A2717" s="10">
        <v>44709</v>
      </c>
      <c r="B2717" s="11" t="s">
        <v>29</v>
      </c>
      <c r="C2717">
        <v>1861</v>
      </c>
      <c r="D2717" t="s">
        <v>8</v>
      </c>
      <c r="E2717" t="str">
        <f>IF(may[[#This Row],[ShiftCounter]]&gt;0, "Running", "Down")</f>
        <v>Running</v>
      </c>
    </row>
    <row r="2718" spans="1:5" x14ac:dyDescent="0.25">
      <c r="A2718" s="10">
        <v>44709</v>
      </c>
      <c r="B2718" s="11" t="s">
        <v>31</v>
      </c>
      <c r="C2718">
        <v>2143</v>
      </c>
      <c r="D2718" t="s">
        <v>6</v>
      </c>
      <c r="E2718" t="str">
        <f>IF(may[[#This Row],[ShiftCounter]]&gt;0, "Running", "Down")</f>
        <v>Running</v>
      </c>
    </row>
    <row r="2719" spans="1:5" x14ac:dyDescent="0.25">
      <c r="A2719" s="10">
        <v>44709</v>
      </c>
      <c r="B2719" s="11" t="s">
        <v>31</v>
      </c>
      <c r="C2719">
        <v>2036</v>
      </c>
      <c r="D2719" t="s">
        <v>7</v>
      </c>
      <c r="E2719" t="str">
        <f>IF(may[[#This Row],[ShiftCounter]]&gt;0, "Running", "Down")</f>
        <v>Running</v>
      </c>
    </row>
    <row r="2720" spans="1:5" x14ac:dyDescent="0.25">
      <c r="A2720" s="10">
        <v>44709</v>
      </c>
      <c r="B2720" s="11" t="s">
        <v>31</v>
      </c>
      <c r="C2720">
        <v>1939</v>
      </c>
      <c r="D2720" t="s">
        <v>8</v>
      </c>
      <c r="E2720" t="str">
        <f>IF(may[[#This Row],[ShiftCounter]]&gt;0, "Running", "Down")</f>
        <v>Running</v>
      </c>
    </row>
    <row r="2721" spans="1:5" x14ac:dyDescent="0.25">
      <c r="A2721" s="10">
        <v>44709</v>
      </c>
      <c r="B2721" s="11" t="s">
        <v>32</v>
      </c>
      <c r="C2721">
        <v>2086</v>
      </c>
      <c r="D2721" t="s">
        <v>6</v>
      </c>
      <c r="E2721" t="str">
        <f>IF(may[[#This Row],[ShiftCounter]]&gt;0, "Running", "Down")</f>
        <v>Running</v>
      </c>
    </row>
    <row r="2722" spans="1:5" x14ac:dyDescent="0.25">
      <c r="A2722" s="10">
        <v>44709</v>
      </c>
      <c r="B2722" s="11" t="s">
        <v>32</v>
      </c>
      <c r="C2722">
        <v>2124</v>
      </c>
      <c r="D2722" t="s">
        <v>7</v>
      </c>
      <c r="E2722" t="str">
        <f>IF(may[[#This Row],[ShiftCounter]]&gt;0, "Running", "Down")</f>
        <v>Running</v>
      </c>
    </row>
    <row r="2723" spans="1:5" x14ac:dyDescent="0.25">
      <c r="A2723" s="10">
        <v>44709</v>
      </c>
      <c r="B2723" s="11" t="s">
        <v>32</v>
      </c>
      <c r="C2723">
        <v>1983</v>
      </c>
      <c r="D2723" t="s">
        <v>8</v>
      </c>
      <c r="E2723" t="str">
        <f>IF(may[[#This Row],[ShiftCounter]]&gt;0, "Running", "Down")</f>
        <v>Running</v>
      </c>
    </row>
    <row r="2724" spans="1:5" x14ac:dyDescent="0.25">
      <c r="A2724" s="10">
        <v>44709</v>
      </c>
      <c r="B2724" s="11" t="s">
        <v>33</v>
      </c>
      <c r="C2724">
        <v>2448</v>
      </c>
      <c r="D2724" t="s">
        <v>6</v>
      </c>
      <c r="E2724" t="str">
        <f>IF(may[[#This Row],[ShiftCounter]]&gt;0, "Running", "Down")</f>
        <v>Running</v>
      </c>
    </row>
    <row r="2725" spans="1:5" x14ac:dyDescent="0.25">
      <c r="A2725" s="10">
        <v>44709</v>
      </c>
      <c r="B2725" s="11" t="s">
        <v>33</v>
      </c>
      <c r="C2725">
        <v>2388</v>
      </c>
      <c r="D2725" t="s">
        <v>7</v>
      </c>
      <c r="E2725" t="str">
        <f>IF(may[[#This Row],[ShiftCounter]]&gt;0, "Running", "Down")</f>
        <v>Running</v>
      </c>
    </row>
    <row r="2726" spans="1:5" x14ac:dyDescent="0.25">
      <c r="A2726" s="10">
        <v>44709</v>
      </c>
      <c r="B2726" s="11" t="s">
        <v>33</v>
      </c>
      <c r="C2726">
        <v>2237</v>
      </c>
      <c r="D2726" t="s">
        <v>8</v>
      </c>
      <c r="E2726" t="str">
        <f>IF(may[[#This Row],[ShiftCounter]]&gt;0, "Running", "Down")</f>
        <v>Running</v>
      </c>
    </row>
    <row r="2727" spans="1:5" x14ac:dyDescent="0.25">
      <c r="A2727" s="10">
        <v>44709</v>
      </c>
      <c r="B2727" s="11" t="s">
        <v>34</v>
      </c>
      <c r="C2727">
        <v>1921</v>
      </c>
      <c r="D2727" t="s">
        <v>6</v>
      </c>
      <c r="E2727" t="str">
        <f>IF(may[[#This Row],[ShiftCounter]]&gt;0, "Running", "Down")</f>
        <v>Running</v>
      </c>
    </row>
    <row r="2728" spans="1:5" x14ac:dyDescent="0.25">
      <c r="A2728" s="10">
        <v>44709</v>
      </c>
      <c r="B2728" s="11" t="s">
        <v>34</v>
      </c>
      <c r="C2728">
        <v>1921</v>
      </c>
      <c r="D2728" t="s">
        <v>7</v>
      </c>
      <c r="E2728" t="str">
        <f>IF(may[[#This Row],[ShiftCounter]]&gt;0, "Running", "Down")</f>
        <v>Running</v>
      </c>
    </row>
    <row r="2729" spans="1:5" x14ac:dyDescent="0.25">
      <c r="A2729" s="10">
        <v>44709</v>
      </c>
      <c r="B2729" s="11" t="s">
        <v>34</v>
      </c>
      <c r="C2729">
        <v>1824</v>
      </c>
      <c r="D2729" t="s">
        <v>8</v>
      </c>
      <c r="E2729" t="str">
        <f>IF(may[[#This Row],[ShiftCounter]]&gt;0, "Running", "Down")</f>
        <v>Running</v>
      </c>
    </row>
    <row r="2730" spans="1:5" x14ac:dyDescent="0.25">
      <c r="A2730" s="10">
        <v>44709</v>
      </c>
      <c r="B2730" s="11" t="s">
        <v>35</v>
      </c>
      <c r="C2730">
        <v>2204</v>
      </c>
      <c r="D2730" t="s">
        <v>6</v>
      </c>
      <c r="E2730" t="str">
        <f>IF(may[[#This Row],[ShiftCounter]]&gt;0, "Running", "Down")</f>
        <v>Running</v>
      </c>
    </row>
    <row r="2731" spans="1:5" x14ac:dyDescent="0.25">
      <c r="A2731" s="10">
        <v>44709</v>
      </c>
      <c r="B2731" s="11" t="s">
        <v>35</v>
      </c>
      <c r="C2731">
        <v>2208</v>
      </c>
      <c r="D2731" t="s">
        <v>7</v>
      </c>
      <c r="E2731" t="str">
        <f>IF(may[[#This Row],[ShiftCounter]]&gt;0, "Running", "Down")</f>
        <v>Running</v>
      </c>
    </row>
    <row r="2732" spans="1:5" x14ac:dyDescent="0.25">
      <c r="A2732" s="10">
        <v>44709</v>
      </c>
      <c r="B2732" s="11" t="s">
        <v>35</v>
      </c>
      <c r="C2732">
        <v>1959</v>
      </c>
      <c r="D2732" t="s">
        <v>8</v>
      </c>
      <c r="E2732" t="str">
        <f>IF(may[[#This Row],[ShiftCounter]]&gt;0, "Running", "Down")</f>
        <v>Running</v>
      </c>
    </row>
    <row r="2733" spans="1:5" x14ac:dyDescent="0.25">
      <c r="A2733" s="10">
        <v>44709</v>
      </c>
      <c r="B2733" s="11" t="s">
        <v>36</v>
      </c>
      <c r="C2733">
        <v>1701</v>
      </c>
      <c r="D2733" t="s">
        <v>6</v>
      </c>
      <c r="E2733" t="str">
        <f>IF(may[[#This Row],[ShiftCounter]]&gt;0, "Running", "Down")</f>
        <v>Running</v>
      </c>
    </row>
    <row r="2734" spans="1:5" x14ac:dyDescent="0.25">
      <c r="A2734" s="10">
        <v>44709</v>
      </c>
      <c r="B2734" s="11" t="s">
        <v>36</v>
      </c>
      <c r="C2734">
        <v>1885</v>
      </c>
      <c r="D2734" t="s">
        <v>7</v>
      </c>
      <c r="E2734" t="str">
        <f>IF(may[[#This Row],[ShiftCounter]]&gt;0, "Running", "Down")</f>
        <v>Running</v>
      </c>
    </row>
    <row r="2735" spans="1:5" x14ac:dyDescent="0.25">
      <c r="A2735" s="10">
        <v>44709</v>
      </c>
      <c r="B2735" s="11" t="s">
        <v>36</v>
      </c>
      <c r="C2735">
        <v>2018</v>
      </c>
      <c r="D2735" t="s">
        <v>8</v>
      </c>
      <c r="E2735" t="str">
        <f>IF(may[[#This Row],[ShiftCounter]]&gt;0, "Running", "Down")</f>
        <v>Running</v>
      </c>
    </row>
    <row r="2736" spans="1:5" x14ac:dyDescent="0.25">
      <c r="A2736" s="10">
        <v>44709</v>
      </c>
      <c r="B2736" s="11" t="s">
        <v>37</v>
      </c>
      <c r="C2736">
        <v>2337</v>
      </c>
      <c r="D2736" t="s">
        <v>6</v>
      </c>
      <c r="E2736" t="str">
        <f>IF(may[[#This Row],[ShiftCounter]]&gt;0, "Running", "Down")</f>
        <v>Running</v>
      </c>
    </row>
    <row r="2737" spans="1:5" x14ac:dyDescent="0.25">
      <c r="A2737" s="10">
        <v>44709</v>
      </c>
      <c r="B2737" s="11" t="s">
        <v>37</v>
      </c>
      <c r="C2737">
        <v>2368</v>
      </c>
      <c r="D2737" t="s">
        <v>7</v>
      </c>
      <c r="E2737" t="str">
        <f>IF(may[[#This Row],[ShiftCounter]]&gt;0, "Running", "Down")</f>
        <v>Running</v>
      </c>
    </row>
    <row r="2738" spans="1:5" x14ac:dyDescent="0.25">
      <c r="A2738" s="10">
        <v>44709</v>
      </c>
      <c r="B2738" s="11" t="s">
        <v>37</v>
      </c>
      <c r="C2738">
        <v>2149</v>
      </c>
      <c r="D2738" t="s">
        <v>8</v>
      </c>
      <c r="E2738" t="str">
        <f>IF(may[[#This Row],[ShiftCounter]]&gt;0, "Running", "Down")</f>
        <v>Running</v>
      </c>
    </row>
    <row r="2739" spans="1:5" x14ac:dyDescent="0.25">
      <c r="A2739" s="10">
        <v>44710</v>
      </c>
      <c r="B2739" s="11" t="s">
        <v>158</v>
      </c>
      <c r="C2739">
        <v>6143</v>
      </c>
      <c r="D2739" t="s">
        <v>6</v>
      </c>
      <c r="E2739" t="str">
        <f>IF(may[[#This Row],[ShiftCounter]]&gt;0, "Running", "Down")</f>
        <v>Running</v>
      </c>
    </row>
    <row r="2740" spans="1:5" x14ac:dyDescent="0.25">
      <c r="A2740" s="10">
        <v>44710</v>
      </c>
      <c r="B2740" s="11" t="s">
        <v>158</v>
      </c>
      <c r="C2740">
        <v>1993</v>
      </c>
      <c r="D2740" t="s">
        <v>7</v>
      </c>
      <c r="E2740" t="str">
        <f>IF(may[[#This Row],[ShiftCounter]]&gt;0, "Running", "Down")</f>
        <v>Running</v>
      </c>
    </row>
    <row r="2741" spans="1:5" x14ac:dyDescent="0.25">
      <c r="A2741" s="10">
        <v>44710</v>
      </c>
      <c r="B2741" s="11" t="s">
        <v>158</v>
      </c>
      <c r="C2741">
        <v>1798</v>
      </c>
      <c r="D2741" t="s">
        <v>8</v>
      </c>
      <c r="E2741" t="str">
        <f>IF(may[[#This Row],[ShiftCounter]]&gt;0, "Running", "Down")</f>
        <v>Running</v>
      </c>
    </row>
    <row r="2742" spans="1:5" x14ac:dyDescent="0.25">
      <c r="A2742" s="10">
        <v>44710</v>
      </c>
      <c r="B2742" s="11" t="s">
        <v>40</v>
      </c>
      <c r="C2742">
        <v>2272</v>
      </c>
      <c r="D2742" t="s">
        <v>6</v>
      </c>
      <c r="E2742" t="str">
        <f>IF(may[[#This Row],[ShiftCounter]]&gt;0, "Running", "Down")</f>
        <v>Running</v>
      </c>
    </row>
    <row r="2743" spans="1:5" x14ac:dyDescent="0.25">
      <c r="A2743" s="10">
        <v>44710</v>
      </c>
      <c r="B2743" s="11" t="s">
        <v>40</v>
      </c>
      <c r="C2743">
        <v>2315</v>
      </c>
      <c r="D2743" t="s">
        <v>7</v>
      </c>
      <c r="E2743" t="str">
        <f>IF(may[[#This Row],[ShiftCounter]]&gt;0, "Running", "Down")</f>
        <v>Running</v>
      </c>
    </row>
    <row r="2744" spans="1:5" x14ac:dyDescent="0.25">
      <c r="A2744" s="10">
        <v>44710</v>
      </c>
      <c r="B2744" s="11" t="s">
        <v>40</v>
      </c>
      <c r="C2744">
        <v>2145</v>
      </c>
      <c r="D2744" t="s">
        <v>8</v>
      </c>
      <c r="E2744" t="str">
        <f>IF(may[[#This Row],[ShiftCounter]]&gt;0, "Running", "Down")</f>
        <v>Running</v>
      </c>
    </row>
    <row r="2745" spans="1:5" x14ac:dyDescent="0.25">
      <c r="A2745" s="10">
        <v>44710</v>
      </c>
      <c r="B2745" s="11" t="s">
        <v>39</v>
      </c>
      <c r="C2745">
        <v>1919</v>
      </c>
      <c r="D2745" t="s">
        <v>6</v>
      </c>
      <c r="E2745" t="str">
        <f>IF(may[[#This Row],[ShiftCounter]]&gt;0, "Running", "Down")</f>
        <v>Running</v>
      </c>
    </row>
    <row r="2746" spans="1:5" x14ac:dyDescent="0.25">
      <c r="A2746" s="10">
        <v>44710</v>
      </c>
      <c r="B2746" s="11" t="s">
        <v>39</v>
      </c>
      <c r="C2746">
        <v>2082</v>
      </c>
      <c r="D2746" t="s">
        <v>7</v>
      </c>
      <c r="E2746" t="str">
        <f>IF(may[[#This Row],[ShiftCounter]]&gt;0, "Running", "Down")</f>
        <v>Running</v>
      </c>
    </row>
    <row r="2747" spans="1:5" x14ac:dyDescent="0.25">
      <c r="A2747" s="10">
        <v>44710</v>
      </c>
      <c r="B2747" s="11" t="s">
        <v>39</v>
      </c>
      <c r="C2747">
        <v>1874</v>
      </c>
      <c r="D2747" t="s">
        <v>8</v>
      </c>
      <c r="E2747" t="str">
        <f>IF(may[[#This Row],[ShiftCounter]]&gt;0, "Running", "Down")</f>
        <v>Running</v>
      </c>
    </row>
    <row r="2748" spans="1:5" x14ac:dyDescent="0.25">
      <c r="A2748" s="10">
        <v>44710</v>
      </c>
      <c r="B2748" s="11" t="s">
        <v>41</v>
      </c>
      <c r="C2748">
        <v>2225</v>
      </c>
      <c r="D2748" t="s">
        <v>6</v>
      </c>
      <c r="E2748" t="str">
        <f>IF(may[[#This Row],[ShiftCounter]]&gt;0, "Running", "Down")</f>
        <v>Running</v>
      </c>
    </row>
    <row r="2749" spans="1:5" x14ac:dyDescent="0.25">
      <c r="A2749" s="10">
        <v>44710</v>
      </c>
      <c r="B2749" s="11" t="s">
        <v>41</v>
      </c>
      <c r="C2749">
        <v>2373</v>
      </c>
      <c r="D2749" t="s">
        <v>7</v>
      </c>
      <c r="E2749" t="str">
        <f>IF(may[[#This Row],[ShiftCounter]]&gt;0, "Running", "Down")</f>
        <v>Running</v>
      </c>
    </row>
    <row r="2750" spans="1:5" x14ac:dyDescent="0.25">
      <c r="A2750" s="10">
        <v>44710</v>
      </c>
      <c r="B2750" s="11" t="s">
        <v>41</v>
      </c>
      <c r="C2750">
        <v>2160</v>
      </c>
      <c r="D2750" t="s">
        <v>8</v>
      </c>
      <c r="E2750" t="str">
        <f>IF(may[[#This Row],[ShiftCounter]]&gt;0, "Running", "Down")</f>
        <v>Running</v>
      </c>
    </row>
    <row r="2751" spans="1:5" x14ac:dyDescent="0.25">
      <c r="A2751" s="10">
        <v>44710</v>
      </c>
      <c r="B2751" s="11" t="s">
        <v>5</v>
      </c>
      <c r="C2751">
        <v>2209</v>
      </c>
      <c r="D2751" t="s">
        <v>6</v>
      </c>
      <c r="E2751" t="str">
        <f>IF(may[[#This Row],[ShiftCounter]]&gt;0, "Running", "Down")</f>
        <v>Running</v>
      </c>
    </row>
    <row r="2752" spans="1:5" x14ac:dyDescent="0.25">
      <c r="A2752" s="10">
        <v>44710</v>
      </c>
      <c r="B2752" s="11" t="s">
        <v>5</v>
      </c>
      <c r="C2752">
        <v>2350</v>
      </c>
      <c r="D2752" t="s">
        <v>7</v>
      </c>
      <c r="E2752" t="str">
        <f>IF(may[[#This Row],[ShiftCounter]]&gt;0, "Running", "Down")</f>
        <v>Running</v>
      </c>
    </row>
    <row r="2753" spans="1:5" x14ac:dyDescent="0.25">
      <c r="A2753" s="10">
        <v>44710</v>
      </c>
      <c r="B2753" s="11" t="s">
        <v>5</v>
      </c>
      <c r="C2753">
        <v>2127</v>
      </c>
      <c r="D2753" t="s">
        <v>8</v>
      </c>
      <c r="E2753" t="str">
        <f>IF(may[[#This Row],[ShiftCounter]]&gt;0, "Running", "Down")</f>
        <v>Running</v>
      </c>
    </row>
    <row r="2754" spans="1:5" x14ac:dyDescent="0.25">
      <c r="A2754" s="10">
        <v>44710</v>
      </c>
      <c r="B2754" s="11" t="s">
        <v>9</v>
      </c>
      <c r="C2754">
        <v>2323</v>
      </c>
      <c r="D2754" t="s">
        <v>6</v>
      </c>
      <c r="E2754" t="str">
        <f>IF(may[[#This Row],[ShiftCounter]]&gt;0, "Running", "Down")</f>
        <v>Running</v>
      </c>
    </row>
    <row r="2755" spans="1:5" x14ac:dyDescent="0.25">
      <c r="A2755" s="10">
        <v>44710</v>
      </c>
      <c r="B2755" s="11" t="s">
        <v>9</v>
      </c>
      <c r="C2755">
        <v>2386</v>
      </c>
      <c r="D2755" t="s">
        <v>7</v>
      </c>
      <c r="E2755" t="str">
        <f>IF(may[[#This Row],[ShiftCounter]]&gt;0, "Running", "Down")</f>
        <v>Running</v>
      </c>
    </row>
    <row r="2756" spans="1:5" x14ac:dyDescent="0.25">
      <c r="A2756" s="10">
        <v>44710</v>
      </c>
      <c r="B2756" s="11" t="s">
        <v>9</v>
      </c>
      <c r="C2756">
        <v>2256</v>
      </c>
      <c r="D2756" t="s">
        <v>8</v>
      </c>
      <c r="E2756" t="str">
        <f>IF(may[[#This Row],[ShiftCounter]]&gt;0, "Running", "Down")</f>
        <v>Running</v>
      </c>
    </row>
    <row r="2757" spans="1:5" x14ac:dyDescent="0.25">
      <c r="A2757" s="10">
        <v>44710</v>
      </c>
      <c r="B2757" s="11" t="s">
        <v>10</v>
      </c>
      <c r="C2757">
        <v>2226</v>
      </c>
      <c r="D2757" t="s">
        <v>6</v>
      </c>
      <c r="E2757" t="str">
        <f>IF(may[[#This Row],[ShiftCounter]]&gt;0, "Running", "Down")</f>
        <v>Running</v>
      </c>
    </row>
    <row r="2758" spans="1:5" x14ac:dyDescent="0.25">
      <c r="A2758" s="10">
        <v>44710</v>
      </c>
      <c r="B2758" s="11" t="s">
        <v>10</v>
      </c>
      <c r="C2758">
        <v>2382</v>
      </c>
      <c r="D2758" t="s">
        <v>7</v>
      </c>
      <c r="E2758" t="str">
        <f>IF(may[[#This Row],[ShiftCounter]]&gt;0, "Running", "Down")</f>
        <v>Running</v>
      </c>
    </row>
    <row r="2759" spans="1:5" x14ac:dyDescent="0.25">
      <c r="A2759" s="10">
        <v>44710</v>
      </c>
      <c r="B2759" s="11" t="s">
        <v>10</v>
      </c>
      <c r="C2759">
        <v>2190</v>
      </c>
      <c r="D2759" t="s">
        <v>8</v>
      </c>
      <c r="E2759" t="str">
        <f>IF(may[[#This Row],[ShiftCounter]]&gt;0, "Running", "Down")</f>
        <v>Running</v>
      </c>
    </row>
    <row r="2760" spans="1:5" x14ac:dyDescent="0.25">
      <c r="A2760" s="10">
        <v>44710</v>
      </c>
      <c r="B2760" s="11" t="s">
        <v>120</v>
      </c>
      <c r="C2760">
        <v>2125</v>
      </c>
      <c r="D2760" t="s">
        <v>6</v>
      </c>
      <c r="E2760" t="str">
        <f>IF(may[[#This Row],[ShiftCounter]]&gt;0, "Running", "Down")</f>
        <v>Running</v>
      </c>
    </row>
    <row r="2761" spans="1:5" x14ac:dyDescent="0.25">
      <c r="A2761" s="10">
        <v>44710</v>
      </c>
      <c r="B2761" s="11" t="s">
        <v>120</v>
      </c>
      <c r="C2761">
        <v>2136</v>
      </c>
      <c r="D2761" t="s">
        <v>7</v>
      </c>
      <c r="E2761" t="str">
        <f>IF(may[[#This Row],[ShiftCounter]]&gt;0, "Running", "Down")</f>
        <v>Running</v>
      </c>
    </row>
    <row r="2762" spans="1:5" x14ac:dyDescent="0.25">
      <c r="A2762" s="10">
        <v>44710</v>
      </c>
      <c r="B2762" s="11" t="s">
        <v>120</v>
      </c>
      <c r="C2762">
        <v>2065</v>
      </c>
      <c r="D2762" t="s">
        <v>8</v>
      </c>
      <c r="E2762" t="str">
        <f>IF(may[[#This Row],[ShiftCounter]]&gt;0, "Running", "Down")</f>
        <v>Running</v>
      </c>
    </row>
    <row r="2763" spans="1:5" x14ac:dyDescent="0.25">
      <c r="A2763" s="10">
        <v>44710</v>
      </c>
      <c r="B2763" s="11" t="s">
        <v>12</v>
      </c>
      <c r="C2763">
        <v>2355</v>
      </c>
      <c r="D2763" t="s">
        <v>6</v>
      </c>
      <c r="E2763" t="str">
        <f>IF(may[[#This Row],[ShiftCounter]]&gt;0, "Running", "Down")</f>
        <v>Running</v>
      </c>
    </row>
    <row r="2764" spans="1:5" x14ac:dyDescent="0.25">
      <c r="A2764" s="10">
        <v>44710</v>
      </c>
      <c r="B2764" s="11" t="s">
        <v>12</v>
      </c>
      <c r="C2764">
        <v>2367</v>
      </c>
      <c r="D2764" t="s">
        <v>7</v>
      </c>
      <c r="E2764" t="str">
        <f>IF(may[[#This Row],[ShiftCounter]]&gt;0, "Running", "Down")</f>
        <v>Running</v>
      </c>
    </row>
    <row r="2765" spans="1:5" x14ac:dyDescent="0.25">
      <c r="A2765" s="10">
        <v>44710</v>
      </c>
      <c r="B2765" s="11" t="s">
        <v>12</v>
      </c>
      <c r="C2765">
        <v>2132</v>
      </c>
      <c r="D2765" t="s">
        <v>8</v>
      </c>
      <c r="E2765" t="str">
        <f>IF(may[[#This Row],[ShiftCounter]]&gt;0, "Running", "Down")</f>
        <v>Running</v>
      </c>
    </row>
    <row r="2766" spans="1:5" x14ac:dyDescent="0.25">
      <c r="A2766" s="10">
        <v>44710</v>
      </c>
      <c r="B2766" s="11" t="s">
        <v>13</v>
      </c>
      <c r="C2766">
        <v>2100</v>
      </c>
      <c r="D2766" t="s">
        <v>6</v>
      </c>
      <c r="E2766" t="str">
        <f>IF(may[[#This Row],[ShiftCounter]]&gt;0, "Running", "Down")</f>
        <v>Running</v>
      </c>
    </row>
    <row r="2767" spans="1:5" x14ac:dyDescent="0.25">
      <c r="A2767" s="10">
        <v>44710</v>
      </c>
      <c r="B2767" s="11" t="s">
        <v>13</v>
      </c>
      <c r="C2767">
        <v>2000</v>
      </c>
      <c r="D2767" t="s">
        <v>7</v>
      </c>
      <c r="E2767" t="str">
        <f>IF(may[[#This Row],[ShiftCounter]]&gt;0, "Running", "Down")</f>
        <v>Running</v>
      </c>
    </row>
    <row r="2768" spans="1:5" x14ac:dyDescent="0.25">
      <c r="A2768" s="10">
        <v>44710</v>
      </c>
      <c r="B2768" s="11" t="s">
        <v>13</v>
      </c>
      <c r="C2768">
        <v>1880</v>
      </c>
      <c r="D2768" t="s">
        <v>8</v>
      </c>
      <c r="E2768" t="str">
        <f>IF(may[[#This Row],[ShiftCounter]]&gt;0, "Running", "Down")</f>
        <v>Running</v>
      </c>
    </row>
    <row r="2769" spans="1:5" x14ac:dyDescent="0.25">
      <c r="A2769" s="10">
        <v>44710</v>
      </c>
      <c r="B2769" s="11" t="s">
        <v>114</v>
      </c>
      <c r="C2769">
        <v>2042</v>
      </c>
      <c r="D2769" t="s">
        <v>6</v>
      </c>
      <c r="E2769" t="str">
        <f>IF(may[[#This Row],[ShiftCounter]]&gt;0, "Running", "Down")</f>
        <v>Running</v>
      </c>
    </row>
    <row r="2770" spans="1:5" x14ac:dyDescent="0.25">
      <c r="A2770" s="10">
        <v>44710</v>
      </c>
      <c r="B2770" s="11" t="s">
        <v>114</v>
      </c>
      <c r="C2770">
        <v>1928</v>
      </c>
      <c r="D2770" t="s">
        <v>7</v>
      </c>
      <c r="E2770" t="str">
        <f>IF(may[[#This Row],[ShiftCounter]]&gt;0, "Running", "Down")</f>
        <v>Running</v>
      </c>
    </row>
    <row r="2771" spans="1:5" x14ac:dyDescent="0.25">
      <c r="A2771" s="10">
        <v>44710</v>
      </c>
      <c r="B2771" s="11" t="s">
        <v>114</v>
      </c>
      <c r="C2771">
        <v>1861</v>
      </c>
      <c r="D2771" t="s">
        <v>8</v>
      </c>
      <c r="E2771" t="str">
        <f>IF(may[[#This Row],[ShiftCounter]]&gt;0, "Running", "Down")</f>
        <v>Running</v>
      </c>
    </row>
    <row r="2772" spans="1:5" x14ac:dyDescent="0.25">
      <c r="A2772" s="10">
        <v>44710</v>
      </c>
      <c r="B2772" s="11" t="s">
        <v>14</v>
      </c>
      <c r="C2772">
        <v>1882</v>
      </c>
      <c r="D2772" t="s">
        <v>6</v>
      </c>
      <c r="E2772" t="str">
        <f>IF(may[[#This Row],[ShiftCounter]]&gt;0, "Running", "Down")</f>
        <v>Running</v>
      </c>
    </row>
    <row r="2773" spans="1:5" x14ac:dyDescent="0.25">
      <c r="A2773" s="10">
        <v>44710</v>
      </c>
      <c r="B2773" s="11" t="s">
        <v>14</v>
      </c>
      <c r="C2773">
        <v>1705</v>
      </c>
      <c r="D2773" t="s">
        <v>7</v>
      </c>
      <c r="E2773" t="str">
        <f>IF(may[[#This Row],[ShiftCounter]]&gt;0, "Running", "Down")</f>
        <v>Running</v>
      </c>
    </row>
    <row r="2774" spans="1:5" x14ac:dyDescent="0.25">
      <c r="A2774" s="10">
        <v>44710</v>
      </c>
      <c r="B2774" s="11" t="s">
        <v>14</v>
      </c>
      <c r="C2774">
        <v>1640</v>
      </c>
      <c r="D2774" t="s">
        <v>8</v>
      </c>
      <c r="E2774" t="str">
        <f>IF(may[[#This Row],[ShiftCounter]]&gt;0, "Running", "Down")</f>
        <v>Running</v>
      </c>
    </row>
    <row r="2775" spans="1:5" x14ac:dyDescent="0.25">
      <c r="A2775" s="10">
        <v>44710</v>
      </c>
      <c r="B2775" s="11" t="s">
        <v>15</v>
      </c>
      <c r="C2775">
        <v>2084</v>
      </c>
      <c r="D2775" t="s">
        <v>6</v>
      </c>
      <c r="E2775" t="str">
        <f>IF(may[[#This Row],[ShiftCounter]]&gt;0, "Running", "Down")</f>
        <v>Running</v>
      </c>
    </row>
    <row r="2776" spans="1:5" x14ac:dyDescent="0.25">
      <c r="A2776" s="10">
        <v>44710</v>
      </c>
      <c r="B2776" s="11" t="s">
        <v>15</v>
      </c>
      <c r="C2776">
        <v>1976</v>
      </c>
      <c r="D2776" t="s">
        <v>7</v>
      </c>
      <c r="E2776" t="str">
        <f>IF(may[[#This Row],[ShiftCounter]]&gt;0, "Running", "Down")</f>
        <v>Running</v>
      </c>
    </row>
    <row r="2777" spans="1:5" x14ac:dyDescent="0.25">
      <c r="A2777" s="10">
        <v>44710</v>
      </c>
      <c r="B2777" s="11" t="s">
        <v>15</v>
      </c>
      <c r="C2777">
        <v>1899</v>
      </c>
      <c r="D2777" t="s">
        <v>8</v>
      </c>
      <c r="E2777" t="str">
        <f>IF(may[[#This Row],[ShiftCounter]]&gt;0, "Running", "Down")</f>
        <v>Running</v>
      </c>
    </row>
    <row r="2778" spans="1:5" x14ac:dyDescent="0.25">
      <c r="A2778" s="10">
        <v>44710</v>
      </c>
      <c r="B2778" s="11" t="s">
        <v>16</v>
      </c>
      <c r="C2778">
        <v>2278</v>
      </c>
      <c r="D2778" t="s">
        <v>6</v>
      </c>
      <c r="E2778" t="str">
        <f>IF(may[[#This Row],[ShiftCounter]]&gt;0, "Running", "Down")</f>
        <v>Running</v>
      </c>
    </row>
    <row r="2779" spans="1:5" x14ac:dyDescent="0.25">
      <c r="A2779" s="10">
        <v>44710</v>
      </c>
      <c r="B2779" s="11" t="s">
        <v>16</v>
      </c>
      <c r="C2779">
        <v>2064</v>
      </c>
      <c r="D2779" t="s">
        <v>7</v>
      </c>
      <c r="E2779" t="str">
        <f>IF(may[[#This Row],[ShiftCounter]]&gt;0, "Running", "Down")</f>
        <v>Running</v>
      </c>
    </row>
    <row r="2780" spans="1:5" x14ac:dyDescent="0.25">
      <c r="A2780" s="10">
        <v>44710</v>
      </c>
      <c r="B2780" s="11" t="s">
        <v>16</v>
      </c>
      <c r="C2780">
        <v>1908</v>
      </c>
      <c r="D2780" t="s">
        <v>8</v>
      </c>
      <c r="E2780" t="str">
        <f>IF(may[[#This Row],[ShiftCounter]]&gt;0, "Running", "Down")</f>
        <v>Running</v>
      </c>
    </row>
    <row r="2781" spans="1:5" x14ac:dyDescent="0.25">
      <c r="A2781" s="10">
        <v>44710</v>
      </c>
      <c r="B2781" s="11" t="s">
        <v>17</v>
      </c>
      <c r="C2781">
        <v>2419</v>
      </c>
      <c r="D2781" t="s">
        <v>6</v>
      </c>
      <c r="E2781" t="str">
        <f>IF(may[[#This Row],[ShiftCounter]]&gt;0, "Running", "Down")</f>
        <v>Running</v>
      </c>
    </row>
    <row r="2782" spans="1:5" x14ac:dyDescent="0.25">
      <c r="A2782" s="10">
        <v>44710</v>
      </c>
      <c r="B2782" s="11" t="s">
        <v>17</v>
      </c>
      <c r="C2782">
        <v>2234</v>
      </c>
      <c r="D2782" t="s">
        <v>7</v>
      </c>
      <c r="E2782" t="str">
        <f>IF(may[[#This Row],[ShiftCounter]]&gt;0, "Running", "Down")</f>
        <v>Running</v>
      </c>
    </row>
    <row r="2783" spans="1:5" x14ac:dyDescent="0.25">
      <c r="A2783" s="10">
        <v>44710</v>
      </c>
      <c r="B2783" s="11" t="s">
        <v>17</v>
      </c>
      <c r="C2783">
        <v>2102</v>
      </c>
      <c r="D2783" t="s">
        <v>8</v>
      </c>
      <c r="E2783" t="str">
        <f>IF(may[[#This Row],[ShiftCounter]]&gt;0, "Running", "Down")</f>
        <v>Running</v>
      </c>
    </row>
    <row r="2784" spans="1:5" x14ac:dyDescent="0.25">
      <c r="A2784" s="10">
        <v>44710</v>
      </c>
      <c r="B2784" s="11" t="s">
        <v>19</v>
      </c>
      <c r="C2784">
        <v>2122</v>
      </c>
      <c r="D2784" t="s">
        <v>6</v>
      </c>
      <c r="E2784" t="str">
        <f>IF(may[[#This Row],[ShiftCounter]]&gt;0, "Running", "Down")</f>
        <v>Running</v>
      </c>
    </row>
    <row r="2785" spans="1:5" x14ac:dyDescent="0.25">
      <c r="A2785" s="10">
        <v>44710</v>
      </c>
      <c r="B2785" s="11" t="s">
        <v>19</v>
      </c>
      <c r="C2785">
        <v>1984</v>
      </c>
      <c r="D2785" t="s">
        <v>7</v>
      </c>
      <c r="E2785" t="str">
        <f>IF(may[[#This Row],[ShiftCounter]]&gt;0, "Running", "Down")</f>
        <v>Running</v>
      </c>
    </row>
    <row r="2786" spans="1:5" x14ac:dyDescent="0.25">
      <c r="A2786" s="10">
        <v>44710</v>
      </c>
      <c r="B2786" s="11" t="s">
        <v>19</v>
      </c>
      <c r="C2786">
        <v>1867</v>
      </c>
      <c r="D2786" t="s">
        <v>8</v>
      </c>
      <c r="E2786" t="str">
        <f>IF(may[[#This Row],[ShiftCounter]]&gt;0, "Running", "Down")</f>
        <v>Running</v>
      </c>
    </row>
    <row r="2787" spans="1:5" x14ac:dyDescent="0.25">
      <c r="A2787" s="10">
        <v>44710</v>
      </c>
      <c r="B2787" s="11" t="s">
        <v>18</v>
      </c>
      <c r="C2787">
        <v>2306</v>
      </c>
      <c r="D2787" t="s">
        <v>6</v>
      </c>
      <c r="E2787" t="str">
        <f>IF(may[[#This Row],[ShiftCounter]]&gt;0, "Running", "Down")</f>
        <v>Running</v>
      </c>
    </row>
    <row r="2788" spans="1:5" x14ac:dyDescent="0.25">
      <c r="A2788" s="10">
        <v>44710</v>
      </c>
      <c r="B2788" s="11" t="s">
        <v>18</v>
      </c>
      <c r="C2788">
        <v>2335</v>
      </c>
      <c r="D2788" t="s">
        <v>7</v>
      </c>
      <c r="E2788" t="str">
        <f>IF(may[[#This Row],[ShiftCounter]]&gt;0, "Running", "Down")</f>
        <v>Running</v>
      </c>
    </row>
    <row r="2789" spans="1:5" x14ac:dyDescent="0.25">
      <c r="A2789" s="10">
        <v>44710</v>
      </c>
      <c r="B2789" s="11" t="s">
        <v>18</v>
      </c>
      <c r="C2789">
        <v>2080</v>
      </c>
      <c r="D2789" t="s">
        <v>8</v>
      </c>
      <c r="E2789" t="str">
        <f>IF(may[[#This Row],[ShiftCounter]]&gt;0, "Running", "Down")</f>
        <v>Running</v>
      </c>
    </row>
    <row r="2790" spans="1:5" x14ac:dyDescent="0.25">
      <c r="A2790" s="10">
        <v>44710</v>
      </c>
      <c r="B2790" s="11" t="s">
        <v>38</v>
      </c>
      <c r="C2790">
        <v>2118</v>
      </c>
      <c r="D2790" t="s">
        <v>6</v>
      </c>
      <c r="E2790" t="str">
        <f>IF(may[[#This Row],[ShiftCounter]]&gt;0, "Running", "Down")</f>
        <v>Running</v>
      </c>
    </row>
    <row r="2791" spans="1:5" x14ac:dyDescent="0.25">
      <c r="A2791" s="10">
        <v>44710</v>
      </c>
      <c r="B2791" s="11" t="s">
        <v>38</v>
      </c>
      <c r="C2791">
        <v>2248</v>
      </c>
      <c r="D2791" t="s">
        <v>7</v>
      </c>
      <c r="E2791" t="str">
        <f>IF(may[[#This Row],[ShiftCounter]]&gt;0, "Running", "Down")</f>
        <v>Running</v>
      </c>
    </row>
    <row r="2792" spans="1:5" x14ac:dyDescent="0.25">
      <c r="A2792" s="10">
        <v>44710</v>
      </c>
      <c r="B2792" s="11" t="s">
        <v>38</v>
      </c>
      <c r="C2792">
        <v>2078</v>
      </c>
      <c r="D2792" t="s">
        <v>8</v>
      </c>
      <c r="E2792" t="str">
        <f>IF(may[[#This Row],[ShiftCounter]]&gt;0, "Running", "Down")</f>
        <v>Running</v>
      </c>
    </row>
    <row r="2793" spans="1:5" x14ac:dyDescent="0.25">
      <c r="A2793" s="10">
        <v>44710</v>
      </c>
      <c r="B2793" s="11" t="s">
        <v>20</v>
      </c>
      <c r="C2793">
        <v>2312</v>
      </c>
      <c r="D2793" t="s">
        <v>6</v>
      </c>
      <c r="E2793" t="str">
        <f>IF(may[[#This Row],[ShiftCounter]]&gt;0, "Running", "Down")</f>
        <v>Running</v>
      </c>
    </row>
    <row r="2794" spans="1:5" x14ac:dyDescent="0.25">
      <c r="A2794" s="10">
        <v>44710</v>
      </c>
      <c r="B2794" s="11" t="s">
        <v>20</v>
      </c>
      <c r="C2794">
        <v>2247</v>
      </c>
      <c r="D2794" t="s">
        <v>7</v>
      </c>
      <c r="E2794" t="str">
        <f>IF(may[[#This Row],[ShiftCounter]]&gt;0, "Running", "Down")</f>
        <v>Running</v>
      </c>
    </row>
    <row r="2795" spans="1:5" x14ac:dyDescent="0.25">
      <c r="A2795" s="10">
        <v>44710</v>
      </c>
      <c r="B2795" s="11" t="s">
        <v>20</v>
      </c>
      <c r="C2795">
        <v>2204</v>
      </c>
      <c r="D2795" t="s">
        <v>8</v>
      </c>
      <c r="E2795" t="str">
        <f>IF(may[[#This Row],[ShiftCounter]]&gt;0, "Running", "Down")</f>
        <v>Running</v>
      </c>
    </row>
    <row r="2796" spans="1:5" x14ac:dyDescent="0.25">
      <c r="A2796" s="10">
        <v>44710</v>
      </c>
      <c r="B2796" s="11" t="s">
        <v>21</v>
      </c>
      <c r="C2796">
        <v>2075</v>
      </c>
      <c r="D2796" t="s">
        <v>6</v>
      </c>
      <c r="E2796" t="str">
        <f>IF(may[[#This Row],[ShiftCounter]]&gt;0, "Running", "Down")</f>
        <v>Running</v>
      </c>
    </row>
    <row r="2797" spans="1:5" x14ac:dyDescent="0.25">
      <c r="A2797" s="10">
        <v>44710</v>
      </c>
      <c r="B2797" s="11" t="s">
        <v>21</v>
      </c>
      <c r="C2797">
        <v>2014</v>
      </c>
      <c r="D2797" t="s">
        <v>7</v>
      </c>
      <c r="E2797" t="str">
        <f>IF(may[[#This Row],[ShiftCounter]]&gt;0, "Running", "Down")</f>
        <v>Running</v>
      </c>
    </row>
    <row r="2798" spans="1:5" x14ac:dyDescent="0.25">
      <c r="A2798" s="10">
        <v>44710</v>
      </c>
      <c r="B2798" s="11" t="s">
        <v>21</v>
      </c>
      <c r="C2798">
        <v>1954</v>
      </c>
      <c r="D2798" t="s">
        <v>8</v>
      </c>
      <c r="E2798" t="str">
        <f>IF(may[[#This Row],[ShiftCounter]]&gt;0, "Running", "Down")</f>
        <v>Running</v>
      </c>
    </row>
    <row r="2799" spans="1:5" x14ac:dyDescent="0.25">
      <c r="A2799" s="10">
        <v>44710</v>
      </c>
      <c r="B2799" s="11" t="s">
        <v>22</v>
      </c>
      <c r="C2799">
        <v>2042</v>
      </c>
      <c r="D2799" t="s">
        <v>6</v>
      </c>
      <c r="E2799" t="str">
        <f>IF(may[[#This Row],[ShiftCounter]]&gt;0, "Running", "Down")</f>
        <v>Running</v>
      </c>
    </row>
    <row r="2800" spans="1:5" x14ac:dyDescent="0.25">
      <c r="A2800" s="10">
        <v>44710</v>
      </c>
      <c r="B2800" s="11" t="s">
        <v>22</v>
      </c>
      <c r="C2800">
        <v>2124</v>
      </c>
      <c r="D2800" t="s">
        <v>7</v>
      </c>
      <c r="E2800" t="str">
        <f>IF(may[[#This Row],[ShiftCounter]]&gt;0, "Running", "Down")</f>
        <v>Running</v>
      </c>
    </row>
    <row r="2801" spans="1:5" x14ac:dyDescent="0.25">
      <c r="A2801" s="10">
        <v>44710</v>
      </c>
      <c r="B2801" s="11" t="s">
        <v>22</v>
      </c>
      <c r="C2801">
        <v>2039</v>
      </c>
      <c r="D2801" t="s">
        <v>8</v>
      </c>
      <c r="E2801" t="str">
        <f>IF(may[[#This Row],[ShiftCounter]]&gt;0, "Running", "Down")</f>
        <v>Running</v>
      </c>
    </row>
    <row r="2802" spans="1:5" x14ac:dyDescent="0.25">
      <c r="A2802" s="10">
        <v>44710</v>
      </c>
      <c r="B2802" s="11" t="s">
        <v>23</v>
      </c>
      <c r="C2802">
        <v>2385</v>
      </c>
      <c r="D2802" t="s">
        <v>6</v>
      </c>
      <c r="E2802" t="str">
        <f>IF(may[[#This Row],[ShiftCounter]]&gt;0, "Running", "Down")</f>
        <v>Running</v>
      </c>
    </row>
    <row r="2803" spans="1:5" x14ac:dyDescent="0.25">
      <c r="A2803" s="10">
        <v>44710</v>
      </c>
      <c r="B2803" s="11" t="s">
        <v>23</v>
      </c>
      <c r="C2803">
        <v>2283</v>
      </c>
      <c r="D2803" t="s">
        <v>7</v>
      </c>
      <c r="E2803" t="str">
        <f>IF(may[[#This Row],[ShiftCounter]]&gt;0, "Running", "Down")</f>
        <v>Running</v>
      </c>
    </row>
    <row r="2804" spans="1:5" x14ac:dyDescent="0.25">
      <c r="A2804" s="10">
        <v>44710</v>
      </c>
      <c r="B2804" s="11" t="s">
        <v>23</v>
      </c>
      <c r="C2804">
        <v>2243</v>
      </c>
      <c r="D2804" t="s">
        <v>8</v>
      </c>
      <c r="E2804" t="str">
        <f>IF(may[[#This Row],[ShiftCounter]]&gt;0, "Running", "Down")</f>
        <v>Running</v>
      </c>
    </row>
    <row r="2805" spans="1:5" x14ac:dyDescent="0.25">
      <c r="A2805" s="10">
        <v>44710</v>
      </c>
      <c r="B2805" s="11" t="s">
        <v>24</v>
      </c>
      <c r="C2805">
        <v>2022</v>
      </c>
      <c r="D2805" t="s">
        <v>6</v>
      </c>
      <c r="E2805" t="str">
        <f>IF(may[[#This Row],[ShiftCounter]]&gt;0, "Running", "Down")</f>
        <v>Running</v>
      </c>
    </row>
    <row r="2806" spans="1:5" x14ac:dyDescent="0.25">
      <c r="A2806" s="10">
        <v>44710</v>
      </c>
      <c r="B2806" s="11" t="s">
        <v>24</v>
      </c>
      <c r="C2806">
        <v>2180</v>
      </c>
      <c r="D2806" t="s">
        <v>7</v>
      </c>
      <c r="E2806" t="str">
        <f>IF(may[[#This Row],[ShiftCounter]]&gt;0, "Running", "Down")</f>
        <v>Running</v>
      </c>
    </row>
    <row r="2807" spans="1:5" x14ac:dyDescent="0.25">
      <c r="A2807" s="10">
        <v>44710</v>
      </c>
      <c r="B2807" s="11" t="s">
        <v>24</v>
      </c>
      <c r="C2807">
        <v>1934</v>
      </c>
      <c r="D2807" t="s">
        <v>8</v>
      </c>
      <c r="E2807" t="str">
        <f>IF(may[[#This Row],[ShiftCounter]]&gt;0, "Running", "Down")</f>
        <v>Running</v>
      </c>
    </row>
    <row r="2808" spans="1:5" x14ac:dyDescent="0.25">
      <c r="A2808" s="10">
        <v>44710</v>
      </c>
      <c r="B2808" s="11" t="s">
        <v>25</v>
      </c>
      <c r="C2808">
        <v>2131</v>
      </c>
      <c r="D2808" t="s">
        <v>6</v>
      </c>
      <c r="E2808" t="str">
        <f>IF(may[[#This Row],[ShiftCounter]]&gt;0, "Running", "Down")</f>
        <v>Running</v>
      </c>
    </row>
    <row r="2809" spans="1:5" x14ac:dyDescent="0.25">
      <c r="A2809" s="10">
        <v>44710</v>
      </c>
      <c r="B2809" s="11" t="s">
        <v>25</v>
      </c>
      <c r="C2809">
        <v>2305</v>
      </c>
      <c r="D2809" t="s">
        <v>7</v>
      </c>
      <c r="E2809" t="str">
        <f>IF(may[[#This Row],[ShiftCounter]]&gt;0, "Running", "Down")</f>
        <v>Running</v>
      </c>
    </row>
    <row r="2810" spans="1:5" x14ac:dyDescent="0.25">
      <c r="A2810" s="10">
        <v>44710</v>
      </c>
      <c r="B2810" s="11" t="s">
        <v>25</v>
      </c>
      <c r="C2810">
        <v>2131</v>
      </c>
      <c r="D2810" t="s">
        <v>8</v>
      </c>
      <c r="E2810" t="str">
        <f>IF(may[[#This Row],[ShiftCounter]]&gt;0, "Running", "Down")</f>
        <v>Running</v>
      </c>
    </row>
    <row r="2811" spans="1:5" x14ac:dyDescent="0.25">
      <c r="A2811" s="10">
        <v>44710</v>
      </c>
      <c r="B2811" s="11" t="s">
        <v>26</v>
      </c>
      <c r="C2811">
        <v>1984</v>
      </c>
      <c r="D2811" t="s">
        <v>6</v>
      </c>
      <c r="E2811" t="str">
        <f>IF(may[[#This Row],[ShiftCounter]]&gt;0, "Running", "Down")</f>
        <v>Running</v>
      </c>
    </row>
    <row r="2812" spans="1:5" x14ac:dyDescent="0.25">
      <c r="A2812" s="10">
        <v>44710</v>
      </c>
      <c r="B2812" s="11" t="s">
        <v>26</v>
      </c>
      <c r="C2812">
        <v>2131</v>
      </c>
      <c r="D2812" t="s">
        <v>7</v>
      </c>
      <c r="E2812" t="str">
        <f>IF(may[[#This Row],[ShiftCounter]]&gt;0, "Running", "Down")</f>
        <v>Running</v>
      </c>
    </row>
    <row r="2813" spans="1:5" x14ac:dyDescent="0.25">
      <c r="A2813" s="10">
        <v>44710</v>
      </c>
      <c r="B2813" s="11" t="s">
        <v>26</v>
      </c>
      <c r="C2813">
        <v>1921</v>
      </c>
      <c r="D2813" t="s">
        <v>8</v>
      </c>
      <c r="E2813" t="str">
        <f>IF(may[[#This Row],[ShiftCounter]]&gt;0, "Running", "Down")</f>
        <v>Running</v>
      </c>
    </row>
    <row r="2814" spans="1:5" x14ac:dyDescent="0.25">
      <c r="A2814" s="10">
        <v>44710</v>
      </c>
      <c r="B2814" s="11" t="s">
        <v>27</v>
      </c>
      <c r="C2814">
        <v>-1</v>
      </c>
      <c r="D2814" t="s">
        <v>6</v>
      </c>
      <c r="E2814" t="str">
        <f>IF(may[[#This Row],[ShiftCounter]]&gt;0, "Running", "Down")</f>
        <v>Down</v>
      </c>
    </row>
    <row r="2815" spans="1:5" x14ac:dyDescent="0.25">
      <c r="A2815" s="10">
        <v>44710</v>
      </c>
      <c r="B2815" s="11" t="s">
        <v>27</v>
      </c>
      <c r="C2815">
        <v>2087</v>
      </c>
      <c r="D2815" t="s">
        <v>7</v>
      </c>
      <c r="E2815" t="str">
        <f>IF(may[[#This Row],[ShiftCounter]]&gt;0, "Running", "Down")</f>
        <v>Running</v>
      </c>
    </row>
    <row r="2816" spans="1:5" x14ac:dyDescent="0.25">
      <c r="A2816" s="10">
        <v>44710</v>
      </c>
      <c r="B2816" s="11" t="s">
        <v>27</v>
      </c>
      <c r="C2816">
        <v>2122</v>
      </c>
      <c r="D2816" t="s">
        <v>8</v>
      </c>
      <c r="E2816" t="str">
        <f>IF(may[[#This Row],[ShiftCounter]]&gt;0, "Running", "Down")</f>
        <v>Running</v>
      </c>
    </row>
    <row r="2817" spans="1:5" x14ac:dyDescent="0.25">
      <c r="A2817" s="10">
        <v>44710</v>
      </c>
      <c r="B2817" s="11" t="s">
        <v>28</v>
      </c>
      <c r="C2817">
        <v>1984</v>
      </c>
      <c r="D2817" t="s">
        <v>6</v>
      </c>
      <c r="E2817" t="str">
        <f>IF(may[[#This Row],[ShiftCounter]]&gt;0, "Running", "Down")</f>
        <v>Running</v>
      </c>
    </row>
    <row r="2818" spans="1:5" x14ac:dyDescent="0.25">
      <c r="A2818" s="10">
        <v>44710</v>
      </c>
      <c r="B2818" s="11" t="s">
        <v>28</v>
      </c>
      <c r="C2818">
        <v>2240</v>
      </c>
      <c r="D2818" t="s">
        <v>7</v>
      </c>
      <c r="E2818" t="str">
        <f>IF(may[[#This Row],[ShiftCounter]]&gt;0, "Running", "Down")</f>
        <v>Running</v>
      </c>
    </row>
    <row r="2819" spans="1:5" x14ac:dyDescent="0.25">
      <c r="A2819" s="10">
        <v>44710</v>
      </c>
      <c r="B2819" s="11" t="s">
        <v>28</v>
      </c>
      <c r="C2819">
        <v>1722</v>
      </c>
      <c r="D2819" t="s">
        <v>8</v>
      </c>
      <c r="E2819" t="str">
        <f>IF(may[[#This Row],[ShiftCounter]]&gt;0, "Running", "Down")</f>
        <v>Running</v>
      </c>
    </row>
    <row r="2820" spans="1:5" x14ac:dyDescent="0.25">
      <c r="A2820" s="10">
        <v>44710</v>
      </c>
      <c r="B2820" s="11" t="s">
        <v>29</v>
      </c>
      <c r="C2820">
        <v>1967</v>
      </c>
      <c r="D2820" t="s">
        <v>6</v>
      </c>
      <c r="E2820" t="str">
        <f>IF(may[[#This Row],[ShiftCounter]]&gt;0, "Running", "Down")</f>
        <v>Running</v>
      </c>
    </row>
    <row r="2821" spans="1:5" x14ac:dyDescent="0.25">
      <c r="A2821" s="10">
        <v>44710</v>
      </c>
      <c r="B2821" s="11" t="s">
        <v>29</v>
      </c>
      <c r="C2821">
        <v>2096</v>
      </c>
      <c r="D2821" t="s">
        <v>7</v>
      </c>
      <c r="E2821" t="str">
        <f>IF(may[[#This Row],[ShiftCounter]]&gt;0, "Running", "Down")</f>
        <v>Running</v>
      </c>
    </row>
    <row r="2822" spans="1:5" x14ac:dyDescent="0.25">
      <c r="A2822" s="10">
        <v>44710</v>
      </c>
      <c r="B2822" s="11" t="s">
        <v>29</v>
      </c>
      <c r="C2822">
        <v>1886</v>
      </c>
      <c r="D2822" t="s">
        <v>8</v>
      </c>
      <c r="E2822" t="str">
        <f>IF(may[[#This Row],[ShiftCounter]]&gt;0, "Running", "Down")</f>
        <v>Running</v>
      </c>
    </row>
    <row r="2823" spans="1:5" x14ac:dyDescent="0.25">
      <c r="A2823" s="10">
        <v>44710</v>
      </c>
      <c r="B2823" s="11" t="s">
        <v>30</v>
      </c>
      <c r="C2823">
        <v>1970</v>
      </c>
      <c r="D2823" t="s">
        <v>6</v>
      </c>
      <c r="E2823" t="str">
        <f>IF(may[[#This Row],[ShiftCounter]]&gt;0, "Running", "Down")</f>
        <v>Running</v>
      </c>
    </row>
    <row r="2824" spans="1:5" x14ac:dyDescent="0.25">
      <c r="A2824" s="10">
        <v>44710</v>
      </c>
      <c r="B2824" s="11" t="s">
        <v>30</v>
      </c>
      <c r="C2824">
        <v>2327</v>
      </c>
      <c r="D2824" t="s">
        <v>7</v>
      </c>
      <c r="E2824" t="str">
        <f>IF(may[[#This Row],[ShiftCounter]]&gt;0, "Running", "Down")</f>
        <v>Running</v>
      </c>
    </row>
    <row r="2825" spans="1:5" x14ac:dyDescent="0.25">
      <c r="A2825" s="10">
        <v>44710</v>
      </c>
      <c r="B2825" s="11" t="s">
        <v>30</v>
      </c>
      <c r="C2825">
        <v>2128</v>
      </c>
      <c r="D2825" t="s">
        <v>8</v>
      </c>
      <c r="E2825" t="str">
        <f>IF(may[[#This Row],[ShiftCounter]]&gt;0, "Running", "Down")</f>
        <v>Running</v>
      </c>
    </row>
    <row r="2826" spans="1:5" x14ac:dyDescent="0.25">
      <c r="A2826" s="10">
        <v>44710</v>
      </c>
      <c r="B2826" s="11" t="s">
        <v>31</v>
      </c>
      <c r="C2826">
        <v>2150</v>
      </c>
      <c r="D2826" t="s">
        <v>6</v>
      </c>
      <c r="E2826" t="str">
        <f>IF(may[[#This Row],[ShiftCounter]]&gt;0, "Running", "Down")</f>
        <v>Running</v>
      </c>
    </row>
    <row r="2827" spans="1:5" x14ac:dyDescent="0.25">
      <c r="A2827" s="10">
        <v>44710</v>
      </c>
      <c r="B2827" s="11" t="s">
        <v>31</v>
      </c>
      <c r="C2827">
        <v>2084</v>
      </c>
      <c r="D2827" t="s">
        <v>7</v>
      </c>
      <c r="E2827" t="str">
        <f>IF(may[[#This Row],[ShiftCounter]]&gt;0, "Running", "Down")</f>
        <v>Running</v>
      </c>
    </row>
    <row r="2828" spans="1:5" x14ac:dyDescent="0.25">
      <c r="A2828" s="10">
        <v>44710</v>
      </c>
      <c r="B2828" s="11" t="s">
        <v>31</v>
      </c>
      <c r="C2828">
        <v>2028</v>
      </c>
      <c r="D2828" t="s">
        <v>8</v>
      </c>
      <c r="E2828" t="str">
        <f>IF(may[[#This Row],[ShiftCounter]]&gt;0, "Running", "Down")</f>
        <v>Running</v>
      </c>
    </row>
    <row r="2829" spans="1:5" x14ac:dyDescent="0.25">
      <c r="A2829" s="10">
        <v>44710</v>
      </c>
      <c r="B2829" s="11" t="s">
        <v>32</v>
      </c>
      <c r="C2829">
        <v>1642</v>
      </c>
      <c r="D2829" t="s">
        <v>6</v>
      </c>
      <c r="E2829" t="str">
        <f>IF(may[[#This Row],[ShiftCounter]]&gt;0, "Running", "Down")</f>
        <v>Running</v>
      </c>
    </row>
    <row r="2830" spans="1:5" x14ac:dyDescent="0.25">
      <c r="A2830" s="10">
        <v>44710</v>
      </c>
      <c r="B2830" s="11" t="s">
        <v>32</v>
      </c>
      <c r="C2830">
        <v>2179</v>
      </c>
      <c r="D2830" t="s">
        <v>7</v>
      </c>
      <c r="E2830" t="str">
        <f>IF(may[[#This Row],[ShiftCounter]]&gt;0, "Running", "Down")</f>
        <v>Running</v>
      </c>
    </row>
    <row r="2831" spans="1:5" x14ac:dyDescent="0.25">
      <c r="A2831" s="10">
        <v>44710</v>
      </c>
      <c r="B2831" s="11" t="s">
        <v>32</v>
      </c>
      <c r="C2831">
        <v>1986</v>
      </c>
      <c r="D2831" t="s">
        <v>8</v>
      </c>
      <c r="E2831" t="str">
        <f>IF(may[[#This Row],[ShiftCounter]]&gt;0, "Running", "Down")</f>
        <v>Running</v>
      </c>
    </row>
    <row r="2832" spans="1:5" x14ac:dyDescent="0.25">
      <c r="A2832" s="10">
        <v>44710</v>
      </c>
      <c r="B2832" s="11" t="s">
        <v>33</v>
      </c>
      <c r="C2832">
        <v>2498</v>
      </c>
      <c r="D2832" t="s">
        <v>6</v>
      </c>
      <c r="E2832" t="str">
        <f>IF(may[[#This Row],[ShiftCounter]]&gt;0, "Running", "Down")</f>
        <v>Running</v>
      </c>
    </row>
    <row r="2833" spans="1:5" x14ac:dyDescent="0.25">
      <c r="A2833" s="10">
        <v>44710</v>
      </c>
      <c r="B2833" s="11" t="s">
        <v>33</v>
      </c>
      <c r="C2833">
        <v>2421</v>
      </c>
      <c r="D2833" t="s">
        <v>7</v>
      </c>
      <c r="E2833" t="str">
        <f>IF(may[[#This Row],[ShiftCounter]]&gt;0, "Running", "Down")</f>
        <v>Running</v>
      </c>
    </row>
    <row r="2834" spans="1:5" x14ac:dyDescent="0.25">
      <c r="A2834" s="10">
        <v>44710</v>
      </c>
      <c r="B2834" s="11" t="s">
        <v>33</v>
      </c>
      <c r="C2834">
        <v>2208</v>
      </c>
      <c r="D2834" t="s">
        <v>8</v>
      </c>
      <c r="E2834" t="str">
        <f>IF(may[[#This Row],[ShiftCounter]]&gt;0, "Running", "Down")</f>
        <v>Running</v>
      </c>
    </row>
    <row r="2835" spans="1:5" x14ac:dyDescent="0.25">
      <c r="A2835" s="10">
        <v>44710</v>
      </c>
      <c r="B2835" s="11" t="s">
        <v>34</v>
      </c>
      <c r="C2835">
        <v>1342</v>
      </c>
      <c r="D2835" t="s">
        <v>6</v>
      </c>
      <c r="E2835" t="str">
        <f>IF(may[[#This Row],[ShiftCounter]]&gt;0, "Running", "Down")</f>
        <v>Running</v>
      </c>
    </row>
    <row r="2836" spans="1:5" x14ac:dyDescent="0.25">
      <c r="A2836" s="10">
        <v>44710</v>
      </c>
      <c r="B2836" s="11" t="s">
        <v>34</v>
      </c>
      <c r="C2836">
        <v>1646</v>
      </c>
      <c r="D2836" t="s">
        <v>7</v>
      </c>
      <c r="E2836" t="str">
        <f>IF(may[[#This Row],[ShiftCounter]]&gt;0, "Running", "Down")</f>
        <v>Running</v>
      </c>
    </row>
    <row r="2837" spans="1:5" x14ac:dyDescent="0.25">
      <c r="A2837" s="10">
        <v>44710</v>
      </c>
      <c r="B2837" s="11" t="s">
        <v>34</v>
      </c>
      <c r="C2837">
        <v>1752</v>
      </c>
      <c r="D2837" t="s">
        <v>8</v>
      </c>
      <c r="E2837" t="str">
        <f>IF(may[[#This Row],[ShiftCounter]]&gt;0, "Running", "Down")</f>
        <v>Running</v>
      </c>
    </row>
    <row r="2838" spans="1:5" x14ac:dyDescent="0.25">
      <c r="A2838" s="10">
        <v>44710</v>
      </c>
      <c r="B2838" s="11" t="s">
        <v>35</v>
      </c>
      <c r="C2838">
        <v>2248</v>
      </c>
      <c r="D2838" t="s">
        <v>6</v>
      </c>
      <c r="E2838" t="str">
        <f>IF(may[[#This Row],[ShiftCounter]]&gt;0, "Running", "Down")</f>
        <v>Running</v>
      </c>
    </row>
    <row r="2839" spans="1:5" x14ac:dyDescent="0.25">
      <c r="A2839" s="10">
        <v>44710</v>
      </c>
      <c r="B2839" s="11" t="s">
        <v>35</v>
      </c>
      <c r="C2839">
        <v>2161</v>
      </c>
      <c r="D2839" t="s">
        <v>7</v>
      </c>
      <c r="E2839" t="str">
        <f>IF(may[[#This Row],[ShiftCounter]]&gt;0, "Running", "Down")</f>
        <v>Running</v>
      </c>
    </row>
    <row r="2840" spans="1:5" x14ac:dyDescent="0.25">
      <c r="A2840" s="10">
        <v>44710</v>
      </c>
      <c r="B2840" s="11" t="s">
        <v>35</v>
      </c>
      <c r="C2840">
        <v>1978</v>
      </c>
      <c r="D2840" t="s">
        <v>8</v>
      </c>
      <c r="E2840" t="str">
        <f>IF(may[[#This Row],[ShiftCounter]]&gt;0, "Running", "Down")</f>
        <v>Running</v>
      </c>
    </row>
    <row r="2841" spans="1:5" x14ac:dyDescent="0.25">
      <c r="A2841" s="10">
        <v>44710</v>
      </c>
      <c r="B2841" s="11" t="s">
        <v>36</v>
      </c>
      <c r="C2841">
        <v>1952</v>
      </c>
      <c r="D2841" t="s">
        <v>6</v>
      </c>
      <c r="E2841" t="str">
        <f>IF(may[[#This Row],[ShiftCounter]]&gt;0, "Running", "Down")</f>
        <v>Running</v>
      </c>
    </row>
    <row r="2842" spans="1:5" x14ac:dyDescent="0.25">
      <c r="A2842" s="10">
        <v>44710</v>
      </c>
      <c r="B2842" s="11" t="s">
        <v>36</v>
      </c>
      <c r="C2842">
        <v>2292</v>
      </c>
      <c r="D2842" t="s">
        <v>7</v>
      </c>
      <c r="E2842" t="str">
        <f>IF(may[[#This Row],[ShiftCounter]]&gt;0, "Running", "Down")</f>
        <v>Running</v>
      </c>
    </row>
    <row r="2843" spans="1:5" x14ac:dyDescent="0.25">
      <c r="A2843" s="10">
        <v>44710</v>
      </c>
      <c r="B2843" s="11" t="s">
        <v>36</v>
      </c>
      <c r="C2843">
        <v>2126</v>
      </c>
      <c r="D2843" t="s">
        <v>8</v>
      </c>
      <c r="E2843" t="str">
        <f>IF(may[[#This Row],[ShiftCounter]]&gt;0, "Running", "Down")</f>
        <v>Running</v>
      </c>
    </row>
    <row r="2844" spans="1:5" x14ac:dyDescent="0.25">
      <c r="A2844" s="10">
        <v>44710</v>
      </c>
      <c r="B2844" s="11" t="s">
        <v>37</v>
      </c>
      <c r="C2844">
        <v>2368</v>
      </c>
      <c r="D2844" t="s">
        <v>6</v>
      </c>
      <c r="E2844" t="str">
        <f>IF(may[[#This Row],[ShiftCounter]]&gt;0, "Running", "Down")</f>
        <v>Running</v>
      </c>
    </row>
    <row r="2845" spans="1:5" x14ac:dyDescent="0.25">
      <c r="A2845" s="10">
        <v>44710</v>
      </c>
      <c r="B2845" s="11" t="s">
        <v>37</v>
      </c>
      <c r="C2845">
        <v>2266</v>
      </c>
      <c r="D2845" t="s">
        <v>7</v>
      </c>
      <c r="E2845" t="str">
        <f>IF(may[[#This Row],[ShiftCounter]]&gt;0, "Running", "Down")</f>
        <v>Running</v>
      </c>
    </row>
    <row r="2846" spans="1:5" x14ac:dyDescent="0.25">
      <c r="A2846" s="10">
        <v>44710</v>
      </c>
      <c r="B2846" s="11" t="s">
        <v>37</v>
      </c>
      <c r="C2846">
        <v>2030</v>
      </c>
      <c r="D2846" t="s">
        <v>8</v>
      </c>
      <c r="E2846" t="str">
        <f>IF(may[[#This Row],[ShiftCounter]]&gt;0, "Running", "Down")</f>
        <v>Running</v>
      </c>
    </row>
    <row r="2847" spans="1:5" x14ac:dyDescent="0.25">
      <c r="A2847" s="10">
        <v>44711</v>
      </c>
      <c r="B2847" s="11" t="s">
        <v>158</v>
      </c>
      <c r="C2847">
        <v>1936</v>
      </c>
      <c r="D2847" t="s">
        <v>6</v>
      </c>
      <c r="E2847" t="str">
        <f>IF(may[[#This Row],[ShiftCounter]]&gt;0, "Running", "Down")</f>
        <v>Running</v>
      </c>
    </row>
    <row r="2848" spans="1:5" x14ac:dyDescent="0.25">
      <c r="A2848" s="10">
        <v>44711</v>
      </c>
      <c r="B2848" s="11" t="s">
        <v>158</v>
      </c>
      <c r="C2848">
        <v>1910</v>
      </c>
      <c r="D2848" t="s">
        <v>7</v>
      </c>
      <c r="E2848" t="str">
        <f>IF(may[[#This Row],[ShiftCounter]]&gt;0, "Running", "Down")</f>
        <v>Running</v>
      </c>
    </row>
    <row r="2849" spans="1:5" x14ac:dyDescent="0.25">
      <c r="A2849" s="10">
        <v>44711</v>
      </c>
      <c r="B2849" s="11" t="s">
        <v>158</v>
      </c>
      <c r="C2849">
        <v>1757</v>
      </c>
      <c r="D2849" t="s">
        <v>8</v>
      </c>
      <c r="E2849" t="str">
        <f>IF(may[[#This Row],[ShiftCounter]]&gt;0, "Running", "Down")</f>
        <v>Running</v>
      </c>
    </row>
    <row r="2850" spans="1:5" x14ac:dyDescent="0.25">
      <c r="A2850" s="10">
        <v>44711</v>
      </c>
      <c r="B2850" s="11" t="s">
        <v>40</v>
      </c>
      <c r="C2850">
        <v>2149</v>
      </c>
      <c r="D2850" t="s">
        <v>6</v>
      </c>
      <c r="E2850" t="str">
        <f>IF(may[[#This Row],[ShiftCounter]]&gt;0, "Running", "Down")</f>
        <v>Running</v>
      </c>
    </row>
    <row r="2851" spans="1:5" x14ac:dyDescent="0.25">
      <c r="A2851" s="10">
        <v>44711</v>
      </c>
      <c r="B2851" s="11" t="s">
        <v>40</v>
      </c>
      <c r="C2851">
        <v>2024</v>
      </c>
      <c r="D2851" t="s">
        <v>7</v>
      </c>
      <c r="E2851" t="str">
        <f>IF(may[[#This Row],[ShiftCounter]]&gt;0, "Running", "Down")</f>
        <v>Running</v>
      </c>
    </row>
    <row r="2852" spans="1:5" x14ac:dyDescent="0.25">
      <c r="A2852" s="10">
        <v>44711</v>
      </c>
      <c r="B2852" s="11" t="s">
        <v>40</v>
      </c>
      <c r="C2852">
        <v>2010</v>
      </c>
      <c r="D2852" t="s">
        <v>8</v>
      </c>
      <c r="E2852" t="str">
        <f>IF(may[[#This Row],[ShiftCounter]]&gt;0, "Running", "Down")</f>
        <v>Running</v>
      </c>
    </row>
    <row r="2853" spans="1:5" x14ac:dyDescent="0.25">
      <c r="A2853" s="10">
        <v>44711</v>
      </c>
      <c r="B2853" s="11" t="s">
        <v>39</v>
      </c>
      <c r="C2853">
        <v>2039</v>
      </c>
      <c r="D2853" t="s">
        <v>6</v>
      </c>
      <c r="E2853" t="str">
        <f>IF(may[[#This Row],[ShiftCounter]]&gt;0, "Running", "Down")</f>
        <v>Running</v>
      </c>
    </row>
    <row r="2854" spans="1:5" x14ac:dyDescent="0.25">
      <c r="A2854" s="10">
        <v>44711</v>
      </c>
      <c r="B2854" s="11" t="s">
        <v>39</v>
      </c>
      <c r="C2854">
        <v>2024</v>
      </c>
      <c r="D2854" t="s">
        <v>7</v>
      </c>
      <c r="E2854" t="str">
        <f>IF(may[[#This Row],[ShiftCounter]]&gt;0, "Running", "Down")</f>
        <v>Running</v>
      </c>
    </row>
    <row r="2855" spans="1:5" x14ac:dyDescent="0.25">
      <c r="A2855" s="10">
        <v>44711</v>
      </c>
      <c r="B2855" s="11" t="s">
        <v>39</v>
      </c>
      <c r="C2855">
        <v>141</v>
      </c>
      <c r="D2855" t="s">
        <v>8</v>
      </c>
      <c r="E2855" t="str">
        <f>IF(may[[#This Row],[ShiftCounter]]&gt;0, "Running", "Down")</f>
        <v>Running</v>
      </c>
    </row>
    <row r="2856" spans="1:5" x14ac:dyDescent="0.25">
      <c r="A2856" s="10">
        <v>44711</v>
      </c>
      <c r="B2856" s="11" t="s">
        <v>41</v>
      </c>
      <c r="C2856">
        <v>2324</v>
      </c>
      <c r="D2856" t="s">
        <v>6</v>
      </c>
      <c r="E2856" t="str">
        <f>IF(may[[#This Row],[ShiftCounter]]&gt;0, "Running", "Down")</f>
        <v>Running</v>
      </c>
    </row>
    <row r="2857" spans="1:5" x14ac:dyDescent="0.25">
      <c r="A2857" s="10">
        <v>44711</v>
      </c>
      <c r="B2857" s="11" t="s">
        <v>41</v>
      </c>
      <c r="C2857">
        <v>2299</v>
      </c>
      <c r="D2857" t="s">
        <v>7</v>
      </c>
      <c r="E2857" t="str">
        <f>IF(may[[#This Row],[ShiftCounter]]&gt;0, "Running", "Down")</f>
        <v>Running</v>
      </c>
    </row>
    <row r="2858" spans="1:5" x14ac:dyDescent="0.25">
      <c r="A2858" s="10">
        <v>44711</v>
      </c>
      <c r="B2858" s="11" t="s">
        <v>41</v>
      </c>
      <c r="C2858">
        <v>2127</v>
      </c>
      <c r="D2858" t="s">
        <v>8</v>
      </c>
      <c r="E2858" t="str">
        <f>IF(may[[#This Row],[ShiftCounter]]&gt;0, "Running", "Down")</f>
        <v>Running</v>
      </c>
    </row>
    <row r="2859" spans="1:5" x14ac:dyDescent="0.25">
      <c r="A2859" s="10">
        <v>44711</v>
      </c>
      <c r="B2859" s="11" t="s">
        <v>5</v>
      </c>
      <c r="C2859">
        <v>2277</v>
      </c>
      <c r="D2859" t="s">
        <v>6</v>
      </c>
      <c r="E2859" t="str">
        <f>IF(may[[#This Row],[ShiftCounter]]&gt;0, "Running", "Down")</f>
        <v>Running</v>
      </c>
    </row>
    <row r="2860" spans="1:5" x14ac:dyDescent="0.25">
      <c r="A2860" s="10">
        <v>44711</v>
      </c>
      <c r="B2860" s="11" t="s">
        <v>5</v>
      </c>
      <c r="C2860">
        <v>2199</v>
      </c>
      <c r="D2860" t="s">
        <v>7</v>
      </c>
      <c r="E2860" t="str">
        <f>IF(may[[#This Row],[ShiftCounter]]&gt;0, "Running", "Down")</f>
        <v>Running</v>
      </c>
    </row>
    <row r="2861" spans="1:5" x14ac:dyDescent="0.25">
      <c r="A2861" s="10">
        <v>44711</v>
      </c>
      <c r="B2861" s="11" t="s">
        <v>5</v>
      </c>
      <c r="C2861">
        <v>2122</v>
      </c>
      <c r="D2861" t="s">
        <v>8</v>
      </c>
      <c r="E2861" t="str">
        <f>IF(may[[#This Row],[ShiftCounter]]&gt;0, "Running", "Down")</f>
        <v>Running</v>
      </c>
    </row>
    <row r="2862" spans="1:5" x14ac:dyDescent="0.25">
      <c r="A2862" s="10">
        <v>44711</v>
      </c>
      <c r="B2862" s="11" t="s">
        <v>9</v>
      </c>
      <c r="C2862">
        <v>2216</v>
      </c>
      <c r="D2862" t="s">
        <v>6</v>
      </c>
      <c r="E2862" t="str">
        <f>IF(may[[#This Row],[ShiftCounter]]&gt;0, "Running", "Down")</f>
        <v>Running</v>
      </c>
    </row>
    <row r="2863" spans="1:5" x14ac:dyDescent="0.25">
      <c r="A2863" s="10">
        <v>44711</v>
      </c>
      <c r="B2863" s="11" t="s">
        <v>9</v>
      </c>
      <c r="C2863">
        <v>2264</v>
      </c>
      <c r="D2863" t="s">
        <v>7</v>
      </c>
      <c r="E2863" t="str">
        <f>IF(may[[#This Row],[ShiftCounter]]&gt;0, "Running", "Down")</f>
        <v>Running</v>
      </c>
    </row>
    <row r="2864" spans="1:5" x14ac:dyDescent="0.25">
      <c r="A2864" s="10">
        <v>44711</v>
      </c>
      <c r="B2864" s="11" t="s">
        <v>9</v>
      </c>
      <c r="C2864">
        <v>2143</v>
      </c>
      <c r="D2864" t="s">
        <v>8</v>
      </c>
      <c r="E2864" t="str">
        <f>IF(may[[#This Row],[ShiftCounter]]&gt;0, "Running", "Down")</f>
        <v>Running</v>
      </c>
    </row>
    <row r="2865" spans="1:5" x14ac:dyDescent="0.25">
      <c r="A2865" s="10">
        <v>44711</v>
      </c>
      <c r="B2865" s="11" t="s">
        <v>10</v>
      </c>
      <c r="C2865">
        <v>2338</v>
      </c>
      <c r="D2865" t="s">
        <v>6</v>
      </c>
      <c r="E2865" t="str">
        <f>IF(may[[#This Row],[ShiftCounter]]&gt;0, "Running", "Down")</f>
        <v>Running</v>
      </c>
    </row>
    <row r="2866" spans="1:5" x14ac:dyDescent="0.25">
      <c r="A2866" s="10">
        <v>44711</v>
      </c>
      <c r="B2866" s="11" t="s">
        <v>10</v>
      </c>
      <c r="C2866">
        <v>2310</v>
      </c>
      <c r="D2866" t="s">
        <v>7</v>
      </c>
      <c r="E2866" t="str">
        <f>IF(may[[#This Row],[ShiftCounter]]&gt;0, "Running", "Down")</f>
        <v>Running</v>
      </c>
    </row>
    <row r="2867" spans="1:5" x14ac:dyDescent="0.25">
      <c r="A2867" s="10">
        <v>44711</v>
      </c>
      <c r="B2867" s="11" t="s">
        <v>10</v>
      </c>
      <c r="C2867">
        <v>2177</v>
      </c>
      <c r="D2867" t="s">
        <v>8</v>
      </c>
      <c r="E2867" t="str">
        <f>IF(may[[#This Row],[ShiftCounter]]&gt;0, "Running", "Down")</f>
        <v>Running</v>
      </c>
    </row>
    <row r="2868" spans="1:5" x14ac:dyDescent="0.25">
      <c r="A2868" s="10">
        <v>44711</v>
      </c>
      <c r="B2868" s="11" t="s">
        <v>12</v>
      </c>
      <c r="C2868">
        <v>2350</v>
      </c>
      <c r="D2868" t="s">
        <v>6</v>
      </c>
      <c r="E2868" t="str">
        <f>IF(may[[#This Row],[ShiftCounter]]&gt;0, "Running", "Down")</f>
        <v>Running</v>
      </c>
    </row>
    <row r="2869" spans="1:5" x14ac:dyDescent="0.25">
      <c r="A2869" s="10">
        <v>44711</v>
      </c>
      <c r="B2869" s="11" t="s">
        <v>12</v>
      </c>
      <c r="C2869">
        <v>2320</v>
      </c>
      <c r="D2869" t="s">
        <v>7</v>
      </c>
      <c r="E2869" t="str">
        <f>IF(may[[#This Row],[ShiftCounter]]&gt;0, "Running", "Down")</f>
        <v>Running</v>
      </c>
    </row>
    <row r="2870" spans="1:5" x14ac:dyDescent="0.25">
      <c r="A2870" s="10">
        <v>44711</v>
      </c>
      <c r="B2870" s="11" t="s">
        <v>12</v>
      </c>
      <c r="C2870">
        <v>2143</v>
      </c>
      <c r="D2870" t="s">
        <v>8</v>
      </c>
      <c r="E2870" t="str">
        <f>IF(may[[#This Row],[ShiftCounter]]&gt;0, "Running", "Down")</f>
        <v>Running</v>
      </c>
    </row>
    <row r="2871" spans="1:5" x14ac:dyDescent="0.25">
      <c r="A2871" s="10">
        <v>44711</v>
      </c>
      <c r="B2871" s="11" t="s">
        <v>120</v>
      </c>
      <c r="C2871">
        <v>2250</v>
      </c>
      <c r="D2871" t="s">
        <v>6</v>
      </c>
      <c r="E2871" t="str">
        <f>IF(may[[#This Row],[ShiftCounter]]&gt;0, "Running", "Down")</f>
        <v>Running</v>
      </c>
    </row>
    <row r="2872" spans="1:5" x14ac:dyDescent="0.25">
      <c r="A2872" s="10">
        <v>44711</v>
      </c>
      <c r="B2872" s="11" t="s">
        <v>120</v>
      </c>
      <c r="C2872">
        <v>2269</v>
      </c>
      <c r="D2872" t="s">
        <v>7</v>
      </c>
      <c r="E2872" t="str">
        <f>IF(may[[#This Row],[ShiftCounter]]&gt;0, "Running", "Down")</f>
        <v>Running</v>
      </c>
    </row>
    <row r="2873" spans="1:5" x14ac:dyDescent="0.25">
      <c r="A2873" s="10">
        <v>44711</v>
      </c>
      <c r="B2873" s="11" t="s">
        <v>120</v>
      </c>
      <c r="C2873">
        <v>2031</v>
      </c>
      <c r="D2873" t="s">
        <v>8</v>
      </c>
      <c r="E2873" t="str">
        <f>IF(may[[#This Row],[ShiftCounter]]&gt;0, "Running", "Down")</f>
        <v>Running</v>
      </c>
    </row>
    <row r="2874" spans="1:5" x14ac:dyDescent="0.25">
      <c r="A2874" s="10">
        <v>44711</v>
      </c>
      <c r="B2874" s="11" t="s">
        <v>13</v>
      </c>
      <c r="C2874">
        <v>1348</v>
      </c>
      <c r="D2874" t="s">
        <v>6</v>
      </c>
      <c r="E2874" t="str">
        <f>IF(may[[#This Row],[ShiftCounter]]&gt;0, "Running", "Down")</f>
        <v>Running</v>
      </c>
    </row>
    <row r="2875" spans="1:5" x14ac:dyDescent="0.25">
      <c r="A2875" s="10">
        <v>44711</v>
      </c>
      <c r="B2875" s="11" t="s">
        <v>13</v>
      </c>
      <c r="C2875">
        <v>2190</v>
      </c>
      <c r="D2875" t="s">
        <v>7</v>
      </c>
      <c r="E2875" t="str">
        <f>IF(may[[#This Row],[ShiftCounter]]&gt;0, "Running", "Down")</f>
        <v>Running</v>
      </c>
    </row>
    <row r="2876" spans="1:5" x14ac:dyDescent="0.25">
      <c r="A2876" s="10">
        <v>44711</v>
      </c>
      <c r="B2876" s="11" t="s">
        <v>13</v>
      </c>
      <c r="C2876">
        <v>1997</v>
      </c>
      <c r="D2876" t="s">
        <v>8</v>
      </c>
      <c r="E2876" t="str">
        <f>IF(may[[#This Row],[ShiftCounter]]&gt;0, "Running", "Down")</f>
        <v>Running</v>
      </c>
    </row>
    <row r="2877" spans="1:5" x14ac:dyDescent="0.25">
      <c r="A2877" s="10">
        <v>44711</v>
      </c>
      <c r="B2877" s="11" t="s">
        <v>114</v>
      </c>
      <c r="C2877">
        <v>2173</v>
      </c>
      <c r="D2877" t="s">
        <v>6</v>
      </c>
      <c r="E2877" t="str">
        <f>IF(may[[#This Row],[ShiftCounter]]&gt;0, "Running", "Down")</f>
        <v>Running</v>
      </c>
    </row>
    <row r="2878" spans="1:5" x14ac:dyDescent="0.25">
      <c r="A2878" s="10">
        <v>44711</v>
      </c>
      <c r="B2878" s="11" t="s">
        <v>114</v>
      </c>
      <c r="C2878">
        <v>2184</v>
      </c>
      <c r="D2878" t="s">
        <v>7</v>
      </c>
      <c r="E2878" t="str">
        <f>IF(may[[#This Row],[ShiftCounter]]&gt;0, "Running", "Down")</f>
        <v>Running</v>
      </c>
    </row>
    <row r="2879" spans="1:5" x14ac:dyDescent="0.25">
      <c r="A2879" s="10">
        <v>44711</v>
      </c>
      <c r="B2879" s="11" t="s">
        <v>114</v>
      </c>
      <c r="C2879">
        <v>1920</v>
      </c>
      <c r="D2879" t="s">
        <v>8</v>
      </c>
      <c r="E2879" t="str">
        <f>IF(may[[#This Row],[ShiftCounter]]&gt;0, "Running", "Down")</f>
        <v>Running</v>
      </c>
    </row>
    <row r="2880" spans="1:5" x14ac:dyDescent="0.25">
      <c r="A2880" s="10">
        <v>44711</v>
      </c>
      <c r="B2880" s="11" t="s">
        <v>14</v>
      </c>
      <c r="C2880">
        <v>2008</v>
      </c>
      <c r="D2880" t="s">
        <v>6</v>
      </c>
      <c r="E2880" t="str">
        <f>IF(may[[#This Row],[ShiftCounter]]&gt;0, "Running", "Down")</f>
        <v>Running</v>
      </c>
    </row>
    <row r="2881" spans="1:5" x14ac:dyDescent="0.25">
      <c r="A2881" s="10">
        <v>44711</v>
      </c>
      <c r="B2881" s="11" t="s">
        <v>14</v>
      </c>
      <c r="C2881">
        <v>2034</v>
      </c>
      <c r="D2881" t="s">
        <v>7</v>
      </c>
      <c r="E2881" t="str">
        <f>IF(may[[#This Row],[ShiftCounter]]&gt;0, "Running", "Down")</f>
        <v>Running</v>
      </c>
    </row>
    <row r="2882" spans="1:5" x14ac:dyDescent="0.25">
      <c r="A2882" s="10">
        <v>44711</v>
      </c>
      <c r="B2882" s="11" t="s">
        <v>14</v>
      </c>
      <c r="C2882">
        <v>1690</v>
      </c>
      <c r="D2882" t="s">
        <v>8</v>
      </c>
      <c r="E2882" t="str">
        <f>IF(may[[#This Row],[ShiftCounter]]&gt;0, "Running", "Down")</f>
        <v>Running</v>
      </c>
    </row>
    <row r="2883" spans="1:5" x14ac:dyDescent="0.25">
      <c r="A2883" s="10">
        <v>44711</v>
      </c>
      <c r="B2883" s="11" t="s">
        <v>15</v>
      </c>
      <c r="C2883">
        <v>336</v>
      </c>
      <c r="D2883" t="s">
        <v>6</v>
      </c>
      <c r="E2883" t="str">
        <f>IF(may[[#This Row],[ShiftCounter]]&gt;0, "Running", "Down")</f>
        <v>Running</v>
      </c>
    </row>
    <row r="2884" spans="1:5" x14ac:dyDescent="0.25">
      <c r="A2884" s="10">
        <v>44711</v>
      </c>
      <c r="B2884" s="11" t="s">
        <v>15</v>
      </c>
      <c r="C2884">
        <v>2054</v>
      </c>
      <c r="D2884" t="s">
        <v>7</v>
      </c>
      <c r="E2884" t="str">
        <f>IF(may[[#This Row],[ShiftCounter]]&gt;0, "Running", "Down")</f>
        <v>Running</v>
      </c>
    </row>
    <row r="2885" spans="1:5" x14ac:dyDescent="0.25">
      <c r="A2885" s="10">
        <v>44711</v>
      </c>
      <c r="B2885" s="11" t="s">
        <v>15</v>
      </c>
      <c r="C2885">
        <v>1975</v>
      </c>
      <c r="D2885" t="s">
        <v>8</v>
      </c>
      <c r="E2885" t="str">
        <f>IF(may[[#This Row],[ShiftCounter]]&gt;0, "Running", "Down")</f>
        <v>Running</v>
      </c>
    </row>
    <row r="2886" spans="1:5" x14ac:dyDescent="0.25">
      <c r="A2886" s="10">
        <v>44711</v>
      </c>
      <c r="B2886" s="11" t="s">
        <v>16</v>
      </c>
      <c r="C2886">
        <v>2396</v>
      </c>
      <c r="D2886" t="s">
        <v>6</v>
      </c>
      <c r="E2886" t="str">
        <f>IF(may[[#This Row],[ShiftCounter]]&gt;0, "Running", "Down")</f>
        <v>Running</v>
      </c>
    </row>
    <row r="2887" spans="1:5" x14ac:dyDescent="0.25">
      <c r="A2887" s="10">
        <v>44711</v>
      </c>
      <c r="B2887" s="11" t="s">
        <v>16</v>
      </c>
      <c r="C2887">
        <v>2396</v>
      </c>
      <c r="D2887" t="s">
        <v>7</v>
      </c>
      <c r="E2887" t="str">
        <f>IF(may[[#This Row],[ShiftCounter]]&gt;0, "Running", "Down")</f>
        <v>Running</v>
      </c>
    </row>
    <row r="2888" spans="1:5" x14ac:dyDescent="0.25">
      <c r="A2888" s="10">
        <v>44711</v>
      </c>
      <c r="B2888" s="11" t="s">
        <v>16</v>
      </c>
      <c r="C2888">
        <v>2052</v>
      </c>
      <c r="D2888" t="s">
        <v>8</v>
      </c>
      <c r="E2888" t="str">
        <f>IF(may[[#This Row],[ShiftCounter]]&gt;0, "Running", "Down")</f>
        <v>Running</v>
      </c>
    </row>
    <row r="2889" spans="1:5" x14ac:dyDescent="0.25">
      <c r="A2889" s="10">
        <v>44711</v>
      </c>
      <c r="B2889" s="11" t="s">
        <v>17</v>
      </c>
      <c r="C2889">
        <v>2466</v>
      </c>
      <c r="D2889" t="s">
        <v>6</v>
      </c>
      <c r="E2889" t="str">
        <f>IF(may[[#This Row],[ShiftCounter]]&gt;0, "Running", "Down")</f>
        <v>Running</v>
      </c>
    </row>
    <row r="2890" spans="1:5" x14ac:dyDescent="0.25">
      <c r="A2890" s="10">
        <v>44711</v>
      </c>
      <c r="B2890" s="11" t="s">
        <v>17</v>
      </c>
      <c r="C2890">
        <v>2496</v>
      </c>
      <c r="D2890" t="s">
        <v>7</v>
      </c>
      <c r="E2890" t="str">
        <f>IF(may[[#This Row],[ShiftCounter]]&gt;0, "Running", "Down")</f>
        <v>Running</v>
      </c>
    </row>
    <row r="2891" spans="1:5" x14ac:dyDescent="0.25">
      <c r="A2891" s="10">
        <v>44711</v>
      </c>
      <c r="B2891" s="11" t="s">
        <v>17</v>
      </c>
      <c r="C2891">
        <v>2171</v>
      </c>
      <c r="D2891" t="s">
        <v>8</v>
      </c>
      <c r="E2891" t="str">
        <f>IF(may[[#This Row],[ShiftCounter]]&gt;0, "Running", "Down")</f>
        <v>Running</v>
      </c>
    </row>
    <row r="2892" spans="1:5" x14ac:dyDescent="0.25">
      <c r="A2892" s="10">
        <v>44711</v>
      </c>
      <c r="B2892" s="11" t="s">
        <v>19</v>
      </c>
      <c r="C2892">
        <v>2116</v>
      </c>
      <c r="D2892" t="s">
        <v>6</v>
      </c>
      <c r="E2892" t="str">
        <f>IF(may[[#This Row],[ShiftCounter]]&gt;0, "Running", "Down")</f>
        <v>Running</v>
      </c>
    </row>
    <row r="2893" spans="1:5" x14ac:dyDescent="0.25">
      <c r="A2893" s="10">
        <v>44711</v>
      </c>
      <c r="B2893" s="11" t="s">
        <v>19</v>
      </c>
      <c r="C2893">
        <v>1926</v>
      </c>
      <c r="D2893" t="s">
        <v>7</v>
      </c>
      <c r="E2893" t="str">
        <f>IF(may[[#This Row],[ShiftCounter]]&gt;0, "Running", "Down")</f>
        <v>Running</v>
      </c>
    </row>
    <row r="2894" spans="1:5" x14ac:dyDescent="0.25">
      <c r="A2894" s="10">
        <v>44711</v>
      </c>
      <c r="B2894" s="11" t="s">
        <v>19</v>
      </c>
      <c r="C2894">
        <v>1625</v>
      </c>
      <c r="D2894" t="s">
        <v>8</v>
      </c>
      <c r="E2894" t="str">
        <f>IF(may[[#This Row],[ShiftCounter]]&gt;0, "Running", "Down")</f>
        <v>Running</v>
      </c>
    </row>
    <row r="2895" spans="1:5" x14ac:dyDescent="0.25">
      <c r="A2895" s="10">
        <v>44711</v>
      </c>
      <c r="B2895" s="11" t="s">
        <v>18</v>
      </c>
      <c r="C2895">
        <v>1951</v>
      </c>
      <c r="D2895" t="s">
        <v>6</v>
      </c>
      <c r="E2895" t="str">
        <f>IF(may[[#This Row],[ShiftCounter]]&gt;0, "Running", "Down")</f>
        <v>Running</v>
      </c>
    </row>
    <row r="2896" spans="1:5" x14ac:dyDescent="0.25">
      <c r="A2896" s="10">
        <v>44711</v>
      </c>
      <c r="B2896" s="11" t="s">
        <v>18</v>
      </c>
      <c r="C2896">
        <v>2320</v>
      </c>
      <c r="D2896" t="s">
        <v>7</v>
      </c>
      <c r="E2896" t="str">
        <f>IF(may[[#This Row],[ShiftCounter]]&gt;0, "Running", "Down")</f>
        <v>Running</v>
      </c>
    </row>
    <row r="2897" spans="1:5" x14ac:dyDescent="0.25">
      <c r="A2897" s="10">
        <v>44711</v>
      </c>
      <c r="B2897" s="11" t="s">
        <v>18</v>
      </c>
      <c r="C2897">
        <v>2157</v>
      </c>
      <c r="D2897" t="s">
        <v>8</v>
      </c>
      <c r="E2897" t="str">
        <f>IF(may[[#This Row],[ShiftCounter]]&gt;0, "Running", "Down")</f>
        <v>Running</v>
      </c>
    </row>
    <row r="2898" spans="1:5" x14ac:dyDescent="0.25">
      <c r="A2898" s="10">
        <v>44711</v>
      </c>
      <c r="B2898" s="11" t="s">
        <v>38</v>
      </c>
      <c r="C2898">
        <v>2100</v>
      </c>
      <c r="D2898" t="s">
        <v>6</v>
      </c>
      <c r="E2898" t="str">
        <f>IF(may[[#This Row],[ShiftCounter]]&gt;0, "Running", "Down")</f>
        <v>Running</v>
      </c>
    </row>
    <row r="2899" spans="1:5" x14ac:dyDescent="0.25">
      <c r="A2899" s="10">
        <v>44711</v>
      </c>
      <c r="B2899" s="11" t="s">
        <v>38</v>
      </c>
      <c r="C2899">
        <v>2260</v>
      </c>
      <c r="D2899" t="s">
        <v>7</v>
      </c>
      <c r="E2899" t="str">
        <f>IF(may[[#This Row],[ShiftCounter]]&gt;0, "Running", "Down")</f>
        <v>Running</v>
      </c>
    </row>
    <row r="2900" spans="1:5" x14ac:dyDescent="0.25">
      <c r="A2900" s="10">
        <v>44711</v>
      </c>
      <c r="B2900" s="11" t="s">
        <v>38</v>
      </c>
      <c r="C2900">
        <v>2115</v>
      </c>
      <c r="D2900" t="s">
        <v>8</v>
      </c>
      <c r="E2900" t="str">
        <f>IF(may[[#This Row],[ShiftCounter]]&gt;0, "Running", "Down")</f>
        <v>Running</v>
      </c>
    </row>
    <row r="2901" spans="1:5" x14ac:dyDescent="0.25">
      <c r="A2901" s="10">
        <v>44711</v>
      </c>
      <c r="B2901" s="11" t="s">
        <v>20</v>
      </c>
      <c r="C2901">
        <v>2260</v>
      </c>
      <c r="D2901" t="s">
        <v>6</v>
      </c>
      <c r="E2901" t="str">
        <f>IF(may[[#This Row],[ShiftCounter]]&gt;0, "Running", "Down")</f>
        <v>Running</v>
      </c>
    </row>
    <row r="2902" spans="1:5" x14ac:dyDescent="0.25">
      <c r="A2902" s="10">
        <v>44711</v>
      </c>
      <c r="B2902" s="11" t="s">
        <v>20</v>
      </c>
      <c r="C2902">
        <v>2208</v>
      </c>
      <c r="D2902" t="s">
        <v>7</v>
      </c>
      <c r="E2902" t="str">
        <f>IF(may[[#This Row],[ShiftCounter]]&gt;0, "Running", "Down")</f>
        <v>Running</v>
      </c>
    </row>
    <row r="2903" spans="1:5" x14ac:dyDescent="0.25">
      <c r="A2903" s="10">
        <v>44711</v>
      </c>
      <c r="B2903" s="11" t="s">
        <v>20</v>
      </c>
      <c r="C2903">
        <v>2082</v>
      </c>
      <c r="D2903" t="s">
        <v>8</v>
      </c>
      <c r="E2903" t="str">
        <f>IF(may[[#This Row],[ShiftCounter]]&gt;0, "Running", "Down")</f>
        <v>Running</v>
      </c>
    </row>
    <row r="2904" spans="1:5" x14ac:dyDescent="0.25">
      <c r="A2904" s="10">
        <v>44711</v>
      </c>
      <c r="B2904" s="11" t="s">
        <v>21</v>
      </c>
      <c r="C2904">
        <v>2033</v>
      </c>
      <c r="D2904" t="s">
        <v>6</v>
      </c>
      <c r="E2904" t="str">
        <f>IF(may[[#This Row],[ShiftCounter]]&gt;0, "Running", "Down")</f>
        <v>Running</v>
      </c>
    </row>
    <row r="2905" spans="1:5" x14ac:dyDescent="0.25">
      <c r="A2905" s="10">
        <v>44711</v>
      </c>
      <c r="B2905" s="11" t="s">
        <v>21</v>
      </c>
      <c r="C2905">
        <v>2043</v>
      </c>
      <c r="D2905" t="s">
        <v>7</v>
      </c>
      <c r="E2905" t="str">
        <f>IF(may[[#This Row],[ShiftCounter]]&gt;0, "Running", "Down")</f>
        <v>Running</v>
      </c>
    </row>
    <row r="2906" spans="1:5" x14ac:dyDescent="0.25">
      <c r="A2906" s="10">
        <v>44711</v>
      </c>
      <c r="B2906" s="11" t="s">
        <v>21</v>
      </c>
      <c r="C2906">
        <v>1867</v>
      </c>
      <c r="D2906" t="s">
        <v>8</v>
      </c>
      <c r="E2906" t="str">
        <f>IF(may[[#This Row],[ShiftCounter]]&gt;0, "Running", "Down")</f>
        <v>Running</v>
      </c>
    </row>
    <row r="2907" spans="1:5" x14ac:dyDescent="0.25">
      <c r="A2907" s="10">
        <v>44711</v>
      </c>
      <c r="B2907" s="11" t="s">
        <v>22</v>
      </c>
      <c r="C2907">
        <v>2061</v>
      </c>
      <c r="D2907" t="s">
        <v>6</v>
      </c>
      <c r="E2907" t="str">
        <f>IF(may[[#This Row],[ShiftCounter]]&gt;0, "Running", "Down")</f>
        <v>Running</v>
      </c>
    </row>
    <row r="2908" spans="1:5" x14ac:dyDescent="0.25">
      <c r="A2908" s="10">
        <v>44711</v>
      </c>
      <c r="B2908" s="11" t="s">
        <v>22</v>
      </c>
      <c r="C2908">
        <v>2125</v>
      </c>
      <c r="D2908" t="s">
        <v>7</v>
      </c>
      <c r="E2908" t="str">
        <f>IF(may[[#This Row],[ShiftCounter]]&gt;0, "Running", "Down")</f>
        <v>Running</v>
      </c>
    </row>
    <row r="2909" spans="1:5" x14ac:dyDescent="0.25">
      <c r="A2909" s="10">
        <v>44711</v>
      </c>
      <c r="B2909" s="11" t="s">
        <v>22</v>
      </c>
      <c r="C2909">
        <v>1795</v>
      </c>
      <c r="D2909" t="s">
        <v>8</v>
      </c>
      <c r="E2909" t="str">
        <f>IF(may[[#This Row],[ShiftCounter]]&gt;0, "Running", "Down")</f>
        <v>Running</v>
      </c>
    </row>
    <row r="2910" spans="1:5" x14ac:dyDescent="0.25">
      <c r="A2910" s="10">
        <v>44711</v>
      </c>
      <c r="B2910" s="11" t="s">
        <v>23</v>
      </c>
      <c r="C2910">
        <v>0</v>
      </c>
      <c r="D2910" t="s">
        <v>6</v>
      </c>
      <c r="E2910" t="str">
        <f>IF(may[[#This Row],[ShiftCounter]]&gt;0, "Running", "Down")</f>
        <v>Down</v>
      </c>
    </row>
    <row r="2911" spans="1:5" x14ac:dyDescent="0.25">
      <c r="A2911" s="10">
        <v>44711</v>
      </c>
      <c r="B2911" s="11" t="s">
        <v>23</v>
      </c>
      <c r="C2911">
        <v>2045</v>
      </c>
      <c r="D2911" t="s">
        <v>7</v>
      </c>
      <c r="E2911" t="str">
        <f>IF(may[[#This Row],[ShiftCounter]]&gt;0, "Running", "Down")</f>
        <v>Running</v>
      </c>
    </row>
    <row r="2912" spans="1:5" x14ac:dyDescent="0.25">
      <c r="A2912" s="10">
        <v>44711</v>
      </c>
      <c r="B2912" s="11" t="s">
        <v>23</v>
      </c>
      <c r="C2912">
        <v>1933</v>
      </c>
      <c r="D2912" t="s">
        <v>8</v>
      </c>
      <c r="E2912" t="str">
        <f>IF(may[[#This Row],[ShiftCounter]]&gt;0, "Running", "Down")</f>
        <v>Running</v>
      </c>
    </row>
    <row r="2913" spans="1:5" x14ac:dyDescent="0.25">
      <c r="A2913" s="10">
        <v>44711</v>
      </c>
      <c r="B2913" s="11" t="s">
        <v>24</v>
      </c>
      <c r="C2913">
        <v>2074</v>
      </c>
      <c r="D2913" t="s">
        <v>6</v>
      </c>
      <c r="E2913" t="str">
        <f>IF(may[[#This Row],[ShiftCounter]]&gt;0, "Running", "Down")</f>
        <v>Running</v>
      </c>
    </row>
    <row r="2914" spans="1:5" x14ac:dyDescent="0.25">
      <c r="A2914" s="10">
        <v>44711</v>
      </c>
      <c r="B2914" s="11" t="s">
        <v>24</v>
      </c>
      <c r="C2914">
        <v>2085</v>
      </c>
      <c r="D2914" t="s">
        <v>7</v>
      </c>
      <c r="E2914" t="str">
        <f>IF(may[[#This Row],[ShiftCounter]]&gt;0, "Running", "Down")</f>
        <v>Running</v>
      </c>
    </row>
    <row r="2915" spans="1:5" x14ac:dyDescent="0.25">
      <c r="A2915" s="10">
        <v>44711</v>
      </c>
      <c r="B2915" s="11" t="s">
        <v>24</v>
      </c>
      <c r="C2915">
        <v>1772</v>
      </c>
      <c r="D2915" t="s">
        <v>8</v>
      </c>
      <c r="E2915" t="str">
        <f>IF(may[[#This Row],[ShiftCounter]]&gt;0, "Running", "Down")</f>
        <v>Running</v>
      </c>
    </row>
    <row r="2916" spans="1:5" x14ac:dyDescent="0.25">
      <c r="A2916" s="10">
        <v>44711</v>
      </c>
      <c r="B2916" s="11" t="s">
        <v>25</v>
      </c>
      <c r="C2916">
        <v>2164</v>
      </c>
      <c r="D2916" t="s">
        <v>6</v>
      </c>
      <c r="E2916" t="str">
        <f>IF(may[[#This Row],[ShiftCounter]]&gt;0, "Running", "Down")</f>
        <v>Running</v>
      </c>
    </row>
    <row r="2917" spans="1:5" x14ac:dyDescent="0.25">
      <c r="A2917" s="10">
        <v>44711</v>
      </c>
      <c r="B2917" s="11" t="s">
        <v>25</v>
      </c>
      <c r="C2917">
        <v>2048</v>
      </c>
      <c r="D2917" t="s">
        <v>7</v>
      </c>
      <c r="E2917" t="str">
        <f>IF(may[[#This Row],[ShiftCounter]]&gt;0, "Running", "Down")</f>
        <v>Running</v>
      </c>
    </row>
    <row r="2918" spans="1:5" x14ac:dyDescent="0.25">
      <c r="A2918" s="10">
        <v>44711</v>
      </c>
      <c r="B2918" s="11" t="s">
        <v>25</v>
      </c>
      <c r="C2918">
        <v>2041</v>
      </c>
      <c r="D2918" t="s">
        <v>8</v>
      </c>
      <c r="E2918" t="str">
        <f>IF(may[[#This Row],[ShiftCounter]]&gt;0, "Running", "Down")</f>
        <v>Running</v>
      </c>
    </row>
    <row r="2919" spans="1:5" x14ac:dyDescent="0.25">
      <c r="A2919" s="10">
        <v>44711</v>
      </c>
      <c r="B2919" s="11" t="s">
        <v>26</v>
      </c>
      <c r="C2919">
        <v>2007</v>
      </c>
      <c r="D2919" t="s">
        <v>6</v>
      </c>
      <c r="E2919" t="str">
        <f>IF(may[[#This Row],[ShiftCounter]]&gt;0, "Running", "Down")</f>
        <v>Running</v>
      </c>
    </row>
    <row r="2920" spans="1:5" x14ac:dyDescent="0.25">
      <c r="A2920" s="10">
        <v>44711</v>
      </c>
      <c r="B2920" s="11" t="s">
        <v>26</v>
      </c>
      <c r="C2920">
        <v>2047</v>
      </c>
      <c r="D2920" t="s">
        <v>7</v>
      </c>
      <c r="E2920" t="str">
        <f>IF(may[[#This Row],[ShiftCounter]]&gt;0, "Running", "Down")</f>
        <v>Running</v>
      </c>
    </row>
    <row r="2921" spans="1:5" x14ac:dyDescent="0.25">
      <c r="A2921" s="10">
        <v>44711</v>
      </c>
      <c r="B2921" s="11" t="s">
        <v>26</v>
      </c>
      <c r="C2921">
        <v>1867</v>
      </c>
      <c r="D2921" t="s">
        <v>8</v>
      </c>
      <c r="E2921" t="str">
        <f>IF(may[[#This Row],[ShiftCounter]]&gt;0, "Running", "Down")</f>
        <v>Running</v>
      </c>
    </row>
    <row r="2922" spans="1:5" x14ac:dyDescent="0.25">
      <c r="A2922" s="10">
        <v>44711</v>
      </c>
      <c r="B2922" s="11" t="s">
        <v>27</v>
      </c>
      <c r="C2922">
        <v>2206</v>
      </c>
      <c r="D2922" t="s">
        <v>6</v>
      </c>
      <c r="E2922" t="str">
        <f>IF(may[[#This Row],[ShiftCounter]]&gt;0, "Running", "Down")</f>
        <v>Running</v>
      </c>
    </row>
    <row r="2923" spans="1:5" x14ac:dyDescent="0.25">
      <c r="A2923" s="10">
        <v>44711</v>
      </c>
      <c r="B2923" s="11" t="s">
        <v>27</v>
      </c>
      <c r="C2923">
        <v>2245</v>
      </c>
      <c r="D2923" t="s">
        <v>7</v>
      </c>
      <c r="E2923" t="str">
        <f>IF(may[[#This Row],[ShiftCounter]]&gt;0, "Running", "Down")</f>
        <v>Running</v>
      </c>
    </row>
    <row r="2924" spans="1:5" x14ac:dyDescent="0.25">
      <c r="A2924" s="10">
        <v>44711</v>
      </c>
      <c r="B2924" s="11" t="s">
        <v>27</v>
      </c>
      <c r="C2924">
        <v>2057</v>
      </c>
      <c r="D2924" t="s">
        <v>8</v>
      </c>
      <c r="E2924" t="str">
        <f>IF(may[[#This Row],[ShiftCounter]]&gt;0, "Running", "Down")</f>
        <v>Running</v>
      </c>
    </row>
    <row r="2925" spans="1:5" x14ac:dyDescent="0.25">
      <c r="A2925" s="10">
        <v>44711</v>
      </c>
      <c r="B2925" s="11" t="s">
        <v>28</v>
      </c>
      <c r="C2925">
        <v>2159</v>
      </c>
      <c r="D2925" t="s">
        <v>6</v>
      </c>
      <c r="E2925" t="str">
        <f>IF(may[[#This Row],[ShiftCounter]]&gt;0, "Running", "Down")</f>
        <v>Running</v>
      </c>
    </row>
    <row r="2926" spans="1:5" x14ac:dyDescent="0.25">
      <c r="A2926" s="10">
        <v>44711</v>
      </c>
      <c r="B2926" s="11" t="s">
        <v>28</v>
      </c>
      <c r="C2926">
        <v>2162</v>
      </c>
      <c r="D2926" t="s">
        <v>7</v>
      </c>
      <c r="E2926" t="str">
        <f>IF(may[[#This Row],[ShiftCounter]]&gt;0, "Running", "Down")</f>
        <v>Running</v>
      </c>
    </row>
    <row r="2927" spans="1:5" x14ac:dyDescent="0.25">
      <c r="A2927" s="10">
        <v>44711</v>
      </c>
      <c r="B2927" s="11" t="s">
        <v>28</v>
      </c>
      <c r="C2927">
        <v>1983</v>
      </c>
      <c r="D2927" t="s">
        <v>8</v>
      </c>
      <c r="E2927" t="str">
        <f>IF(may[[#This Row],[ShiftCounter]]&gt;0, "Running", "Down")</f>
        <v>Running</v>
      </c>
    </row>
    <row r="2928" spans="1:5" x14ac:dyDescent="0.25">
      <c r="A2928" s="10">
        <v>44711</v>
      </c>
      <c r="B2928" s="11" t="s">
        <v>29</v>
      </c>
      <c r="C2928">
        <v>1989</v>
      </c>
      <c r="D2928" t="s">
        <v>6</v>
      </c>
      <c r="E2928" t="str">
        <f>IF(may[[#This Row],[ShiftCounter]]&gt;0, "Running", "Down")</f>
        <v>Running</v>
      </c>
    </row>
    <row r="2929" spans="1:5" x14ac:dyDescent="0.25">
      <c r="A2929" s="10">
        <v>44711</v>
      </c>
      <c r="B2929" s="11" t="s">
        <v>29</v>
      </c>
      <c r="C2929">
        <v>2014</v>
      </c>
      <c r="D2929" t="s">
        <v>7</v>
      </c>
      <c r="E2929" t="str">
        <f>IF(may[[#This Row],[ShiftCounter]]&gt;0, "Running", "Down")</f>
        <v>Running</v>
      </c>
    </row>
    <row r="2930" spans="1:5" x14ac:dyDescent="0.25">
      <c r="A2930" s="10">
        <v>44711</v>
      </c>
      <c r="B2930" s="11" t="s">
        <v>29</v>
      </c>
      <c r="C2930">
        <v>1824</v>
      </c>
      <c r="D2930" t="s">
        <v>8</v>
      </c>
      <c r="E2930" t="str">
        <f>IF(may[[#This Row],[ShiftCounter]]&gt;0, "Running", "Down")</f>
        <v>Running</v>
      </c>
    </row>
    <row r="2931" spans="1:5" x14ac:dyDescent="0.25">
      <c r="A2931" s="10">
        <v>44711</v>
      </c>
      <c r="B2931" s="11" t="s">
        <v>30</v>
      </c>
      <c r="C2931">
        <v>2818</v>
      </c>
      <c r="D2931" t="s">
        <v>6</v>
      </c>
      <c r="E2931" t="str">
        <f>IF(may[[#This Row],[ShiftCounter]]&gt;0, "Running", "Down")</f>
        <v>Running</v>
      </c>
    </row>
    <row r="2932" spans="1:5" x14ac:dyDescent="0.25">
      <c r="A2932" s="10">
        <v>44711</v>
      </c>
      <c r="B2932" s="11" t="s">
        <v>30</v>
      </c>
      <c r="C2932">
        <v>2188</v>
      </c>
      <c r="D2932" t="s">
        <v>7</v>
      </c>
      <c r="E2932" t="str">
        <f>IF(may[[#This Row],[ShiftCounter]]&gt;0, "Running", "Down")</f>
        <v>Running</v>
      </c>
    </row>
    <row r="2933" spans="1:5" x14ac:dyDescent="0.25">
      <c r="A2933" s="10">
        <v>44711</v>
      </c>
      <c r="B2933" s="11" t="s">
        <v>30</v>
      </c>
      <c r="C2933">
        <v>1949</v>
      </c>
      <c r="D2933" t="s">
        <v>8</v>
      </c>
      <c r="E2933" t="str">
        <f>IF(may[[#This Row],[ShiftCounter]]&gt;0, "Running", "Down")</f>
        <v>Running</v>
      </c>
    </row>
    <row r="2934" spans="1:5" x14ac:dyDescent="0.25">
      <c r="A2934" s="10">
        <v>44711</v>
      </c>
      <c r="B2934" s="11" t="s">
        <v>31</v>
      </c>
      <c r="C2934">
        <v>2041</v>
      </c>
      <c r="D2934" t="s">
        <v>6</v>
      </c>
      <c r="E2934" t="str">
        <f>IF(may[[#This Row],[ShiftCounter]]&gt;0, "Running", "Down")</f>
        <v>Running</v>
      </c>
    </row>
    <row r="2935" spans="1:5" x14ac:dyDescent="0.25">
      <c r="A2935" s="10">
        <v>44711</v>
      </c>
      <c r="B2935" s="11" t="s">
        <v>31</v>
      </c>
      <c r="C2935">
        <v>2239</v>
      </c>
      <c r="D2935" t="s">
        <v>7</v>
      </c>
      <c r="E2935" t="str">
        <f>IF(may[[#This Row],[ShiftCounter]]&gt;0, "Running", "Down")</f>
        <v>Running</v>
      </c>
    </row>
    <row r="2936" spans="1:5" x14ac:dyDescent="0.25">
      <c r="A2936" s="10">
        <v>44711</v>
      </c>
      <c r="B2936" s="11" t="s">
        <v>31</v>
      </c>
      <c r="C2936">
        <v>2012</v>
      </c>
      <c r="D2936" t="s">
        <v>8</v>
      </c>
      <c r="E2936" t="str">
        <f>IF(may[[#This Row],[ShiftCounter]]&gt;0, "Running", "Down")</f>
        <v>Running</v>
      </c>
    </row>
    <row r="2937" spans="1:5" x14ac:dyDescent="0.25">
      <c r="A2937" s="10">
        <v>44711</v>
      </c>
      <c r="B2937" s="11" t="s">
        <v>32</v>
      </c>
      <c r="C2937">
        <v>2227</v>
      </c>
      <c r="D2937" t="s">
        <v>6</v>
      </c>
      <c r="E2937" t="str">
        <f>IF(may[[#This Row],[ShiftCounter]]&gt;0, "Running", "Down")</f>
        <v>Running</v>
      </c>
    </row>
    <row r="2938" spans="1:5" x14ac:dyDescent="0.25">
      <c r="A2938" s="10">
        <v>44711</v>
      </c>
      <c r="B2938" s="11" t="s">
        <v>32</v>
      </c>
      <c r="C2938">
        <v>2176</v>
      </c>
      <c r="D2938" t="s">
        <v>7</v>
      </c>
      <c r="E2938" t="str">
        <f>IF(may[[#This Row],[ShiftCounter]]&gt;0, "Running", "Down")</f>
        <v>Running</v>
      </c>
    </row>
    <row r="2939" spans="1:5" x14ac:dyDescent="0.25">
      <c r="A2939" s="10">
        <v>44711</v>
      </c>
      <c r="B2939" s="11" t="s">
        <v>32</v>
      </c>
      <c r="C2939">
        <v>2040</v>
      </c>
      <c r="D2939" t="s">
        <v>8</v>
      </c>
      <c r="E2939" t="str">
        <f>IF(may[[#This Row],[ShiftCounter]]&gt;0, "Running", "Down")</f>
        <v>Running</v>
      </c>
    </row>
    <row r="2940" spans="1:5" x14ac:dyDescent="0.25">
      <c r="A2940" s="10">
        <v>44711</v>
      </c>
      <c r="B2940" s="11" t="s">
        <v>33</v>
      </c>
      <c r="C2940">
        <v>2484</v>
      </c>
      <c r="D2940" t="s">
        <v>6</v>
      </c>
      <c r="E2940" t="str">
        <f>IF(may[[#This Row],[ShiftCounter]]&gt;0, "Running", "Down")</f>
        <v>Running</v>
      </c>
    </row>
    <row r="2941" spans="1:5" x14ac:dyDescent="0.25">
      <c r="A2941" s="10">
        <v>44711</v>
      </c>
      <c r="B2941" s="11" t="s">
        <v>33</v>
      </c>
      <c r="C2941">
        <v>2506</v>
      </c>
      <c r="D2941" t="s">
        <v>7</v>
      </c>
      <c r="E2941" t="str">
        <f>IF(may[[#This Row],[ShiftCounter]]&gt;0, "Running", "Down")</f>
        <v>Running</v>
      </c>
    </row>
    <row r="2942" spans="1:5" x14ac:dyDescent="0.25">
      <c r="A2942" s="10">
        <v>44711</v>
      </c>
      <c r="B2942" s="11" t="s">
        <v>33</v>
      </c>
      <c r="C2942">
        <v>2253</v>
      </c>
      <c r="D2942" t="s">
        <v>8</v>
      </c>
      <c r="E2942" t="str">
        <f>IF(may[[#This Row],[ShiftCounter]]&gt;0, "Running", "Down")</f>
        <v>Running</v>
      </c>
    </row>
    <row r="2943" spans="1:5" x14ac:dyDescent="0.25">
      <c r="A2943" s="10">
        <v>44711</v>
      </c>
      <c r="B2943" s="11" t="s">
        <v>35</v>
      </c>
      <c r="C2943">
        <v>2220</v>
      </c>
      <c r="D2943" t="s">
        <v>6</v>
      </c>
      <c r="E2943" t="str">
        <f>IF(may[[#This Row],[ShiftCounter]]&gt;0, "Running", "Down")</f>
        <v>Running</v>
      </c>
    </row>
    <row r="2944" spans="1:5" x14ac:dyDescent="0.25">
      <c r="A2944" s="10">
        <v>44711</v>
      </c>
      <c r="B2944" s="11" t="s">
        <v>35</v>
      </c>
      <c r="C2944">
        <v>2243</v>
      </c>
      <c r="D2944" t="s">
        <v>7</v>
      </c>
      <c r="E2944" t="str">
        <f>IF(may[[#This Row],[ShiftCounter]]&gt;0, "Running", "Down")</f>
        <v>Running</v>
      </c>
    </row>
    <row r="2945" spans="1:5" x14ac:dyDescent="0.25">
      <c r="A2945" s="10">
        <v>44711</v>
      </c>
      <c r="B2945" s="11" t="s">
        <v>35</v>
      </c>
      <c r="C2945">
        <v>2021</v>
      </c>
      <c r="D2945" t="s">
        <v>8</v>
      </c>
      <c r="E2945" t="str">
        <f>IF(may[[#This Row],[ShiftCounter]]&gt;0, "Running", "Down")</f>
        <v>Running</v>
      </c>
    </row>
    <row r="2946" spans="1:5" x14ac:dyDescent="0.25">
      <c r="A2946" s="10">
        <v>44711</v>
      </c>
      <c r="B2946" s="11" t="s">
        <v>34</v>
      </c>
      <c r="C2946">
        <v>2032</v>
      </c>
      <c r="D2946" t="s">
        <v>6</v>
      </c>
      <c r="E2946" t="str">
        <f>IF(may[[#This Row],[ShiftCounter]]&gt;0, "Running", "Down")</f>
        <v>Running</v>
      </c>
    </row>
    <row r="2947" spans="1:5" x14ac:dyDescent="0.25">
      <c r="A2947" s="10">
        <v>44711</v>
      </c>
      <c r="B2947" s="11" t="s">
        <v>34</v>
      </c>
      <c r="C2947">
        <v>2039</v>
      </c>
      <c r="D2947" t="s">
        <v>7</v>
      </c>
      <c r="E2947" t="str">
        <f>IF(may[[#This Row],[ShiftCounter]]&gt;0, "Running", "Down")</f>
        <v>Running</v>
      </c>
    </row>
    <row r="2948" spans="1:5" x14ac:dyDescent="0.25">
      <c r="A2948" s="10">
        <v>44711</v>
      </c>
      <c r="B2948" s="11" t="s">
        <v>34</v>
      </c>
      <c r="C2948">
        <v>1844</v>
      </c>
      <c r="D2948" t="s">
        <v>8</v>
      </c>
      <c r="E2948" t="str">
        <f>IF(may[[#This Row],[ShiftCounter]]&gt;0, "Running", "Down")</f>
        <v>Running</v>
      </c>
    </row>
    <row r="2949" spans="1:5" x14ac:dyDescent="0.25">
      <c r="A2949" s="10">
        <v>44711</v>
      </c>
      <c r="B2949" s="11" t="s">
        <v>36</v>
      </c>
      <c r="C2949">
        <v>2331</v>
      </c>
      <c r="D2949" t="s">
        <v>6</v>
      </c>
      <c r="E2949" t="str">
        <f>IF(may[[#This Row],[ShiftCounter]]&gt;0, "Running", "Down")</f>
        <v>Running</v>
      </c>
    </row>
    <row r="2950" spans="1:5" x14ac:dyDescent="0.25">
      <c r="A2950" s="10">
        <v>44711</v>
      </c>
      <c r="B2950" s="11" t="s">
        <v>36</v>
      </c>
      <c r="C2950">
        <v>2421</v>
      </c>
      <c r="D2950" t="s">
        <v>7</v>
      </c>
      <c r="E2950" t="str">
        <f>IF(may[[#This Row],[ShiftCounter]]&gt;0, "Running", "Down")</f>
        <v>Running</v>
      </c>
    </row>
    <row r="2951" spans="1:5" x14ac:dyDescent="0.25">
      <c r="A2951" s="10">
        <v>44711</v>
      </c>
      <c r="B2951" s="11" t="s">
        <v>36</v>
      </c>
      <c r="C2951">
        <v>2170</v>
      </c>
      <c r="D2951" t="s">
        <v>8</v>
      </c>
      <c r="E2951" t="str">
        <f>IF(may[[#This Row],[ShiftCounter]]&gt;0, "Running", "Down")</f>
        <v>Running</v>
      </c>
    </row>
    <row r="2952" spans="1:5" x14ac:dyDescent="0.25">
      <c r="A2952" s="10">
        <v>44711</v>
      </c>
      <c r="B2952" s="11" t="s">
        <v>37</v>
      </c>
      <c r="C2952">
        <v>2341</v>
      </c>
      <c r="D2952" t="s">
        <v>6</v>
      </c>
      <c r="E2952" t="str">
        <f>IF(may[[#This Row],[ShiftCounter]]&gt;0, "Running", "Down")</f>
        <v>Running</v>
      </c>
    </row>
    <row r="2953" spans="1:5" x14ac:dyDescent="0.25">
      <c r="A2953" s="10">
        <v>44711</v>
      </c>
      <c r="B2953" s="11" t="s">
        <v>37</v>
      </c>
      <c r="C2953">
        <v>2243</v>
      </c>
      <c r="D2953" t="s">
        <v>7</v>
      </c>
      <c r="E2953" t="str">
        <f>IF(may[[#This Row],[ShiftCounter]]&gt;0, "Running", "Down")</f>
        <v>Running</v>
      </c>
    </row>
    <row r="2954" spans="1:5" x14ac:dyDescent="0.25">
      <c r="A2954" s="10">
        <v>44711</v>
      </c>
      <c r="B2954" s="11" t="s">
        <v>37</v>
      </c>
      <c r="C2954">
        <v>2093</v>
      </c>
      <c r="D2954" t="s">
        <v>8</v>
      </c>
      <c r="E2954" t="str">
        <f>IF(may[[#This Row],[ShiftCounter]]&gt;0, "Running", "Down")</f>
        <v>Running</v>
      </c>
    </row>
    <row r="2955" spans="1:5" x14ac:dyDescent="0.25">
      <c r="A2955" s="10">
        <v>44712</v>
      </c>
      <c r="B2955" s="11" t="s">
        <v>158</v>
      </c>
      <c r="C2955">
        <v>0</v>
      </c>
      <c r="D2955" t="s">
        <v>6</v>
      </c>
      <c r="E2955" t="str">
        <f>IF(may[[#This Row],[ShiftCounter]]&gt;0, "Running", "Down")</f>
        <v>Down</v>
      </c>
    </row>
    <row r="2956" spans="1:5" x14ac:dyDescent="0.25">
      <c r="A2956" s="10">
        <v>44712</v>
      </c>
      <c r="B2956" s="11" t="s">
        <v>158</v>
      </c>
      <c r="C2956">
        <v>1795</v>
      </c>
      <c r="D2956" t="s">
        <v>7</v>
      </c>
      <c r="E2956" t="str">
        <f>IF(may[[#This Row],[ShiftCounter]]&gt;0, "Running", "Down")</f>
        <v>Running</v>
      </c>
    </row>
    <row r="2957" spans="1:5" x14ac:dyDescent="0.25">
      <c r="A2957" s="10">
        <v>44712</v>
      </c>
      <c r="B2957" s="11" t="s">
        <v>158</v>
      </c>
      <c r="C2957">
        <v>1805</v>
      </c>
      <c r="D2957" t="s">
        <v>8</v>
      </c>
      <c r="E2957" t="str">
        <f>IF(may[[#This Row],[ShiftCounter]]&gt;0, "Running", "Down")</f>
        <v>Running</v>
      </c>
    </row>
    <row r="2958" spans="1:5" x14ac:dyDescent="0.25">
      <c r="A2958" s="10">
        <v>44712</v>
      </c>
      <c r="B2958" s="11" t="s">
        <v>39</v>
      </c>
      <c r="C2958">
        <v>1572</v>
      </c>
      <c r="D2958" t="s">
        <v>6</v>
      </c>
      <c r="E2958" t="str">
        <f>IF(may[[#This Row],[ShiftCounter]]&gt;0, "Running", "Down")</f>
        <v>Running</v>
      </c>
    </row>
    <row r="2959" spans="1:5" x14ac:dyDescent="0.25">
      <c r="A2959" s="10">
        <v>44712</v>
      </c>
      <c r="B2959" s="11" t="s">
        <v>39</v>
      </c>
      <c r="C2959">
        <v>1785</v>
      </c>
      <c r="D2959" t="s">
        <v>7</v>
      </c>
      <c r="E2959" t="str">
        <f>IF(may[[#This Row],[ShiftCounter]]&gt;0, "Running", "Down")</f>
        <v>Running</v>
      </c>
    </row>
    <row r="2960" spans="1:5" x14ac:dyDescent="0.25">
      <c r="A2960" s="10">
        <v>44712</v>
      </c>
      <c r="B2960" s="11" t="s">
        <v>39</v>
      </c>
      <c r="C2960">
        <v>1883</v>
      </c>
      <c r="D2960" t="s">
        <v>8</v>
      </c>
      <c r="E2960" t="str">
        <f>IF(may[[#This Row],[ShiftCounter]]&gt;0, "Running", "Down")</f>
        <v>Running</v>
      </c>
    </row>
    <row r="2961" spans="1:5" x14ac:dyDescent="0.25">
      <c r="A2961" s="10">
        <v>44712</v>
      </c>
      <c r="B2961" s="11" t="s">
        <v>40</v>
      </c>
      <c r="C2961">
        <v>1643</v>
      </c>
      <c r="D2961" t="s">
        <v>6</v>
      </c>
      <c r="E2961" t="str">
        <f>IF(may[[#This Row],[ShiftCounter]]&gt;0, "Running", "Down")</f>
        <v>Running</v>
      </c>
    </row>
    <row r="2962" spans="1:5" x14ac:dyDescent="0.25">
      <c r="A2962" s="10">
        <v>44712</v>
      </c>
      <c r="B2962" s="11" t="s">
        <v>40</v>
      </c>
      <c r="C2962">
        <v>362</v>
      </c>
      <c r="D2962" t="s">
        <v>7</v>
      </c>
      <c r="E2962" t="str">
        <f>IF(may[[#This Row],[ShiftCounter]]&gt;0, "Running", "Down")</f>
        <v>Running</v>
      </c>
    </row>
    <row r="2963" spans="1:5" x14ac:dyDescent="0.25">
      <c r="A2963" s="10">
        <v>44712</v>
      </c>
      <c r="B2963" s="11" t="s">
        <v>40</v>
      </c>
      <c r="C2963">
        <v>0</v>
      </c>
      <c r="D2963" t="s">
        <v>8</v>
      </c>
      <c r="E2963" t="str">
        <f>IF(may[[#This Row],[ShiftCounter]]&gt;0, "Running", "Down")</f>
        <v>Down</v>
      </c>
    </row>
    <row r="2964" spans="1:5" x14ac:dyDescent="0.25">
      <c r="A2964" s="10">
        <v>44712</v>
      </c>
      <c r="B2964" s="11" t="s">
        <v>41</v>
      </c>
      <c r="C2964">
        <v>2330</v>
      </c>
      <c r="D2964" t="s">
        <v>6</v>
      </c>
      <c r="E2964" t="str">
        <f>IF(may[[#This Row],[ShiftCounter]]&gt;0, "Running", "Down")</f>
        <v>Running</v>
      </c>
    </row>
    <row r="2965" spans="1:5" x14ac:dyDescent="0.25">
      <c r="A2965" s="10">
        <v>44712</v>
      </c>
      <c r="B2965" s="11" t="s">
        <v>41</v>
      </c>
      <c r="C2965">
        <v>2345</v>
      </c>
      <c r="D2965" t="s">
        <v>7</v>
      </c>
      <c r="E2965" t="str">
        <f>IF(may[[#This Row],[ShiftCounter]]&gt;0, "Running", "Down")</f>
        <v>Running</v>
      </c>
    </row>
    <row r="2966" spans="1:5" x14ac:dyDescent="0.25">
      <c r="A2966" s="10">
        <v>44712</v>
      </c>
      <c r="B2966" s="11" t="s">
        <v>41</v>
      </c>
      <c r="C2966">
        <v>2057</v>
      </c>
      <c r="D2966" t="s">
        <v>8</v>
      </c>
      <c r="E2966" t="str">
        <f>IF(may[[#This Row],[ShiftCounter]]&gt;0, "Running", "Down")</f>
        <v>Running</v>
      </c>
    </row>
    <row r="2967" spans="1:5" x14ac:dyDescent="0.25">
      <c r="A2967" s="10">
        <v>44712</v>
      </c>
      <c r="B2967" s="11" t="s">
        <v>5</v>
      </c>
      <c r="C2967">
        <v>2265</v>
      </c>
      <c r="D2967" t="s">
        <v>6</v>
      </c>
      <c r="E2967" t="str">
        <f>IF(may[[#This Row],[ShiftCounter]]&gt;0, "Running", "Down")</f>
        <v>Running</v>
      </c>
    </row>
    <row r="2968" spans="1:5" x14ac:dyDescent="0.25">
      <c r="A2968" s="10">
        <v>44712</v>
      </c>
      <c r="B2968" s="11" t="s">
        <v>5</v>
      </c>
      <c r="C2968">
        <v>2247</v>
      </c>
      <c r="D2968" t="s">
        <v>7</v>
      </c>
      <c r="E2968" t="str">
        <f>IF(may[[#This Row],[ShiftCounter]]&gt;0, "Running", "Down")</f>
        <v>Running</v>
      </c>
    </row>
    <row r="2969" spans="1:5" x14ac:dyDescent="0.25">
      <c r="A2969" s="10">
        <v>44712</v>
      </c>
      <c r="B2969" s="11" t="s">
        <v>5</v>
      </c>
      <c r="C2969">
        <v>2042</v>
      </c>
      <c r="D2969" t="s">
        <v>8</v>
      </c>
      <c r="E2969" t="str">
        <f>IF(may[[#This Row],[ShiftCounter]]&gt;0, "Running", "Down")</f>
        <v>Running</v>
      </c>
    </row>
    <row r="2970" spans="1:5" x14ac:dyDescent="0.25">
      <c r="A2970" s="10">
        <v>44712</v>
      </c>
      <c r="B2970" s="11" t="s">
        <v>9</v>
      </c>
      <c r="C2970">
        <v>2323</v>
      </c>
      <c r="D2970" t="s">
        <v>6</v>
      </c>
      <c r="E2970" t="str">
        <f>IF(may[[#This Row],[ShiftCounter]]&gt;0, "Running", "Down")</f>
        <v>Running</v>
      </c>
    </row>
    <row r="2971" spans="1:5" x14ac:dyDescent="0.25">
      <c r="A2971" s="10">
        <v>44712</v>
      </c>
      <c r="B2971" s="11" t="s">
        <v>9</v>
      </c>
      <c r="C2971">
        <v>2347</v>
      </c>
      <c r="D2971" t="s">
        <v>7</v>
      </c>
      <c r="E2971" t="str">
        <f>IF(may[[#This Row],[ShiftCounter]]&gt;0, "Running", "Down")</f>
        <v>Running</v>
      </c>
    </row>
    <row r="2972" spans="1:5" x14ac:dyDescent="0.25">
      <c r="A2972" s="10">
        <v>44712</v>
      </c>
      <c r="B2972" s="11" t="s">
        <v>9</v>
      </c>
      <c r="C2972">
        <v>2253</v>
      </c>
      <c r="D2972" t="s">
        <v>8</v>
      </c>
      <c r="E2972" t="str">
        <f>IF(may[[#This Row],[ShiftCounter]]&gt;0, "Running", "Down")</f>
        <v>Running</v>
      </c>
    </row>
    <row r="2973" spans="1:5" x14ac:dyDescent="0.25">
      <c r="A2973" s="10">
        <v>44712</v>
      </c>
      <c r="B2973" s="11" t="s">
        <v>10</v>
      </c>
      <c r="C2973">
        <v>2352</v>
      </c>
      <c r="D2973" t="s">
        <v>6</v>
      </c>
      <c r="E2973" t="str">
        <f>IF(may[[#This Row],[ShiftCounter]]&gt;0, "Running", "Down")</f>
        <v>Running</v>
      </c>
    </row>
    <row r="2974" spans="1:5" x14ac:dyDescent="0.25">
      <c r="A2974" s="10">
        <v>44712</v>
      </c>
      <c r="B2974" s="11" t="s">
        <v>10</v>
      </c>
      <c r="C2974">
        <v>2374</v>
      </c>
      <c r="D2974" t="s">
        <v>7</v>
      </c>
      <c r="E2974" t="str">
        <f>IF(may[[#This Row],[ShiftCounter]]&gt;0, "Running", "Down")</f>
        <v>Running</v>
      </c>
    </row>
    <row r="2975" spans="1:5" x14ac:dyDescent="0.25">
      <c r="A2975" s="10">
        <v>44712</v>
      </c>
      <c r="B2975" s="11" t="s">
        <v>10</v>
      </c>
      <c r="C2975">
        <v>2057</v>
      </c>
      <c r="D2975" t="s">
        <v>8</v>
      </c>
      <c r="E2975" t="str">
        <f>IF(may[[#This Row],[ShiftCounter]]&gt;0, "Running", "Down")</f>
        <v>Running</v>
      </c>
    </row>
    <row r="2976" spans="1:5" x14ac:dyDescent="0.25">
      <c r="A2976" s="10">
        <v>44712</v>
      </c>
      <c r="B2976" s="11" t="s">
        <v>12</v>
      </c>
      <c r="C2976">
        <v>2354</v>
      </c>
      <c r="D2976" t="s">
        <v>6</v>
      </c>
      <c r="E2976" t="str">
        <f>IF(may[[#This Row],[ShiftCounter]]&gt;0, "Running", "Down")</f>
        <v>Running</v>
      </c>
    </row>
    <row r="2977" spans="1:5" x14ac:dyDescent="0.25">
      <c r="A2977" s="10">
        <v>44712</v>
      </c>
      <c r="B2977" s="11" t="s">
        <v>12</v>
      </c>
      <c r="C2977">
        <v>2255</v>
      </c>
      <c r="D2977" t="s">
        <v>7</v>
      </c>
      <c r="E2977" t="str">
        <f>IF(may[[#This Row],[ShiftCounter]]&gt;0, "Running", "Down")</f>
        <v>Running</v>
      </c>
    </row>
    <row r="2978" spans="1:5" x14ac:dyDescent="0.25">
      <c r="A2978" s="10">
        <v>44712</v>
      </c>
      <c r="B2978" s="11" t="s">
        <v>12</v>
      </c>
      <c r="C2978">
        <v>1954</v>
      </c>
      <c r="D2978" t="s">
        <v>8</v>
      </c>
      <c r="E2978" t="str">
        <f>IF(may[[#This Row],[ShiftCounter]]&gt;0, "Running", "Down")</f>
        <v>Running</v>
      </c>
    </row>
    <row r="2979" spans="1:5" x14ac:dyDescent="0.25">
      <c r="A2979" s="10">
        <v>44712</v>
      </c>
      <c r="B2979" s="11" t="s">
        <v>120</v>
      </c>
      <c r="C2979">
        <v>2235</v>
      </c>
      <c r="D2979" t="s">
        <v>6</v>
      </c>
      <c r="E2979" t="str">
        <f>IF(may[[#This Row],[ShiftCounter]]&gt;0, "Running", "Down")</f>
        <v>Running</v>
      </c>
    </row>
    <row r="2980" spans="1:5" x14ac:dyDescent="0.25">
      <c r="A2980" s="10">
        <v>44712</v>
      </c>
      <c r="B2980" s="11" t="s">
        <v>120</v>
      </c>
      <c r="C2980">
        <v>2165</v>
      </c>
      <c r="D2980" t="s">
        <v>7</v>
      </c>
      <c r="E2980" t="str">
        <f>IF(may[[#This Row],[ShiftCounter]]&gt;0, "Running", "Down")</f>
        <v>Running</v>
      </c>
    </row>
    <row r="2981" spans="1:5" x14ac:dyDescent="0.25">
      <c r="A2981" s="10">
        <v>44712</v>
      </c>
      <c r="B2981" s="11" t="s">
        <v>120</v>
      </c>
      <c r="C2981">
        <v>1906</v>
      </c>
      <c r="D2981" t="s">
        <v>8</v>
      </c>
      <c r="E2981" t="str">
        <f>IF(may[[#This Row],[ShiftCounter]]&gt;0, "Running", "Down")</f>
        <v>Running</v>
      </c>
    </row>
    <row r="2982" spans="1:5" x14ac:dyDescent="0.25">
      <c r="A2982" s="10">
        <v>44712</v>
      </c>
      <c r="B2982" s="11" t="s">
        <v>13</v>
      </c>
      <c r="C2982">
        <v>2108</v>
      </c>
      <c r="D2982" t="s">
        <v>6</v>
      </c>
      <c r="E2982" t="str">
        <f>IF(may[[#This Row],[ShiftCounter]]&gt;0, "Running", "Down")</f>
        <v>Running</v>
      </c>
    </row>
    <row r="2983" spans="1:5" x14ac:dyDescent="0.25">
      <c r="A2983" s="10">
        <v>44712</v>
      </c>
      <c r="B2983" s="11" t="s">
        <v>13</v>
      </c>
      <c r="C2983">
        <v>2118</v>
      </c>
      <c r="D2983" t="s">
        <v>7</v>
      </c>
      <c r="E2983" t="str">
        <f>IF(may[[#This Row],[ShiftCounter]]&gt;0, "Running", "Down")</f>
        <v>Running</v>
      </c>
    </row>
    <row r="2984" spans="1:5" x14ac:dyDescent="0.25">
      <c r="A2984" s="10">
        <v>44712</v>
      </c>
      <c r="B2984" s="11" t="s">
        <v>13</v>
      </c>
      <c r="C2984">
        <v>1818</v>
      </c>
      <c r="D2984" t="s">
        <v>8</v>
      </c>
      <c r="E2984" t="str">
        <f>IF(may[[#This Row],[ShiftCounter]]&gt;0, "Running", "Down")</f>
        <v>Running</v>
      </c>
    </row>
    <row r="2985" spans="1:5" x14ac:dyDescent="0.25">
      <c r="A2985" s="10">
        <v>44712</v>
      </c>
      <c r="B2985" s="11" t="s">
        <v>114</v>
      </c>
      <c r="C2985">
        <v>1840</v>
      </c>
      <c r="D2985" t="s">
        <v>6</v>
      </c>
      <c r="E2985" t="str">
        <f>IF(may[[#This Row],[ShiftCounter]]&gt;0, "Running", "Down")</f>
        <v>Running</v>
      </c>
    </row>
    <row r="2986" spans="1:5" x14ac:dyDescent="0.25">
      <c r="A2986" s="10">
        <v>44712</v>
      </c>
      <c r="B2986" s="11" t="s">
        <v>114</v>
      </c>
      <c r="C2986">
        <v>2052</v>
      </c>
      <c r="D2986" t="s">
        <v>7</v>
      </c>
      <c r="E2986" t="str">
        <f>IF(may[[#This Row],[ShiftCounter]]&gt;0, "Running", "Down")</f>
        <v>Running</v>
      </c>
    </row>
    <row r="2987" spans="1:5" x14ac:dyDescent="0.25">
      <c r="A2987" s="10">
        <v>44712</v>
      </c>
      <c r="B2987" s="11" t="s">
        <v>114</v>
      </c>
      <c r="C2987">
        <v>1750</v>
      </c>
      <c r="D2987" t="s">
        <v>8</v>
      </c>
      <c r="E2987" t="str">
        <f>IF(may[[#This Row],[ShiftCounter]]&gt;0, "Running", "Down")</f>
        <v>Running</v>
      </c>
    </row>
    <row r="2988" spans="1:5" x14ac:dyDescent="0.25">
      <c r="A2988" s="10">
        <v>44712</v>
      </c>
      <c r="B2988" s="11" t="s">
        <v>14</v>
      </c>
      <c r="C2988">
        <v>1789</v>
      </c>
      <c r="D2988" t="s">
        <v>6</v>
      </c>
      <c r="E2988" t="str">
        <f>IF(may[[#This Row],[ShiftCounter]]&gt;0, "Running", "Down")</f>
        <v>Running</v>
      </c>
    </row>
    <row r="2989" spans="1:5" x14ac:dyDescent="0.25">
      <c r="A2989" s="10">
        <v>44712</v>
      </c>
      <c r="B2989" s="11" t="s">
        <v>14</v>
      </c>
      <c r="C2989">
        <v>1830</v>
      </c>
      <c r="D2989" t="s">
        <v>7</v>
      </c>
      <c r="E2989" t="str">
        <f>IF(may[[#This Row],[ShiftCounter]]&gt;0, "Running", "Down")</f>
        <v>Running</v>
      </c>
    </row>
    <row r="2990" spans="1:5" x14ac:dyDescent="0.25">
      <c r="A2990" s="10">
        <v>44712</v>
      </c>
      <c r="B2990" s="11" t="s">
        <v>14</v>
      </c>
      <c r="C2990">
        <v>1550</v>
      </c>
      <c r="D2990" t="s">
        <v>8</v>
      </c>
      <c r="E2990" t="str">
        <f>IF(may[[#This Row],[ShiftCounter]]&gt;0, "Running", "Down")</f>
        <v>Running</v>
      </c>
    </row>
    <row r="2991" spans="1:5" x14ac:dyDescent="0.25">
      <c r="A2991" s="10">
        <v>44712</v>
      </c>
      <c r="B2991" s="11" t="s">
        <v>15</v>
      </c>
      <c r="C2991">
        <v>500</v>
      </c>
      <c r="D2991" t="s">
        <v>6</v>
      </c>
      <c r="E2991" t="str">
        <f>IF(may[[#This Row],[ShiftCounter]]&gt;0, "Running", "Down")</f>
        <v>Running</v>
      </c>
    </row>
    <row r="2992" spans="1:5" x14ac:dyDescent="0.25">
      <c r="A2992" s="10">
        <v>44712</v>
      </c>
      <c r="B2992" s="11" t="s">
        <v>15</v>
      </c>
      <c r="C2992">
        <v>2115</v>
      </c>
      <c r="D2992" t="s">
        <v>7</v>
      </c>
      <c r="E2992" t="str">
        <f>IF(may[[#This Row],[ShiftCounter]]&gt;0, "Running", "Down")</f>
        <v>Running</v>
      </c>
    </row>
    <row r="2993" spans="1:5" x14ac:dyDescent="0.25">
      <c r="A2993" s="10">
        <v>44712</v>
      </c>
      <c r="B2993" s="11" t="s">
        <v>15</v>
      </c>
      <c r="C2993">
        <v>1800</v>
      </c>
      <c r="D2993" t="s">
        <v>8</v>
      </c>
      <c r="E2993" t="str">
        <f>IF(may[[#This Row],[ShiftCounter]]&gt;0, "Running", "Down")</f>
        <v>Running</v>
      </c>
    </row>
    <row r="2994" spans="1:5" x14ac:dyDescent="0.25">
      <c r="A2994" s="10">
        <v>44712</v>
      </c>
      <c r="B2994" s="11" t="s">
        <v>16</v>
      </c>
      <c r="C2994">
        <v>1789</v>
      </c>
      <c r="D2994" t="s">
        <v>6</v>
      </c>
      <c r="E2994" t="str">
        <f>IF(may[[#This Row],[ShiftCounter]]&gt;0, "Running", "Down")</f>
        <v>Running</v>
      </c>
    </row>
    <row r="2995" spans="1:5" x14ac:dyDescent="0.25">
      <c r="A2995" s="10">
        <v>44712</v>
      </c>
      <c r="B2995" s="11" t="s">
        <v>16</v>
      </c>
      <c r="C2995">
        <v>2216</v>
      </c>
      <c r="D2995" t="s">
        <v>7</v>
      </c>
      <c r="E2995" t="str">
        <f>IF(may[[#This Row],[ShiftCounter]]&gt;0, "Running", "Down")</f>
        <v>Running</v>
      </c>
    </row>
    <row r="2996" spans="1:5" x14ac:dyDescent="0.25">
      <c r="A2996" s="10">
        <v>44712</v>
      </c>
      <c r="B2996" s="11" t="s">
        <v>16</v>
      </c>
      <c r="C2996">
        <v>1971</v>
      </c>
      <c r="D2996" t="s">
        <v>8</v>
      </c>
      <c r="E2996" t="str">
        <f>IF(may[[#This Row],[ShiftCounter]]&gt;0, "Running", "Down")</f>
        <v>Running</v>
      </c>
    </row>
    <row r="2997" spans="1:5" x14ac:dyDescent="0.25">
      <c r="A2997" s="10">
        <v>44712</v>
      </c>
      <c r="B2997" s="11" t="s">
        <v>17</v>
      </c>
      <c r="C2997">
        <v>2327</v>
      </c>
      <c r="D2997" t="s">
        <v>6</v>
      </c>
      <c r="E2997" t="str">
        <f>IF(may[[#This Row],[ShiftCounter]]&gt;0, "Running", "Down")</f>
        <v>Running</v>
      </c>
    </row>
    <row r="2998" spans="1:5" x14ac:dyDescent="0.25">
      <c r="A2998" s="10">
        <v>44712</v>
      </c>
      <c r="B2998" s="11" t="s">
        <v>17</v>
      </c>
      <c r="C2998">
        <v>2415</v>
      </c>
      <c r="D2998" t="s">
        <v>7</v>
      </c>
      <c r="E2998" t="str">
        <f>IF(may[[#This Row],[ShiftCounter]]&gt;0, "Running", "Down")</f>
        <v>Running</v>
      </c>
    </row>
    <row r="2999" spans="1:5" x14ac:dyDescent="0.25">
      <c r="A2999" s="10">
        <v>44712</v>
      </c>
      <c r="B2999" s="11" t="s">
        <v>17</v>
      </c>
      <c r="C2999">
        <v>2096</v>
      </c>
      <c r="D2999" t="s">
        <v>8</v>
      </c>
      <c r="E2999" t="str">
        <f>IF(may[[#This Row],[ShiftCounter]]&gt;0, "Running", "Down")</f>
        <v>Running</v>
      </c>
    </row>
    <row r="3000" spans="1:5" x14ac:dyDescent="0.25">
      <c r="A3000" s="10">
        <v>44712</v>
      </c>
      <c r="B3000" s="11" t="s">
        <v>19</v>
      </c>
      <c r="C3000">
        <v>2616</v>
      </c>
      <c r="D3000" t="s">
        <v>6</v>
      </c>
      <c r="E3000" t="str">
        <f>IF(may[[#This Row],[ShiftCounter]]&gt;0, "Running", "Down")</f>
        <v>Running</v>
      </c>
    </row>
    <row r="3001" spans="1:5" x14ac:dyDescent="0.25">
      <c r="A3001" s="10">
        <v>44712</v>
      </c>
      <c r="B3001" s="11" t="s">
        <v>19</v>
      </c>
      <c r="C3001">
        <v>2210</v>
      </c>
      <c r="D3001" t="s">
        <v>7</v>
      </c>
      <c r="E3001" t="str">
        <f>IF(may[[#This Row],[ShiftCounter]]&gt;0, "Running", "Down")</f>
        <v>Running</v>
      </c>
    </row>
    <row r="3002" spans="1:5" x14ac:dyDescent="0.25">
      <c r="A3002" s="10">
        <v>44712</v>
      </c>
      <c r="B3002" s="11" t="s">
        <v>19</v>
      </c>
      <c r="C3002">
        <v>1884</v>
      </c>
      <c r="D3002" t="s">
        <v>8</v>
      </c>
      <c r="E3002" t="str">
        <f>IF(may[[#This Row],[ShiftCounter]]&gt;0, "Running", "Down")</f>
        <v>Running</v>
      </c>
    </row>
    <row r="3003" spans="1:5" x14ac:dyDescent="0.25">
      <c r="A3003" s="10">
        <v>44712</v>
      </c>
      <c r="B3003" s="11" t="s">
        <v>18</v>
      </c>
      <c r="C3003">
        <v>2358</v>
      </c>
      <c r="D3003" t="s">
        <v>6</v>
      </c>
      <c r="E3003" t="str">
        <f>IF(may[[#This Row],[ShiftCounter]]&gt;0, "Running", "Down")</f>
        <v>Running</v>
      </c>
    </row>
    <row r="3004" spans="1:5" x14ac:dyDescent="0.25">
      <c r="A3004" s="10">
        <v>44712</v>
      </c>
      <c r="B3004" s="11" t="s">
        <v>18</v>
      </c>
      <c r="C3004">
        <v>2445</v>
      </c>
      <c r="D3004" t="s">
        <v>7</v>
      </c>
      <c r="E3004" t="str">
        <f>IF(may[[#This Row],[ShiftCounter]]&gt;0, "Running", "Down")</f>
        <v>Running</v>
      </c>
    </row>
    <row r="3005" spans="1:5" x14ac:dyDescent="0.25">
      <c r="A3005" s="10">
        <v>44712</v>
      </c>
      <c r="B3005" s="11" t="s">
        <v>18</v>
      </c>
      <c r="C3005">
        <v>2248</v>
      </c>
      <c r="D3005" t="s">
        <v>8</v>
      </c>
      <c r="E3005" t="str">
        <f>IF(may[[#This Row],[ShiftCounter]]&gt;0, "Running", "Down")</f>
        <v>Running</v>
      </c>
    </row>
    <row r="3006" spans="1:5" x14ac:dyDescent="0.25">
      <c r="A3006" s="10">
        <v>44712</v>
      </c>
      <c r="B3006" s="11" t="s">
        <v>38</v>
      </c>
      <c r="C3006">
        <v>2018</v>
      </c>
      <c r="D3006" t="s">
        <v>6</v>
      </c>
      <c r="E3006" t="str">
        <f>IF(may[[#This Row],[ShiftCounter]]&gt;0, "Running", "Down")</f>
        <v>Running</v>
      </c>
    </row>
    <row r="3007" spans="1:5" x14ac:dyDescent="0.25">
      <c r="A3007" s="10">
        <v>44712</v>
      </c>
      <c r="B3007" s="11" t="s">
        <v>38</v>
      </c>
      <c r="C3007">
        <v>2333</v>
      </c>
      <c r="D3007" t="s">
        <v>7</v>
      </c>
      <c r="E3007" t="str">
        <f>IF(may[[#This Row],[ShiftCounter]]&gt;0, "Running", "Down")</f>
        <v>Running</v>
      </c>
    </row>
    <row r="3008" spans="1:5" x14ac:dyDescent="0.25">
      <c r="A3008" s="10">
        <v>44712</v>
      </c>
      <c r="B3008" s="11" t="s">
        <v>38</v>
      </c>
      <c r="C3008">
        <v>2160</v>
      </c>
      <c r="D3008" t="s">
        <v>8</v>
      </c>
      <c r="E3008" t="str">
        <f>IF(may[[#This Row],[ShiftCounter]]&gt;0, "Running", "Down")</f>
        <v>Running</v>
      </c>
    </row>
    <row r="3009" spans="1:5" x14ac:dyDescent="0.25">
      <c r="A3009" s="10">
        <v>44712</v>
      </c>
      <c r="B3009" s="11" t="s">
        <v>20</v>
      </c>
      <c r="C3009">
        <v>2345</v>
      </c>
      <c r="D3009" t="s">
        <v>6</v>
      </c>
      <c r="E3009" t="str">
        <f>IF(may[[#This Row],[ShiftCounter]]&gt;0, "Running", "Down")</f>
        <v>Running</v>
      </c>
    </row>
    <row r="3010" spans="1:5" x14ac:dyDescent="0.25">
      <c r="A3010" s="10">
        <v>44712</v>
      </c>
      <c r="B3010" s="11" t="s">
        <v>20</v>
      </c>
      <c r="C3010">
        <v>2299</v>
      </c>
      <c r="D3010" t="s">
        <v>7</v>
      </c>
      <c r="E3010" t="str">
        <f>IF(may[[#This Row],[ShiftCounter]]&gt;0, "Running", "Down")</f>
        <v>Running</v>
      </c>
    </row>
    <row r="3011" spans="1:5" x14ac:dyDescent="0.25">
      <c r="A3011" s="10">
        <v>44712</v>
      </c>
      <c r="B3011" s="11" t="s">
        <v>20</v>
      </c>
      <c r="C3011">
        <v>2165</v>
      </c>
      <c r="D3011" t="s">
        <v>8</v>
      </c>
      <c r="E3011" t="str">
        <f>IF(may[[#This Row],[ShiftCounter]]&gt;0, "Running", "Down")</f>
        <v>Running</v>
      </c>
    </row>
    <row r="3012" spans="1:5" x14ac:dyDescent="0.25">
      <c r="A3012" s="10">
        <v>44712</v>
      </c>
      <c r="B3012" s="11" t="s">
        <v>21</v>
      </c>
      <c r="C3012">
        <v>2113</v>
      </c>
      <c r="D3012" t="s">
        <v>6</v>
      </c>
      <c r="E3012" t="str">
        <f>IF(may[[#This Row],[ShiftCounter]]&gt;0, "Running", "Down")</f>
        <v>Running</v>
      </c>
    </row>
    <row r="3013" spans="1:5" x14ac:dyDescent="0.25">
      <c r="A3013" s="10">
        <v>44712</v>
      </c>
      <c r="B3013" s="11" t="s">
        <v>21</v>
      </c>
      <c r="C3013">
        <v>2081</v>
      </c>
      <c r="D3013" t="s">
        <v>7</v>
      </c>
      <c r="E3013" t="str">
        <f>IF(may[[#This Row],[ShiftCounter]]&gt;0, "Running", "Down")</f>
        <v>Running</v>
      </c>
    </row>
    <row r="3014" spans="1:5" x14ac:dyDescent="0.25">
      <c r="A3014" s="10">
        <v>44712</v>
      </c>
      <c r="B3014" s="11" t="s">
        <v>21</v>
      </c>
      <c r="C3014">
        <v>1929</v>
      </c>
      <c r="D3014" t="s">
        <v>8</v>
      </c>
      <c r="E3014" t="str">
        <f>IF(may[[#This Row],[ShiftCounter]]&gt;0, "Running", "Down")</f>
        <v>Running</v>
      </c>
    </row>
    <row r="3015" spans="1:5" x14ac:dyDescent="0.25">
      <c r="A3015" s="10">
        <v>44712</v>
      </c>
      <c r="B3015" s="11" t="s">
        <v>22</v>
      </c>
      <c r="C3015">
        <v>2175</v>
      </c>
      <c r="D3015" t="s">
        <v>6</v>
      </c>
      <c r="E3015" t="str">
        <f>IF(may[[#This Row],[ShiftCounter]]&gt;0, "Running", "Down")</f>
        <v>Running</v>
      </c>
    </row>
    <row r="3016" spans="1:5" x14ac:dyDescent="0.25">
      <c r="A3016" s="10">
        <v>44712</v>
      </c>
      <c r="B3016" s="11" t="s">
        <v>22</v>
      </c>
      <c r="C3016">
        <v>2190</v>
      </c>
      <c r="D3016" t="s">
        <v>7</v>
      </c>
      <c r="E3016" t="str">
        <f>IF(may[[#This Row],[ShiftCounter]]&gt;0, "Running", "Down")</f>
        <v>Running</v>
      </c>
    </row>
    <row r="3017" spans="1:5" x14ac:dyDescent="0.25">
      <c r="A3017" s="10">
        <v>44712</v>
      </c>
      <c r="B3017" s="11" t="s">
        <v>22</v>
      </c>
      <c r="C3017">
        <v>2069</v>
      </c>
      <c r="D3017" t="s">
        <v>8</v>
      </c>
      <c r="E3017" t="str">
        <f>IF(may[[#This Row],[ShiftCounter]]&gt;0, "Running", "Down")</f>
        <v>Running</v>
      </c>
    </row>
    <row r="3018" spans="1:5" x14ac:dyDescent="0.25">
      <c r="A3018" s="10">
        <v>44712</v>
      </c>
      <c r="B3018" s="11" t="s">
        <v>23</v>
      </c>
      <c r="C3018">
        <v>2015</v>
      </c>
      <c r="D3018" t="s">
        <v>6</v>
      </c>
      <c r="E3018" t="str">
        <f>IF(may[[#This Row],[ShiftCounter]]&gt;0, "Running", "Down")</f>
        <v>Running</v>
      </c>
    </row>
    <row r="3019" spans="1:5" x14ac:dyDescent="0.25">
      <c r="A3019" s="10">
        <v>44712</v>
      </c>
      <c r="B3019" s="11" t="s">
        <v>23</v>
      </c>
      <c r="C3019">
        <v>2219</v>
      </c>
      <c r="D3019" t="s">
        <v>7</v>
      </c>
      <c r="E3019" t="str">
        <f>IF(may[[#This Row],[ShiftCounter]]&gt;0, "Running", "Down")</f>
        <v>Running</v>
      </c>
    </row>
    <row r="3020" spans="1:5" x14ac:dyDescent="0.25">
      <c r="A3020" s="10">
        <v>44712</v>
      </c>
      <c r="B3020" s="11" t="s">
        <v>23</v>
      </c>
      <c r="C3020">
        <v>2080</v>
      </c>
      <c r="D3020" t="s">
        <v>8</v>
      </c>
      <c r="E3020" t="str">
        <f>IF(may[[#This Row],[ShiftCounter]]&gt;0, "Running", "Down")</f>
        <v>Running</v>
      </c>
    </row>
    <row r="3021" spans="1:5" x14ac:dyDescent="0.25">
      <c r="A3021" s="10">
        <v>44712</v>
      </c>
      <c r="B3021" s="11" t="s">
        <v>24</v>
      </c>
      <c r="C3021">
        <v>2053</v>
      </c>
      <c r="D3021" t="s">
        <v>6</v>
      </c>
      <c r="E3021" t="str">
        <f>IF(may[[#This Row],[ShiftCounter]]&gt;0, "Running", "Down")</f>
        <v>Running</v>
      </c>
    </row>
    <row r="3022" spans="1:5" x14ac:dyDescent="0.25">
      <c r="A3022" s="10">
        <v>44712</v>
      </c>
      <c r="B3022" s="11" t="s">
        <v>24</v>
      </c>
      <c r="C3022">
        <v>2165</v>
      </c>
      <c r="D3022" t="s">
        <v>7</v>
      </c>
      <c r="E3022" t="str">
        <f>IF(may[[#This Row],[ShiftCounter]]&gt;0, "Running", "Down")</f>
        <v>Running</v>
      </c>
    </row>
    <row r="3023" spans="1:5" x14ac:dyDescent="0.25">
      <c r="A3023" s="10">
        <v>44712</v>
      </c>
      <c r="B3023" s="11" t="s">
        <v>24</v>
      </c>
      <c r="C3023">
        <v>1857</v>
      </c>
      <c r="D3023" t="s">
        <v>8</v>
      </c>
      <c r="E3023" t="str">
        <f>IF(may[[#This Row],[ShiftCounter]]&gt;0, "Running", "Down")</f>
        <v>Running</v>
      </c>
    </row>
    <row r="3024" spans="1:5" x14ac:dyDescent="0.25">
      <c r="A3024" s="10">
        <v>44712</v>
      </c>
      <c r="B3024" s="11" t="s">
        <v>25</v>
      </c>
      <c r="C3024">
        <v>1357</v>
      </c>
      <c r="D3024" t="s">
        <v>6</v>
      </c>
      <c r="E3024" t="str">
        <f>IF(may[[#This Row],[ShiftCounter]]&gt;0, "Running", "Down")</f>
        <v>Running</v>
      </c>
    </row>
    <row r="3025" spans="1:5" x14ac:dyDescent="0.25">
      <c r="A3025" s="10">
        <v>44712</v>
      </c>
      <c r="B3025" s="11" t="s">
        <v>25</v>
      </c>
      <c r="C3025">
        <v>2148</v>
      </c>
      <c r="D3025" t="s">
        <v>7</v>
      </c>
      <c r="E3025" t="str">
        <f>IF(may[[#This Row],[ShiftCounter]]&gt;0, "Running", "Down")</f>
        <v>Running</v>
      </c>
    </row>
    <row r="3026" spans="1:5" x14ac:dyDescent="0.25">
      <c r="A3026" s="10">
        <v>44712</v>
      </c>
      <c r="B3026" s="11" t="s">
        <v>25</v>
      </c>
      <c r="C3026">
        <v>2001</v>
      </c>
      <c r="D3026" t="s">
        <v>8</v>
      </c>
      <c r="E3026" t="str">
        <f>IF(may[[#This Row],[ShiftCounter]]&gt;0, "Running", "Down")</f>
        <v>Running</v>
      </c>
    </row>
    <row r="3027" spans="1:5" x14ac:dyDescent="0.25">
      <c r="A3027" s="10">
        <v>44712</v>
      </c>
      <c r="B3027" s="11" t="s">
        <v>27</v>
      </c>
      <c r="C3027">
        <v>1948</v>
      </c>
      <c r="D3027" t="s">
        <v>6</v>
      </c>
      <c r="E3027" t="str">
        <f>IF(may[[#This Row],[ShiftCounter]]&gt;0, "Running", "Down")</f>
        <v>Running</v>
      </c>
    </row>
    <row r="3028" spans="1:5" x14ac:dyDescent="0.25">
      <c r="A3028" s="10">
        <v>44712</v>
      </c>
      <c r="B3028" s="11" t="s">
        <v>27</v>
      </c>
      <c r="C3028">
        <v>2069</v>
      </c>
      <c r="D3028" t="s">
        <v>7</v>
      </c>
      <c r="E3028" t="str">
        <f>IF(may[[#This Row],[ShiftCounter]]&gt;0, "Running", "Down")</f>
        <v>Running</v>
      </c>
    </row>
    <row r="3029" spans="1:5" x14ac:dyDescent="0.25">
      <c r="A3029" s="10">
        <v>44712</v>
      </c>
      <c r="B3029" s="11" t="s">
        <v>27</v>
      </c>
      <c r="C3029">
        <v>2021</v>
      </c>
      <c r="D3029" t="s">
        <v>8</v>
      </c>
      <c r="E3029" t="str">
        <f>IF(may[[#This Row],[ShiftCounter]]&gt;0, "Running", "Down")</f>
        <v>Running</v>
      </c>
    </row>
    <row r="3030" spans="1:5" x14ac:dyDescent="0.25">
      <c r="A3030" s="10">
        <v>44712</v>
      </c>
      <c r="B3030" s="11" t="s">
        <v>26</v>
      </c>
      <c r="C3030">
        <v>2130</v>
      </c>
      <c r="D3030" t="s">
        <v>6</v>
      </c>
      <c r="E3030" t="str">
        <f>IF(may[[#This Row],[ShiftCounter]]&gt;0, "Running", "Down")</f>
        <v>Running</v>
      </c>
    </row>
    <row r="3031" spans="1:5" x14ac:dyDescent="0.25">
      <c r="A3031" s="10">
        <v>44712</v>
      </c>
      <c r="B3031" s="11" t="s">
        <v>26</v>
      </c>
      <c r="C3031">
        <v>2073</v>
      </c>
      <c r="D3031" t="s">
        <v>7</v>
      </c>
      <c r="E3031" t="str">
        <f>IF(may[[#This Row],[ShiftCounter]]&gt;0, "Running", "Down")</f>
        <v>Running</v>
      </c>
    </row>
    <row r="3032" spans="1:5" x14ac:dyDescent="0.25">
      <c r="A3032" s="10">
        <v>44712</v>
      </c>
      <c r="B3032" s="11" t="s">
        <v>26</v>
      </c>
      <c r="C3032">
        <v>1751</v>
      </c>
      <c r="D3032" t="s">
        <v>8</v>
      </c>
      <c r="E3032" t="str">
        <f>IF(may[[#This Row],[ShiftCounter]]&gt;0, "Running", "Down")</f>
        <v>Running</v>
      </c>
    </row>
    <row r="3033" spans="1:5" x14ac:dyDescent="0.25">
      <c r="A3033" s="10">
        <v>44712</v>
      </c>
      <c r="B3033" s="11" t="s">
        <v>28</v>
      </c>
      <c r="C3033">
        <v>2283</v>
      </c>
      <c r="D3033" t="s">
        <v>6</v>
      </c>
      <c r="E3033" t="str">
        <f>IF(may[[#This Row],[ShiftCounter]]&gt;0, "Running", "Down")</f>
        <v>Running</v>
      </c>
    </row>
    <row r="3034" spans="1:5" x14ac:dyDescent="0.25">
      <c r="A3034" s="10">
        <v>44712</v>
      </c>
      <c r="B3034" s="11" t="s">
        <v>28</v>
      </c>
      <c r="C3034">
        <v>2185</v>
      </c>
      <c r="D3034" t="s">
        <v>7</v>
      </c>
      <c r="E3034" t="str">
        <f>IF(may[[#This Row],[ShiftCounter]]&gt;0, "Running", "Down")</f>
        <v>Running</v>
      </c>
    </row>
    <row r="3035" spans="1:5" x14ac:dyDescent="0.25">
      <c r="A3035" s="10">
        <v>44712</v>
      </c>
      <c r="B3035" s="11" t="s">
        <v>28</v>
      </c>
      <c r="C3035">
        <v>1882</v>
      </c>
      <c r="D3035" t="s">
        <v>8</v>
      </c>
      <c r="E3035" t="str">
        <f>IF(may[[#This Row],[ShiftCounter]]&gt;0, "Running", "Down")</f>
        <v>Running</v>
      </c>
    </row>
    <row r="3036" spans="1:5" x14ac:dyDescent="0.25">
      <c r="A3036" s="10">
        <v>44712</v>
      </c>
      <c r="B3036" s="11" t="s">
        <v>29</v>
      </c>
      <c r="C3036">
        <v>2105</v>
      </c>
      <c r="D3036" t="s">
        <v>6</v>
      </c>
      <c r="E3036" t="str">
        <f>IF(may[[#This Row],[ShiftCounter]]&gt;0, "Running", "Down")</f>
        <v>Running</v>
      </c>
    </row>
    <row r="3037" spans="1:5" x14ac:dyDescent="0.25">
      <c r="A3037" s="10">
        <v>44712</v>
      </c>
      <c r="B3037" s="11" t="s">
        <v>29</v>
      </c>
      <c r="C3037">
        <v>2037</v>
      </c>
      <c r="D3037" t="s">
        <v>7</v>
      </c>
      <c r="E3037" t="str">
        <f>IF(may[[#This Row],[ShiftCounter]]&gt;0, "Running", "Down")</f>
        <v>Running</v>
      </c>
    </row>
    <row r="3038" spans="1:5" x14ac:dyDescent="0.25">
      <c r="A3038" s="10">
        <v>44712</v>
      </c>
      <c r="B3038" s="11" t="s">
        <v>29</v>
      </c>
      <c r="C3038">
        <v>1893</v>
      </c>
      <c r="D3038" t="s">
        <v>8</v>
      </c>
      <c r="E3038" t="str">
        <f>IF(may[[#This Row],[ShiftCounter]]&gt;0, "Running", "Down")</f>
        <v>Running</v>
      </c>
    </row>
    <row r="3039" spans="1:5" x14ac:dyDescent="0.25">
      <c r="A3039" s="10">
        <v>44712</v>
      </c>
      <c r="B3039" s="11" t="s">
        <v>30</v>
      </c>
      <c r="C3039">
        <v>2000</v>
      </c>
      <c r="D3039" t="s">
        <v>6</v>
      </c>
      <c r="E3039" t="str">
        <f>IF(may[[#This Row],[ShiftCounter]]&gt;0, "Running", "Down")</f>
        <v>Running</v>
      </c>
    </row>
    <row r="3040" spans="1:5" x14ac:dyDescent="0.25">
      <c r="A3040" s="10">
        <v>44712</v>
      </c>
      <c r="B3040" s="11" t="s">
        <v>30</v>
      </c>
      <c r="C3040">
        <v>2221</v>
      </c>
      <c r="D3040" t="s">
        <v>7</v>
      </c>
      <c r="E3040" t="str">
        <f>IF(may[[#This Row],[ShiftCounter]]&gt;0, "Running", "Down")</f>
        <v>Running</v>
      </c>
    </row>
    <row r="3041" spans="1:5" x14ac:dyDescent="0.25">
      <c r="A3041" s="10">
        <v>44712</v>
      </c>
      <c r="B3041" s="11" t="s">
        <v>30</v>
      </c>
      <c r="C3041">
        <v>2203</v>
      </c>
      <c r="D3041" t="s">
        <v>8</v>
      </c>
      <c r="E3041" t="str">
        <f>IF(may[[#This Row],[ShiftCounter]]&gt;0, "Running", "Down")</f>
        <v>Running</v>
      </c>
    </row>
    <row r="3042" spans="1:5" x14ac:dyDescent="0.25">
      <c r="A3042" s="10">
        <v>44712</v>
      </c>
      <c r="B3042" s="11" t="s">
        <v>31</v>
      </c>
      <c r="C3042">
        <v>1714</v>
      </c>
      <c r="D3042" t="s">
        <v>6</v>
      </c>
      <c r="E3042" t="str">
        <f>IF(may[[#This Row],[ShiftCounter]]&gt;0, "Running", "Down")</f>
        <v>Running</v>
      </c>
    </row>
    <row r="3043" spans="1:5" x14ac:dyDescent="0.25">
      <c r="A3043" s="10">
        <v>44712</v>
      </c>
      <c r="B3043" s="11" t="s">
        <v>31</v>
      </c>
      <c r="C3043">
        <v>2055</v>
      </c>
      <c r="D3043" t="s">
        <v>7</v>
      </c>
      <c r="E3043" t="str">
        <f>IF(may[[#This Row],[ShiftCounter]]&gt;0, "Running", "Down")</f>
        <v>Running</v>
      </c>
    </row>
    <row r="3044" spans="1:5" x14ac:dyDescent="0.25">
      <c r="A3044" s="10">
        <v>44712</v>
      </c>
      <c r="B3044" s="11" t="s">
        <v>31</v>
      </c>
      <c r="C3044">
        <v>2048</v>
      </c>
      <c r="D3044" t="s">
        <v>8</v>
      </c>
      <c r="E3044" t="str">
        <f>IF(may[[#This Row],[ShiftCounter]]&gt;0, "Running", "Down")</f>
        <v>Running</v>
      </c>
    </row>
    <row r="3045" spans="1:5" x14ac:dyDescent="0.25">
      <c r="A3045" s="10">
        <v>44712</v>
      </c>
      <c r="B3045" s="11" t="s">
        <v>32</v>
      </c>
      <c r="C3045">
        <v>2165</v>
      </c>
      <c r="D3045" t="s">
        <v>6</v>
      </c>
      <c r="E3045" t="str">
        <f>IF(may[[#This Row],[ShiftCounter]]&gt;0, "Running", "Down")</f>
        <v>Running</v>
      </c>
    </row>
    <row r="3046" spans="1:5" x14ac:dyDescent="0.25">
      <c r="A3046" s="10">
        <v>44712</v>
      </c>
      <c r="B3046" s="11" t="s">
        <v>32</v>
      </c>
      <c r="C3046">
        <v>2201</v>
      </c>
      <c r="D3046" t="s">
        <v>7</v>
      </c>
      <c r="E3046" t="str">
        <f>IF(may[[#This Row],[ShiftCounter]]&gt;0, "Running", "Down")</f>
        <v>Running</v>
      </c>
    </row>
    <row r="3047" spans="1:5" x14ac:dyDescent="0.25">
      <c r="A3047" s="10">
        <v>44712</v>
      </c>
      <c r="B3047" s="11" t="s">
        <v>32</v>
      </c>
      <c r="C3047">
        <v>2126</v>
      </c>
      <c r="D3047" t="s">
        <v>8</v>
      </c>
      <c r="E3047" t="str">
        <f>IF(may[[#This Row],[ShiftCounter]]&gt;0, "Running", "Down")</f>
        <v>Running</v>
      </c>
    </row>
    <row r="3048" spans="1:5" x14ac:dyDescent="0.25">
      <c r="A3048" s="10">
        <v>44712</v>
      </c>
      <c r="B3048" s="11" t="s">
        <v>71</v>
      </c>
      <c r="C3048">
        <v>743</v>
      </c>
      <c r="D3048" t="s">
        <v>6</v>
      </c>
      <c r="E3048" t="str">
        <f>IF(may[[#This Row],[ShiftCounter]]&gt;0, "Running", "Down")</f>
        <v>Running</v>
      </c>
    </row>
    <row r="3049" spans="1:5" x14ac:dyDescent="0.25">
      <c r="A3049" s="10">
        <v>44712</v>
      </c>
      <c r="B3049" s="11" t="s">
        <v>71</v>
      </c>
      <c r="C3049">
        <v>2133</v>
      </c>
      <c r="D3049" t="s">
        <v>7</v>
      </c>
      <c r="E3049" t="str">
        <f>IF(may[[#This Row],[ShiftCounter]]&gt;0, "Running", "Down")</f>
        <v>Running</v>
      </c>
    </row>
    <row r="3050" spans="1:5" x14ac:dyDescent="0.25">
      <c r="A3050" s="10">
        <v>44712</v>
      </c>
      <c r="B3050" s="11" t="s">
        <v>71</v>
      </c>
      <c r="C3050">
        <v>1993</v>
      </c>
      <c r="D3050" t="s">
        <v>8</v>
      </c>
      <c r="E3050" t="str">
        <f>IF(may[[#This Row],[ShiftCounter]]&gt;0, "Running", "Down")</f>
        <v>Running</v>
      </c>
    </row>
    <row r="3051" spans="1:5" x14ac:dyDescent="0.25">
      <c r="A3051" s="10">
        <v>44712</v>
      </c>
      <c r="B3051" s="11" t="s">
        <v>33</v>
      </c>
      <c r="C3051">
        <v>2404</v>
      </c>
      <c r="D3051" t="s">
        <v>6</v>
      </c>
      <c r="E3051" t="str">
        <f>IF(may[[#This Row],[ShiftCounter]]&gt;0, "Running", "Down")</f>
        <v>Running</v>
      </c>
    </row>
    <row r="3052" spans="1:5" x14ac:dyDescent="0.25">
      <c r="A3052" s="10">
        <v>44712</v>
      </c>
      <c r="B3052" s="11" t="s">
        <v>33</v>
      </c>
      <c r="C3052">
        <v>2451</v>
      </c>
      <c r="D3052" t="s">
        <v>7</v>
      </c>
      <c r="E3052" t="str">
        <f>IF(may[[#This Row],[ShiftCounter]]&gt;0, "Running", "Down")</f>
        <v>Running</v>
      </c>
    </row>
    <row r="3053" spans="1:5" x14ac:dyDescent="0.25">
      <c r="A3053" s="10">
        <v>44712</v>
      </c>
      <c r="B3053" s="11" t="s">
        <v>33</v>
      </c>
      <c r="C3053">
        <v>2361</v>
      </c>
      <c r="D3053" t="s">
        <v>8</v>
      </c>
      <c r="E3053" t="str">
        <f>IF(may[[#This Row],[ShiftCounter]]&gt;0, "Running", "Down")</f>
        <v>Running</v>
      </c>
    </row>
    <row r="3054" spans="1:5" x14ac:dyDescent="0.25">
      <c r="A3054" s="10">
        <v>44712</v>
      </c>
      <c r="B3054" s="11" t="s">
        <v>34</v>
      </c>
      <c r="C3054">
        <v>1986</v>
      </c>
      <c r="D3054" t="s">
        <v>6</v>
      </c>
      <c r="E3054" t="str">
        <f>IF(may[[#This Row],[ShiftCounter]]&gt;0, "Running", "Down")</f>
        <v>Running</v>
      </c>
    </row>
    <row r="3055" spans="1:5" x14ac:dyDescent="0.25">
      <c r="A3055" s="10">
        <v>44712</v>
      </c>
      <c r="B3055" s="11" t="s">
        <v>34</v>
      </c>
      <c r="C3055">
        <v>2026</v>
      </c>
      <c r="D3055" t="s">
        <v>7</v>
      </c>
      <c r="E3055" t="str">
        <f>IF(may[[#This Row],[ShiftCounter]]&gt;0, "Running", "Down")</f>
        <v>Running</v>
      </c>
    </row>
    <row r="3056" spans="1:5" x14ac:dyDescent="0.25">
      <c r="A3056" s="10">
        <v>44712</v>
      </c>
      <c r="B3056" s="11" t="s">
        <v>34</v>
      </c>
      <c r="C3056">
        <v>1836</v>
      </c>
      <c r="D3056" t="s">
        <v>8</v>
      </c>
      <c r="E3056" t="str">
        <f>IF(may[[#This Row],[ShiftCounter]]&gt;0, "Running", "Down")</f>
        <v>Running</v>
      </c>
    </row>
    <row r="3057" spans="1:5" x14ac:dyDescent="0.25">
      <c r="A3057" s="10">
        <v>44712</v>
      </c>
      <c r="B3057" s="11" t="s">
        <v>35</v>
      </c>
      <c r="C3057">
        <v>2094</v>
      </c>
      <c r="D3057" t="s">
        <v>6</v>
      </c>
      <c r="E3057" t="str">
        <f>IF(may[[#This Row],[ShiftCounter]]&gt;0, "Running", "Down")</f>
        <v>Running</v>
      </c>
    </row>
    <row r="3058" spans="1:5" x14ac:dyDescent="0.25">
      <c r="A3058" s="10">
        <v>44712</v>
      </c>
      <c r="B3058" s="11" t="s">
        <v>35</v>
      </c>
      <c r="C3058">
        <v>2143</v>
      </c>
      <c r="D3058" t="s">
        <v>7</v>
      </c>
      <c r="E3058" t="str">
        <f>IF(may[[#This Row],[ShiftCounter]]&gt;0, "Running", "Down")</f>
        <v>Running</v>
      </c>
    </row>
    <row r="3059" spans="1:5" x14ac:dyDescent="0.25">
      <c r="A3059" s="10">
        <v>44712</v>
      </c>
      <c r="B3059" s="11" t="s">
        <v>35</v>
      </c>
      <c r="C3059">
        <v>1967</v>
      </c>
      <c r="D3059" t="s">
        <v>8</v>
      </c>
      <c r="E3059" t="str">
        <f>IF(may[[#This Row],[ShiftCounter]]&gt;0, "Running", "Down")</f>
        <v>Running</v>
      </c>
    </row>
    <row r="3060" spans="1:5" x14ac:dyDescent="0.25">
      <c r="A3060" s="10">
        <v>44712</v>
      </c>
      <c r="B3060" s="11" t="s">
        <v>36</v>
      </c>
      <c r="C3060">
        <v>2303</v>
      </c>
      <c r="D3060" t="s">
        <v>6</v>
      </c>
      <c r="E3060" t="str">
        <f>IF(may[[#This Row],[ShiftCounter]]&gt;0, "Running", "Down")</f>
        <v>Running</v>
      </c>
    </row>
    <row r="3061" spans="1:5" x14ac:dyDescent="0.25">
      <c r="A3061" s="10">
        <v>44712</v>
      </c>
      <c r="B3061" s="11" t="s">
        <v>36</v>
      </c>
      <c r="C3061">
        <v>2300</v>
      </c>
      <c r="D3061" t="s">
        <v>7</v>
      </c>
      <c r="E3061" t="str">
        <f>IF(may[[#This Row],[ShiftCounter]]&gt;0, "Running", "Down")</f>
        <v>Running</v>
      </c>
    </row>
    <row r="3062" spans="1:5" x14ac:dyDescent="0.25">
      <c r="A3062" s="10">
        <v>44712</v>
      </c>
      <c r="B3062" s="11" t="s">
        <v>36</v>
      </c>
      <c r="C3062">
        <v>2147</v>
      </c>
      <c r="D3062" t="s">
        <v>8</v>
      </c>
      <c r="E3062" t="str">
        <f>IF(may[[#This Row],[ShiftCounter]]&gt;0, "Running", "Down")</f>
        <v>Running</v>
      </c>
    </row>
    <row r="3063" spans="1:5" x14ac:dyDescent="0.25">
      <c r="A3063" s="10">
        <v>44712</v>
      </c>
      <c r="B3063" s="11" t="s">
        <v>37</v>
      </c>
      <c r="C3063">
        <v>2017</v>
      </c>
      <c r="D3063" t="s">
        <v>6</v>
      </c>
      <c r="E3063" t="str">
        <f>IF(may[[#This Row],[ShiftCounter]]&gt;0, "Running", "Down")</f>
        <v>Running</v>
      </c>
    </row>
    <row r="3064" spans="1:5" x14ac:dyDescent="0.25">
      <c r="A3064" s="10">
        <v>44712</v>
      </c>
      <c r="B3064" s="11" t="s">
        <v>37</v>
      </c>
      <c r="C3064">
        <v>2203</v>
      </c>
      <c r="D3064" t="s">
        <v>7</v>
      </c>
      <c r="E3064" t="str">
        <f>IF(may[[#This Row],[ShiftCounter]]&gt;0, "Running", "Down")</f>
        <v>Running</v>
      </c>
    </row>
    <row r="3065" spans="1:5" x14ac:dyDescent="0.25">
      <c r="A3065" s="10">
        <v>44712</v>
      </c>
      <c r="B3065" s="11" t="s">
        <v>37</v>
      </c>
      <c r="C3065">
        <v>2098</v>
      </c>
      <c r="D3065" t="s">
        <v>8</v>
      </c>
      <c r="E3065" t="str">
        <f>IF(may[[#This Row],[ShiftCounter]]&gt;0, "Running", "Down")</f>
        <v>Running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98"/>
  <sheetViews>
    <sheetView topLeftCell="A2078" zoomScaleNormal="100" workbookViewId="0">
      <selection activeCell="C2082" sqref="C2082"/>
    </sheetView>
  </sheetViews>
  <sheetFormatPr defaultRowHeight="15" x14ac:dyDescent="0.25"/>
  <cols>
    <col min="1" max="1" width="17" customWidth="1"/>
    <col min="2" max="2" width="19.140625" customWidth="1"/>
    <col min="3" max="3" width="14.42578125" customWidth="1"/>
    <col min="4" max="4" width="9.85546875" customWidth="1"/>
    <col min="5" max="5" width="12.28515625" customWidth="1"/>
    <col min="7" max="7" width="9.1406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8">
        <v>44713</v>
      </c>
      <c r="B2" t="s">
        <v>158</v>
      </c>
      <c r="C2">
        <v>1785</v>
      </c>
      <c r="D2" t="s">
        <v>6</v>
      </c>
      <c r="E2" t="str">
        <f>IF(june[[#This Row],[ShiftCounter]]&gt;0, "Running", "Down")</f>
        <v>Running</v>
      </c>
    </row>
    <row r="3" spans="1:5" x14ac:dyDescent="0.25">
      <c r="A3" s="8">
        <v>44713</v>
      </c>
      <c r="B3" t="s">
        <v>158</v>
      </c>
      <c r="C3">
        <v>1934</v>
      </c>
      <c r="D3" t="s">
        <v>7</v>
      </c>
      <c r="E3" t="str">
        <f>IF(june[[#This Row],[ShiftCounter]]&gt;0, "Running", "Down")</f>
        <v>Running</v>
      </c>
    </row>
    <row r="4" spans="1:5" x14ac:dyDescent="0.25">
      <c r="A4" s="8">
        <v>44713</v>
      </c>
      <c r="B4" t="s">
        <v>158</v>
      </c>
      <c r="C4">
        <v>1811</v>
      </c>
      <c r="D4" t="s">
        <v>8</v>
      </c>
      <c r="E4" t="str">
        <f>IF(june[[#This Row],[ShiftCounter]]&gt;0, "Running", "Down")</f>
        <v>Running</v>
      </c>
    </row>
    <row r="5" spans="1:5" x14ac:dyDescent="0.25">
      <c r="A5" s="8">
        <v>44713</v>
      </c>
      <c r="B5" t="s">
        <v>40</v>
      </c>
      <c r="C5">
        <v>0</v>
      </c>
      <c r="D5" t="s">
        <v>6</v>
      </c>
      <c r="E5" t="str">
        <f>IF(june[[#This Row],[ShiftCounter]]&gt;0, "Running", "Down")</f>
        <v>Down</v>
      </c>
    </row>
    <row r="6" spans="1:5" x14ac:dyDescent="0.25">
      <c r="A6" s="8">
        <v>44713</v>
      </c>
      <c r="B6" t="s">
        <v>40</v>
      </c>
      <c r="C6">
        <v>2401</v>
      </c>
      <c r="D6" t="s">
        <v>7</v>
      </c>
      <c r="E6" t="str">
        <f>IF(june[[#This Row],[ShiftCounter]]&gt;0, "Running", "Down")</f>
        <v>Running</v>
      </c>
    </row>
    <row r="7" spans="1:5" x14ac:dyDescent="0.25">
      <c r="A7" s="8">
        <v>44713</v>
      </c>
      <c r="B7" t="s">
        <v>40</v>
      </c>
      <c r="C7">
        <v>2137</v>
      </c>
      <c r="D7" t="s">
        <v>8</v>
      </c>
      <c r="E7" t="str">
        <f>IF(june[[#This Row],[ShiftCounter]]&gt;0, "Running", "Down")</f>
        <v>Running</v>
      </c>
    </row>
    <row r="8" spans="1:5" x14ac:dyDescent="0.25">
      <c r="A8" s="8">
        <v>44713</v>
      </c>
      <c r="B8" t="s">
        <v>39</v>
      </c>
      <c r="C8">
        <v>1858</v>
      </c>
      <c r="D8" t="s">
        <v>6</v>
      </c>
      <c r="E8" t="str">
        <f>IF(june[[#This Row],[ShiftCounter]]&gt;0, "Running", "Down")</f>
        <v>Running</v>
      </c>
    </row>
    <row r="9" spans="1:5" x14ac:dyDescent="0.25">
      <c r="A9" s="8">
        <v>44713</v>
      </c>
      <c r="B9" t="s">
        <v>39</v>
      </c>
      <c r="C9">
        <v>2015</v>
      </c>
      <c r="D9" t="s">
        <v>7</v>
      </c>
      <c r="E9" t="str">
        <f>IF(june[[#This Row],[ShiftCounter]]&gt;0, "Running", "Down")</f>
        <v>Running</v>
      </c>
    </row>
    <row r="10" spans="1:5" x14ac:dyDescent="0.25">
      <c r="A10" s="8">
        <v>44713</v>
      </c>
      <c r="B10" t="s">
        <v>39</v>
      </c>
      <c r="C10">
        <v>1867</v>
      </c>
      <c r="D10" t="s">
        <v>8</v>
      </c>
      <c r="E10" t="str">
        <f>IF(june[[#This Row],[ShiftCounter]]&gt;0, "Running", "Down")</f>
        <v>Running</v>
      </c>
    </row>
    <row r="11" spans="1:5" x14ac:dyDescent="0.25">
      <c r="A11" s="8">
        <v>44713</v>
      </c>
      <c r="B11" t="s">
        <v>41</v>
      </c>
      <c r="C11">
        <v>2339</v>
      </c>
      <c r="D11" t="s">
        <v>6</v>
      </c>
      <c r="E11" t="str">
        <f>IF(june[[#This Row],[ShiftCounter]]&gt;0, "Running", "Down")</f>
        <v>Running</v>
      </c>
    </row>
    <row r="12" spans="1:5" x14ac:dyDescent="0.25">
      <c r="A12" s="8">
        <v>44713</v>
      </c>
      <c r="B12" t="s">
        <v>41</v>
      </c>
      <c r="C12">
        <v>2196</v>
      </c>
      <c r="D12" t="s">
        <v>7</v>
      </c>
      <c r="E12" t="str">
        <f>IF(june[[#This Row],[ShiftCounter]]&gt;0, "Running", "Down")</f>
        <v>Running</v>
      </c>
    </row>
    <row r="13" spans="1:5" x14ac:dyDescent="0.25">
      <c r="A13" s="8">
        <v>44713</v>
      </c>
      <c r="B13" t="s">
        <v>41</v>
      </c>
      <c r="C13">
        <v>2104</v>
      </c>
      <c r="D13" t="s">
        <v>8</v>
      </c>
      <c r="E13" t="str">
        <f>IF(june[[#This Row],[ShiftCounter]]&gt;0, "Running", "Down")</f>
        <v>Running</v>
      </c>
    </row>
    <row r="14" spans="1:5" x14ac:dyDescent="0.25">
      <c r="A14" s="8">
        <v>44713</v>
      </c>
      <c r="B14" t="s">
        <v>5</v>
      </c>
      <c r="C14">
        <v>2288</v>
      </c>
      <c r="D14" t="s">
        <v>6</v>
      </c>
      <c r="E14" t="str">
        <f>IF(june[[#This Row],[ShiftCounter]]&gt;0, "Running", "Down")</f>
        <v>Running</v>
      </c>
    </row>
    <row r="15" spans="1:5" x14ac:dyDescent="0.25">
      <c r="A15" s="8">
        <v>44713</v>
      </c>
      <c r="B15" t="s">
        <v>5</v>
      </c>
      <c r="C15">
        <v>2298</v>
      </c>
      <c r="D15" t="s">
        <v>7</v>
      </c>
      <c r="E15" t="str">
        <f>IF(june[[#This Row],[ShiftCounter]]&gt;0, "Running", "Down")</f>
        <v>Running</v>
      </c>
    </row>
    <row r="16" spans="1:5" x14ac:dyDescent="0.25">
      <c r="A16" s="8">
        <v>44713</v>
      </c>
      <c r="B16" t="s">
        <v>5</v>
      </c>
      <c r="C16">
        <v>2194</v>
      </c>
      <c r="D16" t="s">
        <v>8</v>
      </c>
      <c r="E16" t="str">
        <f>IF(june[[#This Row],[ShiftCounter]]&gt;0, "Running", "Down")</f>
        <v>Running</v>
      </c>
    </row>
    <row r="17" spans="1:5" x14ac:dyDescent="0.25">
      <c r="A17" s="8">
        <v>44713</v>
      </c>
      <c r="B17" t="s">
        <v>9</v>
      </c>
      <c r="C17">
        <v>2136</v>
      </c>
      <c r="D17" t="s">
        <v>6</v>
      </c>
      <c r="E17" t="str">
        <f>IF(june[[#This Row],[ShiftCounter]]&gt;0, "Running", "Down")</f>
        <v>Running</v>
      </c>
    </row>
    <row r="18" spans="1:5" x14ac:dyDescent="0.25">
      <c r="A18" s="8">
        <v>44713</v>
      </c>
      <c r="B18" t="s">
        <v>9</v>
      </c>
      <c r="C18">
        <v>2321</v>
      </c>
      <c r="D18" t="s">
        <v>7</v>
      </c>
      <c r="E18" t="str">
        <f>IF(june[[#This Row],[ShiftCounter]]&gt;0, "Running", "Down")</f>
        <v>Running</v>
      </c>
    </row>
    <row r="19" spans="1:5" x14ac:dyDescent="0.25">
      <c r="A19" s="8">
        <v>44713</v>
      </c>
      <c r="B19" t="s">
        <v>9</v>
      </c>
      <c r="C19">
        <v>2116</v>
      </c>
      <c r="D19" t="s">
        <v>8</v>
      </c>
      <c r="E19" t="str">
        <f>IF(june[[#This Row],[ShiftCounter]]&gt;0, "Running", "Down")</f>
        <v>Running</v>
      </c>
    </row>
    <row r="20" spans="1:5" x14ac:dyDescent="0.25">
      <c r="A20" s="8">
        <v>44713</v>
      </c>
      <c r="B20" t="s">
        <v>10</v>
      </c>
      <c r="C20">
        <v>2353</v>
      </c>
      <c r="D20" t="s">
        <v>6</v>
      </c>
      <c r="E20" t="str">
        <f>IF(june[[#This Row],[ShiftCounter]]&gt;0, "Running", "Down")</f>
        <v>Running</v>
      </c>
    </row>
    <row r="21" spans="1:5" x14ac:dyDescent="0.25">
      <c r="A21" s="8">
        <v>44713</v>
      </c>
      <c r="B21" t="s">
        <v>10</v>
      </c>
      <c r="C21">
        <v>2361</v>
      </c>
      <c r="D21" t="s">
        <v>7</v>
      </c>
      <c r="E21" t="str">
        <f>IF(june[[#This Row],[ShiftCounter]]&gt;0, "Running", "Down")</f>
        <v>Running</v>
      </c>
    </row>
    <row r="22" spans="1:5" x14ac:dyDescent="0.25">
      <c r="A22" s="8">
        <v>44713</v>
      </c>
      <c r="B22" t="s">
        <v>10</v>
      </c>
      <c r="C22">
        <v>2114</v>
      </c>
      <c r="D22" t="s">
        <v>8</v>
      </c>
      <c r="E22" t="str">
        <f>IF(june[[#This Row],[ShiftCounter]]&gt;0, "Running", "Down")</f>
        <v>Running</v>
      </c>
    </row>
    <row r="23" spans="1:5" x14ac:dyDescent="0.25">
      <c r="A23" s="8">
        <v>44713</v>
      </c>
      <c r="B23" t="s">
        <v>12</v>
      </c>
      <c r="C23">
        <v>2166</v>
      </c>
      <c r="D23" t="s">
        <v>6</v>
      </c>
      <c r="E23" t="str">
        <f>IF(june[[#This Row],[ShiftCounter]]&gt;0, "Running", "Down")</f>
        <v>Running</v>
      </c>
    </row>
    <row r="24" spans="1:5" x14ac:dyDescent="0.25">
      <c r="A24" s="8">
        <v>44713</v>
      </c>
      <c r="B24" t="s">
        <v>12</v>
      </c>
      <c r="C24">
        <v>2331</v>
      </c>
      <c r="D24" t="s">
        <v>7</v>
      </c>
      <c r="E24" t="str">
        <f>IF(june[[#This Row],[ShiftCounter]]&gt;0, "Running", "Down")</f>
        <v>Running</v>
      </c>
    </row>
    <row r="25" spans="1:5" x14ac:dyDescent="0.25">
      <c r="A25" s="8">
        <v>44713</v>
      </c>
      <c r="B25" t="s">
        <v>12</v>
      </c>
      <c r="C25">
        <v>2060</v>
      </c>
      <c r="D25" t="s">
        <v>8</v>
      </c>
      <c r="E25" t="str">
        <f>IF(june[[#This Row],[ShiftCounter]]&gt;0, "Running", "Down")</f>
        <v>Running</v>
      </c>
    </row>
    <row r="26" spans="1:5" x14ac:dyDescent="0.25">
      <c r="A26" s="8">
        <v>44713</v>
      </c>
      <c r="B26" t="s">
        <v>120</v>
      </c>
      <c r="C26">
        <v>2302</v>
      </c>
      <c r="D26" t="s">
        <v>6</v>
      </c>
      <c r="E26" t="str">
        <f>IF(june[[#This Row],[ShiftCounter]]&gt;0, "Running", "Down")</f>
        <v>Running</v>
      </c>
    </row>
    <row r="27" spans="1:5" x14ac:dyDescent="0.25">
      <c r="A27" s="8">
        <v>44713</v>
      </c>
      <c r="B27" t="s">
        <v>120</v>
      </c>
      <c r="C27">
        <v>2227</v>
      </c>
      <c r="D27" t="s">
        <v>7</v>
      </c>
      <c r="E27" t="str">
        <f>IF(june[[#This Row],[ShiftCounter]]&gt;0, "Running", "Down")</f>
        <v>Running</v>
      </c>
    </row>
    <row r="28" spans="1:5" x14ac:dyDescent="0.25">
      <c r="A28" s="8">
        <v>44713</v>
      </c>
      <c r="B28" t="s">
        <v>120</v>
      </c>
      <c r="C28">
        <v>1932</v>
      </c>
      <c r="D28" t="s">
        <v>8</v>
      </c>
      <c r="E28" t="str">
        <f>IF(june[[#This Row],[ShiftCounter]]&gt;0, "Running", "Down")</f>
        <v>Running</v>
      </c>
    </row>
    <row r="29" spans="1:5" x14ac:dyDescent="0.25">
      <c r="A29" s="8">
        <v>44713</v>
      </c>
      <c r="B29" t="s">
        <v>13</v>
      </c>
      <c r="C29">
        <v>2162</v>
      </c>
      <c r="D29" t="s">
        <v>6</v>
      </c>
      <c r="E29" t="str">
        <f>IF(june[[#This Row],[ShiftCounter]]&gt;0, "Running", "Down")</f>
        <v>Running</v>
      </c>
    </row>
    <row r="30" spans="1:5" x14ac:dyDescent="0.25">
      <c r="A30" s="8">
        <v>44713</v>
      </c>
      <c r="B30" t="s">
        <v>13</v>
      </c>
      <c r="C30">
        <v>2103</v>
      </c>
      <c r="D30" t="s">
        <v>7</v>
      </c>
      <c r="E30" t="str">
        <f>IF(june[[#This Row],[ShiftCounter]]&gt;0, "Running", "Down")</f>
        <v>Running</v>
      </c>
    </row>
    <row r="31" spans="1:5" x14ac:dyDescent="0.25">
      <c r="A31" s="8">
        <v>44713</v>
      </c>
      <c r="B31" t="s">
        <v>13</v>
      </c>
      <c r="C31">
        <v>1845</v>
      </c>
      <c r="D31" t="s">
        <v>8</v>
      </c>
      <c r="E31" t="str">
        <f>IF(june[[#This Row],[ShiftCounter]]&gt;0, "Running", "Down")</f>
        <v>Running</v>
      </c>
    </row>
    <row r="32" spans="1:5" x14ac:dyDescent="0.25">
      <c r="A32" s="8">
        <v>44713</v>
      </c>
      <c r="B32" t="s">
        <v>114</v>
      </c>
      <c r="C32">
        <v>2102</v>
      </c>
      <c r="D32" t="s">
        <v>6</v>
      </c>
      <c r="E32" t="str">
        <f>IF(june[[#This Row],[ShiftCounter]]&gt;0, "Running", "Down")</f>
        <v>Running</v>
      </c>
    </row>
    <row r="33" spans="1:8" x14ac:dyDescent="0.25">
      <c r="A33" s="8">
        <v>44713</v>
      </c>
      <c r="B33" t="s">
        <v>114</v>
      </c>
      <c r="C33">
        <v>2067</v>
      </c>
      <c r="D33" t="s">
        <v>7</v>
      </c>
      <c r="E33" t="str">
        <f>IF(june[[#This Row],[ShiftCounter]]&gt;0, "Running", "Down")</f>
        <v>Running</v>
      </c>
    </row>
    <row r="34" spans="1:8" x14ac:dyDescent="0.25">
      <c r="A34" s="8">
        <v>44713</v>
      </c>
      <c r="B34" t="s">
        <v>114</v>
      </c>
      <c r="C34">
        <v>1718</v>
      </c>
      <c r="D34" t="s">
        <v>8</v>
      </c>
      <c r="E34" t="str">
        <f>IF(june[[#This Row],[ShiftCounter]]&gt;0, "Running", "Down")</f>
        <v>Running</v>
      </c>
    </row>
    <row r="35" spans="1:8" x14ac:dyDescent="0.25">
      <c r="A35" s="8">
        <v>44713</v>
      </c>
      <c r="B35" t="s">
        <v>14</v>
      </c>
      <c r="C35">
        <v>1861</v>
      </c>
      <c r="D35" t="s">
        <v>6</v>
      </c>
      <c r="E35" t="str">
        <f>IF(june[[#This Row],[ShiftCounter]]&gt;0, "Running", "Down")</f>
        <v>Running</v>
      </c>
    </row>
    <row r="36" spans="1:8" x14ac:dyDescent="0.25">
      <c r="A36" s="8">
        <v>44713</v>
      </c>
      <c r="B36" t="s">
        <v>14</v>
      </c>
      <c r="C36">
        <v>1833</v>
      </c>
      <c r="D36" t="s">
        <v>7</v>
      </c>
      <c r="E36" t="str">
        <f>IF(june[[#This Row],[ShiftCounter]]&gt;0, "Running", "Down")</f>
        <v>Running</v>
      </c>
    </row>
    <row r="37" spans="1:8" x14ac:dyDescent="0.25">
      <c r="A37" s="8">
        <v>44713</v>
      </c>
      <c r="B37" t="s">
        <v>14</v>
      </c>
      <c r="C37">
        <v>1568</v>
      </c>
      <c r="D37" t="s">
        <v>8</v>
      </c>
      <c r="E37" t="str">
        <f>IF(june[[#This Row],[ShiftCounter]]&gt;0, "Running", "Down")</f>
        <v>Running</v>
      </c>
    </row>
    <row r="38" spans="1:8" x14ac:dyDescent="0.25">
      <c r="A38" s="8">
        <v>44713</v>
      </c>
      <c r="B38" t="s">
        <v>15</v>
      </c>
      <c r="C38">
        <v>2151</v>
      </c>
      <c r="D38" t="s">
        <v>6</v>
      </c>
      <c r="E38" t="str">
        <f>IF(june[[#This Row],[ShiftCounter]]&gt;0, "Running", "Down")</f>
        <v>Running</v>
      </c>
    </row>
    <row r="39" spans="1:8" x14ac:dyDescent="0.25">
      <c r="A39" s="8">
        <v>44713</v>
      </c>
      <c r="B39" t="s">
        <v>15</v>
      </c>
      <c r="C39">
        <v>2070</v>
      </c>
      <c r="D39" t="s">
        <v>7</v>
      </c>
      <c r="E39" t="str">
        <f>IF(june[[#This Row],[ShiftCounter]]&gt;0, "Running", "Down")</f>
        <v>Running</v>
      </c>
    </row>
    <row r="40" spans="1:8" x14ac:dyDescent="0.25">
      <c r="A40" s="8">
        <v>44713</v>
      </c>
      <c r="B40" t="s">
        <v>15</v>
      </c>
      <c r="C40">
        <v>1834</v>
      </c>
      <c r="D40" t="s">
        <v>8</v>
      </c>
      <c r="E40" t="str">
        <f>IF(june[[#This Row],[ShiftCounter]]&gt;0, "Running", "Down")</f>
        <v>Running</v>
      </c>
    </row>
    <row r="41" spans="1:8" x14ac:dyDescent="0.25">
      <c r="A41" s="8">
        <v>44713</v>
      </c>
      <c r="B41" t="s">
        <v>16</v>
      </c>
      <c r="C41">
        <v>2203</v>
      </c>
      <c r="D41" t="s">
        <v>6</v>
      </c>
      <c r="E41" t="str">
        <f>IF(june[[#This Row],[ShiftCounter]]&gt;0, "Running", "Down")</f>
        <v>Running</v>
      </c>
    </row>
    <row r="42" spans="1:8" x14ac:dyDescent="0.25">
      <c r="A42" s="8">
        <v>44713</v>
      </c>
      <c r="B42" t="s">
        <v>16</v>
      </c>
      <c r="C42">
        <v>2222</v>
      </c>
      <c r="D42" t="s">
        <v>7</v>
      </c>
      <c r="E42" t="str">
        <f>IF(june[[#This Row],[ShiftCounter]]&gt;0, "Running", "Down")</f>
        <v>Running</v>
      </c>
    </row>
    <row r="43" spans="1:8" x14ac:dyDescent="0.25">
      <c r="A43" s="8">
        <v>44713</v>
      </c>
      <c r="B43" t="s">
        <v>16</v>
      </c>
      <c r="C43">
        <v>2080</v>
      </c>
      <c r="D43" t="s">
        <v>8</v>
      </c>
      <c r="E43" t="str">
        <f>IF(june[[#This Row],[ShiftCounter]]&gt;0, "Running", "Down")</f>
        <v>Running</v>
      </c>
    </row>
    <row r="44" spans="1:8" x14ac:dyDescent="0.25">
      <c r="A44" s="8">
        <v>44713</v>
      </c>
      <c r="B44" t="s">
        <v>17</v>
      </c>
      <c r="C44">
        <v>2332</v>
      </c>
      <c r="D44" t="s">
        <v>6</v>
      </c>
      <c r="E44" t="str">
        <f>IF(june[[#This Row],[ShiftCounter]]&gt;0, "Running", "Down")</f>
        <v>Running</v>
      </c>
    </row>
    <row r="45" spans="1:8" x14ac:dyDescent="0.25">
      <c r="A45" s="8">
        <v>44713</v>
      </c>
      <c r="B45" t="s">
        <v>17</v>
      </c>
      <c r="C45">
        <v>2316</v>
      </c>
      <c r="D45" t="s">
        <v>7</v>
      </c>
      <c r="E45" t="str">
        <f>IF(june[[#This Row],[ShiftCounter]]&gt;0, "Running", "Down")</f>
        <v>Running</v>
      </c>
    </row>
    <row r="46" spans="1:8" x14ac:dyDescent="0.25">
      <c r="A46" s="8">
        <v>44713</v>
      </c>
      <c r="B46" t="s">
        <v>17</v>
      </c>
      <c r="C46">
        <v>2197</v>
      </c>
      <c r="D46" t="s">
        <v>8</v>
      </c>
      <c r="E46" t="str">
        <f>IF(june[[#This Row],[ShiftCounter]]&gt;0, "Running", "Down")</f>
        <v>Running</v>
      </c>
    </row>
    <row r="47" spans="1:8" x14ac:dyDescent="0.25">
      <c r="A47" s="8">
        <v>44713</v>
      </c>
      <c r="B47" t="s">
        <v>19</v>
      </c>
      <c r="C47">
        <v>1788</v>
      </c>
      <c r="D47" t="s">
        <v>6</v>
      </c>
      <c r="E47" t="str">
        <f>IF(june[[#This Row],[ShiftCounter]]&gt;0, "Running", "Down")</f>
        <v>Running</v>
      </c>
      <c r="H47">
        <f>3576/2</f>
        <v>1788</v>
      </c>
    </row>
    <row r="48" spans="1:8" x14ac:dyDescent="0.25">
      <c r="A48" s="8">
        <v>44713</v>
      </c>
      <c r="B48" t="s">
        <v>19</v>
      </c>
      <c r="C48">
        <v>1788</v>
      </c>
      <c r="D48" t="s">
        <v>7</v>
      </c>
      <c r="E48" t="str">
        <f>IF(june[[#This Row],[ShiftCounter]]&gt;0, "Running", "Down")</f>
        <v>Running</v>
      </c>
    </row>
    <row r="49" spans="1:5" x14ac:dyDescent="0.25">
      <c r="A49" s="8">
        <v>44713</v>
      </c>
      <c r="B49" t="s">
        <v>19</v>
      </c>
      <c r="C49">
        <v>1914</v>
      </c>
      <c r="D49" t="s">
        <v>8</v>
      </c>
      <c r="E49" t="str">
        <f>IF(june[[#This Row],[ShiftCounter]]&gt;0, "Running", "Down")</f>
        <v>Running</v>
      </c>
    </row>
    <row r="50" spans="1:5" x14ac:dyDescent="0.25">
      <c r="A50" s="8">
        <v>44713</v>
      </c>
      <c r="B50" t="s">
        <v>18</v>
      </c>
      <c r="C50">
        <v>2313</v>
      </c>
      <c r="D50" t="s">
        <v>6</v>
      </c>
      <c r="E50" t="str">
        <f>IF(june[[#This Row],[ShiftCounter]]&gt;0, "Running", "Down")</f>
        <v>Running</v>
      </c>
    </row>
    <row r="51" spans="1:5" x14ac:dyDescent="0.25">
      <c r="A51" s="8">
        <v>44713</v>
      </c>
      <c r="B51" t="s">
        <v>18</v>
      </c>
      <c r="C51">
        <v>2345</v>
      </c>
      <c r="D51" t="s">
        <v>7</v>
      </c>
      <c r="E51" t="str">
        <f>IF(june[[#This Row],[ShiftCounter]]&gt;0, "Running", "Down")</f>
        <v>Running</v>
      </c>
    </row>
    <row r="52" spans="1:5" x14ac:dyDescent="0.25">
      <c r="A52" s="8">
        <v>44713</v>
      </c>
      <c r="B52" t="s">
        <v>18</v>
      </c>
      <c r="C52">
        <v>2221</v>
      </c>
      <c r="D52" t="s">
        <v>8</v>
      </c>
      <c r="E52" t="str">
        <f>IF(june[[#This Row],[ShiftCounter]]&gt;0, "Running", "Down")</f>
        <v>Running</v>
      </c>
    </row>
    <row r="53" spans="1:5" x14ac:dyDescent="0.25">
      <c r="A53" s="8">
        <v>44713</v>
      </c>
      <c r="B53" t="s">
        <v>38</v>
      </c>
      <c r="C53">
        <v>2097</v>
      </c>
      <c r="D53" t="s">
        <v>6</v>
      </c>
      <c r="E53" t="str">
        <f>IF(june[[#This Row],[ShiftCounter]]&gt;0, "Running", "Down")</f>
        <v>Running</v>
      </c>
    </row>
    <row r="54" spans="1:5" x14ac:dyDescent="0.25">
      <c r="A54" s="8">
        <v>44713</v>
      </c>
      <c r="B54" t="s">
        <v>38</v>
      </c>
      <c r="C54">
        <v>2286</v>
      </c>
      <c r="D54" t="s">
        <v>7</v>
      </c>
      <c r="E54" t="str">
        <f>IF(june[[#This Row],[ShiftCounter]]&gt;0, "Running", "Down")</f>
        <v>Running</v>
      </c>
    </row>
    <row r="55" spans="1:5" x14ac:dyDescent="0.25">
      <c r="A55" s="8">
        <v>44713</v>
      </c>
      <c r="B55" t="s">
        <v>38</v>
      </c>
      <c r="C55">
        <v>2159</v>
      </c>
      <c r="D55" t="s">
        <v>8</v>
      </c>
      <c r="E55" t="str">
        <f>IF(june[[#This Row],[ShiftCounter]]&gt;0, "Running", "Down")</f>
        <v>Running</v>
      </c>
    </row>
    <row r="56" spans="1:5" x14ac:dyDescent="0.25">
      <c r="A56" s="8">
        <v>44713</v>
      </c>
      <c r="B56" t="s">
        <v>20</v>
      </c>
      <c r="C56">
        <v>2241</v>
      </c>
      <c r="D56" t="s">
        <v>6</v>
      </c>
      <c r="E56" t="str">
        <f>IF(june[[#This Row],[ShiftCounter]]&gt;0, "Running", "Down")</f>
        <v>Running</v>
      </c>
    </row>
    <row r="57" spans="1:5" x14ac:dyDescent="0.25">
      <c r="A57" s="8">
        <v>44713</v>
      </c>
      <c r="B57" t="s">
        <v>20</v>
      </c>
      <c r="C57">
        <v>2262</v>
      </c>
      <c r="D57" t="s">
        <v>7</v>
      </c>
      <c r="E57" t="str">
        <f>IF(june[[#This Row],[ShiftCounter]]&gt;0, "Running", "Down")</f>
        <v>Running</v>
      </c>
    </row>
    <row r="58" spans="1:5" x14ac:dyDescent="0.25">
      <c r="A58" s="8">
        <v>44713</v>
      </c>
      <c r="B58" t="s">
        <v>20</v>
      </c>
      <c r="C58">
        <v>2709</v>
      </c>
      <c r="D58" t="s">
        <v>8</v>
      </c>
      <c r="E58" t="str">
        <f>IF(june[[#This Row],[ShiftCounter]]&gt;0, "Running", "Down")</f>
        <v>Running</v>
      </c>
    </row>
    <row r="59" spans="1:5" x14ac:dyDescent="0.25">
      <c r="A59" s="8">
        <v>44713</v>
      </c>
      <c r="B59" t="s">
        <v>21</v>
      </c>
      <c r="C59">
        <v>1983</v>
      </c>
      <c r="D59" t="s">
        <v>6</v>
      </c>
      <c r="E59" t="str">
        <f>IF(june[[#This Row],[ShiftCounter]]&gt;0, "Running", "Down")</f>
        <v>Running</v>
      </c>
    </row>
    <row r="60" spans="1:5" x14ac:dyDescent="0.25">
      <c r="A60" s="8">
        <v>44713</v>
      </c>
      <c r="B60" t="s">
        <v>21</v>
      </c>
      <c r="C60">
        <v>2055</v>
      </c>
      <c r="D60" t="s">
        <v>7</v>
      </c>
      <c r="E60" t="str">
        <f>IF(june[[#This Row],[ShiftCounter]]&gt;0, "Running", "Down")</f>
        <v>Running</v>
      </c>
    </row>
    <row r="61" spans="1:5" x14ac:dyDescent="0.25">
      <c r="A61" s="8">
        <v>44713</v>
      </c>
      <c r="B61" t="s">
        <v>21</v>
      </c>
      <c r="C61">
        <v>1905</v>
      </c>
      <c r="D61" t="s">
        <v>8</v>
      </c>
      <c r="E61" t="str">
        <f>IF(june[[#This Row],[ShiftCounter]]&gt;0, "Running", "Down")</f>
        <v>Running</v>
      </c>
    </row>
    <row r="62" spans="1:5" x14ac:dyDescent="0.25">
      <c r="A62" s="8">
        <v>44713</v>
      </c>
      <c r="B62" t="s">
        <v>22</v>
      </c>
      <c r="C62">
        <v>2168</v>
      </c>
      <c r="D62" t="s">
        <v>6</v>
      </c>
      <c r="E62" t="str">
        <f>IF(june[[#This Row],[ShiftCounter]]&gt;0, "Running", "Down")</f>
        <v>Running</v>
      </c>
    </row>
    <row r="63" spans="1:5" x14ac:dyDescent="0.25">
      <c r="A63" s="8">
        <v>44713</v>
      </c>
      <c r="B63" t="s">
        <v>22</v>
      </c>
      <c r="C63">
        <v>2200</v>
      </c>
      <c r="D63" t="s">
        <v>7</v>
      </c>
      <c r="E63" t="str">
        <f>IF(june[[#This Row],[ShiftCounter]]&gt;0, "Running", "Down")</f>
        <v>Running</v>
      </c>
    </row>
    <row r="64" spans="1:5" x14ac:dyDescent="0.25">
      <c r="A64" s="8">
        <v>44713</v>
      </c>
      <c r="B64" t="s">
        <v>22</v>
      </c>
      <c r="C64">
        <v>2002</v>
      </c>
      <c r="D64" t="s">
        <v>8</v>
      </c>
      <c r="E64" t="str">
        <f>IF(june[[#This Row],[ShiftCounter]]&gt;0, "Running", "Down")</f>
        <v>Running</v>
      </c>
    </row>
    <row r="65" spans="1:8" x14ac:dyDescent="0.25">
      <c r="A65" s="8">
        <v>44713</v>
      </c>
      <c r="B65" t="s">
        <v>23</v>
      </c>
      <c r="C65">
        <v>1670</v>
      </c>
      <c r="D65" t="s">
        <v>6</v>
      </c>
      <c r="E65" t="str">
        <f>IF(june[[#This Row],[ShiftCounter]]&gt;0, "Running", "Down")</f>
        <v>Running</v>
      </c>
    </row>
    <row r="66" spans="1:8" x14ac:dyDescent="0.25">
      <c r="A66" s="8">
        <v>44713</v>
      </c>
      <c r="B66" t="s">
        <v>23</v>
      </c>
      <c r="C66">
        <v>2043</v>
      </c>
      <c r="D66" t="s">
        <v>7</v>
      </c>
      <c r="E66" t="str">
        <f>IF(june[[#This Row],[ShiftCounter]]&gt;0, "Running", "Down")</f>
        <v>Running</v>
      </c>
    </row>
    <row r="67" spans="1:8" x14ac:dyDescent="0.25">
      <c r="A67" s="8">
        <v>44713</v>
      </c>
      <c r="B67" t="s">
        <v>23</v>
      </c>
      <c r="C67">
        <v>1980</v>
      </c>
      <c r="D67" t="s">
        <v>8</v>
      </c>
      <c r="E67" t="str">
        <f>IF(june[[#This Row],[ShiftCounter]]&gt;0, "Running", "Down")</f>
        <v>Running</v>
      </c>
    </row>
    <row r="68" spans="1:8" x14ac:dyDescent="0.25">
      <c r="A68" s="8">
        <v>44713</v>
      </c>
      <c r="B68" t="s">
        <v>24</v>
      </c>
      <c r="C68">
        <v>1854</v>
      </c>
      <c r="D68" t="s">
        <v>6</v>
      </c>
      <c r="E68" t="str">
        <f>IF(june[[#This Row],[ShiftCounter]]&gt;0, "Running", "Down")</f>
        <v>Running</v>
      </c>
    </row>
    <row r="69" spans="1:8" x14ac:dyDescent="0.25">
      <c r="A69" s="8">
        <v>44713</v>
      </c>
      <c r="B69" t="s">
        <v>24</v>
      </c>
      <c r="C69">
        <v>2139</v>
      </c>
      <c r="D69" t="s">
        <v>7</v>
      </c>
      <c r="E69" t="str">
        <f>IF(june[[#This Row],[ShiftCounter]]&gt;0, "Running", "Down")</f>
        <v>Running</v>
      </c>
    </row>
    <row r="70" spans="1:8" x14ac:dyDescent="0.25">
      <c r="A70" s="8">
        <v>44713</v>
      </c>
      <c r="B70" t="s">
        <v>24</v>
      </c>
      <c r="C70">
        <v>1926</v>
      </c>
      <c r="D70" t="s">
        <v>8</v>
      </c>
      <c r="E70" t="str">
        <f>IF(june[[#This Row],[ShiftCounter]]&gt;0, "Running", "Down")</f>
        <v>Running</v>
      </c>
    </row>
    <row r="71" spans="1:8" x14ac:dyDescent="0.25">
      <c r="A71" s="8">
        <v>44713</v>
      </c>
      <c r="B71" t="s">
        <v>25</v>
      </c>
      <c r="C71">
        <v>2287</v>
      </c>
      <c r="D71" t="s">
        <v>6</v>
      </c>
      <c r="E71" t="str">
        <f>IF(june[[#This Row],[ShiftCounter]]&gt;0, "Running", "Down")</f>
        <v>Running</v>
      </c>
    </row>
    <row r="72" spans="1:8" x14ac:dyDescent="0.25">
      <c r="A72" s="8">
        <v>44713</v>
      </c>
      <c r="B72" t="s">
        <v>25</v>
      </c>
      <c r="C72">
        <v>2269</v>
      </c>
      <c r="D72" t="s">
        <v>7</v>
      </c>
      <c r="E72" t="str">
        <f>IF(june[[#This Row],[ShiftCounter]]&gt;0, "Running", "Down")</f>
        <v>Running</v>
      </c>
    </row>
    <row r="73" spans="1:8" x14ac:dyDescent="0.25">
      <c r="A73" s="8">
        <v>44713</v>
      </c>
      <c r="B73" t="s">
        <v>25</v>
      </c>
      <c r="C73">
        <v>2067</v>
      </c>
      <c r="D73" t="s">
        <v>8</v>
      </c>
      <c r="E73" t="str">
        <f>IF(june[[#This Row],[ShiftCounter]]&gt;0, "Running", "Down")</f>
        <v>Running</v>
      </c>
    </row>
    <row r="74" spans="1:8" x14ac:dyDescent="0.25">
      <c r="A74" s="8">
        <v>44713</v>
      </c>
      <c r="B74" t="s">
        <v>26</v>
      </c>
      <c r="C74">
        <v>1537</v>
      </c>
      <c r="D74" t="s">
        <v>6</v>
      </c>
      <c r="E74" t="str">
        <f>IF(june[[#This Row],[ShiftCounter]]&gt;0, "Running", "Down")</f>
        <v>Running</v>
      </c>
    </row>
    <row r="75" spans="1:8" x14ac:dyDescent="0.25">
      <c r="A75" s="8">
        <v>44713</v>
      </c>
      <c r="B75" t="s">
        <v>26</v>
      </c>
      <c r="C75">
        <v>2091</v>
      </c>
      <c r="D75" t="s">
        <v>7</v>
      </c>
      <c r="E75" t="str">
        <f>IF(june[[#This Row],[ShiftCounter]]&gt;0, "Running", "Down")</f>
        <v>Running</v>
      </c>
    </row>
    <row r="76" spans="1:8" x14ac:dyDescent="0.25">
      <c r="A76" s="8">
        <v>44713</v>
      </c>
      <c r="B76" t="s">
        <v>26</v>
      </c>
      <c r="C76">
        <v>1902</v>
      </c>
      <c r="D76" t="s">
        <v>8</v>
      </c>
      <c r="E76" t="str">
        <f>IF(june[[#This Row],[ShiftCounter]]&gt;0, "Running", "Down")</f>
        <v>Running</v>
      </c>
    </row>
    <row r="77" spans="1:8" x14ac:dyDescent="0.25">
      <c r="A77" s="8">
        <v>44713</v>
      </c>
      <c r="B77" t="s">
        <v>27</v>
      </c>
      <c r="C77">
        <v>2255</v>
      </c>
      <c r="D77" t="s">
        <v>6</v>
      </c>
      <c r="E77" t="str">
        <f>IF(june[[#This Row],[ShiftCounter]]&gt;0, "Running", "Down")</f>
        <v>Running</v>
      </c>
      <c r="H77">
        <f>4509/2</f>
        <v>2254.5</v>
      </c>
    </row>
    <row r="78" spans="1:8" x14ac:dyDescent="0.25">
      <c r="A78" s="8">
        <v>44713</v>
      </c>
      <c r="B78" t="s">
        <v>27</v>
      </c>
      <c r="C78">
        <v>2254</v>
      </c>
      <c r="D78" t="s">
        <v>7</v>
      </c>
      <c r="E78" t="str">
        <f>IF(june[[#This Row],[ShiftCounter]]&gt;0, "Running", "Down")</f>
        <v>Running</v>
      </c>
    </row>
    <row r="79" spans="1:8" x14ac:dyDescent="0.25">
      <c r="A79" s="8">
        <v>44713</v>
      </c>
      <c r="B79" t="s">
        <v>27</v>
      </c>
      <c r="C79">
        <v>2086</v>
      </c>
      <c r="D79" t="s">
        <v>8</v>
      </c>
      <c r="E79" t="str">
        <f>IF(june[[#This Row],[ShiftCounter]]&gt;0, "Running", "Down")</f>
        <v>Running</v>
      </c>
    </row>
    <row r="80" spans="1:8" x14ac:dyDescent="0.25">
      <c r="A80" s="8">
        <v>44713</v>
      </c>
      <c r="B80" t="s">
        <v>28</v>
      </c>
      <c r="C80">
        <v>2310</v>
      </c>
      <c r="D80" t="s">
        <v>6</v>
      </c>
      <c r="E80" t="str">
        <f>IF(june[[#This Row],[ShiftCounter]]&gt;0, "Running", "Down")</f>
        <v>Running</v>
      </c>
    </row>
    <row r="81" spans="1:8" x14ac:dyDescent="0.25">
      <c r="A81" s="8">
        <v>44713</v>
      </c>
      <c r="B81" t="s">
        <v>28</v>
      </c>
      <c r="C81">
        <v>2186</v>
      </c>
      <c r="D81" t="s">
        <v>7</v>
      </c>
      <c r="E81" t="str">
        <f>IF(june[[#This Row],[ShiftCounter]]&gt;0, "Running", "Down")</f>
        <v>Running</v>
      </c>
    </row>
    <row r="82" spans="1:8" x14ac:dyDescent="0.25">
      <c r="A82" s="8">
        <v>44713</v>
      </c>
      <c r="B82" t="s">
        <v>28</v>
      </c>
      <c r="C82">
        <v>1969</v>
      </c>
      <c r="D82" t="s">
        <v>8</v>
      </c>
      <c r="E82" t="str">
        <f>IF(june[[#This Row],[ShiftCounter]]&gt;0, "Running", "Down")</f>
        <v>Running</v>
      </c>
    </row>
    <row r="83" spans="1:8" x14ac:dyDescent="0.25">
      <c r="A83" s="8">
        <v>44713</v>
      </c>
      <c r="B83" t="s">
        <v>29</v>
      </c>
      <c r="C83">
        <v>2036</v>
      </c>
      <c r="D83" t="s">
        <v>6</v>
      </c>
      <c r="E83" t="str">
        <f>IF(june[[#This Row],[ShiftCounter]]&gt;0, "Running", "Down")</f>
        <v>Running</v>
      </c>
    </row>
    <row r="84" spans="1:8" x14ac:dyDescent="0.25">
      <c r="A84" s="8">
        <v>44713</v>
      </c>
      <c r="B84" t="s">
        <v>29</v>
      </c>
      <c r="C84">
        <v>2074</v>
      </c>
      <c r="D84" t="s">
        <v>7</v>
      </c>
      <c r="E84" t="str">
        <f>IF(june[[#This Row],[ShiftCounter]]&gt;0, "Running", "Down")</f>
        <v>Running</v>
      </c>
    </row>
    <row r="85" spans="1:8" x14ac:dyDescent="0.25">
      <c r="A85" s="8">
        <v>44713</v>
      </c>
      <c r="B85" t="s">
        <v>29</v>
      </c>
      <c r="C85">
        <v>1842</v>
      </c>
      <c r="D85" t="s">
        <v>8</v>
      </c>
      <c r="E85" t="str">
        <f>IF(june[[#This Row],[ShiftCounter]]&gt;0, "Running", "Down")</f>
        <v>Running</v>
      </c>
    </row>
    <row r="86" spans="1:8" x14ac:dyDescent="0.25">
      <c r="A86" s="8">
        <v>44713</v>
      </c>
      <c r="B86" t="s">
        <v>30</v>
      </c>
      <c r="C86">
        <v>2243</v>
      </c>
      <c r="D86" t="s">
        <v>6</v>
      </c>
      <c r="E86" t="str">
        <f>IF(june[[#This Row],[ShiftCounter]]&gt;0, "Running", "Down")</f>
        <v>Running</v>
      </c>
      <c r="H86">
        <f>4486/2</f>
        <v>2243</v>
      </c>
    </row>
    <row r="87" spans="1:8" x14ac:dyDescent="0.25">
      <c r="A87" s="8">
        <v>44713</v>
      </c>
      <c r="B87" t="s">
        <v>30</v>
      </c>
      <c r="C87">
        <v>2243</v>
      </c>
      <c r="D87" t="s">
        <v>7</v>
      </c>
      <c r="E87" t="str">
        <f>IF(june[[#This Row],[ShiftCounter]]&gt;0, "Running", "Down")</f>
        <v>Running</v>
      </c>
    </row>
    <row r="88" spans="1:8" x14ac:dyDescent="0.25">
      <c r="A88" s="8">
        <v>44713</v>
      </c>
      <c r="B88" t="s">
        <v>30</v>
      </c>
      <c r="C88">
        <v>2025</v>
      </c>
      <c r="D88" t="s">
        <v>8</v>
      </c>
      <c r="E88" t="str">
        <f>IF(june[[#This Row],[ShiftCounter]]&gt;0, "Running", "Down")</f>
        <v>Running</v>
      </c>
    </row>
    <row r="89" spans="1:8" x14ac:dyDescent="0.25">
      <c r="A89" s="8">
        <v>44713</v>
      </c>
      <c r="B89" t="s">
        <v>31</v>
      </c>
      <c r="C89">
        <v>2101</v>
      </c>
      <c r="D89" t="s">
        <v>6</v>
      </c>
      <c r="E89" t="str">
        <f>IF(june[[#This Row],[ShiftCounter]]&gt;0, "Running", "Down")</f>
        <v>Running</v>
      </c>
    </row>
    <row r="90" spans="1:8" x14ac:dyDescent="0.25">
      <c r="A90" s="8">
        <v>44713</v>
      </c>
      <c r="B90" t="s">
        <v>31</v>
      </c>
      <c r="C90">
        <v>2003</v>
      </c>
      <c r="D90" t="s">
        <v>7</v>
      </c>
      <c r="E90" t="str">
        <f>IF(june[[#This Row],[ShiftCounter]]&gt;0, "Running", "Down")</f>
        <v>Running</v>
      </c>
    </row>
    <row r="91" spans="1:8" x14ac:dyDescent="0.25">
      <c r="A91" s="8">
        <v>44713</v>
      </c>
      <c r="B91" t="s">
        <v>31</v>
      </c>
      <c r="C91">
        <v>1892</v>
      </c>
      <c r="D91" t="s">
        <v>8</v>
      </c>
      <c r="E91" t="str">
        <f>IF(june[[#This Row],[ShiftCounter]]&gt;0, "Running", "Down")</f>
        <v>Running</v>
      </c>
    </row>
    <row r="92" spans="1:8" x14ac:dyDescent="0.25">
      <c r="A92" s="8">
        <v>44713</v>
      </c>
      <c r="B92" t="s">
        <v>32</v>
      </c>
      <c r="C92">
        <v>2262</v>
      </c>
      <c r="D92" t="s">
        <v>6</v>
      </c>
      <c r="E92" t="str">
        <f>IF(june[[#This Row],[ShiftCounter]]&gt;0, "Running", "Down")</f>
        <v>Running</v>
      </c>
    </row>
    <row r="93" spans="1:8" x14ac:dyDescent="0.25">
      <c r="A93" s="8">
        <v>44713</v>
      </c>
      <c r="B93" t="s">
        <v>32</v>
      </c>
      <c r="C93">
        <v>2117</v>
      </c>
      <c r="D93" t="s">
        <v>7</v>
      </c>
      <c r="E93" t="str">
        <f>IF(june[[#This Row],[ShiftCounter]]&gt;0, "Running", "Down")</f>
        <v>Running</v>
      </c>
    </row>
    <row r="94" spans="1:8" x14ac:dyDescent="0.25">
      <c r="A94" s="8">
        <v>44713</v>
      </c>
      <c r="B94" t="s">
        <v>32</v>
      </c>
      <c r="C94">
        <v>2031</v>
      </c>
      <c r="D94" t="s">
        <v>8</v>
      </c>
      <c r="E94" t="str">
        <f>IF(june[[#This Row],[ShiftCounter]]&gt;0, "Running", "Down")</f>
        <v>Running</v>
      </c>
    </row>
    <row r="95" spans="1:8" x14ac:dyDescent="0.25">
      <c r="A95" s="8">
        <v>44713</v>
      </c>
      <c r="B95" t="s">
        <v>71</v>
      </c>
      <c r="C95">
        <v>2154</v>
      </c>
      <c r="D95" t="s">
        <v>6</v>
      </c>
      <c r="E95" t="str">
        <f>IF(june[[#This Row],[ShiftCounter]]&gt;0, "Running", "Down")</f>
        <v>Running</v>
      </c>
    </row>
    <row r="96" spans="1:8" x14ac:dyDescent="0.25">
      <c r="A96" s="8">
        <v>44713</v>
      </c>
      <c r="B96" t="s">
        <v>71</v>
      </c>
      <c r="C96">
        <v>2054</v>
      </c>
      <c r="D96" t="s">
        <v>7</v>
      </c>
      <c r="E96" t="str">
        <f>IF(june[[#This Row],[ShiftCounter]]&gt;0, "Running", "Down")</f>
        <v>Running</v>
      </c>
    </row>
    <row r="97" spans="1:5" x14ac:dyDescent="0.25">
      <c r="A97" s="8">
        <v>44713</v>
      </c>
      <c r="B97" t="s">
        <v>71</v>
      </c>
      <c r="C97">
        <v>1899</v>
      </c>
      <c r="D97" t="s">
        <v>8</v>
      </c>
      <c r="E97" t="str">
        <f>IF(june[[#This Row],[ShiftCounter]]&gt;0, "Running", "Down")</f>
        <v>Running</v>
      </c>
    </row>
    <row r="98" spans="1:5" x14ac:dyDescent="0.25">
      <c r="A98" s="8">
        <v>44713</v>
      </c>
      <c r="B98" t="s">
        <v>33</v>
      </c>
      <c r="C98">
        <v>2514</v>
      </c>
      <c r="D98" t="s">
        <v>6</v>
      </c>
      <c r="E98" t="str">
        <f>IF(june[[#This Row],[ShiftCounter]]&gt;0, "Running", "Down")</f>
        <v>Running</v>
      </c>
    </row>
    <row r="99" spans="1:5" x14ac:dyDescent="0.25">
      <c r="A99" s="8">
        <v>44713</v>
      </c>
      <c r="B99" t="s">
        <v>33</v>
      </c>
      <c r="C99">
        <v>2373</v>
      </c>
      <c r="D99" t="s">
        <v>7</v>
      </c>
      <c r="E99" t="str">
        <f>IF(june[[#This Row],[ShiftCounter]]&gt;0, "Running", "Down")</f>
        <v>Running</v>
      </c>
    </row>
    <row r="100" spans="1:5" x14ac:dyDescent="0.25">
      <c r="A100" s="8">
        <v>44713</v>
      </c>
      <c r="B100" t="s">
        <v>33</v>
      </c>
      <c r="C100">
        <v>2239</v>
      </c>
      <c r="D100" t="s">
        <v>8</v>
      </c>
      <c r="E100" t="str">
        <f>IF(june[[#This Row],[ShiftCounter]]&gt;0, "Running", "Down")</f>
        <v>Running</v>
      </c>
    </row>
    <row r="101" spans="1:5" x14ac:dyDescent="0.25">
      <c r="A101" s="8">
        <v>44713</v>
      </c>
      <c r="B101" t="s">
        <v>34</v>
      </c>
      <c r="C101">
        <v>1980</v>
      </c>
      <c r="D101" t="s">
        <v>6</v>
      </c>
      <c r="E101" t="str">
        <f>IF(june[[#This Row],[ShiftCounter]]&gt;0, "Running", "Down")</f>
        <v>Running</v>
      </c>
    </row>
    <row r="102" spans="1:5" x14ac:dyDescent="0.25">
      <c r="A102" s="8">
        <v>44713</v>
      </c>
      <c r="B102" t="s">
        <v>34</v>
      </c>
      <c r="C102">
        <v>1935</v>
      </c>
      <c r="D102" t="s">
        <v>7</v>
      </c>
      <c r="E102" t="str">
        <f>IF(june[[#This Row],[ShiftCounter]]&gt;0, "Running", "Down")</f>
        <v>Running</v>
      </c>
    </row>
    <row r="103" spans="1:5" x14ac:dyDescent="0.25">
      <c r="A103" s="8">
        <v>44713</v>
      </c>
      <c r="B103" t="s">
        <v>34</v>
      </c>
      <c r="C103">
        <v>1783</v>
      </c>
      <c r="D103" t="s">
        <v>8</v>
      </c>
      <c r="E103" t="str">
        <f>IF(june[[#This Row],[ShiftCounter]]&gt;0, "Running", "Down")</f>
        <v>Running</v>
      </c>
    </row>
    <row r="104" spans="1:5" x14ac:dyDescent="0.25">
      <c r="A104" s="8">
        <v>44713</v>
      </c>
      <c r="B104" t="s">
        <v>35</v>
      </c>
      <c r="C104">
        <v>2185</v>
      </c>
      <c r="D104" t="s">
        <v>6</v>
      </c>
      <c r="E104" t="str">
        <f>IF(june[[#This Row],[ShiftCounter]]&gt;0, "Running", "Down")</f>
        <v>Running</v>
      </c>
    </row>
    <row r="105" spans="1:5" x14ac:dyDescent="0.25">
      <c r="A105" s="8">
        <v>44713</v>
      </c>
      <c r="B105" t="s">
        <v>35</v>
      </c>
      <c r="C105">
        <v>2195</v>
      </c>
      <c r="D105" t="s">
        <v>7</v>
      </c>
      <c r="E105" t="str">
        <f>IF(june[[#This Row],[ShiftCounter]]&gt;0, "Running", "Down")</f>
        <v>Running</v>
      </c>
    </row>
    <row r="106" spans="1:5" x14ac:dyDescent="0.25">
      <c r="A106" s="8">
        <v>44713</v>
      </c>
      <c r="B106" t="s">
        <v>35</v>
      </c>
      <c r="C106">
        <v>1935</v>
      </c>
      <c r="D106" t="s">
        <v>8</v>
      </c>
      <c r="E106" t="str">
        <f>IF(june[[#This Row],[ShiftCounter]]&gt;0, "Running", "Down")</f>
        <v>Running</v>
      </c>
    </row>
    <row r="107" spans="1:5" x14ac:dyDescent="0.25">
      <c r="A107" s="8">
        <v>44713</v>
      </c>
      <c r="B107" t="s">
        <v>36</v>
      </c>
      <c r="C107">
        <v>2480</v>
      </c>
      <c r="D107" t="s">
        <v>6</v>
      </c>
      <c r="E107" t="str">
        <f>IF(june[[#This Row],[ShiftCounter]]&gt;0, "Running", "Down")</f>
        <v>Running</v>
      </c>
    </row>
    <row r="108" spans="1:5" x14ac:dyDescent="0.25">
      <c r="A108" s="8">
        <v>44713</v>
      </c>
      <c r="B108" t="s">
        <v>36</v>
      </c>
      <c r="C108">
        <v>2321</v>
      </c>
      <c r="D108" t="s">
        <v>7</v>
      </c>
      <c r="E108" t="str">
        <f>IF(june[[#This Row],[ShiftCounter]]&gt;0, "Running", "Down")</f>
        <v>Running</v>
      </c>
    </row>
    <row r="109" spans="1:5" x14ac:dyDescent="0.25">
      <c r="A109" s="8">
        <v>44713</v>
      </c>
      <c r="B109" t="s">
        <v>36</v>
      </c>
      <c r="C109">
        <v>2088</v>
      </c>
      <c r="D109" t="s">
        <v>8</v>
      </c>
      <c r="E109" t="str">
        <f>IF(june[[#This Row],[ShiftCounter]]&gt;0, "Running", "Down")</f>
        <v>Running</v>
      </c>
    </row>
    <row r="110" spans="1:5" x14ac:dyDescent="0.25">
      <c r="A110" s="8">
        <v>44713</v>
      </c>
      <c r="B110" t="s">
        <v>37</v>
      </c>
      <c r="C110">
        <v>2331</v>
      </c>
      <c r="D110" t="s">
        <v>6</v>
      </c>
      <c r="E110" t="str">
        <f>IF(june[[#This Row],[ShiftCounter]]&gt;0, "Running", "Down")</f>
        <v>Running</v>
      </c>
    </row>
    <row r="111" spans="1:5" x14ac:dyDescent="0.25">
      <c r="A111" s="8">
        <v>44713</v>
      </c>
      <c r="B111" t="s">
        <v>37</v>
      </c>
      <c r="C111">
        <v>2208</v>
      </c>
      <c r="D111" t="s">
        <v>7</v>
      </c>
      <c r="E111" t="str">
        <f>IF(june[[#This Row],[ShiftCounter]]&gt;0, "Running", "Down")</f>
        <v>Running</v>
      </c>
    </row>
    <row r="112" spans="1:5" x14ac:dyDescent="0.25">
      <c r="A112" s="8">
        <v>44713</v>
      </c>
      <c r="B112" t="s">
        <v>37</v>
      </c>
      <c r="C112">
        <v>2032</v>
      </c>
      <c r="D112" t="s">
        <v>8</v>
      </c>
      <c r="E112" t="str">
        <f>IF(june[[#This Row],[ShiftCounter]]&gt;0, "Running", "Down")</f>
        <v>Running</v>
      </c>
    </row>
    <row r="113" spans="1:5" x14ac:dyDescent="0.25">
      <c r="A113" s="8">
        <v>44714</v>
      </c>
      <c r="B113" t="s">
        <v>158</v>
      </c>
      <c r="C113">
        <v>1954</v>
      </c>
      <c r="D113" t="s">
        <v>6</v>
      </c>
      <c r="E113" t="str">
        <f>IF(june[[#This Row],[ShiftCounter]]&gt;0, "Running", "Down")</f>
        <v>Running</v>
      </c>
    </row>
    <row r="114" spans="1:5" x14ac:dyDescent="0.25">
      <c r="A114" s="8">
        <v>44714</v>
      </c>
      <c r="B114" t="s">
        <v>158</v>
      </c>
      <c r="C114">
        <v>1863</v>
      </c>
      <c r="D114" t="s">
        <v>7</v>
      </c>
      <c r="E114" t="str">
        <f>IF(june[[#This Row],[ShiftCounter]]&gt;0, "Running", "Down")</f>
        <v>Running</v>
      </c>
    </row>
    <row r="115" spans="1:5" x14ac:dyDescent="0.25">
      <c r="A115" s="8">
        <v>44714</v>
      </c>
      <c r="B115" t="s">
        <v>158</v>
      </c>
      <c r="C115">
        <v>1814</v>
      </c>
      <c r="D115" t="s">
        <v>8</v>
      </c>
      <c r="E115" t="str">
        <f>IF(june[[#This Row],[ShiftCounter]]&gt;0, "Running", "Down")</f>
        <v>Running</v>
      </c>
    </row>
    <row r="116" spans="1:5" x14ac:dyDescent="0.25">
      <c r="A116" s="8">
        <v>44714</v>
      </c>
      <c r="B116" t="s">
        <v>40</v>
      </c>
      <c r="C116">
        <v>2366</v>
      </c>
      <c r="D116" t="s">
        <v>6</v>
      </c>
      <c r="E116" t="str">
        <f>IF(june[[#This Row],[ShiftCounter]]&gt;0, "Running", "Down")</f>
        <v>Running</v>
      </c>
    </row>
    <row r="117" spans="1:5" x14ac:dyDescent="0.25">
      <c r="A117" s="8">
        <v>44714</v>
      </c>
      <c r="B117" t="s">
        <v>40</v>
      </c>
      <c r="C117">
        <v>2196</v>
      </c>
      <c r="D117" t="s">
        <v>7</v>
      </c>
      <c r="E117" t="str">
        <f>IF(june[[#This Row],[ShiftCounter]]&gt;0, "Running", "Down")</f>
        <v>Running</v>
      </c>
    </row>
    <row r="118" spans="1:5" x14ac:dyDescent="0.25">
      <c r="A118" s="8">
        <v>44714</v>
      </c>
      <c r="B118" t="s">
        <v>40</v>
      </c>
      <c r="C118">
        <v>2140</v>
      </c>
      <c r="D118" t="s">
        <v>8</v>
      </c>
      <c r="E118" t="str">
        <f>IF(june[[#This Row],[ShiftCounter]]&gt;0, "Running", "Down")</f>
        <v>Running</v>
      </c>
    </row>
    <row r="119" spans="1:5" x14ac:dyDescent="0.25">
      <c r="A119" s="8">
        <v>44714</v>
      </c>
      <c r="B119" t="s">
        <v>39</v>
      </c>
      <c r="C119">
        <v>2062</v>
      </c>
      <c r="D119" t="s">
        <v>6</v>
      </c>
      <c r="E119" t="str">
        <f>IF(june[[#This Row],[ShiftCounter]]&gt;0, "Running", "Down")</f>
        <v>Running</v>
      </c>
    </row>
    <row r="120" spans="1:5" x14ac:dyDescent="0.25">
      <c r="A120" s="8">
        <v>44714</v>
      </c>
      <c r="B120" t="s">
        <v>39</v>
      </c>
      <c r="C120">
        <v>1935</v>
      </c>
      <c r="D120" t="s">
        <v>7</v>
      </c>
      <c r="E120" t="str">
        <f>IF(june[[#This Row],[ShiftCounter]]&gt;0, "Running", "Down")</f>
        <v>Running</v>
      </c>
    </row>
    <row r="121" spans="1:5" x14ac:dyDescent="0.25">
      <c r="A121" s="8">
        <v>44714</v>
      </c>
      <c r="B121" t="s">
        <v>39</v>
      </c>
      <c r="C121">
        <v>1882</v>
      </c>
      <c r="D121" t="s">
        <v>8</v>
      </c>
      <c r="E121" t="str">
        <f>IF(june[[#This Row],[ShiftCounter]]&gt;0, "Running", "Down")</f>
        <v>Running</v>
      </c>
    </row>
    <row r="122" spans="1:5" x14ac:dyDescent="0.25">
      <c r="A122" s="8">
        <v>44714</v>
      </c>
      <c r="B122" t="s">
        <v>41</v>
      </c>
      <c r="C122">
        <v>2375</v>
      </c>
      <c r="D122" t="s">
        <v>6</v>
      </c>
      <c r="E122" t="str">
        <f>IF(june[[#This Row],[ShiftCounter]]&gt;0, "Running", "Down")</f>
        <v>Running</v>
      </c>
    </row>
    <row r="123" spans="1:5" x14ac:dyDescent="0.25">
      <c r="A123" s="8">
        <v>44714</v>
      </c>
      <c r="B123" t="s">
        <v>41</v>
      </c>
      <c r="C123">
        <v>2127</v>
      </c>
      <c r="D123" t="s">
        <v>7</v>
      </c>
      <c r="E123" t="str">
        <f>IF(june[[#This Row],[ShiftCounter]]&gt;0, "Running", "Down")</f>
        <v>Running</v>
      </c>
    </row>
    <row r="124" spans="1:5" x14ac:dyDescent="0.25">
      <c r="A124" s="8">
        <v>44714</v>
      </c>
      <c r="B124" t="s">
        <v>41</v>
      </c>
      <c r="C124">
        <v>2047</v>
      </c>
      <c r="D124" t="s">
        <v>8</v>
      </c>
      <c r="E124" t="str">
        <f>IF(june[[#This Row],[ShiftCounter]]&gt;0, "Running", "Down")</f>
        <v>Running</v>
      </c>
    </row>
    <row r="125" spans="1:5" x14ac:dyDescent="0.25">
      <c r="A125" s="8">
        <v>44714</v>
      </c>
      <c r="B125" t="s">
        <v>5</v>
      </c>
      <c r="C125">
        <v>2372</v>
      </c>
      <c r="D125" t="s">
        <v>6</v>
      </c>
      <c r="E125" t="str">
        <f>IF(june[[#This Row],[ShiftCounter]]&gt;0, "Running", "Down")</f>
        <v>Running</v>
      </c>
    </row>
    <row r="126" spans="1:5" x14ac:dyDescent="0.25">
      <c r="A126" s="8">
        <v>44714</v>
      </c>
      <c r="B126" t="s">
        <v>5</v>
      </c>
      <c r="C126">
        <v>2180</v>
      </c>
      <c r="D126" t="s">
        <v>7</v>
      </c>
      <c r="E126" t="str">
        <f>IF(june[[#This Row],[ShiftCounter]]&gt;0, "Running", "Down")</f>
        <v>Running</v>
      </c>
    </row>
    <row r="127" spans="1:5" x14ac:dyDescent="0.25">
      <c r="A127" s="8">
        <v>44714</v>
      </c>
      <c r="B127" t="s">
        <v>5</v>
      </c>
      <c r="C127">
        <v>2143</v>
      </c>
      <c r="D127" t="s">
        <v>8</v>
      </c>
      <c r="E127" t="str">
        <f>IF(june[[#This Row],[ShiftCounter]]&gt;0, "Running", "Down")</f>
        <v>Running</v>
      </c>
    </row>
    <row r="128" spans="1:5" x14ac:dyDescent="0.25">
      <c r="A128" s="8">
        <v>44714</v>
      </c>
      <c r="B128" t="s">
        <v>9</v>
      </c>
      <c r="C128">
        <v>2395</v>
      </c>
      <c r="D128" t="s">
        <v>6</v>
      </c>
      <c r="E128" t="str">
        <f>IF(june[[#This Row],[ShiftCounter]]&gt;0, "Running", "Down")</f>
        <v>Running</v>
      </c>
    </row>
    <row r="129" spans="1:5" x14ac:dyDescent="0.25">
      <c r="A129" s="8">
        <v>44714</v>
      </c>
      <c r="B129" t="s">
        <v>9</v>
      </c>
      <c r="C129">
        <v>2209</v>
      </c>
      <c r="D129" t="s">
        <v>7</v>
      </c>
      <c r="E129" t="str">
        <f>IF(june[[#This Row],[ShiftCounter]]&gt;0, "Running", "Down")</f>
        <v>Running</v>
      </c>
    </row>
    <row r="130" spans="1:5" x14ac:dyDescent="0.25">
      <c r="A130" s="8">
        <v>44714</v>
      </c>
      <c r="B130" t="s">
        <v>9</v>
      </c>
      <c r="C130">
        <v>2168</v>
      </c>
      <c r="D130" t="s">
        <v>8</v>
      </c>
      <c r="E130" t="str">
        <f>IF(june[[#This Row],[ShiftCounter]]&gt;0, "Running", "Down")</f>
        <v>Running</v>
      </c>
    </row>
    <row r="131" spans="1:5" x14ac:dyDescent="0.25">
      <c r="A131" s="8">
        <v>44714</v>
      </c>
      <c r="B131" t="s">
        <v>10</v>
      </c>
      <c r="C131">
        <v>2442</v>
      </c>
      <c r="D131" t="s">
        <v>6</v>
      </c>
      <c r="E131" t="str">
        <f>IF(june[[#This Row],[ShiftCounter]]&gt;0, "Running", "Down")</f>
        <v>Running</v>
      </c>
    </row>
    <row r="132" spans="1:5" x14ac:dyDescent="0.25">
      <c r="A132" s="8">
        <v>44714</v>
      </c>
      <c r="B132" t="s">
        <v>10</v>
      </c>
      <c r="C132">
        <v>2240</v>
      </c>
      <c r="D132" t="s">
        <v>7</v>
      </c>
      <c r="E132" t="str">
        <f>IF(june[[#This Row],[ShiftCounter]]&gt;0, "Running", "Down")</f>
        <v>Running</v>
      </c>
    </row>
    <row r="133" spans="1:5" x14ac:dyDescent="0.25">
      <c r="A133" s="8">
        <v>44714</v>
      </c>
      <c r="B133" t="s">
        <v>10</v>
      </c>
      <c r="C133">
        <v>2147</v>
      </c>
      <c r="D133" t="s">
        <v>8</v>
      </c>
      <c r="E133" t="str">
        <f>IF(june[[#This Row],[ShiftCounter]]&gt;0, "Running", "Down")</f>
        <v>Running</v>
      </c>
    </row>
    <row r="134" spans="1:5" x14ac:dyDescent="0.25">
      <c r="A134" s="8">
        <v>44714</v>
      </c>
      <c r="B134" t="s">
        <v>11</v>
      </c>
      <c r="C134">
        <v>599</v>
      </c>
      <c r="D134" t="s">
        <v>6</v>
      </c>
      <c r="E134" t="str">
        <f>IF(june[[#This Row],[ShiftCounter]]&gt;0, "Running", "Down")</f>
        <v>Running</v>
      </c>
    </row>
    <row r="135" spans="1:5" x14ac:dyDescent="0.25">
      <c r="A135" s="8">
        <v>44714</v>
      </c>
      <c r="B135" t="s">
        <v>11</v>
      </c>
      <c r="C135">
        <v>2065</v>
      </c>
      <c r="D135" t="s">
        <v>7</v>
      </c>
      <c r="E135" t="str">
        <f>IF(june[[#This Row],[ShiftCounter]]&gt;0, "Running", "Down")</f>
        <v>Running</v>
      </c>
    </row>
    <row r="136" spans="1:5" x14ac:dyDescent="0.25">
      <c r="A136" s="8">
        <v>44714</v>
      </c>
      <c r="B136" t="s">
        <v>11</v>
      </c>
      <c r="C136">
        <v>2027</v>
      </c>
      <c r="D136" t="s">
        <v>8</v>
      </c>
      <c r="E136" t="str">
        <f>IF(june[[#This Row],[ShiftCounter]]&gt;0, "Running", "Down")</f>
        <v>Running</v>
      </c>
    </row>
    <row r="137" spans="1:5" x14ac:dyDescent="0.25">
      <c r="A137" s="8">
        <v>44714</v>
      </c>
      <c r="B137" t="s">
        <v>12</v>
      </c>
      <c r="C137">
        <v>2381</v>
      </c>
      <c r="D137" t="s">
        <v>6</v>
      </c>
      <c r="E137" t="str">
        <f>IF(june[[#This Row],[ShiftCounter]]&gt;0, "Running", "Down")</f>
        <v>Running</v>
      </c>
    </row>
    <row r="138" spans="1:5" x14ac:dyDescent="0.25">
      <c r="A138" s="8">
        <v>44714</v>
      </c>
      <c r="B138" t="s">
        <v>12</v>
      </c>
      <c r="C138">
        <v>2203</v>
      </c>
      <c r="D138" t="s">
        <v>7</v>
      </c>
      <c r="E138" t="str">
        <f>IF(june[[#This Row],[ShiftCounter]]&gt;0, "Running", "Down")</f>
        <v>Running</v>
      </c>
    </row>
    <row r="139" spans="1:5" x14ac:dyDescent="0.25">
      <c r="A139" s="8">
        <v>44714</v>
      </c>
      <c r="B139" t="s">
        <v>12</v>
      </c>
      <c r="C139">
        <v>2135</v>
      </c>
      <c r="D139" t="s">
        <v>8</v>
      </c>
      <c r="E139" t="str">
        <f>IF(june[[#This Row],[ShiftCounter]]&gt;0, "Running", "Down")</f>
        <v>Running</v>
      </c>
    </row>
    <row r="140" spans="1:5" x14ac:dyDescent="0.25">
      <c r="A140" s="8">
        <v>44714</v>
      </c>
      <c r="B140" t="s">
        <v>120</v>
      </c>
      <c r="C140">
        <v>2333</v>
      </c>
      <c r="D140" t="s">
        <v>6</v>
      </c>
      <c r="E140" t="str">
        <f>IF(june[[#This Row],[ShiftCounter]]&gt;0, "Running", "Down")</f>
        <v>Running</v>
      </c>
    </row>
    <row r="141" spans="1:5" x14ac:dyDescent="0.25">
      <c r="A141" s="8">
        <v>44714</v>
      </c>
      <c r="B141" t="s">
        <v>120</v>
      </c>
      <c r="C141">
        <v>2181</v>
      </c>
      <c r="D141" t="s">
        <v>7</v>
      </c>
      <c r="E141" t="str">
        <f>IF(june[[#This Row],[ShiftCounter]]&gt;0, "Running", "Down")</f>
        <v>Running</v>
      </c>
    </row>
    <row r="142" spans="1:5" x14ac:dyDescent="0.25">
      <c r="A142" s="8">
        <v>44714</v>
      </c>
      <c r="B142" t="s">
        <v>120</v>
      </c>
      <c r="C142">
        <v>2060</v>
      </c>
      <c r="D142" t="s">
        <v>8</v>
      </c>
      <c r="E142" t="str">
        <f>IF(june[[#This Row],[ShiftCounter]]&gt;0, "Running", "Down")</f>
        <v>Running</v>
      </c>
    </row>
    <row r="143" spans="1:5" x14ac:dyDescent="0.25">
      <c r="A143" s="8">
        <v>44714</v>
      </c>
      <c r="B143" t="s">
        <v>13</v>
      </c>
      <c r="C143">
        <v>2208</v>
      </c>
      <c r="D143" t="s">
        <v>6</v>
      </c>
      <c r="E143" t="str">
        <f>IF(june[[#This Row],[ShiftCounter]]&gt;0, "Running", "Down")</f>
        <v>Running</v>
      </c>
    </row>
    <row r="144" spans="1:5" x14ac:dyDescent="0.25">
      <c r="A144" s="8">
        <v>44714</v>
      </c>
      <c r="B144" t="s">
        <v>13</v>
      </c>
      <c r="C144">
        <v>2103</v>
      </c>
      <c r="D144" t="s">
        <v>7</v>
      </c>
      <c r="E144" t="str">
        <f>IF(june[[#This Row],[ShiftCounter]]&gt;0, "Running", "Down")</f>
        <v>Running</v>
      </c>
    </row>
    <row r="145" spans="1:5" x14ac:dyDescent="0.25">
      <c r="A145" s="8">
        <v>44714</v>
      </c>
      <c r="B145" t="s">
        <v>13</v>
      </c>
      <c r="C145">
        <v>1960</v>
      </c>
      <c r="D145" t="s">
        <v>8</v>
      </c>
      <c r="E145" t="str">
        <f>IF(june[[#This Row],[ShiftCounter]]&gt;0, "Running", "Down")</f>
        <v>Running</v>
      </c>
    </row>
    <row r="146" spans="1:5" x14ac:dyDescent="0.25">
      <c r="A146" s="8">
        <v>44714</v>
      </c>
      <c r="B146" t="s">
        <v>114</v>
      </c>
      <c r="C146">
        <v>2126</v>
      </c>
      <c r="D146" t="s">
        <v>6</v>
      </c>
      <c r="E146" t="str">
        <f>IF(june[[#This Row],[ShiftCounter]]&gt;0, "Running", "Down")</f>
        <v>Running</v>
      </c>
    </row>
    <row r="147" spans="1:5" x14ac:dyDescent="0.25">
      <c r="A147" s="8">
        <v>44714</v>
      </c>
      <c r="B147" t="s">
        <v>114</v>
      </c>
      <c r="C147">
        <v>2027</v>
      </c>
      <c r="D147" t="s">
        <v>7</v>
      </c>
      <c r="E147" t="str">
        <f>IF(june[[#This Row],[ShiftCounter]]&gt;0, "Running", "Down")</f>
        <v>Running</v>
      </c>
    </row>
    <row r="148" spans="1:5" x14ac:dyDescent="0.25">
      <c r="A148" s="8">
        <v>44714</v>
      </c>
      <c r="B148" t="s">
        <v>114</v>
      </c>
      <c r="C148">
        <v>1880</v>
      </c>
      <c r="D148" t="s">
        <v>8</v>
      </c>
      <c r="E148" t="str">
        <f>IF(june[[#This Row],[ShiftCounter]]&gt;0, "Running", "Down")</f>
        <v>Running</v>
      </c>
    </row>
    <row r="149" spans="1:5" x14ac:dyDescent="0.25">
      <c r="A149" s="8">
        <v>44714</v>
      </c>
      <c r="B149" t="s">
        <v>14</v>
      </c>
      <c r="C149">
        <v>1874</v>
      </c>
      <c r="D149" t="s">
        <v>6</v>
      </c>
      <c r="E149" t="str">
        <f>IF(june[[#This Row],[ShiftCounter]]&gt;0, "Running", "Down")</f>
        <v>Running</v>
      </c>
    </row>
    <row r="150" spans="1:5" x14ac:dyDescent="0.25">
      <c r="A150" s="8">
        <v>44714</v>
      </c>
      <c r="B150" t="s">
        <v>14</v>
      </c>
      <c r="C150">
        <v>1803</v>
      </c>
      <c r="D150" t="s">
        <v>7</v>
      </c>
      <c r="E150" t="str">
        <f>IF(june[[#This Row],[ShiftCounter]]&gt;0, "Running", "Down")</f>
        <v>Running</v>
      </c>
    </row>
    <row r="151" spans="1:5" x14ac:dyDescent="0.25">
      <c r="A151" s="8">
        <v>44714</v>
      </c>
      <c r="B151" t="s">
        <v>14</v>
      </c>
      <c r="C151">
        <v>1660</v>
      </c>
      <c r="D151" t="s">
        <v>8</v>
      </c>
      <c r="E151" t="str">
        <f>IF(june[[#This Row],[ShiftCounter]]&gt;0, "Running", "Down")</f>
        <v>Running</v>
      </c>
    </row>
    <row r="152" spans="1:5" x14ac:dyDescent="0.25">
      <c r="A152" s="8">
        <v>44714</v>
      </c>
      <c r="B152" t="s">
        <v>15</v>
      </c>
      <c r="C152">
        <v>2160</v>
      </c>
      <c r="D152" t="s">
        <v>6</v>
      </c>
      <c r="E152" t="str">
        <f>IF(june[[#This Row],[ShiftCounter]]&gt;0, "Running", "Down")</f>
        <v>Running</v>
      </c>
    </row>
    <row r="153" spans="1:5" x14ac:dyDescent="0.25">
      <c r="A153" s="8">
        <v>44714</v>
      </c>
      <c r="B153" t="s">
        <v>15</v>
      </c>
      <c r="C153">
        <v>2024</v>
      </c>
      <c r="D153" t="s">
        <v>7</v>
      </c>
      <c r="E153" t="str">
        <f>IF(june[[#This Row],[ShiftCounter]]&gt;0, "Running", "Down")</f>
        <v>Running</v>
      </c>
    </row>
    <row r="154" spans="1:5" x14ac:dyDescent="0.25">
      <c r="A154" s="8">
        <v>44714</v>
      </c>
      <c r="B154" t="s">
        <v>15</v>
      </c>
      <c r="C154">
        <v>1900</v>
      </c>
      <c r="D154" t="s">
        <v>8</v>
      </c>
      <c r="E154" t="str">
        <f>IF(june[[#This Row],[ShiftCounter]]&gt;0, "Running", "Down")</f>
        <v>Running</v>
      </c>
    </row>
    <row r="155" spans="1:5" x14ac:dyDescent="0.25">
      <c r="A155" s="8">
        <v>44714</v>
      </c>
      <c r="B155" t="s">
        <v>16</v>
      </c>
      <c r="C155">
        <v>2133</v>
      </c>
      <c r="D155" t="s">
        <v>6</v>
      </c>
      <c r="E155" t="str">
        <f>IF(june[[#This Row],[ShiftCounter]]&gt;0, "Running", "Down")</f>
        <v>Running</v>
      </c>
    </row>
    <row r="156" spans="1:5" x14ac:dyDescent="0.25">
      <c r="A156" s="8">
        <v>44714</v>
      </c>
      <c r="B156" t="s">
        <v>16</v>
      </c>
      <c r="C156">
        <v>2164</v>
      </c>
      <c r="D156" t="s">
        <v>7</v>
      </c>
      <c r="E156" t="str">
        <f>IF(june[[#This Row],[ShiftCounter]]&gt;0, "Running", "Down")</f>
        <v>Running</v>
      </c>
    </row>
    <row r="157" spans="1:5" x14ac:dyDescent="0.25">
      <c r="A157" s="8">
        <v>44714</v>
      </c>
      <c r="B157" t="s">
        <v>16</v>
      </c>
      <c r="C157">
        <v>2065</v>
      </c>
      <c r="D157" t="s">
        <v>8</v>
      </c>
      <c r="E157" t="str">
        <f>IF(june[[#This Row],[ShiftCounter]]&gt;0, "Running", "Down")</f>
        <v>Running</v>
      </c>
    </row>
    <row r="158" spans="1:5" x14ac:dyDescent="0.25">
      <c r="A158" s="8">
        <v>44714</v>
      </c>
      <c r="B158" t="s">
        <v>17</v>
      </c>
      <c r="C158">
        <v>2327</v>
      </c>
      <c r="D158" t="s">
        <v>6</v>
      </c>
      <c r="E158" t="str">
        <f>IF(june[[#This Row],[ShiftCounter]]&gt;0, "Running", "Down")</f>
        <v>Running</v>
      </c>
    </row>
    <row r="159" spans="1:5" x14ac:dyDescent="0.25">
      <c r="A159" s="8">
        <v>44714</v>
      </c>
      <c r="B159" t="s">
        <v>17</v>
      </c>
      <c r="C159">
        <v>2308</v>
      </c>
      <c r="D159" t="s">
        <v>7</v>
      </c>
      <c r="E159" t="str">
        <f>IF(june[[#This Row],[ShiftCounter]]&gt;0, "Running", "Down")</f>
        <v>Running</v>
      </c>
    </row>
    <row r="160" spans="1:5" x14ac:dyDescent="0.25">
      <c r="A160" s="8">
        <v>44714</v>
      </c>
      <c r="B160" t="s">
        <v>17</v>
      </c>
      <c r="C160">
        <v>1759</v>
      </c>
      <c r="D160" t="s">
        <v>8</v>
      </c>
      <c r="E160" t="str">
        <f>IF(june[[#This Row],[ShiftCounter]]&gt;0, "Running", "Down")</f>
        <v>Running</v>
      </c>
    </row>
    <row r="161" spans="1:5" x14ac:dyDescent="0.25">
      <c r="A161" s="8">
        <v>44714</v>
      </c>
      <c r="B161" t="s">
        <v>19</v>
      </c>
      <c r="C161">
        <v>1839</v>
      </c>
      <c r="D161" t="s">
        <v>6</v>
      </c>
      <c r="E161" t="str">
        <f>IF(june[[#This Row],[ShiftCounter]]&gt;0, "Running", "Down")</f>
        <v>Running</v>
      </c>
    </row>
    <row r="162" spans="1:5" x14ac:dyDescent="0.25">
      <c r="A162" s="8">
        <v>44714</v>
      </c>
      <c r="B162" t="s">
        <v>19</v>
      </c>
      <c r="C162">
        <v>2150</v>
      </c>
      <c r="D162" t="s">
        <v>7</v>
      </c>
      <c r="E162" t="str">
        <f>IF(june[[#This Row],[ShiftCounter]]&gt;0, "Running", "Down")</f>
        <v>Running</v>
      </c>
    </row>
    <row r="163" spans="1:5" x14ac:dyDescent="0.25">
      <c r="A163" s="8">
        <v>44714</v>
      </c>
      <c r="B163" t="s">
        <v>19</v>
      </c>
      <c r="C163">
        <v>1872</v>
      </c>
      <c r="D163" t="s">
        <v>8</v>
      </c>
      <c r="E163" t="str">
        <f>IF(june[[#This Row],[ShiftCounter]]&gt;0, "Running", "Down")</f>
        <v>Running</v>
      </c>
    </row>
    <row r="164" spans="1:5" x14ac:dyDescent="0.25">
      <c r="A164" s="8">
        <v>44714</v>
      </c>
      <c r="B164" t="s">
        <v>18</v>
      </c>
      <c r="C164">
        <v>2163</v>
      </c>
      <c r="D164" t="s">
        <v>6</v>
      </c>
      <c r="E164" t="str">
        <f>IF(june[[#This Row],[ShiftCounter]]&gt;0, "Running", "Down")</f>
        <v>Running</v>
      </c>
    </row>
    <row r="165" spans="1:5" x14ac:dyDescent="0.25">
      <c r="A165" s="8">
        <v>44714</v>
      </c>
      <c r="B165" t="s">
        <v>18</v>
      </c>
      <c r="C165">
        <v>2240</v>
      </c>
      <c r="D165" t="s">
        <v>7</v>
      </c>
      <c r="E165" t="str">
        <f>IF(june[[#This Row],[ShiftCounter]]&gt;0, "Running", "Down")</f>
        <v>Running</v>
      </c>
    </row>
    <row r="166" spans="1:5" x14ac:dyDescent="0.25">
      <c r="A166" s="8">
        <v>44714</v>
      </c>
      <c r="B166" t="s">
        <v>18</v>
      </c>
      <c r="C166">
        <v>2019</v>
      </c>
      <c r="D166" t="s">
        <v>8</v>
      </c>
      <c r="E166" t="str">
        <f>IF(june[[#This Row],[ShiftCounter]]&gt;0, "Running", "Down")</f>
        <v>Running</v>
      </c>
    </row>
    <row r="167" spans="1:5" x14ac:dyDescent="0.25">
      <c r="A167" s="8">
        <v>44714</v>
      </c>
      <c r="B167" t="s">
        <v>42</v>
      </c>
      <c r="C167">
        <v>0</v>
      </c>
      <c r="D167" t="s">
        <v>6</v>
      </c>
      <c r="E167" t="str">
        <f>IF(june[[#This Row],[ShiftCounter]]&gt;0, "Running", "Down")</f>
        <v>Down</v>
      </c>
    </row>
    <row r="168" spans="1:5" x14ac:dyDescent="0.25">
      <c r="A168" s="8">
        <v>44714</v>
      </c>
      <c r="B168" t="s">
        <v>42</v>
      </c>
      <c r="C168">
        <v>2080</v>
      </c>
      <c r="D168" t="s">
        <v>7</v>
      </c>
      <c r="E168" t="str">
        <f>IF(june[[#This Row],[ShiftCounter]]&gt;0, "Running", "Down")</f>
        <v>Running</v>
      </c>
    </row>
    <row r="169" spans="1:5" x14ac:dyDescent="0.25">
      <c r="A169" s="8">
        <v>44714</v>
      </c>
      <c r="B169" t="s">
        <v>42</v>
      </c>
      <c r="C169">
        <v>1836</v>
      </c>
      <c r="D169" t="s">
        <v>8</v>
      </c>
      <c r="E169" t="str">
        <f>IF(june[[#This Row],[ShiftCounter]]&gt;0, "Running", "Down")</f>
        <v>Running</v>
      </c>
    </row>
    <row r="170" spans="1:5" x14ac:dyDescent="0.25">
      <c r="A170" s="8">
        <v>44714</v>
      </c>
      <c r="B170" t="s">
        <v>38</v>
      </c>
      <c r="C170">
        <v>2093</v>
      </c>
      <c r="D170" t="s">
        <v>6</v>
      </c>
      <c r="E170" t="str">
        <f>IF(june[[#This Row],[ShiftCounter]]&gt;0, "Running", "Down")</f>
        <v>Running</v>
      </c>
    </row>
    <row r="171" spans="1:5" x14ac:dyDescent="0.25">
      <c r="A171" s="8">
        <v>44714</v>
      </c>
      <c r="B171" t="s">
        <v>38</v>
      </c>
      <c r="C171">
        <v>2331</v>
      </c>
      <c r="D171" t="s">
        <v>7</v>
      </c>
      <c r="E171" t="str">
        <f>IF(june[[#This Row],[ShiftCounter]]&gt;0, "Running", "Down")</f>
        <v>Running</v>
      </c>
    </row>
    <row r="172" spans="1:5" x14ac:dyDescent="0.25">
      <c r="A172" s="8">
        <v>44714</v>
      </c>
      <c r="B172" t="s">
        <v>38</v>
      </c>
      <c r="C172">
        <v>2013</v>
      </c>
      <c r="D172" t="s">
        <v>8</v>
      </c>
      <c r="E172" t="str">
        <f>IF(june[[#This Row],[ShiftCounter]]&gt;0, "Running", "Down")</f>
        <v>Running</v>
      </c>
    </row>
    <row r="173" spans="1:5" x14ac:dyDescent="0.25">
      <c r="A173" s="8">
        <v>44714</v>
      </c>
      <c r="B173" t="s">
        <v>20</v>
      </c>
      <c r="C173">
        <v>2087</v>
      </c>
      <c r="D173" t="s">
        <v>6</v>
      </c>
      <c r="E173" t="str">
        <f>IF(june[[#This Row],[ShiftCounter]]&gt;0, "Running", "Down")</f>
        <v>Running</v>
      </c>
    </row>
    <row r="174" spans="1:5" x14ac:dyDescent="0.25">
      <c r="A174" s="8">
        <v>44714</v>
      </c>
      <c r="B174" t="s">
        <v>20</v>
      </c>
      <c r="C174">
        <v>2333</v>
      </c>
      <c r="D174" t="s">
        <v>7</v>
      </c>
      <c r="E174" t="str">
        <f>IF(june[[#This Row],[ShiftCounter]]&gt;0, "Running", "Down")</f>
        <v>Running</v>
      </c>
    </row>
    <row r="175" spans="1:5" x14ac:dyDescent="0.25">
      <c r="A175" s="8">
        <v>44714</v>
      </c>
      <c r="B175" t="s">
        <v>20</v>
      </c>
      <c r="C175">
        <v>2047</v>
      </c>
      <c r="D175" t="s">
        <v>8</v>
      </c>
      <c r="E175" t="str">
        <f>IF(june[[#This Row],[ShiftCounter]]&gt;0, "Running", "Down")</f>
        <v>Running</v>
      </c>
    </row>
    <row r="176" spans="1:5" x14ac:dyDescent="0.25">
      <c r="A176" s="8">
        <v>44714</v>
      </c>
      <c r="B176" t="s">
        <v>23</v>
      </c>
      <c r="C176">
        <v>2172</v>
      </c>
      <c r="D176" t="s">
        <v>6</v>
      </c>
      <c r="E176" t="str">
        <f>IF(june[[#This Row],[ShiftCounter]]&gt;0, "Running", "Down")</f>
        <v>Running</v>
      </c>
    </row>
    <row r="177" spans="1:5" x14ac:dyDescent="0.25">
      <c r="A177" s="8">
        <v>44714</v>
      </c>
      <c r="B177" t="s">
        <v>23</v>
      </c>
      <c r="C177">
        <v>2236</v>
      </c>
      <c r="D177" t="s">
        <v>7</v>
      </c>
      <c r="E177" t="str">
        <f>IF(june[[#This Row],[ShiftCounter]]&gt;0, "Running", "Down")</f>
        <v>Running</v>
      </c>
    </row>
    <row r="178" spans="1:5" x14ac:dyDescent="0.25">
      <c r="A178" s="8">
        <v>44714</v>
      </c>
      <c r="B178" t="s">
        <v>23</v>
      </c>
      <c r="C178">
        <v>1838</v>
      </c>
      <c r="D178" t="s">
        <v>8</v>
      </c>
      <c r="E178" t="str">
        <f>IF(june[[#This Row],[ShiftCounter]]&gt;0, "Running", "Down")</f>
        <v>Running</v>
      </c>
    </row>
    <row r="179" spans="1:5" x14ac:dyDescent="0.25">
      <c r="A179" s="8">
        <v>44714</v>
      </c>
      <c r="B179" t="s">
        <v>22</v>
      </c>
      <c r="C179">
        <v>2099</v>
      </c>
      <c r="D179" t="s">
        <v>6</v>
      </c>
      <c r="E179" t="str">
        <f>IF(june[[#This Row],[ShiftCounter]]&gt;0, "Running", "Down")</f>
        <v>Running</v>
      </c>
    </row>
    <row r="180" spans="1:5" x14ac:dyDescent="0.25">
      <c r="A180" s="8">
        <v>44714</v>
      </c>
      <c r="B180" t="s">
        <v>22</v>
      </c>
      <c r="C180">
        <v>2256</v>
      </c>
      <c r="D180" t="s">
        <v>7</v>
      </c>
      <c r="E180" t="str">
        <f>IF(june[[#This Row],[ShiftCounter]]&gt;0, "Running", "Down")</f>
        <v>Running</v>
      </c>
    </row>
    <row r="181" spans="1:5" x14ac:dyDescent="0.25">
      <c r="A181" s="8">
        <v>44714</v>
      </c>
      <c r="B181" t="s">
        <v>22</v>
      </c>
      <c r="C181">
        <v>1967</v>
      </c>
      <c r="D181" t="s">
        <v>8</v>
      </c>
      <c r="E181" t="str">
        <f>IF(june[[#This Row],[ShiftCounter]]&gt;0, "Running", "Down")</f>
        <v>Running</v>
      </c>
    </row>
    <row r="182" spans="1:5" x14ac:dyDescent="0.25">
      <c r="A182" s="8">
        <v>44714</v>
      </c>
      <c r="B182" t="s">
        <v>21</v>
      </c>
      <c r="C182">
        <v>1915</v>
      </c>
      <c r="D182" t="s">
        <v>6</v>
      </c>
      <c r="E182" t="str">
        <f>IF(june[[#This Row],[ShiftCounter]]&gt;0, "Running", "Down")</f>
        <v>Running</v>
      </c>
    </row>
    <row r="183" spans="1:5" x14ac:dyDescent="0.25">
      <c r="A183" s="8">
        <v>44714</v>
      </c>
      <c r="B183" t="s">
        <v>21</v>
      </c>
      <c r="C183">
        <v>2120</v>
      </c>
      <c r="D183" t="s">
        <v>7</v>
      </c>
      <c r="E183" t="str">
        <f>IF(june[[#This Row],[ShiftCounter]]&gt;0, "Running", "Down")</f>
        <v>Running</v>
      </c>
    </row>
    <row r="184" spans="1:5" x14ac:dyDescent="0.25">
      <c r="A184" s="8">
        <v>44714</v>
      </c>
      <c r="B184" t="s">
        <v>21</v>
      </c>
      <c r="C184">
        <v>1905</v>
      </c>
      <c r="D184" t="s">
        <v>8</v>
      </c>
      <c r="E184" t="str">
        <f>IF(june[[#This Row],[ShiftCounter]]&gt;0, "Running", "Down")</f>
        <v>Running</v>
      </c>
    </row>
    <row r="185" spans="1:5" x14ac:dyDescent="0.25">
      <c r="A185" s="8">
        <v>44714</v>
      </c>
      <c r="B185" t="s">
        <v>24</v>
      </c>
      <c r="C185">
        <v>2112</v>
      </c>
      <c r="D185" t="s">
        <v>6</v>
      </c>
      <c r="E185" t="str">
        <f>IF(june[[#This Row],[ShiftCounter]]&gt;0, "Running", "Down")</f>
        <v>Running</v>
      </c>
    </row>
    <row r="186" spans="1:5" x14ac:dyDescent="0.25">
      <c r="A186" s="8">
        <v>44714</v>
      </c>
      <c r="B186" t="s">
        <v>24</v>
      </c>
      <c r="C186">
        <v>2116</v>
      </c>
      <c r="D186" t="s">
        <v>7</v>
      </c>
      <c r="E186" t="str">
        <f>IF(june[[#This Row],[ShiftCounter]]&gt;0, "Running", "Down")</f>
        <v>Running</v>
      </c>
    </row>
    <row r="187" spans="1:5" x14ac:dyDescent="0.25">
      <c r="A187" s="8">
        <v>44714</v>
      </c>
      <c r="B187" t="s">
        <v>24</v>
      </c>
      <c r="C187">
        <v>1842</v>
      </c>
      <c r="D187" t="s">
        <v>8</v>
      </c>
      <c r="E187" t="str">
        <f>IF(june[[#This Row],[ShiftCounter]]&gt;0, "Running", "Down")</f>
        <v>Running</v>
      </c>
    </row>
    <row r="188" spans="1:5" x14ac:dyDescent="0.25">
      <c r="A188" s="8">
        <v>44714</v>
      </c>
      <c r="B188" t="s">
        <v>25</v>
      </c>
      <c r="C188">
        <v>2257</v>
      </c>
      <c r="D188" t="s">
        <v>6</v>
      </c>
      <c r="E188" t="str">
        <f>IF(june[[#This Row],[ShiftCounter]]&gt;0, "Running", "Down")</f>
        <v>Running</v>
      </c>
    </row>
    <row r="189" spans="1:5" x14ac:dyDescent="0.25">
      <c r="A189" s="8">
        <v>44714</v>
      </c>
      <c r="B189" t="s">
        <v>25</v>
      </c>
      <c r="C189">
        <v>2238</v>
      </c>
      <c r="D189" t="s">
        <v>7</v>
      </c>
      <c r="E189" t="str">
        <f>IF(june[[#This Row],[ShiftCounter]]&gt;0, "Running", "Down")</f>
        <v>Running</v>
      </c>
    </row>
    <row r="190" spans="1:5" x14ac:dyDescent="0.25">
      <c r="A190" s="8">
        <v>44714</v>
      </c>
      <c r="B190" t="s">
        <v>25</v>
      </c>
      <c r="C190">
        <v>1978</v>
      </c>
      <c r="D190" t="s">
        <v>8</v>
      </c>
      <c r="E190" t="str">
        <f>IF(june[[#This Row],[ShiftCounter]]&gt;0, "Running", "Down")</f>
        <v>Running</v>
      </c>
    </row>
    <row r="191" spans="1:5" x14ac:dyDescent="0.25">
      <c r="A191" s="8">
        <v>44714</v>
      </c>
      <c r="B191" t="s">
        <v>26</v>
      </c>
      <c r="C191">
        <v>2014</v>
      </c>
      <c r="D191" t="s">
        <v>6</v>
      </c>
      <c r="E191" t="str">
        <f>IF(june[[#This Row],[ShiftCounter]]&gt;0, "Running", "Down")</f>
        <v>Running</v>
      </c>
    </row>
    <row r="192" spans="1:5" x14ac:dyDescent="0.25">
      <c r="A192" s="8">
        <v>44714</v>
      </c>
      <c r="B192" t="s">
        <v>26</v>
      </c>
      <c r="C192">
        <v>865</v>
      </c>
      <c r="D192" t="s">
        <v>7</v>
      </c>
      <c r="E192" t="str">
        <f>IF(june[[#This Row],[ShiftCounter]]&gt;0, "Running", "Down")</f>
        <v>Running</v>
      </c>
    </row>
    <row r="193" spans="1:5" x14ac:dyDescent="0.25">
      <c r="A193" s="8">
        <v>44714</v>
      </c>
      <c r="B193" t="s">
        <v>26</v>
      </c>
      <c r="C193">
        <v>0</v>
      </c>
      <c r="D193" t="s">
        <v>8</v>
      </c>
      <c r="E193" t="str">
        <f>IF(june[[#This Row],[ShiftCounter]]&gt;0, "Running", "Down")</f>
        <v>Down</v>
      </c>
    </row>
    <row r="194" spans="1:5" x14ac:dyDescent="0.25">
      <c r="A194" s="8">
        <v>44714</v>
      </c>
      <c r="B194" t="s">
        <v>27</v>
      </c>
      <c r="C194">
        <v>2327</v>
      </c>
      <c r="D194" t="s">
        <v>6</v>
      </c>
      <c r="E194" t="str">
        <f>IF(june[[#This Row],[ShiftCounter]]&gt;0, "Running", "Down")</f>
        <v>Running</v>
      </c>
    </row>
    <row r="195" spans="1:5" x14ac:dyDescent="0.25">
      <c r="A195" s="8">
        <v>44714</v>
      </c>
      <c r="B195" t="s">
        <v>27</v>
      </c>
      <c r="C195">
        <v>2300</v>
      </c>
      <c r="D195" t="s">
        <v>7</v>
      </c>
      <c r="E195" t="str">
        <f>IF(june[[#This Row],[ShiftCounter]]&gt;0, "Running", "Down")</f>
        <v>Running</v>
      </c>
    </row>
    <row r="196" spans="1:5" x14ac:dyDescent="0.25">
      <c r="A196" s="8">
        <v>44714</v>
      </c>
      <c r="B196" t="s">
        <v>27</v>
      </c>
      <c r="C196">
        <v>2028</v>
      </c>
      <c r="D196" t="s">
        <v>8</v>
      </c>
      <c r="E196" t="str">
        <f>IF(june[[#This Row],[ShiftCounter]]&gt;0, "Running", "Down")</f>
        <v>Running</v>
      </c>
    </row>
    <row r="197" spans="1:5" x14ac:dyDescent="0.25">
      <c r="A197" s="8">
        <v>44714</v>
      </c>
      <c r="B197" t="s">
        <v>28</v>
      </c>
      <c r="C197">
        <v>2242</v>
      </c>
      <c r="D197" t="s">
        <v>6</v>
      </c>
      <c r="E197" t="str">
        <f>IF(june[[#This Row],[ShiftCounter]]&gt;0, "Running", "Down")</f>
        <v>Running</v>
      </c>
    </row>
    <row r="198" spans="1:5" x14ac:dyDescent="0.25">
      <c r="A198" s="8">
        <v>44714</v>
      </c>
      <c r="B198" t="s">
        <v>28</v>
      </c>
      <c r="C198">
        <v>2190</v>
      </c>
      <c r="D198" t="s">
        <v>7</v>
      </c>
      <c r="E198" t="str">
        <f>IF(june[[#This Row],[ShiftCounter]]&gt;0, "Running", "Down")</f>
        <v>Running</v>
      </c>
    </row>
    <row r="199" spans="1:5" x14ac:dyDescent="0.25">
      <c r="A199" s="8">
        <v>44714</v>
      </c>
      <c r="B199" t="s">
        <v>28</v>
      </c>
      <c r="C199">
        <v>2038</v>
      </c>
      <c r="D199" t="s">
        <v>8</v>
      </c>
      <c r="E199" t="str">
        <f>IF(june[[#This Row],[ShiftCounter]]&gt;0, "Running", "Down")</f>
        <v>Running</v>
      </c>
    </row>
    <row r="200" spans="1:5" x14ac:dyDescent="0.25">
      <c r="A200" s="8">
        <v>44714</v>
      </c>
      <c r="B200" t="s">
        <v>29</v>
      </c>
      <c r="C200">
        <v>2047</v>
      </c>
      <c r="D200" t="s">
        <v>6</v>
      </c>
      <c r="E200" t="str">
        <f>IF(june[[#This Row],[ShiftCounter]]&gt;0, "Running", "Down")</f>
        <v>Running</v>
      </c>
    </row>
    <row r="201" spans="1:5" x14ac:dyDescent="0.25">
      <c r="A201" s="8">
        <v>44714</v>
      </c>
      <c r="B201" t="s">
        <v>29</v>
      </c>
      <c r="C201">
        <v>2008</v>
      </c>
      <c r="D201" t="s">
        <v>7</v>
      </c>
      <c r="E201" t="str">
        <f>IF(june[[#This Row],[ShiftCounter]]&gt;0, "Running", "Down")</f>
        <v>Running</v>
      </c>
    </row>
    <row r="202" spans="1:5" x14ac:dyDescent="0.25">
      <c r="A202" s="8">
        <v>44714</v>
      </c>
      <c r="B202" t="s">
        <v>29</v>
      </c>
      <c r="C202">
        <v>1986</v>
      </c>
      <c r="D202" t="s">
        <v>8</v>
      </c>
      <c r="E202" t="str">
        <f>IF(june[[#This Row],[ShiftCounter]]&gt;0, "Running", "Down")</f>
        <v>Running</v>
      </c>
    </row>
    <row r="203" spans="1:5" x14ac:dyDescent="0.25">
      <c r="A203" s="8">
        <v>44714</v>
      </c>
      <c r="B203" t="s">
        <v>30</v>
      </c>
      <c r="C203">
        <v>2153</v>
      </c>
      <c r="D203" t="s">
        <v>6</v>
      </c>
      <c r="E203" t="str">
        <f>IF(june[[#This Row],[ShiftCounter]]&gt;0, "Running", "Down")</f>
        <v>Running</v>
      </c>
    </row>
    <row r="204" spans="1:5" x14ac:dyDescent="0.25">
      <c r="A204" s="8">
        <v>44714</v>
      </c>
      <c r="B204" t="s">
        <v>30</v>
      </c>
      <c r="C204">
        <v>2228</v>
      </c>
      <c r="D204" t="s">
        <v>7</v>
      </c>
      <c r="E204" t="str">
        <f>IF(june[[#This Row],[ShiftCounter]]&gt;0, "Running", "Down")</f>
        <v>Running</v>
      </c>
    </row>
    <row r="205" spans="1:5" x14ac:dyDescent="0.25">
      <c r="A205" s="8">
        <v>44714</v>
      </c>
      <c r="B205" t="s">
        <v>30</v>
      </c>
      <c r="C205">
        <v>2084</v>
      </c>
      <c r="D205" t="s">
        <v>8</v>
      </c>
      <c r="E205" t="str">
        <f>IF(june[[#This Row],[ShiftCounter]]&gt;0, "Running", "Down")</f>
        <v>Running</v>
      </c>
    </row>
    <row r="206" spans="1:5" x14ac:dyDescent="0.25">
      <c r="A206" s="8">
        <v>44714</v>
      </c>
      <c r="B206" t="s">
        <v>31</v>
      </c>
      <c r="C206">
        <v>2130</v>
      </c>
      <c r="D206" t="s">
        <v>6</v>
      </c>
      <c r="E206" t="str">
        <f>IF(june[[#This Row],[ShiftCounter]]&gt;0, "Running", "Down")</f>
        <v>Running</v>
      </c>
    </row>
    <row r="207" spans="1:5" x14ac:dyDescent="0.25">
      <c r="A207" s="8">
        <v>44714</v>
      </c>
      <c r="B207" t="s">
        <v>31</v>
      </c>
      <c r="C207">
        <v>1986</v>
      </c>
      <c r="D207" t="s">
        <v>7</v>
      </c>
      <c r="E207" t="str">
        <f>IF(june[[#This Row],[ShiftCounter]]&gt;0, "Running", "Down")</f>
        <v>Running</v>
      </c>
    </row>
    <row r="208" spans="1:5" x14ac:dyDescent="0.25">
      <c r="A208" s="8">
        <v>44714</v>
      </c>
      <c r="B208" t="s">
        <v>31</v>
      </c>
      <c r="C208">
        <v>1902</v>
      </c>
      <c r="D208" t="s">
        <v>8</v>
      </c>
      <c r="E208" t="str">
        <f>IF(june[[#This Row],[ShiftCounter]]&gt;0, "Running", "Down")</f>
        <v>Running</v>
      </c>
    </row>
    <row r="209" spans="1:5" x14ac:dyDescent="0.25">
      <c r="A209" s="8">
        <v>44714</v>
      </c>
      <c r="B209" t="s">
        <v>32</v>
      </c>
      <c r="C209">
        <v>2110</v>
      </c>
      <c r="D209" t="s">
        <v>6</v>
      </c>
      <c r="E209" t="str">
        <f>IF(june[[#This Row],[ShiftCounter]]&gt;0, "Running", "Down")</f>
        <v>Running</v>
      </c>
    </row>
    <row r="210" spans="1:5" x14ac:dyDescent="0.25">
      <c r="A210" s="8">
        <v>44714</v>
      </c>
      <c r="B210" t="s">
        <v>32</v>
      </c>
      <c r="C210">
        <v>2145</v>
      </c>
      <c r="D210" t="s">
        <v>7</v>
      </c>
      <c r="E210" t="str">
        <f>IF(june[[#This Row],[ShiftCounter]]&gt;0, "Running", "Down")</f>
        <v>Running</v>
      </c>
    </row>
    <row r="211" spans="1:5" x14ac:dyDescent="0.25">
      <c r="A211" s="8">
        <v>44714</v>
      </c>
      <c r="B211" t="s">
        <v>32</v>
      </c>
      <c r="C211">
        <v>2036</v>
      </c>
      <c r="D211" t="s">
        <v>8</v>
      </c>
      <c r="E211" t="str">
        <f>IF(june[[#This Row],[ShiftCounter]]&gt;0, "Running", "Down")</f>
        <v>Running</v>
      </c>
    </row>
    <row r="212" spans="1:5" x14ac:dyDescent="0.25">
      <c r="A212" s="8">
        <v>44714</v>
      </c>
      <c r="B212" t="s">
        <v>71</v>
      </c>
      <c r="C212">
        <v>2198</v>
      </c>
      <c r="D212" t="s">
        <v>6</v>
      </c>
      <c r="E212" t="str">
        <f>IF(june[[#This Row],[ShiftCounter]]&gt;0, "Running", "Down")</f>
        <v>Running</v>
      </c>
    </row>
    <row r="213" spans="1:5" x14ac:dyDescent="0.25">
      <c r="A213" s="8">
        <v>44714</v>
      </c>
      <c r="B213" t="s">
        <v>71</v>
      </c>
      <c r="C213">
        <v>2056</v>
      </c>
      <c r="D213" t="s">
        <v>7</v>
      </c>
      <c r="E213" t="str">
        <f>IF(june[[#This Row],[ShiftCounter]]&gt;0, "Running", "Down")</f>
        <v>Running</v>
      </c>
    </row>
    <row r="214" spans="1:5" x14ac:dyDescent="0.25">
      <c r="A214" s="8">
        <v>44714</v>
      </c>
      <c r="B214" t="s">
        <v>71</v>
      </c>
      <c r="C214">
        <v>2084</v>
      </c>
      <c r="D214" t="s">
        <v>8</v>
      </c>
      <c r="E214" t="str">
        <f>IF(june[[#This Row],[ShiftCounter]]&gt;0, "Running", "Down")</f>
        <v>Running</v>
      </c>
    </row>
    <row r="215" spans="1:5" x14ac:dyDescent="0.25">
      <c r="A215" s="8">
        <v>44714</v>
      </c>
      <c r="B215" t="s">
        <v>33</v>
      </c>
      <c r="C215">
        <v>2567</v>
      </c>
      <c r="D215" t="s">
        <v>6</v>
      </c>
      <c r="E215" t="str">
        <f>IF(june[[#This Row],[ShiftCounter]]&gt;0, "Running", "Down")</f>
        <v>Running</v>
      </c>
    </row>
    <row r="216" spans="1:5" x14ac:dyDescent="0.25">
      <c r="A216" s="8">
        <v>44714</v>
      </c>
      <c r="B216" t="s">
        <v>33</v>
      </c>
      <c r="C216">
        <v>2398</v>
      </c>
      <c r="D216" t="s">
        <v>7</v>
      </c>
      <c r="E216" t="str">
        <f>IF(june[[#This Row],[ShiftCounter]]&gt;0, "Running", "Down")</f>
        <v>Running</v>
      </c>
    </row>
    <row r="217" spans="1:5" x14ac:dyDescent="0.25">
      <c r="A217" s="8">
        <v>44714</v>
      </c>
      <c r="B217" t="s">
        <v>33</v>
      </c>
      <c r="C217">
        <v>2223</v>
      </c>
      <c r="D217" t="s">
        <v>8</v>
      </c>
      <c r="E217" t="str">
        <f>IF(june[[#This Row],[ShiftCounter]]&gt;0, "Running", "Down")</f>
        <v>Running</v>
      </c>
    </row>
    <row r="218" spans="1:5" x14ac:dyDescent="0.25">
      <c r="A218" s="8">
        <v>44714</v>
      </c>
      <c r="B218" t="s">
        <v>34</v>
      </c>
      <c r="C218">
        <v>0</v>
      </c>
      <c r="D218" t="s">
        <v>6</v>
      </c>
      <c r="E218" t="str">
        <f>IF(june[[#This Row],[ShiftCounter]]&gt;0, "Running", "Down")</f>
        <v>Down</v>
      </c>
    </row>
    <row r="219" spans="1:5" x14ac:dyDescent="0.25">
      <c r="A219" s="8">
        <v>44714</v>
      </c>
      <c r="B219" t="s">
        <v>34</v>
      </c>
      <c r="C219">
        <v>1945</v>
      </c>
      <c r="D219" t="s">
        <v>7</v>
      </c>
      <c r="E219" t="str">
        <f>IF(june[[#This Row],[ShiftCounter]]&gt;0, "Running", "Down")</f>
        <v>Running</v>
      </c>
    </row>
    <row r="220" spans="1:5" x14ac:dyDescent="0.25">
      <c r="A220" s="8">
        <v>44714</v>
      </c>
      <c r="B220" t="s">
        <v>34</v>
      </c>
      <c r="C220">
        <v>1855</v>
      </c>
      <c r="D220" t="s">
        <v>8</v>
      </c>
      <c r="E220" t="str">
        <f>IF(june[[#This Row],[ShiftCounter]]&gt;0, "Running", "Down")</f>
        <v>Running</v>
      </c>
    </row>
    <row r="221" spans="1:5" x14ac:dyDescent="0.25">
      <c r="A221" s="8">
        <v>44714</v>
      </c>
      <c r="B221" t="s">
        <v>35</v>
      </c>
      <c r="C221">
        <v>1390</v>
      </c>
      <c r="D221" t="s">
        <v>6</v>
      </c>
      <c r="E221" t="str">
        <f>IF(june[[#This Row],[ShiftCounter]]&gt;0, "Running", "Down")</f>
        <v>Running</v>
      </c>
    </row>
    <row r="222" spans="1:5" x14ac:dyDescent="0.25">
      <c r="A222" s="8">
        <v>44714</v>
      </c>
      <c r="B222" t="s">
        <v>35</v>
      </c>
      <c r="C222">
        <v>2115</v>
      </c>
      <c r="D222" t="s">
        <v>7</v>
      </c>
      <c r="E222" t="str">
        <f>IF(june[[#This Row],[ShiftCounter]]&gt;0, "Running", "Down")</f>
        <v>Running</v>
      </c>
    </row>
    <row r="223" spans="1:5" x14ac:dyDescent="0.25">
      <c r="A223" s="8">
        <v>44714</v>
      </c>
      <c r="B223" t="s">
        <v>35</v>
      </c>
      <c r="C223">
        <v>1931</v>
      </c>
      <c r="D223" t="s">
        <v>8</v>
      </c>
      <c r="E223" t="str">
        <f>IF(june[[#This Row],[ShiftCounter]]&gt;0, "Running", "Down")</f>
        <v>Running</v>
      </c>
    </row>
    <row r="224" spans="1:5" x14ac:dyDescent="0.25">
      <c r="A224" s="8">
        <v>44714</v>
      </c>
      <c r="B224" t="s">
        <v>36</v>
      </c>
      <c r="C224">
        <v>2510</v>
      </c>
      <c r="D224" t="s">
        <v>6</v>
      </c>
      <c r="E224" t="str">
        <f>IF(june[[#This Row],[ShiftCounter]]&gt;0, "Running", "Down")</f>
        <v>Running</v>
      </c>
    </row>
    <row r="225" spans="1:5" x14ac:dyDescent="0.25">
      <c r="A225" s="8">
        <v>44714</v>
      </c>
      <c r="B225" t="s">
        <v>36</v>
      </c>
      <c r="C225">
        <v>2359</v>
      </c>
      <c r="D225" t="s">
        <v>7</v>
      </c>
      <c r="E225" t="str">
        <f>IF(june[[#This Row],[ShiftCounter]]&gt;0, "Running", "Down")</f>
        <v>Running</v>
      </c>
    </row>
    <row r="226" spans="1:5" x14ac:dyDescent="0.25">
      <c r="A226" s="8">
        <v>44714</v>
      </c>
      <c r="B226" t="s">
        <v>36</v>
      </c>
      <c r="C226">
        <v>2170</v>
      </c>
      <c r="D226" t="s">
        <v>8</v>
      </c>
      <c r="E226" t="str">
        <f>IF(june[[#This Row],[ShiftCounter]]&gt;0, "Running", "Down")</f>
        <v>Running</v>
      </c>
    </row>
    <row r="227" spans="1:5" x14ac:dyDescent="0.25">
      <c r="A227" s="8">
        <v>44714</v>
      </c>
      <c r="B227" t="s">
        <v>37</v>
      </c>
      <c r="C227">
        <v>2453</v>
      </c>
      <c r="D227" t="s">
        <v>6</v>
      </c>
      <c r="E227" t="str">
        <f>IF(june[[#This Row],[ShiftCounter]]&gt;0, "Running", "Down")</f>
        <v>Running</v>
      </c>
    </row>
    <row r="228" spans="1:5" x14ac:dyDescent="0.25">
      <c r="A228" s="8">
        <v>44714</v>
      </c>
      <c r="B228" t="s">
        <v>37</v>
      </c>
      <c r="C228">
        <v>2257</v>
      </c>
      <c r="D228" t="s">
        <v>7</v>
      </c>
      <c r="E228" t="str">
        <f>IF(june[[#This Row],[ShiftCounter]]&gt;0, "Running", "Down")</f>
        <v>Running</v>
      </c>
    </row>
    <row r="229" spans="1:5" x14ac:dyDescent="0.25">
      <c r="A229" s="8">
        <v>44714</v>
      </c>
      <c r="B229" t="s">
        <v>37</v>
      </c>
      <c r="C229">
        <v>2029</v>
      </c>
      <c r="D229" t="s">
        <v>8</v>
      </c>
      <c r="E229" t="str">
        <f>IF(june[[#This Row],[ShiftCounter]]&gt;0, "Running", "Down")</f>
        <v>Running</v>
      </c>
    </row>
    <row r="230" spans="1:5" x14ac:dyDescent="0.25">
      <c r="A230" s="8">
        <v>44715</v>
      </c>
      <c r="B230" t="s">
        <v>158</v>
      </c>
      <c r="C230">
        <v>2027</v>
      </c>
      <c r="D230" t="s">
        <v>6</v>
      </c>
      <c r="E230" t="str">
        <f>IF(june[[#This Row],[ShiftCounter]]&gt;0, "Running", "Down")</f>
        <v>Running</v>
      </c>
    </row>
    <row r="231" spans="1:5" x14ac:dyDescent="0.25">
      <c r="A231" s="8">
        <v>44715</v>
      </c>
      <c r="B231" t="s">
        <v>158</v>
      </c>
      <c r="C231">
        <v>2053</v>
      </c>
      <c r="D231" t="s">
        <v>7</v>
      </c>
      <c r="E231" t="str">
        <f>IF(june[[#This Row],[ShiftCounter]]&gt;0, "Running", "Down")</f>
        <v>Running</v>
      </c>
    </row>
    <row r="232" spans="1:5" x14ac:dyDescent="0.25">
      <c r="A232" s="8">
        <v>44715</v>
      </c>
      <c r="B232" t="s">
        <v>158</v>
      </c>
      <c r="C232">
        <v>1897</v>
      </c>
      <c r="D232" t="s">
        <v>8</v>
      </c>
      <c r="E232" t="str">
        <f>IF(june[[#This Row],[ShiftCounter]]&gt;0, "Running", "Down")</f>
        <v>Running</v>
      </c>
    </row>
    <row r="233" spans="1:5" x14ac:dyDescent="0.25">
      <c r="A233" s="8">
        <v>44715</v>
      </c>
      <c r="B233" t="s">
        <v>40</v>
      </c>
      <c r="C233">
        <v>2394</v>
      </c>
      <c r="D233" t="s">
        <v>6</v>
      </c>
      <c r="E233" t="str">
        <f>IF(june[[#This Row],[ShiftCounter]]&gt;0, "Running", "Down")</f>
        <v>Running</v>
      </c>
    </row>
    <row r="234" spans="1:5" x14ac:dyDescent="0.25">
      <c r="A234" s="8">
        <v>44715</v>
      </c>
      <c r="B234" t="s">
        <v>40</v>
      </c>
      <c r="C234">
        <v>2422</v>
      </c>
      <c r="D234" t="s">
        <v>7</v>
      </c>
      <c r="E234" t="str">
        <f>IF(june[[#This Row],[ShiftCounter]]&gt;0, "Running", "Down")</f>
        <v>Running</v>
      </c>
    </row>
    <row r="235" spans="1:5" x14ac:dyDescent="0.25">
      <c r="A235" s="8">
        <v>44715</v>
      </c>
      <c r="B235" t="s">
        <v>40</v>
      </c>
      <c r="C235">
        <v>2240</v>
      </c>
      <c r="D235" t="s">
        <v>8</v>
      </c>
      <c r="E235" t="str">
        <f>IF(june[[#This Row],[ShiftCounter]]&gt;0, "Running", "Down")</f>
        <v>Running</v>
      </c>
    </row>
    <row r="236" spans="1:5" x14ac:dyDescent="0.25">
      <c r="A236" s="8">
        <v>44715</v>
      </c>
      <c r="B236" t="s">
        <v>39</v>
      </c>
      <c r="C236">
        <v>2068</v>
      </c>
      <c r="D236" t="s">
        <v>6</v>
      </c>
      <c r="E236" t="str">
        <f>IF(june[[#This Row],[ShiftCounter]]&gt;0, "Running", "Down")</f>
        <v>Running</v>
      </c>
    </row>
    <row r="237" spans="1:5" x14ac:dyDescent="0.25">
      <c r="A237" s="8">
        <v>44715</v>
      </c>
      <c r="B237" t="s">
        <v>39</v>
      </c>
      <c r="C237">
        <v>2188</v>
      </c>
      <c r="D237" t="s">
        <v>7</v>
      </c>
      <c r="E237" t="str">
        <f>IF(june[[#This Row],[ShiftCounter]]&gt;0, "Running", "Down")</f>
        <v>Running</v>
      </c>
    </row>
    <row r="238" spans="1:5" x14ac:dyDescent="0.25">
      <c r="A238" s="8">
        <v>44715</v>
      </c>
      <c r="B238" t="s">
        <v>39</v>
      </c>
      <c r="C238">
        <v>1965</v>
      </c>
      <c r="D238" t="s">
        <v>8</v>
      </c>
      <c r="E238" t="str">
        <f>IF(june[[#This Row],[ShiftCounter]]&gt;0, "Running", "Down")</f>
        <v>Running</v>
      </c>
    </row>
    <row r="239" spans="1:5" x14ac:dyDescent="0.25">
      <c r="A239" s="8">
        <v>44715</v>
      </c>
      <c r="B239" t="s">
        <v>41</v>
      </c>
      <c r="C239">
        <v>2184</v>
      </c>
      <c r="D239" t="s">
        <v>6</v>
      </c>
      <c r="E239" t="str">
        <f>IF(june[[#This Row],[ShiftCounter]]&gt;0, "Running", "Down")</f>
        <v>Running</v>
      </c>
    </row>
    <row r="240" spans="1:5" x14ac:dyDescent="0.25">
      <c r="A240" s="8">
        <v>44715</v>
      </c>
      <c r="B240" t="s">
        <v>41</v>
      </c>
      <c r="C240">
        <v>2310</v>
      </c>
      <c r="D240" t="s">
        <v>7</v>
      </c>
      <c r="E240" t="str">
        <f>IF(june[[#This Row],[ShiftCounter]]&gt;0, "Running", "Down")</f>
        <v>Running</v>
      </c>
    </row>
    <row r="241" spans="1:5" x14ac:dyDescent="0.25">
      <c r="A241" s="8">
        <v>44715</v>
      </c>
      <c r="B241" t="s">
        <v>41</v>
      </c>
      <c r="C241">
        <v>2252</v>
      </c>
      <c r="D241" t="s">
        <v>8</v>
      </c>
      <c r="E241" t="str">
        <f>IF(june[[#This Row],[ShiftCounter]]&gt;0, "Running", "Down")</f>
        <v>Running</v>
      </c>
    </row>
    <row r="242" spans="1:5" x14ac:dyDescent="0.25">
      <c r="A242" s="8">
        <v>44715</v>
      </c>
      <c r="B242" t="s">
        <v>5</v>
      </c>
      <c r="C242">
        <v>2231</v>
      </c>
      <c r="D242" t="s">
        <v>6</v>
      </c>
      <c r="E242" t="str">
        <f>IF(june[[#This Row],[ShiftCounter]]&gt;0, "Running", "Down")</f>
        <v>Running</v>
      </c>
    </row>
    <row r="243" spans="1:5" x14ac:dyDescent="0.25">
      <c r="A243" s="8">
        <v>44715</v>
      </c>
      <c r="B243" t="s">
        <v>5</v>
      </c>
      <c r="C243">
        <v>2295</v>
      </c>
      <c r="D243" t="s">
        <v>7</v>
      </c>
      <c r="E243" t="str">
        <f>IF(june[[#This Row],[ShiftCounter]]&gt;0, "Running", "Down")</f>
        <v>Running</v>
      </c>
    </row>
    <row r="244" spans="1:5" x14ac:dyDescent="0.25">
      <c r="A244" s="8">
        <v>44715</v>
      </c>
      <c r="B244" t="s">
        <v>5</v>
      </c>
      <c r="C244">
        <v>2230</v>
      </c>
      <c r="D244" t="s">
        <v>8</v>
      </c>
      <c r="E244" t="str">
        <f>IF(june[[#This Row],[ShiftCounter]]&gt;0, "Running", "Down")</f>
        <v>Running</v>
      </c>
    </row>
    <row r="245" spans="1:5" x14ac:dyDescent="0.25">
      <c r="A245" s="8">
        <v>44715</v>
      </c>
      <c r="B245" t="s">
        <v>9</v>
      </c>
      <c r="C245">
        <v>2284</v>
      </c>
      <c r="D245" t="s">
        <v>6</v>
      </c>
      <c r="E245" t="str">
        <f>IF(june[[#This Row],[ShiftCounter]]&gt;0, "Running", "Down")</f>
        <v>Running</v>
      </c>
    </row>
    <row r="246" spans="1:5" x14ac:dyDescent="0.25">
      <c r="A246" s="8">
        <v>44715</v>
      </c>
      <c r="B246" t="s">
        <v>9</v>
      </c>
      <c r="C246">
        <v>2296</v>
      </c>
      <c r="D246" t="s">
        <v>7</v>
      </c>
      <c r="E246" t="str">
        <f>IF(june[[#This Row],[ShiftCounter]]&gt;0, "Running", "Down")</f>
        <v>Running</v>
      </c>
    </row>
    <row r="247" spans="1:5" x14ac:dyDescent="0.25">
      <c r="A247" s="8">
        <v>44715</v>
      </c>
      <c r="B247" t="s">
        <v>9</v>
      </c>
      <c r="C247">
        <v>2239</v>
      </c>
      <c r="D247" t="s">
        <v>8</v>
      </c>
      <c r="E247" t="str">
        <f>IF(june[[#This Row],[ShiftCounter]]&gt;0, "Running", "Down")</f>
        <v>Running</v>
      </c>
    </row>
    <row r="248" spans="1:5" x14ac:dyDescent="0.25">
      <c r="A248" s="8">
        <v>44715</v>
      </c>
      <c r="B248" t="s">
        <v>10</v>
      </c>
      <c r="C248">
        <v>2350</v>
      </c>
      <c r="D248" t="s">
        <v>6</v>
      </c>
      <c r="E248" t="str">
        <f>IF(june[[#This Row],[ShiftCounter]]&gt;0, "Running", "Down")</f>
        <v>Running</v>
      </c>
    </row>
    <row r="249" spans="1:5" x14ac:dyDescent="0.25">
      <c r="A249" s="8">
        <v>44715</v>
      </c>
      <c r="B249" t="s">
        <v>10</v>
      </c>
      <c r="C249">
        <v>2449</v>
      </c>
      <c r="D249" t="s">
        <v>7</v>
      </c>
      <c r="E249" t="str">
        <f>IF(june[[#This Row],[ShiftCounter]]&gt;0, "Running", "Down")</f>
        <v>Running</v>
      </c>
    </row>
    <row r="250" spans="1:5" x14ac:dyDescent="0.25">
      <c r="A250" s="8">
        <v>44715</v>
      </c>
      <c r="B250" t="s">
        <v>10</v>
      </c>
      <c r="C250">
        <v>2274</v>
      </c>
      <c r="D250" t="s">
        <v>8</v>
      </c>
      <c r="E250" t="str">
        <f>IF(june[[#This Row],[ShiftCounter]]&gt;0, "Running", "Down")</f>
        <v>Running</v>
      </c>
    </row>
    <row r="251" spans="1:5" x14ac:dyDescent="0.25">
      <c r="A251" s="8">
        <v>44715</v>
      </c>
      <c r="B251" t="s">
        <v>11</v>
      </c>
      <c r="C251">
        <v>2215</v>
      </c>
      <c r="D251" t="s">
        <v>6</v>
      </c>
      <c r="E251" t="str">
        <f>IF(june[[#This Row],[ShiftCounter]]&gt;0, "Running", "Down")</f>
        <v>Running</v>
      </c>
    </row>
    <row r="252" spans="1:5" x14ac:dyDescent="0.25">
      <c r="A252" s="8">
        <v>44715</v>
      </c>
      <c r="B252" t="s">
        <v>11</v>
      </c>
      <c r="C252">
        <v>360</v>
      </c>
      <c r="D252" t="s">
        <v>7</v>
      </c>
      <c r="E252" t="str">
        <f>IF(june[[#This Row],[ShiftCounter]]&gt;0, "Running", "Down")</f>
        <v>Running</v>
      </c>
    </row>
    <row r="253" spans="1:5" x14ac:dyDescent="0.25">
      <c r="A253" s="8">
        <v>44715</v>
      </c>
      <c r="B253" t="s">
        <v>11</v>
      </c>
      <c r="C253">
        <v>0</v>
      </c>
      <c r="D253" t="s">
        <v>8</v>
      </c>
      <c r="E253" t="str">
        <f>IF(june[[#This Row],[ShiftCounter]]&gt;0, "Running", "Down")</f>
        <v>Down</v>
      </c>
    </row>
    <row r="254" spans="1:5" x14ac:dyDescent="0.25">
      <c r="A254" s="8">
        <v>44715</v>
      </c>
      <c r="B254" t="s">
        <v>12</v>
      </c>
      <c r="C254">
        <v>2312</v>
      </c>
      <c r="D254" t="s">
        <v>6</v>
      </c>
      <c r="E254" t="str">
        <f>IF(june[[#This Row],[ShiftCounter]]&gt;0, "Running", "Down")</f>
        <v>Running</v>
      </c>
    </row>
    <row r="255" spans="1:5" x14ac:dyDescent="0.25">
      <c r="A255" s="8">
        <v>44715</v>
      </c>
      <c r="B255" t="s">
        <v>12</v>
      </c>
      <c r="C255">
        <v>2281</v>
      </c>
      <c r="D255" t="s">
        <v>7</v>
      </c>
      <c r="E255" t="str">
        <f>IF(june[[#This Row],[ShiftCounter]]&gt;0, "Running", "Down")</f>
        <v>Running</v>
      </c>
    </row>
    <row r="256" spans="1:5" x14ac:dyDescent="0.25">
      <c r="A256" s="8">
        <v>44715</v>
      </c>
      <c r="B256" t="s">
        <v>12</v>
      </c>
      <c r="C256">
        <v>2102</v>
      </c>
      <c r="D256" t="s">
        <v>8</v>
      </c>
      <c r="E256" t="str">
        <f>IF(june[[#This Row],[ShiftCounter]]&gt;0, "Running", "Down")</f>
        <v>Running</v>
      </c>
    </row>
    <row r="257" spans="1:5" x14ac:dyDescent="0.25">
      <c r="A257" s="8">
        <v>44715</v>
      </c>
      <c r="B257" t="s">
        <v>120</v>
      </c>
      <c r="C257">
        <v>2238</v>
      </c>
      <c r="D257" t="s">
        <v>6</v>
      </c>
      <c r="E257" t="str">
        <f>IF(june[[#This Row],[ShiftCounter]]&gt;0, "Running", "Down")</f>
        <v>Running</v>
      </c>
    </row>
    <row r="258" spans="1:5" x14ac:dyDescent="0.25">
      <c r="A258" s="8">
        <v>44715</v>
      </c>
      <c r="B258" t="s">
        <v>120</v>
      </c>
      <c r="C258">
        <v>2304</v>
      </c>
      <c r="D258" t="s">
        <v>7</v>
      </c>
      <c r="E258" t="str">
        <f>IF(june[[#This Row],[ShiftCounter]]&gt;0, "Running", "Down")</f>
        <v>Running</v>
      </c>
    </row>
    <row r="259" spans="1:5" x14ac:dyDescent="0.25">
      <c r="A259" s="8">
        <v>44715</v>
      </c>
      <c r="B259" t="s">
        <v>120</v>
      </c>
      <c r="C259">
        <v>1991</v>
      </c>
      <c r="D259" t="s">
        <v>8</v>
      </c>
      <c r="E259" t="str">
        <f>IF(june[[#This Row],[ShiftCounter]]&gt;0, "Running", "Down")</f>
        <v>Running</v>
      </c>
    </row>
    <row r="260" spans="1:5" x14ac:dyDescent="0.25">
      <c r="A260" s="8">
        <v>44715</v>
      </c>
      <c r="B260" t="s">
        <v>13</v>
      </c>
      <c r="C260">
        <v>2160</v>
      </c>
      <c r="D260" t="s">
        <v>6</v>
      </c>
      <c r="E260" t="str">
        <f>IF(june[[#This Row],[ShiftCounter]]&gt;0, "Running", "Down")</f>
        <v>Running</v>
      </c>
    </row>
    <row r="261" spans="1:5" x14ac:dyDescent="0.25">
      <c r="A261" s="8">
        <v>44715</v>
      </c>
      <c r="B261" t="s">
        <v>13</v>
      </c>
      <c r="C261">
        <v>2030</v>
      </c>
      <c r="D261" t="s">
        <v>7</v>
      </c>
      <c r="E261" t="str">
        <f>IF(june[[#This Row],[ShiftCounter]]&gt;0, "Running", "Down")</f>
        <v>Running</v>
      </c>
    </row>
    <row r="262" spans="1:5" x14ac:dyDescent="0.25">
      <c r="A262" s="8">
        <v>44715</v>
      </c>
      <c r="B262" t="s">
        <v>13</v>
      </c>
      <c r="C262">
        <v>1900</v>
      </c>
      <c r="D262" t="s">
        <v>8</v>
      </c>
      <c r="E262" t="str">
        <f>IF(june[[#This Row],[ShiftCounter]]&gt;0, "Running", "Down")</f>
        <v>Running</v>
      </c>
    </row>
    <row r="263" spans="1:5" x14ac:dyDescent="0.25">
      <c r="A263" s="8">
        <v>44715</v>
      </c>
      <c r="B263" t="s">
        <v>114</v>
      </c>
      <c r="C263">
        <v>2040</v>
      </c>
      <c r="D263" t="s">
        <v>6</v>
      </c>
      <c r="E263" t="str">
        <f>IF(june[[#This Row],[ShiftCounter]]&gt;0, "Running", "Down")</f>
        <v>Running</v>
      </c>
    </row>
    <row r="264" spans="1:5" x14ac:dyDescent="0.25">
      <c r="A264" s="8">
        <v>44715</v>
      </c>
      <c r="B264" t="s">
        <v>114</v>
      </c>
      <c r="C264">
        <v>1958</v>
      </c>
      <c r="D264" t="s">
        <v>7</v>
      </c>
      <c r="E264" t="str">
        <f>IF(june[[#This Row],[ShiftCounter]]&gt;0, "Running", "Down")</f>
        <v>Running</v>
      </c>
    </row>
    <row r="265" spans="1:5" x14ac:dyDescent="0.25">
      <c r="A265" s="8">
        <v>44715</v>
      </c>
      <c r="B265" t="s">
        <v>114</v>
      </c>
      <c r="C265">
        <v>1827</v>
      </c>
      <c r="D265" t="s">
        <v>8</v>
      </c>
      <c r="E265" t="str">
        <f>IF(june[[#This Row],[ShiftCounter]]&gt;0, "Running", "Down")</f>
        <v>Running</v>
      </c>
    </row>
    <row r="266" spans="1:5" x14ac:dyDescent="0.25">
      <c r="A266" s="8">
        <v>44715</v>
      </c>
      <c r="B266" t="s">
        <v>14</v>
      </c>
      <c r="C266">
        <v>1849</v>
      </c>
      <c r="D266" t="s">
        <v>6</v>
      </c>
      <c r="E266" t="str">
        <f>IF(june[[#This Row],[ShiftCounter]]&gt;0, "Running", "Down")</f>
        <v>Running</v>
      </c>
    </row>
    <row r="267" spans="1:5" x14ac:dyDescent="0.25">
      <c r="A267" s="8">
        <v>44715</v>
      </c>
      <c r="B267" t="s">
        <v>14</v>
      </c>
      <c r="C267">
        <v>1735</v>
      </c>
      <c r="D267" t="s">
        <v>7</v>
      </c>
      <c r="E267" t="str">
        <f>IF(june[[#This Row],[ShiftCounter]]&gt;0, "Running", "Down")</f>
        <v>Running</v>
      </c>
    </row>
    <row r="268" spans="1:5" x14ac:dyDescent="0.25">
      <c r="A268" s="8">
        <v>44715</v>
      </c>
      <c r="B268" t="s">
        <v>14</v>
      </c>
      <c r="C268">
        <v>1615</v>
      </c>
      <c r="D268" t="s">
        <v>8</v>
      </c>
      <c r="E268" t="str">
        <f>IF(june[[#This Row],[ShiftCounter]]&gt;0, "Running", "Down")</f>
        <v>Running</v>
      </c>
    </row>
    <row r="269" spans="1:5" x14ac:dyDescent="0.25">
      <c r="A269" s="8">
        <v>44715</v>
      </c>
      <c r="B269" t="s">
        <v>15</v>
      </c>
      <c r="C269">
        <v>2137</v>
      </c>
      <c r="D269" t="s">
        <v>6</v>
      </c>
      <c r="E269" t="str">
        <f>IF(june[[#This Row],[ShiftCounter]]&gt;0, "Running", "Down")</f>
        <v>Running</v>
      </c>
    </row>
    <row r="270" spans="1:5" x14ac:dyDescent="0.25">
      <c r="A270" s="8">
        <v>44715</v>
      </c>
      <c r="B270" t="s">
        <v>15</v>
      </c>
      <c r="C270">
        <v>1997</v>
      </c>
      <c r="D270" t="s">
        <v>7</v>
      </c>
      <c r="E270" t="str">
        <f>IF(june[[#This Row],[ShiftCounter]]&gt;0, "Running", "Down")</f>
        <v>Running</v>
      </c>
    </row>
    <row r="271" spans="1:5" x14ac:dyDescent="0.25">
      <c r="A271" s="8">
        <v>44715</v>
      </c>
      <c r="B271" t="s">
        <v>15</v>
      </c>
      <c r="C271">
        <v>1854</v>
      </c>
      <c r="D271" t="s">
        <v>8</v>
      </c>
      <c r="E271" t="str">
        <f>IF(june[[#This Row],[ShiftCounter]]&gt;0, "Running", "Down")</f>
        <v>Running</v>
      </c>
    </row>
    <row r="272" spans="1:5" x14ac:dyDescent="0.25">
      <c r="A272" s="8">
        <v>44715</v>
      </c>
      <c r="B272" t="s">
        <v>16</v>
      </c>
      <c r="C272">
        <v>2220</v>
      </c>
      <c r="D272" t="s">
        <v>6</v>
      </c>
      <c r="E272" t="str">
        <f>IF(june[[#This Row],[ShiftCounter]]&gt;0, "Running", "Down")</f>
        <v>Running</v>
      </c>
    </row>
    <row r="273" spans="1:5" x14ac:dyDescent="0.25">
      <c r="A273" s="8">
        <v>44715</v>
      </c>
      <c r="B273" t="s">
        <v>16</v>
      </c>
      <c r="C273">
        <v>2122</v>
      </c>
      <c r="D273" t="s">
        <v>7</v>
      </c>
      <c r="E273" t="str">
        <f>IF(june[[#This Row],[ShiftCounter]]&gt;0, "Running", "Down")</f>
        <v>Running</v>
      </c>
    </row>
    <row r="274" spans="1:5" x14ac:dyDescent="0.25">
      <c r="A274" s="8">
        <v>44715</v>
      </c>
      <c r="B274" t="s">
        <v>16</v>
      </c>
      <c r="C274">
        <v>2011</v>
      </c>
      <c r="D274" t="s">
        <v>8</v>
      </c>
      <c r="E274" t="str">
        <f>IF(june[[#This Row],[ShiftCounter]]&gt;0, "Running", "Down")</f>
        <v>Running</v>
      </c>
    </row>
    <row r="275" spans="1:5" x14ac:dyDescent="0.25">
      <c r="A275" s="8">
        <v>44715</v>
      </c>
      <c r="B275" t="s">
        <v>17</v>
      </c>
      <c r="C275">
        <v>1480</v>
      </c>
      <c r="D275" t="s">
        <v>6</v>
      </c>
      <c r="E275" t="str">
        <f>IF(june[[#This Row],[ShiftCounter]]&gt;0, "Running", "Down")</f>
        <v>Running</v>
      </c>
    </row>
    <row r="276" spans="1:5" x14ac:dyDescent="0.25">
      <c r="A276" s="8">
        <v>44715</v>
      </c>
      <c r="B276" t="s">
        <v>17</v>
      </c>
      <c r="C276">
        <v>2134</v>
      </c>
      <c r="D276" t="s">
        <v>7</v>
      </c>
      <c r="E276" t="str">
        <f>IF(june[[#This Row],[ShiftCounter]]&gt;0, "Running", "Down")</f>
        <v>Running</v>
      </c>
    </row>
    <row r="277" spans="1:5" x14ac:dyDescent="0.25">
      <c r="A277" s="8">
        <v>44715</v>
      </c>
      <c r="B277" t="s">
        <v>17</v>
      </c>
      <c r="C277">
        <v>2183</v>
      </c>
      <c r="D277" t="s">
        <v>8</v>
      </c>
      <c r="E277" t="str">
        <f>IF(june[[#This Row],[ShiftCounter]]&gt;0, "Running", "Down")</f>
        <v>Running</v>
      </c>
    </row>
    <row r="278" spans="1:5" x14ac:dyDescent="0.25">
      <c r="A278" s="8">
        <v>44715</v>
      </c>
      <c r="B278" t="s">
        <v>19</v>
      </c>
      <c r="C278">
        <v>2096</v>
      </c>
      <c r="D278" t="s">
        <v>6</v>
      </c>
      <c r="E278" t="str">
        <f>IF(june[[#This Row],[ShiftCounter]]&gt;0, "Running", "Down")</f>
        <v>Running</v>
      </c>
    </row>
    <row r="279" spans="1:5" x14ac:dyDescent="0.25">
      <c r="A279" s="8">
        <v>44715</v>
      </c>
      <c r="B279" t="s">
        <v>19</v>
      </c>
      <c r="C279">
        <v>2625</v>
      </c>
      <c r="D279" t="s">
        <v>7</v>
      </c>
      <c r="E279" t="str">
        <f>IF(june[[#This Row],[ShiftCounter]]&gt;0, "Running", "Down")</f>
        <v>Running</v>
      </c>
    </row>
    <row r="280" spans="1:5" x14ac:dyDescent="0.25">
      <c r="A280" s="8">
        <v>44715</v>
      </c>
      <c r="B280" t="s">
        <v>19</v>
      </c>
      <c r="C280">
        <v>1879</v>
      </c>
      <c r="D280" t="s">
        <v>8</v>
      </c>
      <c r="E280" t="str">
        <f>IF(june[[#This Row],[ShiftCounter]]&gt;0, "Running", "Down")</f>
        <v>Running</v>
      </c>
    </row>
    <row r="281" spans="1:5" x14ac:dyDescent="0.25">
      <c r="A281" s="8">
        <v>44715</v>
      </c>
      <c r="B281" t="s">
        <v>18</v>
      </c>
      <c r="C281">
        <v>2377</v>
      </c>
      <c r="D281" t="s">
        <v>6</v>
      </c>
      <c r="E281" t="str">
        <f>IF(june[[#This Row],[ShiftCounter]]&gt;0, "Running", "Down")</f>
        <v>Running</v>
      </c>
    </row>
    <row r="282" spans="1:5" x14ac:dyDescent="0.25">
      <c r="A282" s="8">
        <v>44715</v>
      </c>
      <c r="B282" t="s">
        <v>18</v>
      </c>
      <c r="C282">
        <v>2261</v>
      </c>
      <c r="D282" t="s">
        <v>7</v>
      </c>
      <c r="E282" t="str">
        <f>IF(june[[#This Row],[ShiftCounter]]&gt;0, "Running", "Down")</f>
        <v>Running</v>
      </c>
    </row>
    <row r="283" spans="1:5" x14ac:dyDescent="0.25">
      <c r="A283" s="8">
        <v>44715</v>
      </c>
      <c r="B283" t="s">
        <v>18</v>
      </c>
      <c r="C283">
        <v>2097</v>
      </c>
      <c r="D283" t="s">
        <v>8</v>
      </c>
      <c r="E283" t="str">
        <f>IF(june[[#This Row],[ShiftCounter]]&gt;0, "Running", "Down")</f>
        <v>Running</v>
      </c>
    </row>
    <row r="284" spans="1:5" x14ac:dyDescent="0.25">
      <c r="A284" s="8">
        <v>44715</v>
      </c>
      <c r="B284" t="s">
        <v>42</v>
      </c>
      <c r="C284">
        <v>2232</v>
      </c>
      <c r="D284" t="s">
        <v>6</v>
      </c>
      <c r="E284" t="str">
        <f>IF(june[[#This Row],[ShiftCounter]]&gt;0, "Running", "Down")</f>
        <v>Running</v>
      </c>
    </row>
    <row r="285" spans="1:5" x14ac:dyDescent="0.25">
      <c r="A285" s="8">
        <v>44715</v>
      </c>
      <c r="B285" t="s">
        <v>42</v>
      </c>
      <c r="C285">
        <v>2054</v>
      </c>
      <c r="D285" t="s">
        <v>7</v>
      </c>
      <c r="E285" t="str">
        <f>IF(june[[#This Row],[ShiftCounter]]&gt;0, "Running", "Down")</f>
        <v>Running</v>
      </c>
    </row>
    <row r="286" spans="1:5" x14ac:dyDescent="0.25">
      <c r="A286" s="8">
        <v>44715</v>
      </c>
      <c r="B286" t="s">
        <v>42</v>
      </c>
      <c r="C286">
        <v>1893</v>
      </c>
      <c r="D286" t="s">
        <v>8</v>
      </c>
      <c r="E286" t="str">
        <f>IF(june[[#This Row],[ShiftCounter]]&gt;0, "Running", "Down")</f>
        <v>Running</v>
      </c>
    </row>
    <row r="287" spans="1:5" x14ac:dyDescent="0.25">
      <c r="A287" s="8">
        <v>44715</v>
      </c>
      <c r="B287" t="s">
        <v>38</v>
      </c>
      <c r="C287">
        <v>2393</v>
      </c>
      <c r="D287" t="s">
        <v>6</v>
      </c>
      <c r="E287" t="str">
        <f>IF(june[[#This Row],[ShiftCounter]]&gt;0, "Running", "Down")</f>
        <v>Running</v>
      </c>
    </row>
    <row r="288" spans="1:5" x14ac:dyDescent="0.25">
      <c r="A288" s="8">
        <v>44715</v>
      </c>
      <c r="B288" t="s">
        <v>38</v>
      </c>
      <c r="C288">
        <v>2283</v>
      </c>
      <c r="D288" t="s">
        <v>7</v>
      </c>
      <c r="E288" t="str">
        <f>IF(june[[#This Row],[ShiftCounter]]&gt;0, "Running", "Down")</f>
        <v>Running</v>
      </c>
    </row>
    <row r="289" spans="1:5" x14ac:dyDescent="0.25">
      <c r="A289" s="8">
        <v>44715</v>
      </c>
      <c r="B289" t="s">
        <v>38</v>
      </c>
      <c r="C289">
        <v>2161</v>
      </c>
      <c r="D289" t="s">
        <v>8</v>
      </c>
      <c r="E289" t="str">
        <f>IF(june[[#This Row],[ShiftCounter]]&gt;0, "Running", "Down")</f>
        <v>Running</v>
      </c>
    </row>
    <row r="290" spans="1:5" x14ac:dyDescent="0.25">
      <c r="A290" s="8">
        <v>44715</v>
      </c>
      <c r="B290" t="s">
        <v>20</v>
      </c>
      <c r="C290">
        <v>2294</v>
      </c>
      <c r="D290" t="s">
        <v>6</v>
      </c>
      <c r="E290" t="str">
        <f>IF(june[[#This Row],[ShiftCounter]]&gt;0, "Running", "Down")</f>
        <v>Running</v>
      </c>
    </row>
    <row r="291" spans="1:5" x14ac:dyDescent="0.25">
      <c r="A291" s="8">
        <v>44715</v>
      </c>
      <c r="B291" t="s">
        <v>20</v>
      </c>
      <c r="C291">
        <v>2244</v>
      </c>
      <c r="D291" t="s">
        <v>7</v>
      </c>
      <c r="E291" t="str">
        <f>IF(june[[#This Row],[ShiftCounter]]&gt;0, "Running", "Down")</f>
        <v>Running</v>
      </c>
    </row>
    <row r="292" spans="1:5" x14ac:dyDescent="0.25">
      <c r="A292" s="8">
        <v>44715</v>
      </c>
      <c r="B292" t="s">
        <v>20</v>
      </c>
      <c r="C292">
        <v>2083</v>
      </c>
      <c r="D292" t="s">
        <v>8</v>
      </c>
      <c r="E292" t="str">
        <f>IF(june[[#This Row],[ShiftCounter]]&gt;0, "Running", "Down")</f>
        <v>Running</v>
      </c>
    </row>
    <row r="293" spans="1:5" x14ac:dyDescent="0.25">
      <c r="A293" s="8">
        <v>44715</v>
      </c>
      <c r="B293" t="s">
        <v>21</v>
      </c>
      <c r="C293">
        <v>2078</v>
      </c>
      <c r="D293" t="s">
        <v>6</v>
      </c>
      <c r="E293" t="str">
        <f>IF(june[[#This Row],[ShiftCounter]]&gt;0, "Running", "Down")</f>
        <v>Running</v>
      </c>
    </row>
    <row r="294" spans="1:5" x14ac:dyDescent="0.25">
      <c r="A294" s="8">
        <v>44715</v>
      </c>
      <c r="B294" t="s">
        <v>21</v>
      </c>
      <c r="C294">
        <v>2022</v>
      </c>
      <c r="D294" t="s">
        <v>7</v>
      </c>
      <c r="E294" t="str">
        <f>IF(june[[#This Row],[ShiftCounter]]&gt;0, "Running", "Down")</f>
        <v>Running</v>
      </c>
    </row>
    <row r="295" spans="1:5" x14ac:dyDescent="0.25">
      <c r="A295" s="8">
        <v>44715</v>
      </c>
      <c r="B295" t="s">
        <v>21</v>
      </c>
      <c r="C295">
        <v>1927</v>
      </c>
      <c r="D295" t="s">
        <v>8</v>
      </c>
      <c r="E295" t="str">
        <f>IF(june[[#This Row],[ShiftCounter]]&gt;0, "Running", "Down")</f>
        <v>Running</v>
      </c>
    </row>
    <row r="296" spans="1:5" x14ac:dyDescent="0.25">
      <c r="A296" s="8">
        <v>44715</v>
      </c>
      <c r="B296" t="s">
        <v>22</v>
      </c>
      <c r="C296">
        <v>2205</v>
      </c>
      <c r="D296" t="s">
        <v>6</v>
      </c>
      <c r="E296" t="str">
        <f>IF(june[[#This Row],[ShiftCounter]]&gt;0, "Running", "Down")</f>
        <v>Running</v>
      </c>
    </row>
    <row r="297" spans="1:5" x14ac:dyDescent="0.25">
      <c r="A297" s="8">
        <v>44715</v>
      </c>
      <c r="B297" t="s">
        <v>22</v>
      </c>
      <c r="C297">
        <v>2188</v>
      </c>
      <c r="D297" t="s">
        <v>7</v>
      </c>
      <c r="E297" t="str">
        <f>IF(june[[#This Row],[ShiftCounter]]&gt;0, "Running", "Down")</f>
        <v>Running</v>
      </c>
    </row>
    <row r="298" spans="1:5" x14ac:dyDescent="0.25">
      <c r="A298" s="8">
        <v>44715</v>
      </c>
      <c r="B298" t="s">
        <v>22</v>
      </c>
      <c r="C298">
        <v>2084</v>
      </c>
      <c r="D298" t="s">
        <v>8</v>
      </c>
      <c r="E298" t="str">
        <f>IF(june[[#This Row],[ShiftCounter]]&gt;0, "Running", "Down")</f>
        <v>Running</v>
      </c>
    </row>
    <row r="299" spans="1:5" x14ac:dyDescent="0.25">
      <c r="A299" s="8">
        <v>44715</v>
      </c>
      <c r="B299" t="s">
        <v>23</v>
      </c>
      <c r="C299">
        <v>2147</v>
      </c>
      <c r="D299" t="s">
        <v>6</v>
      </c>
      <c r="E299" t="str">
        <f>IF(june[[#This Row],[ShiftCounter]]&gt;0, "Running", "Down")</f>
        <v>Running</v>
      </c>
    </row>
    <row r="300" spans="1:5" x14ac:dyDescent="0.25">
      <c r="A300" s="8">
        <v>44715</v>
      </c>
      <c r="B300" t="s">
        <v>23</v>
      </c>
      <c r="C300">
        <v>2226</v>
      </c>
      <c r="D300" t="s">
        <v>7</v>
      </c>
      <c r="E300" t="str">
        <f>IF(june[[#This Row],[ShiftCounter]]&gt;0, "Running", "Down")</f>
        <v>Running</v>
      </c>
    </row>
    <row r="301" spans="1:5" x14ac:dyDescent="0.25">
      <c r="A301" s="8">
        <v>44715</v>
      </c>
      <c r="B301" t="s">
        <v>23</v>
      </c>
      <c r="C301">
        <v>1971</v>
      </c>
      <c r="D301" t="s">
        <v>8</v>
      </c>
      <c r="E301" t="str">
        <f>IF(june[[#This Row],[ShiftCounter]]&gt;0, "Running", "Down")</f>
        <v>Running</v>
      </c>
    </row>
    <row r="302" spans="1:5" x14ac:dyDescent="0.25">
      <c r="A302" s="8">
        <v>44715</v>
      </c>
      <c r="B302" t="s">
        <v>24</v>
      </c>
      <c r="C302">
        <v>2074</v>
      </c>
      <c r="D302" t="s">
        <v>6</v>
      </c>
      <c r="E302" t="str">
        <f>IF(june[[#This Row],[ShiftCounter]]&gt;0, "Running", "Down")</f>
        <v>Running</v>
      </c>
    </row>
    <row r="303" spans="1:5" x14ac:dyDescent="0.25">
      <c r="A303" s="8">
        <v>44715</v>
      </c>
      <c r="B303" t="s">
        <v>24</v>
      </c>
      <c r="C303">
        <v>1923</v>
      </c>
      <c r="D303" t="s">
        <v>7</v>
      </c>
      <c r="E303" t="str">
        <f>IF(june[[#This Row],[ShiftCounter]]&gt;0, "Running", "Down")</f>
        <v>Running</v>
      </c>
    </row>
    <row r="304" spans="1:5" x14ac:dyDescent="0.25">
      <c r="A304" s="8">
        <v>44715</v>
      </c>
      <c r="B304" t="s">
        <v>24</v>
      </c>
      <c r="C304">
        <v>1885</v>
      </c>
      <c r="D304" t="s">
        <v>8</v>
      </c>
      <c r="E304" t="str">
        <f>IF(june[[#This Row],[ShiftCounter]]&gt;0, "Running", "Down")</f>
        <v>Running</v>
      </c>
    </row>
    <row r="305" spans="1:5" x14ac:dyDescent="0.25">
      <c r="A305" s="8">
        <v>44715</v>
      </c>
      <c r="B305" t="s">
        <v>25</v>
      </c>
      <c r="C305">
        <v>2263</v>
      </c>
      <c r="D305" t="s">
        <v>6</v>
      </c>
      <c r="E305" t="str">
        <f>IF(june[[#This Row],[ShiftCounter]]&gt;0, "Running", "Down")</f>
        <v>Running</v>
      </c>
    </row>
    <row r="306" spans="1:5" x14ac:dyDescent="0.25">
      <c r="A306" s="8">
        <v>44715</v>
      </c>
      <c r="B306" t="s">
        <v>25</v>
      </c>
      <c r="C306">
        <v>2229</v>
      </c>
      <c r="D306" t="s">
        <v>7</v>
      </c>
      <c r="E306" t="str">
        <f>IF(june[[#This Row],[ShiftCounter]]&gt;0, "Running", "Down")</f>
        <v>Running</v>
      </c>
    </row>
    <row r="307" spans="1:5" x14ac:dyDescent="0.25">
      <c r="A307" s="8">
        <v>44715</v>
      </c>
      <c r="B307" t="s">
        <v>25</v>
      </c>
      <c r="C307">
        <v>2059</v>
      </c>
      <c r="D307" t="s">
        <v>8</v>
      </c>
      <c r="E307" t="str">
        <f>IF(june[[#This Row],[ShiftCounter]]&gt;0, "Running", "Down")</f>
        <v>Running</v>
      </c>
    </row>
    <row r="308" spans="1:5" x14ac:dyDescent="0.25">
      <c r="A308" s="8">
        <v>44715</v>
      </c>
      <c r="B308" t="s">
        <v>26</v>
      </c>
      <c r="C308">
        <v>1396</v>
      </c>
      <c r="D308" t="s">
        <v>6</v>
      </c>
      <c r="E308" t="str">
        <f>IF(june[[#This Row],[ShiftCounter]]&gt;0, "Running", "Down")</f>
        <v>Running</v>
      </c>
    </row>
    <row r="309" spans="1:5" x14ac:dyDescent="0.25">
      <c r="A309" s="8">
        <v>44715</v>
      </c>
      <c r="B309" t="s">
        <v>26</v>
      </c>
      <c r="C309">
        <v>2058</v>
      </c>
      <c r="D309" t="s">
        <v>7</v>
      </c>
      <c r="E309" t="str">
        <f>IF(june[[#This Row],[ShiftCounter]]&gt;0, "Running", "Down")</f>
        <v>Running</v>
      </c>
    </row>
    <row r="310" spans="1:5" x14ac:dyDescent="0.25">
      <c r="A310" s="8">
        <v>44715</v>
      </c>
      <c r="B310" t="s">
        <v>26</v>
      </c>
      <c r="C310">
        <v>1789</v>
      </c>
      <c r="D310" t="s">
        <v>8</v>
      </c>
      <c r="E310" t="str">
        <f>IF(june[[#This Row],[ShiftCounter]]&gt;0, "Running", "Down")</f>
        <v>Running</v>
      </c>
    </row>
    <row r="311" spans="1:5" x14ac:dyDescent="0.25">
      <c r="A311" s="8">
        <v>44715</v>
      </c>
      <c r="B311" t="s">
        <v>27</v>
      </c>
      <c r="C311">
        <v>2264</v>
      </c>
      <c r="D311" t="s">
        <v>6</v>
      </c>
      <c r="E311" t="str">
        <f>IF(june[[#This Row],[ShiftCounter]]&gt;0, "Running", "Down")</f>
        <v>Running</v>
      </c>
    </row>
    <row r="312" spans="1:5" x14ac:dyDescent="0.25">
      <c r="A312" s="8">
        <v>44715</v>
      </c>
      <c r="B312" t="s">
        <v>27</v>
      </c>
      <c r="C312">
        <v>2317</v>
      </c>
      <c r="D312" t="s">
        <v>7</v>
      </c>
      <c r="E312" t="str">
        <f>IF(june[[#This Row],[ShiftCounter]]&gt;0, "Running", "Down")</f>
        <v>Running</v>
      </c>
    </row>
    <row r="313" spans="1:5" x14ac:dyDescent="0.25">
      <c r="A313" s="8">
        <v>44715</v>
      </c>
      <c r="B313" t="s">
        <v>27</v>
      </c>
      <c r="C313">
        <v>2019</v>
      </c>
      <c r="D313" t="s">
        <v>8</v>
      </c>
      <c r="E313" t="str">
        <f>IF(june[[#This Row],[ShiftCounter]]&gt;0, "Running", "Down")</f>
        <v>Running</v>
      </c>
    </row>
    <row r="314" spans="1:5" x14ac:dyDescent="0.25">
      <c r="A314" s="8">
        <v>44715</v>
      </c>
      <c r="B314" t="s">
        <v>28</v>
      </c>
      <c r="C314">
        <v>2204</v>
      </c>
      <c r="D314" t="s">
        <v>6</v>
      </c>
      <c r="E314" t="str">
        <f>IF(june[[#This Row],[ShiftCounter]]&gt;0, "Running", "Down")</f>
        <v>Running</v>
      </c>
    </row>
    <row r="315" spans="1:5" x14ac:dyDescent="0.25">
      <c r="A315" s="8">
        <v>44715</v>
      </c>
      <c r="B315" t="s">
        <v>28</v>
      </c>
      <c r="C315">
        <v>2234</v>
      </c>
      <c r="D315" t="s">
        <v>7</v>
      </c>
      <c r="E315" t="str">
        <f>IF(june[[#This Row],[ShiftCounter]]&gt;0, "Running", "Down")</f>
        <v>Running</v>
      </c>
    </row>
    <row r="316" spans="1:5" x14ac:dyDescent="0.25">
      <c r="A316" s="8">
        <v>44715</v>
      </c>
      <c r="B316" t="s">
        <v>28</v>
      </c>
      <c r="C316">
        <v>2062</v>
      </c>
      <c r="D316" t="s">
        <v>8</v>
      </c>
      <c r="E316" t="str">
        <f>IF(june[[#This Row],[ShiftCounter]]&gt;0, "Running", "Down")</f>
        <v>Running</v>
      </c>
    </row>
    <row r="317" spans="1:5" x14ac:dyDescent="0.25">
      <c r="A317" s="8">
        <v>44715</v>
      </c>
      <c r="B317" t="s">
        <v>29</v>
      </c>
      <c r="C317">
        <v>2022</v>
      </c>
      <c r="D317" t="s">
        <v>6</v>
      </c>
      <c r="E317" t="str">
        <f>IF(june[[#This Row],[ShiftCounter]]&gt;0, "Running", "Down")</f>
        <v>Running</v>
      </c>
    </row>
    <row r="318" spans="1:5" x14ac:dyDescent="0.25">
      <c r="A318" s="8">
        <v>44715</v>
      </c>
      <c r="B318" t="s">
        <v>29</v>
      </c>
      <c r="C318">
        <v>2012</v>
      </c>
      <c r="D318" t="s">
        <v>7</v>
      </c>
      <c r="E318" t="str">
        <f>IF(june[[#This Row],[ShiftCounter]]&gt;0, "Running", "Down")</f>
        <v>Running</v>
      </c>
    </row>
    <row r="319" spans="1:5" x14ac:dyDescent="0.25">
      <c r="A319" s="8">
        <v>44715</v>
      </c>
      <c r="B319" t="s">
        <v>29</v>
      </c>
      <c r="C319">
        <v>1842</v>
      </c>
      <c r="D319" t="s">
        <v>8</v>
      </c>
      <c r="E319" t="str">
        <f>IF(june[[#This Row],[ShiftCounter]]&gt;0, "Running", "Down")</f>
        <v>Running</v>
      </c>
    </row>
    <row r="320" spans="1:5" x14ac:dyDescent="0.25">
      <c r="A320" s="8">
        <v>44715</v>
      </c>
      <c r="B320" t="s">
        <v>30</v>
      </c>
      <c r="C320">
        <v>2292</v>
      </c>
      <c r="D320" t="s">
        <v>6</v>
      </c>
      <c r="E320" t="str">
        <f>IF(june[[#This Row],[ShiftCounter]]&gt;0, "Running", "Down")</f>
        <v>Running</v>
      </c>
    </row>
    <row r="321" spans="1:5" x14ac:dyDescent="0.25">
      <c r="A321" s="8">
        <v>44715</v>
      </c>
      <c r="B321" t="s">
        <v>30</v>
      </c>
      <c r="C321">
        <v>2202</v>
      </c>
      <c r="D321" t="s">
        <v>7</v>
      </c>
      <c r="E321" t="str">
        <f>IF(june[[#This Row],[ShiftCounter]]&gt;0, "Running", "Down")</f>
        <v>Running</v>
      </c>
    </row>
    <row r="322" spans="1:5" x14ac:dyDescent="0.25">
      <c r="A322" s="8">
        <v>44715</v>
      </c>
      <c r="B322" t="s">
        <v>30</v>
      </c>
      <c r="C322">
        <v>2034</v>
      </c>
      <c r="D322" t="s">
        <v>8</v>
      </c>
      <c r="E322" t="str">
        <f>IF(june[[#This Row],[ShiftCounter]]&gt;0, "Running", "Down")</f>
        <v>Running</v>
      </c>
    </row>
    <row r="323" spans="1:5" x14ac:dyDescent="0.25">
      <c r="A323" s="8">
        <v>44715</v>
      </c>
      <c r="B323" t="s">
        <v>31</v>
      </c>
      <c r="C323">
        <v>2083</v>
      </c>
      <c r="D323" t="s">
        <v>6</v>
      </c>
      <c r="E323" t="str">
        <f>IF(june[[#This Row],[ShiftCounter]]&gt;0, "Running", "Down")</f>
        <v>Running</v>
      </c>
    </row>
    <row r="324" spans="1:5" x14ac:dyDescent="0.25">
      <c r="A324" s="8">
        <v>44715</v>
      </c>
      <c r="B324" t="s">
        <v>31</v>
      </c>
      <c r="C324">
        <v>2063</v>
      </c>
      <c r="D324" t="s">
        <v>7</v>
      </c>
      <c r="E324" t="str">
        <f>IF(june[[#This Row],[ShiftCounter]]&gt;0, "Running", "Down")</f>
        <v>Running</v>
      </c>
    </row>
    <row r="325" spans="1:5" x14ac:dyDescent="0.25">
      <c r="A325" s="8">
        <v>44715</v>
      </c>
      <c r="B325" t="s">
        <v>31</v>
      </c>
      <c r="C325">
        <v>1809</v>
      </c>
      <c r="D325" t="s">
        <v>8</v>
      </c>
      <c r="E325" t="str">
        <f>IF(june[[#This Row],[ShiftCounter]]&gt;0, "Running", "Down")</f>
        <v>Running</v>
      </c>
    </row>
    <row r="326" spans="1:5" x14ac:dyDescent="0.25">
      <c r="A326" s="8">
        <v>44715</v>
      </c>
      <c r="B326" t="s">
        <v>32</v>
      </c>
      <c r="C326">
        <v>2273</v>
      </c>
      <c r="D326" t="s">
        <v>6</v>
      </c>
      <c r="E326" t="str">
        <f>IF(june[[#This Row],[ShiftCounter]]&gt;0, "Running", "Down")</f>
        <v>Running</v>
      </c>
    </row>
    <row r="327" spans="1:5" x14ac:dyDescent="0.25">
      <c r="A327" s="8">
        <v>44715</v>
      </c>
      <c r="B327" t="s">
        <v>32</v>
      </c>
      <c r="C327">
        <v>2165</v>
      </c>
      <c r="D327" t="s">
        <v>7</v>
      </c>
      <c r="E327" t="str">
        <f>IF(june[[#This Row],[ShiftCounter]]&gt;0, "Running", "Down")</f>
        <v>Running</v>
      </c>
    </row>
    <row r="328" spans="1:5" x14ac:dyDescent="0.25">
      <c r="A328" s="8">
        <v>44715</v>
      </c>
      <c r="B328" t="s">
        <v>32</v>
      </c>
      <c r="C328">
        <v>1951</v>
      </c>
      <c r="D328" t="s">
        <v>8</v>
      </c>
      <c r="E328" t="str">
        <f>IF(june[[#This Row],[ShiftCounter]]&gt;0, "Running", "Down")</f>
        <v>Running</v>
      </c>
    </row>
    <row r="329" spans="1:5" x14ac:dyDescent="0.25">
      <c r="A329" s="8">
        <v>44715</v>
      </c>
      <c r="B329" t="s">
        <v>71</v>
      </c>
      <c r="C329">
        <v>2011</v>
      </c>
      <c r="D329" t="s">
        <v>6</v>
      </c>
      <c r="E329" t="str">
        <f>IF(june[[#This Row],[ShiftCounter]]&gt;0, "Running", "Down")</f>
        <v>Running</v>
      </c>
    </row>
    <row r="330" spans="1:5" x14ac:dyDescent="0.25">
      <c r="A330" s="8">
        <v>44715</v>
      </c>
      <c r="B330" t="s">
        <v>71</v>
      </c>
      <c r="C330">
        <v>2083</v>
      </c>
      <c r="D330" t="s">
        <v>7</v>
      </c>
      <c r="E330" t="str">
        <f>IF(june[[#This Row],[ShiftCounter]]&gt;0, "Running", "Down")</f>
        <v>Running</v>
      </c>
    </row>
    <row r="331" spans="1:5" x14ac:dyDescent="0.25">
      <c r="A331" s="8">
        <v>44715</v>
      </c>
      <c r="B331" t="s">
        <v>71</v>
      </c>
      <c r="C331">
        <v>3959</v>
      </c>
      <c r="D331" t="s">
        <v>8</v>
      </c>
      <c r="E331" t="str">
        <f>IF(june[[#This Row],[ShiftCounter]]&gt;0, "Running", "Down")</f>
        <v>Running</v>
      </c>
    </row>
    <row r="332" spans="1:5" x14ac:dyDescent="0.25">
      <c r="A332" s="8">
        <v>44715</v>
      </c>
      <c r="B332" t="s">
        <v>33</v>
      </c>
      <c r="C332">
        <v>2556</v>
      </c>
      <c r="D332" t="s">
        <v>6</v>
      </c>
      <c r="E332" t="str">
        <f>IF(june[[#This Row],[ShiftCounter]]&gt;0, "Running", "Down")</f>
        <v>Running</v>
      </c>
    </row>
    <row r="333" spans="1:5" x14ac:dyDescent="0.25">
      <c r="A333" s="8">
        <v>44715</v>
      </c>
      <c r="B333" t="s">
        <v>33</v>
      </c>
      <c r="C333">
        <v>2426</v>
      </c>
      <c r="D333" t="s">
        <v>7</v>
      </c>
      <c r="E333" t="str">
        <f>IF(june[[#This Row],[ShiftCounter]]&gt;0, "Running", "Down")</f>
        <v>Running</v>
      </c>
    </row>
    <row r="334" spans="1:5" x14ac:dyDescent="0.25">
      <c r="A334" s="8">
        <v>44715</v>
      </c>
      <c r="B334" t="s">
        <v>33</v>
      </c>
      <c r="C334">
        <v>2258</v>
      </c>
      <c r="D334" t="s">
        <v>8</v>
      </c>
      <c r="E334" t="str">
        <f>IF(june[[#This Row],[ShiftCounter]]&gt;0, "Running", "Down")</f>
        <v>Running</v>
      </c>
    </row>
    <row r="335" spans="1:5" x14ac:dyDescent="0.25">
      <c r="A335" s="8">
        <v>44715</v>
      </c>
      <c r="B335" t="s">
        <v>34</v>
      </c>
      <c r="C335">
        <v>2060</v>
      </c>
      <c r="D335" t="s">
        <v>6</v>
      </c>
      <c r="E335" t="str">
        <f>IF(june[[#This Row],[ShiftCounter]]&gt;0, "Running", "Down")</f>
        <v>Running</v>
      </c>
    </row>
    <row r="336" spans="1:5" x14ac:dyDescent="0.25">
      <c r="A336" s="8">
        <v>44715</v>
      </c>
      <c r="B336" t="s">
        <v>34</v>
      </c>
      <c r="C336">
        <v>2023</v>
      </c>
      <c r="D336" t="s">
        <v>7</v>
      </c>
      <c r="E336" t="str">
        <f>IF(june[[#This Row],[ShiftCounter]]&gt;0, "Running", "Down")</f>
        <v>Running</v>
      </c>
    </row>
    <row r="337" spans="1:5" x14ac:dyDescent="0.25">
      <c r="A337" s="8">
        <v>44715</v>
      </c>
      <c r="B337" t="s">
        <v>34</v>
      </c>
      <c r="C337">
        <v>1974</v>
      </c>
      <c r="D337" t="s">
        <v>8</v>
      </c>
      <c r="E337" t="str">
        <f>IF(june[[#This Row],[ShiftCounter]]&gt;0, "Running", "Down")</f>
        <v>Running</v>
      </c>
    </row>
    <row r="338" spans="1:5" x14ac:dyDescent="0.25">
      <c r="A338" s="8">
        <v>44715</v>
      </c>
      <c r="B338" t="s">
        <v>35</v>
      </c>
      <c r="C338">
        <v>2204</v>
      </c>
      <c r="D338" t="s">
        <v>6</v>
      </c>
      <c r="E338" t="str">
        <f>IF(june[[#This Row],[ShiftCounter]]&gt;0, "Running", "Down")</f>
        <v>Running</v>
      </c>
    </row>
    <row r="339" spans="1:5" x14ac:dyDescent="0.25">
      <c r="A339" s="8">
        <v>44715</v>
      </c>
      <c r="B339" t="s">
        <v>35</v>
      </c>
      <c r="C339">
        <v>2141</v>
      </c>
      <c r="D339" t="s">
        <v>7</v>
      </c>
      <c r="E339" t="str">
        <f>IF(june[[#This Row],[ShiftCounter]]&gt;0, "Running", "Down")</f>
        <v>Running</v>
      </c>
    </row>
    <row r="340" spans="1:5" x14ac:dyDescent="0.25">
      <c r="A340" s="8">
        <v>44715</v>
      </c>
      <c r="B340" t="s">
        <v>35</v>
      </c>
      <c r="C340">
        <v>2039</v>
      </c>
      <c r="D340" t="s">
        <v>8</v>
      </c>
      <c r="E340" t="str">
        <f>IF(june[[#This Row],[ShiftCounter]]&gt;0, "Running", "Down")</f>
        <v>Running</v>
      </c>
    </row>
    <row r="341" spans="1:5" x14ac:dyDescent="0.25">
      <c r="A341" s="8">
        <v>44715</v>
      </c>
      <c r="B341" t="s">
        <v>36</v>
      </c>
      <c r="C341">
        <v>2461</v>
      </c>
      <c r="D341" t="s">
        <v>6</v>
      </c>
      <c r="E341" t="str">
        <f>IF(june[[#This Row],[ShiftCounter]]&gt;0, "Running", "Down")</f>
        <v>Running</v>
      </c>
    </row>
    <row r="342" spans="1:5" x14ac:dyDescent="0.25">
      <c r="A342" s="8">
        <v>44715</v>
      </c>
      <c r="B342" t="s">
        <v>36</v>
      </c>
      <c r="C342">
        <v>2394</v>
      </c>
      <c r="D342" t="s">
        <v>7</v>
      </c>
      <c r="E342" t="str">
        <f>IF(june[[#This Row],[ShiftCounter]]&gt;0, "Running", "Down")</f>
        <v>Running</v>
      </c>
    </row>
    <row r="343" spans="1:5" x14ac:dyDescent="0.25">
      <c r="A343" s="8">
        <v>44715</v>
      </c>
      <c r="B343" t="s">
        <v>36</v>
      </c>
      <c r="C343">
        <v>2272</v>
      </c>
      <c r="D343" t="s">
        <v>8</v>
      </c>
      <c r="E343" t="str">
        <f>IF(june[[#This Row],[ShiftCounter]]&gt;0, "Running", "Down")</f>
        <v>Running</v>
      </c>
    </row>
    <row r="344" spans="1:5" x14ac:dyDescent="0.25">
      <c r="A344" s="8">
        <v>44715</v>
      </c>
      <c r="B344" t="s">
        <v>37</v>
      </c>
      <c r="C344">
        <v>2350</v>
      </c>
      <c r="D344" t="s">
        <v>6</v>
      </c>
      <c r="E344" t="str">
        <f>IF(june[[#This Row],[ShiftCounter]]&gt;0, "Running", "Down")</f>
        <v>Running</v>
      </c>
    </row>
    <row r="345" spans="1:5" x14ac:dyDescent="0.25">
      <c r="A345" s="8">
        <v>44715</v>
      </c>
      <c r="B345" t="s">
        <v>37</v>
      </c>
      <c r="C345">
        <v>2244</v>
      </c>
      <c r="D345" t="s">
        <v>7</v>
      </c>
      <c r="E345" t="str">
        <f>IF(june[[#This Row],[ShiftCounter]]&gt;0, "Running", "Down")</f>
        <v>Running</v>
      </c>
    </row>
    <row r="346" spans="1:5" x14ac:dyDescent="0.25">
      <c r="A346" s="8">
        <v>44715</v>
      </c>
      <c r="B346" t="s">
        <v>37</v>
      </c>
      <c r="C346">
        <v>2193</v>
      </c>
      <c r="D346" t="s">
        <v>8</v>
      </c>
      <c r="E346" t="str">
        <f>IF(june[[#This Row],[ShiftCounter]]&gt;0, "Running", "Down")</f>
        <v>Running</v>
      </c>
    </row>
    <row r="347" spans="1:5" x14ac:dyDescent="0.25">
      <c r="A347" s="8">
        <v>44716</v>
      </c>
      <c r="B347" t="s">
        <v>158</v>
      </c>
      <c r="C347">
        <v>1910</v>
      </c>
      <c r="D347" t="s">
        <v>6</v>
      </c>
      <c r="E347" t="str">
        <f>IF(june[[#This Row],[ShiftCounter]]&gt;0, "Running", "Down")</f>
        <v>Running</v>
      </c>
    </row>
    <row r="348" spans="1:5" x14ac:dyDescent="0.25">
      <c r="A348" s="8">
        <v>44716</v>
      </c>
      <c r="B348" t="s">
        <v>158</v>
      </c>
      <c r="C348">
        <v>1998</v>
      </c>
      <c r="D348" t="s">
        <v>7</v>
      </c>
      <c r="E348" t="str">
        <f>IF(june[[#This Row],[ShiftCounter]]&gt;0, "Running", "Down")</f>
        <v>Running</v>
      </c>
    </row>
    <row r="349" spans="1:5" x14ac:dyDescent="0.25">
      <c r="A349" s="8">
        <v>44716</v>
      </c>
      <c r="B349" t="s">
        <v>158</v>
      </c>
      <c r="C349">
        <v>1753</v>
      </c>
      <c r="D349" t="s">
        <v>8</v>
      </c>
      <c r="E349" t="str">
        <f>IF(june[[#This Row],[ShiftCounter]]&gt;0, "Running", "Down")</f>
        <v>Running</v>
      </c>
    </row>
    <row r="350" spans="1:5" x14ac:dyDescent="0.25">
      <c r="A350" s="8">
        <v>44716</v>
      </c>
      <c r="B350" t="s">
        <v>40</v>
      </c>
      <c r="C350">
        <v>2223</v>
      </c>
      <c r="D350" t="s">
        <v>6</v>
      </c>
      <c r="E350" t="str">
        <f>IF(june[[#This Row],[ShiftCounter]]&gt;0, "Running", "Down")</f>
        <v>Running</v>
      </c>
    </row>
    <row r="351" spans="1:5" x14ac:dyDescent="0.25">
      <c r="A351" s="8">
        <v>44716</v>
      </c>
      <c r="B351" t="s">
        <v>40</v>
      </c>
      <c r="C351">
        <v>2268</v>
      </c>
      <c r="D351" t="s">
        <v>7</v>
      </c>
      <c r="E351" t="str">
        <f>IF(june[[#This Row],[ShiftCounter]]&gt;0, "Running", "Down")</f>
        <v>Running</v>
      </c>
    </row>
    <row r="352" spans="1:5" x14ac:dyDescent="0.25">
      <c r="A352" s="8">
        <v>44716</v>
      </c>
      <c r="B352" t="s">
        <v>40</v>
      </c>
      <c r="C352">
        <v>2048</v>
      </c>
      <c r="D352" t="s">
        <v>8</v>
      </c>
      <c r="E352" t="str">
        <f>IF(june[[#This Row],[ShiftCounter]]&gt;0, "Running", "Down")</f>
        <v>Running</v>
      </c>
    </row>
    <row r="353" spans="1:5" x14ac:dyDescent="0.25">
      <c r="A353" s="8">
        <v>44716</v>
      </c>
      <c r="B353" t="s">
        <v>39</v>
      </c>
      <c r="C353">
        <v>1964</v>
      </c>
      <c r="D353" t="s">
        <v>6</v>
      </c>
      <c r="E353" t="str">
        <f>IF(june[[#This Row],[ShiftCounter]]&gt;0, "Running", "Down")</f>
        <v>Running</v>
      </c>
    </row>
    <row r="354" spans="1:5" x14ac:dyDescent="0.25">
      <c r="A354" s="8">
        <v>44716</v>
      </c>
      <c r="B354" t="s">
        <v>39</v>
      </c>
      <c r="C354">
        <v>1985</v>
      </c>
      <c r="D354" t="s">
        <v>7</v>
      </c>
      <c r="E354" t="str">
        <f>IF(june[[#This Row],[ShiftCounter]]&gt;0, "Running", "Down")</f>
        <v>Running</v>
      </c>
    </row>
    <row r="355" spans="1:5" x14ac:dyDescent="0.25">
      <c r="A355" s="8">
        <v>44716</v>
      </c>
      <c r="B355" t="s">
        <v>39</v>
      </c>
      <c r="C355">
        <v>1688</v>
      </c>
      <c r="D355" t="s">
        <v>8</v>
      </c>
      <c r="E355" t="str">
        <f>IF(june[[#This Row],[ShiftCounter]]&gt;0, "Running", "Down")</f>
        <v>Running</v>
      </c>
    </row>
    <row r="356" spans="1:5" x14ac:dyDescent="0.25">
      <c r="A356" s="8">
        <v>44716</v>
      </c>
      <c r="B356" t="s">
        <v>5</v>
      </c>
      <c r="C356">
        <v>2215</v>
      </c>
      <c r="D356" t="s">
        <v>6</v>
      </c>
      <c r="E356" t="str">
        <f>IF(june[[#This Row],[ShiftCounter]]&gt;0, "Running", "Down")</f>
        <v>Running</v>
      </c>
    </row>
    <row r="357" spans="1:5" x14ac:dyDescent="0.25">
      <c r="A357" s="8">
        <v>44716</v>
      </c>
      <c r="B357" t="s">
        <v>5</v>
      </c>
      <c r="C357">
        <v>2320</v>
      </c>
      <c r="D357" t="s">
        <v>7</v>
      </c>
      <c r="E357" t="str">
        <f>IF(june[[#This Row],[ShiftCounter]]&gt;0, "Running", "Down")</f>
        <v>Running</v>
      </c>
    </row>
    <row r="358" spans="1:5" x14ac:dyDescent="0.25">
      <c r="A358" s="8">
        <v>44716</v>
      </c>
      <c r="B358" t="s">
        <v>5</v>
      </c>
      <c r="C358">
        <v>2033</v>
      </c>
      <c r="D358" t="s">
        <v>8</v>
      </c>
      <c r="E358" t="str">
        <f>IF(june[[#This Row],[ShiftCounter]]&gt;0, "Running", "Down")</f>
        <v>Running</v>
      </c>
    </row>
    <row r="359" spans="1:5" x14ac:dyDescent="0.25">
      <c r="A359" s="8">
        <v>44716</v>
      </c>
      <c r="B359" t="s">
        <v>9</v>
      </c>
      <c r="C359">
        <v>1992</v>
      </c>
      <c r="D359" t="s">
        <v>6</v>
      </c>
      <c r="E359" t="str">
        <f>IF(june[[#This Row],[ShiftCounter]]&gt;0, "Running", "Down")</f>
        <v>Running</v>
      </c>
    </row>
    <row r="360" spans="1:5" x14ac:dyDescent="0.25">
      <c r="A360" s="8">
        <v>44716</v>
      </c>
      <c r="B360" t="s">
        <v>9</v>
      </c>
      <c r="C360">
        <v>2328</v>
      </c>
      <c r="D360" t="s">
        <v>7</v>
      </c>
      <c r="E360" t="str">
        <f>IF(june[[#This Row],[ShiftCounter]]&gt;0, "Running", "Down")</f>
        <v>Running</v>
      </c>
    </row>
    <row r="361" spans="1:5" x14ac:dyDescent="0.25">
      <c r="A361" s="8">
        <v>44716</v>
      </c>
      <c r="B361" t="s">
        <v>9</v>
      </c>
      <c r="C361">
        <v>2057</v>
      </c>
      <c r="D361" t="s">
        <v>8</v>
      </c>
      <c r="E361" t="str">
        <f>IF(june[[#This Row],[ShiftCounter]]&gt;0, "Running", "Down")</f>
        <v>Running</v>
      </c>
    </row>
    <row r="362" spans="1:5" x14ac:dyDescent="0.25">
      <c r="A362" s="8">
        <v>44716</v>
      </c>
      <c r="B362" t="s">
        <v>41</v>
      </c>
      <c r="C362">
        <v>2271</v>
      </c>
      <c r="D362" t="s">
        <v>6</v>
      </c>
      <c r="E362" t="str">
        <f>IF(june[[#This Row],[ShiftCounter]]&gt;0, "Running", "Down")</f>
        <v>Running</v>
      </c>
    </row>
    <row r="363" spans="1:5" x14ac:dyDescent="0.25">
      <c r="A363" s="8">
        <v>44716</v>
      </c>
      <c r="B363" t="s">
        <v>41</v>
      </c>
      <c r="C363">
        <v>2333</v>
      </c>
      <c r="D363" t="s">
        <v>7</v>
      </c>
      <c r="E363" t="str">
        <f>IF(june[[#This Row],[ShiftCounter]]&gt;0, "Running", "Down")</f>
        <v>Running</v>
      </c>
    </row>
    <row r="364" spans="1:5" x14ac:dyDescent="0.25">
      <c r="A364" s="8">
        <v>44716</v>
      </c>
      <c r="B364" t="s">
        <v>41</v>
      </c>
      <c r="C364">
        <v>2060</v>
      </c>
      <c r="D364" t="s">
        <v>8</v>
      </c>
      <c r="E364" t="str">
        <f>IF(june[[#This Row],[ShiftCounter]]&gt;0, "Running", "Down")</f>
        <v>Running</v>
      </c>
    </row>
    <row r="365" spans="1:5" x14ac:dyDescent="0.25">
      <c r="A365" s="8">
        <v>44716</v>
      </c>
      <c r="B365" t="s">
        <v>10</v>
      </c>
      <c r="C365">
        <v>2272</v>
      </c>
      <c r="D365" t="s">
        <v>6</v>
      </c>
      <c r="E365" t="str">
        <f>IF(june[[#This Row],[ShiftCounter]]&gt;0, "Running", "Down")</f>
        <v>Running</v>
      </c>
    </row>
    <row r="366" spans="1:5" x14ac:dyDescent="0.25">
      <c r="A366" s="8">
        <v>44716</v>
      </c>
      <c r="B366" t="s">
        <v>10</v>
      </c>
      <c r="C366">
        <v>2228</v>
      </c>
      <c r="D366" t="s">
        <v>7</v>
      </c>
      <c r="E366" t="str">
        <f>IF(june[[#This Row],[ShiftCounter]]&gt;0, "Running", "Down")</f>
        <v>Running</v>
      </c>
    </row>
    <row r="367" spans="1:5" x14ac:dyDescent="0.25">
      <c r="A367" s="8">
        <v>44716</v>
      </c>
      <c r="B367" t="s">
        <v>10</v>
      </c>
      <c r="C367">
        <v>1586</v>
      </c>
      <c r="D367" t="s">
        <v>8</v>
      </c>
      <c r="E367" t="str">
        <f>IF(june[[#This Row],[ShiftCounter]]&gt;0, "Running", "Down")</f>
        <v>Running</v>
      </c>
    </row>
    <row r="368" spans="1:5" x14ac:dyDescent="0.25">
      <c r="A368" s="8">
        <v>44716</v>
      </c>
      <c r="B368" t="s">
        <v>12</v>
      </c>
      <c r="C368">
        <v>2385</v>
      </c>
      <c r="D368" t="s">
        <v>6</v>
      </c>
      <c r="E368" t="str">
        <f>IF(june[[#This Row],[ShiftCounter]]&gt;0, "Running", "Down")</f>
        <v>Running</v>
      </c>
    </row>
    <row r="369" spans="1:5" x14ac:dyDescent="0.25">
      <c r="A369" s="8">
        <v>44716</v>
      </c>
      <c r="B369" t="s">
        <v>12</v>
      </c>
      <c r="C369">
        <v>2293</v>
      </c>
      <c r="D369" t="s">
        <v>7</v>
      </c>
      <c r="E369" t="str">
        <f>IF(june[[#This Row],[ShiftCounter]]&gt;0, "Running", "Down")</f>
        <v>Running</v>
      </c>
    </row>
    <row r="370" spans="1:5" x14ac:dyDescent="0.25">
      <c r="A370" s="8">
        <v>44716</v>
      </c>
      <c r="B370" t="s">
        <v>12</v>
      </c>
      <c r="C370">
        <v>1973</v>
      </c>
      <c r="D370" t="s">
        <v>8</v>
      </c>
      <c r="E370" t="str">
        <f>IF(june[[#This Row],[ShiftCounter]]&gt;0, "Running", "Down")</f>
        <v>Running</v>
      </c>
    </row>
    <row r="371" spans="1:5" x14ac:dyDescent="0.25">
      <c r="A371" s="8">
        <v>44716</v>
      </c>
      <c r="B371" t="s">
        <v>13</v>
      </c>
      <c r="C371">
        <v>2208</v>
      </c>
      <c r="D371" t="s">
        <v>6</v>
      </c>
      <c r="E371" t="str">
        <f>IF(june[[#This Row],[ShiftCounter]]&gt;0, "Running", "Down")</f>
        <v>Running</v>
      </c>
    </row>
    <row r="372" spans="1:5" x14ac:dyDescent="0.25">
      <c r="A372" s="8">
        <v>44716</v>
      </c>
      <c r="B372" t="s">
        <v>13</v>
      </c>
      <c r="C372">
        <v>2095</v>
      </c>
      <c r="D372" t="s">
        <v>7</v>
      </c>
      <c r="E372" t="str">
        <f>IF(june[[#This Row],[ShiftCounter]]&gt;0, "Running", "Down")</f>
        <v>Running</v>
      </c>
    </row>
    <row r="373" spans="1:5" x14ac:dyDescent="0.25">
      <c r="A373" s="8">
        <v>44716</v>
      </c>
      <c r="B373" t="s">
        <v>13</v>
      </c>
      <c r="C373">
        <v>1873</v>
      </c>
      <c r="D373" t="s">
        <v>8</v>
      </c>
      <c r="E373" t="str">
        <f>IF(june[[#This Row],[ShiftCounter]]&gt;0, "Running", "Down")</f>
        <v>Running</v>
      </c>
    </row>
    <row r="374" spans="1:5" x14ac:dyDescent="0.25">
      <c r="A374" s="8">
        <v>44716</v>
      </c>
      <c r="B374" t="s">
        <v>114</v>
      </c>
      <c r="C374">
        <v>1911</v>
      </c>
      <c r="D374" t="s">
        <v>6</v>
      </c>
      <c r="E374" t="str">
        <f>IF(june[[#This Row],[ShiftCounter]]&gt;0, "Running", "Down")</f>
        <v>Running</v>
      </c>
    </row>
    <row r="375" spans="1:5" x14ac:dyDescent="0.25">
      <c r="A375" s="8">
        <v>44716</v>
      </c>
      <c r="B375" t="s">
        <v>114</v>
      </c>
      <c r="C375">
        <v>2083</v>
      </c>
      <c r="D375" t="s">
        <v>7</v>
      </c>
      <c r="E375" t="str">
        <f>IF(june[[#This Row],[ShiftCounter]]&gt;0, "Running", "Down")</f>
        <v>Running</v>
      </c>
    </row>
    <row r="376" spans="1:5" x14ac:dyDescent="0.25">
      <c r="A376" s="8">
        <v>44716</v>
      </c>
      <c r="B376" t="s">
        <v>114</v>
      </c>
      <c r="C376">
        <v>1805</v>
      </c>
      <c r="D376" t="s">
        <v>8</v>
      </c>
      <c r="E376" t="str">
        <f>IF(june[[#This Row],[ShiftCounter]]&gt;0, "Running", "Down")</f>
        <v>Running</v>
      </c>
    </row>
    <row r="377" spans="1:5" x14ac:dyDescent="0.25">
      <c r="A377" s="8">
        <v>44716</v>
      </c>
      <c r="B377" t="s">
        <v>14</v>
      </c>
      <c r="C377">
        <v>1883</v>
      </c>
      <c r="D377" t="s">
        <v>6</v>
      </c>
      <c r="E377" t="str">
        <f>IF(june[[#This Row],[ShiftCounter]]&gt;0, "Running", "Down")</f>
        <v>Running</v>
      </c>
    </row>
    <row r="378" spans="1:5" x14ac:dyDescent="0.25">
      <c r="A378" s="8">
        <v>44716</v>
      </c>
      <c r="B378" t="s">
        <v>14</v>
      </c>
      <c r="C378">
        <v>1795</v>
      </c>
      <c r="D378" t="s">
        <v>7</v>
      </c>
      <c r="E378" t="str">
        <f>IF(june[[#This Row],[ShiftCounter]]&gt;0, "Running", "Down")</f>
        <v>Running</v>
      </c>
    </row>
    <row r="379" spans="1:5" x14ac:dyDescent="0.25">
      <c r="A379" s="8">
        <v>44716</v>
      </c>
      <c r="B379" t="s">
        <v>14</v>
      </c>
      <c r="C379">
        <v>1600</v>
      </c>
      <c r="D379" t="s">
        <v>8</v>
      </c>
      <c r="E379" t="str">
        <f>IF(june[[#This Row],[ShiftCounter]]&gt;0, "Running", "Down")</f>
        <v>Running</v>
      </c>
    </row>
    <row r="380" spans="1:5" x14ac:dyDescent="0.25">
      <c r="A380" s="8">
        <v>44716</v>
      </c>
      <c r="B380" t="s">
        <v>15</v>
      </c>
      <c r="C380">
        <v>2170</v>
      </c>
      <c r="D380" t="s">
        <v>6</v>
      </c>
      <c r="E380" t="str">
        <f>IF(june[[#This Row],[ShiftCounter]]&gt;0, "Running", "Down")</f>
        <v>Running</v>
      </c>
    </row>
    <row r="381" spans="1:5" x14ac:dyDescent="0.25">
      <c r="A381" s="8">
        <v>44716</v>
      </c>
      <c r="B381" t="s">
        <v>15</v>
      </c>
      <c r="C381">
        <v>2065</v>
      </c>
      <c r="D381" t="s">
        <v>7</v>
      </c>
      <c r="E381" t="str">
        <f>IF(june[[#This Row],[ShiftCounter]]&gt;0, "Running", "Down")</f>
        <v>Running</v>
      </c>
    </row>
    <row r="382" spans="1:5" x14ac:dyDescent="0.25">
      <c r="A382" s="8">
        <v>44716</v>
      </c>
      <c r="B382" t="s">
        <v>15</v>
      </c>
      <c r="C382">
        <v>1803</v>
      </c>
      <c r="D382" t="s">
        <v>8</v>
      </c>
      <c r="E382" t="str">
        <f>IF(june[[#This Row],[ShiftCounter]]&gt;0, "Running", "Down")</f>
        <v>Running</v>
      </c>
    </row>
    <row r="383" spans="1:5" x14ac:dyDescent="0.25">
      <c r="A383" s="8">
        <v>44716</v>
      </c>
      <c r="B383" t="s">
        <v>16</v>
      </c>
      <c r="C383">
        <v>2174</v>
      </c>
      <c r="D383" t="s">
        <v>6</v>
      </c>
      <c r="E383" t="str">
        <f>IF(june[[#This Row],[ShiftCounter]]&gt;0, "Running", "Down")</f>
        <v>Running</v>
      </c>
    </row>
    <row r="384" spans="1:5" x14ac:dyDescent="0.25">
      <c r="A384" s="8">
        <v>44716</v>
      </c>
      <c r="B384" t="s">
        <v>16</v>
      </c>
      <c r="C384">
        <v>2089</v>
      </c>
      <c r="D384" t="s">
        <v>7</v>
      </c>
      <c r="E384" t="str">
        <f>IF(june[[#This Row],[ShiftCounter]]&gt;0, "Running", "Down")</f>
        <v>Running</v>
      </c>
    </row>
    <row r="385" spans="1:5" x14ac:dyDescent="0.25">
      <c r="A385" s="8">
        <v>44716</v>
      </c>
      <c r="B385" t="s">
        <v>16</v>
      </c>
      <c r="C385">
        <v>2002</v>
      </c>
      <c r="D385" t="s">
        <v>8</v>
      </c>
      <c r="E385" t="str">
        <f>IF(june[[#This Row],[ShiftCounter]]&gt;0, "Running", "Down")</f>
        <v>Running</v>
      </c>
    </row>
    <row r="386" spans="1:5" x14ac:dyDescent="0.25">
      <c r="A386" s="8">
        <v>44716</v>
      </c>
      <c r="B386" t="s">
        <v>17</v>
      </c>
      <c r="C386">
        <v>2374</v>
      </c>
      <c r="D386" t="s">
        <v>6</v>
      </c>
      <c r="E386" t="str">
        <f>IF(june[[#This Row],[ShiftCounter]]&gt;0, "Running", "Down")</f>
        <v>Running</v>
      </c>
    </row>
    <row r="387" spans="1:5" x14ac:dyDescent="0.25">
      <c r="A387" s="8">
        <v>44716</v>
      </c>
      <c r="B387" t="s">
        <v>17</v>
      </c>
      <c r="C387">
        <v>2332</v>
      </c>
      <c r="D387" t="s">
        <v>7</v>
      </c>
      <c r="E387" t="str">
        <f>IF(june[[#This Row],[ShiftCounter]]&gt;0, "Running", "Down")</f>
        <v>Running</v>
      </c>
    </row>
    <row r="388" spans="1:5" x14ac:dyDescent="0.25">
      <c r="A388" s="8">
        <v>44716</v>
      </c>
      <c r="B388" t="s">
        <v>17</v>
      </c>
      <c r="C388">
        <v>2170</v>
      </c>
      <c r="D388" t="s">
        <v>8</v>
      </c>
      <c r="E388" t="str">
        <f>IF(june[[#This Row],[ShiftCounter]]&gt;0, "Running", "Down")</f>
        <v>Running</v>
      </c>
    </row>
    <row r="389" spans="1:5" x14ac:dyDescent="0.25">
      <c r="A389" s="8">
        <v>44716</v>
      </c>
      <c r="B389" t="s">
        <v>19</v>
      </c>
      <c r="C389">
        <v>1673</v>
      </c>
      <c r="D389" t="s">
        <v>6</v>
      </c>
      <c r="E389" t="str">
        <f>IF(june[[#This Row],[ShiftCounter]]&gt;0, "Running", "Down")</f>
        <v>Running</v>
      </c>
    </row>
    <row r="390" spans="1:5" x14ac:dyDescent="0.25">
      <c r="A390" s="8">
        <v>44716</v>
      </c>
      <c r="B390" t="s">
        <v>19</v>
      </c>
      <c r="C390">
        <v>1998</v>
      </c>
      <c r="D390" t="s">
        <v>7</v>
      </c>
      <c r="E390" t="str">
        <f>IF(june[[#This Row],[ShiftCounter]]&gt;0, "Running", "Down")</f>
        <v>Running</v>
      </c>
    </row>
    <row r="391" spans="1:5" x14ac:dyDescent="0.25">
      <c r="A391" s="8">
        <v>44716</v>
      </c>
      <c r="B391" t="s">
        <v>19</v>
      </c>
      <c r="C391">
        <v>1850</v>
      </c>
      <c r="D391" t="s">
        <v>8</v>
      </c>
      <c r="E391" t="str">
        <f>IF(june[[#This Row],[ShiftCounter]]&gt;0, "Running", "Down")</f>
        <v>Running</v>
      </c>
    </row>
    <row r="392" spans="1:5" x14ac:dyDescent="0.25">
      <c r="A392" s="8">
        <v>44716</v>
      </c>
      <c r="B392" t="s">
        <v>18</v>
      </c>
      <c r="C392">
        <v>2341</v>
      </c>
      <c r="D392" t="s">
        <v>6</v>
      </c>
      <c r="E392" t="str">
        <f>IF(june[[#This Row],[ShiftCounter]]&gt;0, "Running", "Down")</f>
        <v>Running</v>
      </c>
    </row>
    <row r="393" spans="1:5" x14ac:dyDescent="0.25">
      <c r="A393" s="8">
        <v>44716</v>
      </c>
      <c r="B393" t="s">
        <v>18</v>
      </c>
      <c r="C393">
        <v>2382</v>
      </c>
      <c r="D393" t="s">
        <v>7</v>
      </c>
      <c r="E393" t="str">
        <f>IF(june[[#This Row],[ShiftCounter]]&gt;0, "Running", "Down")</f>
        <v>Running</v>
      </c>
    </row>
    <row r="394" spans="1:5" x14ac:dyDescent="0.25">
      <c r="A394" s="8">
        <v>44716</v>
      </c>
      <c r="B394" t="s">
        <v>18</v>
      </c>
      <c r="C394">
        <v>1989</v>
      </c>
      <c r="D394" t="s">
        <v>8</v>
      </c>
      <c r="E394" t="str">
        <f>IF(june[[#This Row],[ShiftCounter]]&gt;0, "Running", "Down")</f>
        <v>Running</v>
      </c>
    </row>
    <row r="395" spans="1:5" x14ac:dyDescent="0.25">
      <c r="A395" s="8">
        <v>44716</v>
      </c>
      <c r="B395" t="s">
        <v>42</v>
      </c>
      <c r="C395">
        <v>2229</v>
      </c>
      <c r="D395" t="s">
        <v>6</v>
      </c>
      <c r="E395" t="str">
        <f>IF(june[[#This Row],[ShiftCounter]]&gt;0, "Running", "Down")</f>
        <v>Running</v>
      </c>
    </row>
    <row r="396" spans="1:5" x14ac:dyDescent="0.25">
      <c r="A396" s="8">
        <v>44716</v>
      </c>
      <c r="B396" t="s">
        <v>42</v>
      </c>
      <c r="C396">
        <v>1590</v>
      </c>
      <c r="D396" t="s">
        <v>7</v>
      </c>
      <c r="E396" t="str">
        <f>IF(june[[#This Row],[ShiftCounter]]&gt;0, "Running", "Down")</f>
        <v>Running</v>
      </c>
    </row>
    <row r="397" spans="1:5" x14ac:dyDescent="0.25">
      <c r="A397" s="8">
        <v>44716</v>
      </c>
      <c r="B397" t="s">
        <v>42</v>
      </c>
      <c r="C397">
        <v>2054</v>
      </c>
      <c r="D397" t="s">
        <v>8</v>
      </c>
      <c r="E397" t="str">
        <f>IF(june[[#This Row],[ShiftCounter]]&gt;0, "Running", "Down")</f>
        <v>Running</v>
      </c>
    </row>
    <row r="398" spans="1:5" x14ac:dyDescent="0.25">
      <c r="A398" s="8">
        <v>44716</v>
      </c>
      <c r="B398" t="s">
        <v>38</v>
      </c>
      <c r="C398">
        <v>2313</v>
      </c>
      <c r="D398" t="s">
        <v>6</v>
      </c>
      <c r="E398" t="str">
        <f>IF(june[[#This Row],[ShiftCounter]]&gt;0, "Running", "Down")</f>
        <v>Running</v>
      </c>
    </row>
    <row r="399" spans="1:5" x14ac:dyDescent="0.25">
      <c r="A399" s="8">
        <v>44716</v>
      </c>
      <c r="B399" t="s">
        <v>38</v>
      </c>
      <c r="C399">
        <v>2316</v>
      </c>
      <c r="D399" t="s">
        <v>7</v>
      </c>
      <c r="E399" t="str">
        <f>IF(june[[#This Row],[ShiftCounter]]&gt;0, "Running", "Down")</f>
        <v>Running</v>
      </c>
    </row>
    <row r="400" spans="1:5" x14ac:dyDescent="0.25">
      <c r="A400" s="8">
        <v>44716</v>
      </c>
      <c r="B400" t="s">
        <v>38</v>
      </c>
      <c r="C400">
        <v>2110</v>
      </c>
      <c r="D400" t="s">
        <v>8</v>
      </c>
      <c r="E400" t="str">
        <f>IF(june[[#This Row],[ShiftCounter]]&gt;0, "Running", "Down")</f>
        <v>Running</v>
      </c>
    </row>
    <row r="401" spans="1:5" x14ac:dyDescent="0.25">
      <c r="A401" s="8">
        <v>44716</v>
      </c>
      <c r="B401" t="s">
        <v>20</v>
      </c>
      <c r="C401">
        <v>2277</v>
      </c>
      <c r="D401" t="s">
        <v>6</v>
      </c>
      <c r="E401" t="str">
        <f>IF(june[[#This Row],[ShiftCounter]]&gt;0, "Running", "Down")</f>
        <v>Running</v>
      </c>
    </row>
    <row r="402" spans="1:5" x14ac:dyDescent="0.25">
      <c r="A402" s="8">
        <v>44716</v>
      </c>
      <c r="B402" t="s">
        <v>20</v>
      </c>
      <c r="C402">
        <v>2291</v>
      </c>
      <c r="D402" t="s">
        <v>7</v>
      </c>
      <c r="E402" t="str">
        <f>IF(june[[#This Row],[ShiftCounter]]&gt;0, "Running", "Down")</f>
        <v>Running</v>
      </c>
    </row>
    <row r="403" spans="1:5" x14ac:dyDescent="0.25">
      <c r="A403" s="8">
        <v>44716</v>
      </c>
      <c r="B403" t="s">
        <v>20</v>
      </c>
      <c r="C403">
        <v>2027</v>
      </c>
      <c r="D403" t="s">
        <v>8</v>
      </c>
      <c r="E403" t="str">
        <f>IF(june[[#This Row],[ShiftCounter]]&gt;0, "Running", "Down")</f>
        <v>Running</v>
      </c>
    </row>
    <row r="404" spans="1:5" x14ac:dyDescent="0.25">
      <c r="A404" s="8">
        <v>44716</v>
      </c>
      <c r="B404" t="s">
        <v>21</v>
      </c>
      <c r="C404">
        <v>2060</v>
      </c>
      <c r="D404" t="s">
        <v>6</v>
      </c>
      <c r="E404" t="str">
        <f>IF(june[[#This Row],[ShiftCounter]]&gt;0, "Running", "Down")</f>
        <v>Running</v>
      </c>
    </row>
    <row r="405" spans="1:5" x14ac:dyDescent="0.25">
      <c r="A405" s="8">
        <v>44716</v>
      </c>
      <c r="B405" t="s">
        <v>21</v>
      </c>
      <c r="C405">
        <v>2090</v>
      </c>
      <c r="D405" t="s">
        <v>7</v>
      </c>
      <c r="E405" t="str">
        <f>IF(june[[#This Row],[ShiftCounter]]&gt;0, "Running", "Down")</f>
        <v>Running</v>
      </c>
    </row>
    <row r="406" spans="1:5" x14ac:dyDescent="0.25">
      <c r="A406" s="8">
        <v>44716</v>
      </c>
      <c r="B406" t="s">
        <v>21</v>
      </c>
      <c r="C406">
        <v>1810</v>
      </c>
      <c r="D406" t="s">
        <v>8</v>
      </c>
      <c r="E406" t="str">
        <f>IF(june[[#This Row],[ShiftCounter]]&gt;0, "Running", "Down")</f>
        <v>Running</v>
      </c>
    </row>
    <row r="407" spans="1:5" x14ac:dyDescent="0.25">
      <c r="A407" s="8">
        <v>44716</v>
      </c>
      <c r="B407" t="s">
        <v>22</v>
      </c>
      <c r="C407">
        <v>2200</v>
      </c>
      <c r="D407" t="s">
        <v>6</v>
      </c>
      <c r="E407" t="str">
        <f>IF(june[[#This Row],[ShiftCounter]]&gt;0, "Running", "Down")</f>
        <v>Running</v>
      </c>
    </row>
    <row r="408" spans="1:5" x14ac:dyDescent="0.25">
      <c r="A408" s="8">
        <v>44716</v>
      </c>
      <c r="B408" t="s">
        <v>22</v>
      </c>
      <c r="C408">
        <v>2223</v>
      </c>
      <c r="D408" t="s">
        <v>7</v>
      </c>
      <c r="E408" t="str">
        <f>IF(june[[#This Row],[ShiftCounter]]&gt;0, "Running", "Down")</f>
        <v>Running</v>
      </c>
    </row>
    <row r="409" spans="1:5" x14ac:dyDescent="0.25">
      <c r="A409" s="8">
        <v>44716</v>
      </c>
      <c r="B409" t="s">
        <v>22</v>
      </c>
      <c r="C409">
        <v>1898</v>
      </c>
      <c r="D409" t="s">
        <v>8</v>
      </c>
      <c r="E409" t="str">
        <f>IF(june[[#This Row],[ShiftCounter]]&gt;0, "Running", "Down")</f>
        <v>Running</v>
      </c>
    </row>
    <row r="410" spans="1:5" x14ac:dyDescent="0.25">
      <c r="A410" s="8">
        <v>44716</v>
      </c>
      <c r="B410" t="s">
        <v>23</v>
      </c>
      <c r="C410">
        <v>2258</v>
      </c>
      <c r="D410" t="s">
        <v>6</v>
      </c>
      <c r="E410" t="str">
        <f>IF(june[[#This Row],[ShiftCounter]]&gt;0, "Running", "Down")</f>
        <v>Running</v>
      </c>
    </row>
    <row r="411" spans="1:5" x14ac:dyDescent="0.25">
      <c r="A411" s="8">
        <v>44716</v>
      </c>
      <c r="B411" t="s">
        <v>23</v>
      </c>
      <c r="C411">
        <v>2147</v>
      </c>
      <c r="D411" t="s">
        <v>7</v>
      </c>
      <c r="E411" t="str">
        <f>IF(june[[#This Row],[ShiftCounter]]&gt;0, "Running", "Down")</f>
        <v>Running</v>
      </c>
    </row>
    <row r="412" spans="1:5" x14ac:dyDescent="0.25">
      <c r="A412" s="8">
        <v>44716</v>
      </c>
      <c r="B412" t="s">
        <v>23</v>
      </c>
      <c r="C412">
        <v>1943</v>
      </c>
      <c r="D412" t="s">
        <v>8</v>
      </c>
      <c r="E412" t="str">
        <f>IF(june[[#This Row],[ShiftCounter]]&gt;0, "Running", "Down")</f>
        <v>Running</v>
      </c>
    </row>
    <row r="413" spans="1:5" x14ac:dyDescent="0.25">
      <c r="A413" s="8">
        <v>44716</v>
      </c>
      <c r="B413" t="s">
        <v>24</v>
      </c>
      <c r="C413">
        <v>2124</v>
      </c>
      <c r="D413" t="s">
        <v>6</v>
      </c>
      <c r="E413" t="str">
        <f>IF(june[[#This Row],[ShiftCounter]]&gt;0, "Running", "Down")</f>
        <v>Running</v>
      </c>
    </row>
    <row r="414" spans="1:5" x14ac:dyDescent="0.25">
      <c r="A414" s="8">
        <v>44716</v>
      </c>
      <c r="B414" t="s">
        <v>24</v>
      </c>
      <c r="C414">
        <v>1872</v>
      </c>
      <c r="D414" t="s">
        <v>7</v>
      </c>
      <c r="E414" t="str">
        <f>IF(june[[#This Row],[ShiftCounter]]&gt;0, "Running", "Down")</f>
        <v>Running</v>
      </c>
    </row>
    <row r="415" spans="1:5" x14ac:dyDescent="0.25">
      <c r="A415" s="8">
        <v>44716</v>
      </c>
      <c r="B415" t="s">
        <v>24</v>
      </c>
      <c r="C415">
        <v>1756</v>
      </c>
      <c r="D415" t="s">
        <v>8</v>
      </c>
      <c r="E415" t="str">
        <f>IF(june[[#This Row],[ShiftCounter]]&gt;0, "Running", "Down")</f>
        <v>Running</v>
      </c>
    </row>
    <row r="416" spans="1:5" x14ac:dyDescent="0.25">
      <c r="A416" s="8">
        <v>44716</v>
      </c>
      <c r="B416" t="s">
        <v>25</v>
      </c>
      <c r="C416">
        <v>2090</v>
      </c>
      <c r="D416" t="s">
        <v>6</v>
      </c>
      <c r="E416" t="str">
        <f>IF(june[[#This Row],[ShiftCounter]]&gt;0, "Running", "Down")</f>
        <v>Running</v>
      </c>
    </row>
    <row r="417" spans="1:5" x14ac:dyDescent="0.25">
      <c r="A417" s="8">
        <v>44716</v>
      </c>
      <c r="B417" t="s">
        <v>25</v>
      </c>
      <c r="C417">
        <v>2266</v>
      </c>
      <c r="D417" t="s">
        <v>7</v>
      </c>
      <c r="E417" t="str">
        <f>IF(june[[#This Row],[ShiftCounter]]&gt;0, "Running", "Down")</f>
        <v>Running</v>
      </c>
    </row>
    <row r="418" spans="1:5" x14ac:dyDescent="0.25">
      <c r="A418" s="8">
        <v>44716</v>
      </c>
      <c r="B418" t="s">
        <v>25</v>
      </c>
      <c r="C418">
        <v>1958</v>
      </c>
      <c r="D418" t="s">
        <v>8</v>
      </c>
      <c r="E418" t="str">
        <f>IF(june[[#This Row],[ShiftCounter]]&gt;0, "Running", "Down")</f>
        <v>Running</v>
      </c>
    </row>
    <row r="419" spans="1:5" x14ac:dyDescent="0.25">
      <c r="A419" s="8">
        <v>44716</v>
      </c>
      <c r="B419" t="s">
        <v>26</v>
      </c>
      <c r="C419">
        <v>1796</v>
      </c>
      <c r="D419" t="s">
        <v>6</v>
      </c>
      <c r="E419" t="str">
        <f>IF(june[[#This Row],[ShiftCounter]]&gt;0, "Running", "Down")</f>
        <v>Running</v>
      </c>
    </row>
    <row r="420" spans="1:5" x14ac:dyDescent="0.25">
      <c r="A420" s="8">
        <v>44716</v>
      </c>
      <c r="B420" t="s">
        <v>26</v>
      </c>
      <c r="C420">
        <v>2081</v>
      </c>
      <c r="D420" t="s">
        <v>7</v>
      </c>
      <c r="E420" t="str">
        <f>IF(june[[#This Row],[ShiftCounter]]&gt;0, "Running", "Down")</f>
        <v>Running</v>
      </c>
    </row>
    <row r="421" spans="1:5" x14ac:dyDescent="0.25">
      <c r="A421" s="8">
        <v>44716</v>
      </c>
      <c r="B421" t="s">
        <v>26</v>
      </c>
      <c r="C421">
        <v>1810</v>
      </c>
      <c r="D421" t="s">
        <v>8</v>
      </c>
      <c r="E421" t="str">
        <f>IF(june[[#This Row],[ShiftCounter]]&gt;0, "Running", "Down")</f>
        <v>Running</v>
      </c>
    </row>
    <row r="422" spans="1:5" x14ac:dyDescent="0.25">
      <c r="A422" s="8">
        <v>44716</v>
      </c>
      <c r="B422" t="s">
        <v>27</v>
      </c>
      <c r="C422">
        <v>2317</v>
      </c>
      <c r="D422" t="s">
        <v>6</v>
      </c>
      <c r="E422" t="str">
        <f>IF(june[[#This Row],[ShiftCounter]]&gt;0, "Running", "Down")</f>
        <v>Running</v>
      </c>
    </row>
    <row r="423" spans="1:5" x14ac:dyDescent="0.25">
      <c r="A423" s="8">
        <v>44716</v>
      </c>
      <c r="B423" t="s">
        <v>27</v>
      </c>
      <c r="C423">
        <v>2129</v>
      </c>
      <c r="D423" t="s">
        <v>7</v>
      </c>
      <c r="E423" t="str">
        <f>IF(june[[#This Row],[ShiftCounter]]&gt;0, "Running", "Down")</f>
        <v>Running</v>
      </c>
    </row>
    <row r="424" spans="1:5" x14ac:dyDescent="0.25">
      <c r="A424" s="8">
        <v>44716</v>
      </c>
      <c r="B424" t="s">
        <v>27</v>
      </c>
      <c r="C424">
        <v>1785</v>
      </c>
      <c r="D424" t="s">
        <v>8</v>
      </c>
      <c r="E424" t="str">
        <f>IF(june[[#This Row],[ShiftCounter]]&gt;0, "Running", "Down")</f>
        <v>Running</v>
      </c>
    </row>
    <row r="425" spans="1:5" x14ac:dyDescent="0.25">
      <c r="A425" s="8">
        <v>44716</v>
      </c>
      <c r="B425" t="s">
        <v>28</v>
      </c>
      <c r="C425">
        <v>2211</v>
      </c>
      <c r="D425" t="s">
        <v>6</v>
      </c>
      <c r="E425" t="str">
        <f>IF(june[[#This Row],[ShiftCounter]]&gt;0, "Running", "Down")</f>
        <v>Running</v>
      </c>
    </row>
    <row r="426" spans="1:5" x14ac:dyDescent="0.25">
      <c r="A426" s="8">
        <v>44716</v>
      </c>
      <c r="B426" t="s">
        <v>28</v>
      </c>
      <c r="C426">
        <v>2142</v>
      </c>
      <c r="D426" t="s">
        <v>7</v>
      </c>
      <c r="E426" t="str">
        <f>IF(june[[#This Row],[ShiftCounter]]&gt;0, "Running", "Down")</f>
        <v>Running</v>
      </c>
    </row>
    <row r="427" spans="1:5" x14ac:dyDescent="0.25">
      <c r="A427" s="8">
        <v>44716</v>
      </c>
      <c r="B427" t="s">
        <v>28</v>
      </c>
      <c r="C427">
        <v>2083</v>
      </c>
      <c r="D427" t="s">
        <v>8</v>
      </c>
      <c r="E427" t="str">
        <f>IF(june[[#This Row],[ShiftCounter]]&gt;0, "Running", "Down")</f>
        <v>Running</v>
      </c>
    </row>
    <row r="428" spans="1:5" x14ac:dyDescent="0.25">
      <c r="A428" s="8">
        <v>44716</v>
      </c>
      <c r="B428" t="s">
        <v>29</v>
      </c>
      <c r="C428">
        <v>1705</v>
      </c>
      <c r="D428" t="s">
        <v>6</v>
      </c>
      <c r="E428" t="str">
        <f>IF(june[[#This Row],[ShiftCounter]]&gt;0, "Running", "Down")</f>
        <v>Running</v>
      </c>
    </row>
    <row r="429" spans="1:5" x14ac:dyDescent="0.25">
      <c r="A429" s="8">
        <v>44716</v>
      </c>
      <c r="B429" t="s">
        <v>29</v>
      </c>
      <c r="C429">
        <v>2627</v>
      </c>
      <c r="D429" t="s">
        <v>7</v>
      </c>
      <c r="E429" t="str">
        <f>IF(june[[#This Row],[ShiftCounter]]&gt;0, "Running", "Down")</f>
        <v>Running</v>
      </c>
    </row>
    <row r="430" spans="1:5" x14ac:dyDescent="0.25">
      <c r="A430" s="8">
        <v>44716</v>
      </c>
      <c r="B430" t="s">
        <v>29</v>
      </c>
      <c r="C430">
        <v>1874</v>
      </c>
      <c r="D430" t="s">
        <v>8</v>
      </c>
      <c r="E430" t="str">
        <f>IF(june[[#This Row],[ShiftCounter]]&gt;0, "Running", "Down")</f>
        <v>Running</v>
      </c>
    </row>
    <row r="431" spans="1:5" x14ac:dyDescent="0.25">
      <c r="A431" s="8">
        <v>44716</v>
      </c>
      <c r="B431" t="s">
        <v>30</v>
      </c>
      <c r="C431">
        <v>2310</v>
      </c>
      <c r="D431" t="s">
        <v>6</v>
      </c>
      <c r="E431" t="str">
        <f>IF(june[[#This Row],[ShiftCounter]]&gt;0, "Running", "Down")</f>
        <v>Running</v>
      </c>
    </row>
    <row r="432" spans="1:5" x14ac:dyDescent="0.25">
      <c r="A432" s="8">
        <v>44716</v>
      </c>
      <c r="B432" t="s">
        <v>30</v>
      </c>
      <c r="C432">
        <v>2225</v>
      </c>
      <c r="D432" t="s">
        <v>7</v>
      </c>
      <c r="E432" t="str">
        <f>IF(june[[#This Row],[ShiftCounter]]&gt;0, "Running", "Down")</f>
        <v>Running</v>
      </c>
    </row>
    <row r="433" spans="1:5" x14ac:dyDescent="0.25">
      <c r="A433" s="8">
        <v>44716</v>
      </c>
      <c r="B433" t="s">
        <v>30</v>
      </c>
      <c r="C433">
        <v>2094</v>
      </c>
      <c r="D433" t="s">
        <v>8</v>
      </c>
      <c r="E433" t="str">
        <f>IF(june[[#This Row],[ShiftCounter]]&gt;0, "Running", "Down")</f>
        <v>Running</v>
      </c>
    </row>
    <row r="434" spans="1:5" x14ac:dyDescent="0.25">
      <c r="A434" s="8">
        <v>44716</v>
      </c>
      <c r="B434" t="s">
        <v>31</v>
      </c>
      <c r="C434">
        <v>2065</v>
      </c>
      <c r="D434" t="s">
        <v>6</v>
      </c>
      <c r="E434" t="str">
        <f>IF(june[[#This Row],[ShiftCounter]]&gt;0, "Running", "Down")</f>
        <v>Running</v>
      </c>
    </row>
    <row r="435" spans="1:5" x14ac:dyDescent="0.25">
      <c r="A435" s="8">
        <v>44716</v>
      </c>
      <c r="B435" t="s">
        <v>31</v>
      </c>
      <c r="C435">
        <v>1915</v>
      </c>
      <c r="D435" t="s">
        <v>7</v>
      </c>
      <c r="E435" t="str">
        <f>IF(june[[#This Row],[ShiftCounter]]&gt;0, "Running", "Down")</f>
        <v>Running</v>
      </c>
    </row>
    <row r="436" spans="1:5" x14ac:dyDescent="0.25">
      <c r="A436" s="8">
        <v>44716</v>
      </c>
      <c r="B436" t="s">
        <v>31</v>
      </c>
      <c r="C436">
        <v>1909</v>
      </c>
      <c r="D436" t="s">
        <v>8</v>
      </c>
      <c r="E436" t="str">
        <f>IF(june[[#This Row],[ShiftCounter]]&gt;0, "Running", "Down")</f>
        <v>Running</v>
      </c>
    </row>
    <row r="437" spans="1:5" x14ac:dyDescent="0.25">
      <c r="A437" s="8">
        <v>44716</v>
      </c>
      <c r="B437" t="s">
        <v>32</v>
      </c>
      <c r="C437">
        <v>2302</v>
      </c>
      <c r="D437" t="s">
        <v>6</v>
      </c>
      <c r="E437" t="str">
        <f>IF(june[[#This Row],[ShiftCounter]]&gt;0, "Running", "Down")</f>
        <v>Running</v>
      </c>
    </row>
    <row r="438" spans="1:5" x14ac:dyDescent="0.25">
      <c r="A438" s="8">
        <v>44716</v>
      </c>
      <c r="B438" t="s">
        <v>32</v>
      </c>
      <c r="C438">
        <v>2214</v>
      </c>
      <c r="D438" t="s">
        <v>7</v>
      </c>
      <c r="E438" t="str">
        <f>IF(june[[#This Row],[ShiftCounter]]&gt;0, "Running", "Down")</f>
        <v>Running</v>
      </c>
    </row>
    <row r="439" spans="1:5" x14ac:dyDescent="0.25">
      <c r="A439" s="8">
        <v>44716</v>
      </c>
      <c r="B439" t="s">
        <v>32</v>
      </c>
      <c r="C439">
        <v>2101</v>
      </c>
      <c r="D439" t="s">
        <v>8</v>
      </c>
      <c r="E439" t="str">
        <f>IF(june[[#This Row],[ShiftCounter]]&gt;0, "Running", "Down")</f>
        <v>Running</v>
      </c>
    </row>
    <row r="440" spans="1:5" x14ac:dyDescent="0.25">
      <c r="A440" s="8">
        <v>44716</v>
      </c>
      <c r="B440" t="s">
        <v>71</v>
      </c>
      <c r="C440">
        <v>2232</v>
      </c>
      <c r="D440" t="s">
        <v>6</v>
      </c>
      <c r="E440" t="str">
        <f>IF(june[[#This Row],[ShiftCounter]]&gt;0, "Running", "Down")</f>
        <v>Running</v>
      </c>
    </row>
    <row r="441" spans="1:5" x14ac:dyDescent="0.25">
      <c r="A441" s="8">
        <v>44716</v>
      </c>
      <c r="B441" t="s">
        <v>71</v>
      </c>
      <c r="C441">
        <v>2119</v>
      </c>
      <c r="D441" t="s">
        <v>7</v>
      </c>
      <c r="E441" t="str">
        <f>IF(june[[#This Row],[ShiftCounter]]&gt;0, "Running", "Down")</f>
        <v>Running</v>
      </c>
    </row>
    <row r="442" spans="1:5" x14ac:dyDescent="0.25">
      <c r="A442" s="8">
        <v>44716</v>
      </c>
      <c r="B442" t="s">
        <v>71</v>
      </c>
      <c r="C442">
        <v>1970</v>
      </c>
      <c r="D442" t="s">
        <v>8</v>
      </c>
      <c r="E442" t="str">
        <f>IF(june[[#This Row],[ShiftCounter]]&gt;0, "Running", "Down")</f>
        <v>Running</v>
      </c>
    </row>
    <row r="443" spans="1:5" x14ac:dyDescent="0.25">
      <c r="A443" s="8">
        <v>44716</v>
      </c>
      <c r="B443" t="s">
        <v>33</v>
      </c>
      <c r="C443">
        <v>2559</v>
      </c>
      <c r="D443" t="s">
        <v>6</v>
      </c>
      <c r="E443" t="str">
        <f>IF(june[[#This Row],[ShiftCounter]]&gt;0, "Running", "Down")</f>
        <v>Running</v>
      </c>
    </row>
    <row r="444" spans="1:5" x14ac:dyDescent="0.25">
      <c r="A444" s="8">
        <v>44716</v>
      </c>
      <c r="B444" t="s">
        <v>33</v>
      </c>
      <c r="C444">
        <v>2457</v>
      </c>
      <c r="D444" t="s">
        <v>7</v>
      </c>
      <c r="E444" t="str">
        <f>IF(june[[#This Row],[ShiftCounter]]&gt;0, "Running", "Down")</f>
        <v>Running</v>
      </c>
    </row>
    <row r="445" spans="1:5" x14ac:dyDescent="0.25">
      <c r="A445" s="8">
        <v>44716</v>
      </c>
      <c r="B445" t="s">
        <v>33</v>
      </c>
      <c r="C445">
        <v>2190</v>
      </c>
      <c r="D445" t="s">
        <v>8</v>
      </c>
      <c r="E445" t="str">
        <f>IF(june[[#This Row],[ShiftCounter]]&gt;0, "Running", "Down")</f>
        <v>Running</v>
      </c>
    </row>
    <row r="446" spans="1:5" x14ac:dyDescent="0.25">
      <c r="A446" s="8">
        <v>44716</v>
      </c>
      <c r="B446" t="s">
        <v>34</v>
      </c>
      <c r="C446">
        <v>2122</v>
      </c>
      <c r="D446" t="s">
        <v>6</v>
      </c>
      <c r="E446" t="str">
        <f>IF(june[[#This Row],[ShiftCounter]]&gt;0, "Running", "Down")</f>
        <v>Running</v>
      </c>
    </row>
    <row r="447" spans="1:5" x14ac:dyDescent="0.25">
      <c r="A447" s="8">
        <v>44716</v>
      </c>
      <c r="B447" t="s">
        <v>34</v>
      </c>
      <c r="C447">
        <v>1947</v>
      </c>
      <c r="D447" t="s">
        <v>7</v>
      </c>
      <c r="E447" t="str">
        <f>IF(june[[#This Row],[ShiftCounter]]&gt;0, "Running", "Down")</f>
        <v>Running</v>
      </c>
    </row>
    <row r="448" spans="1:5" x14ac:dyDescent="0.25">
      <c r="A448" s="8">
        <v>44716</v>
      </c>
      <c r="B448" t="s">
        <v>34</v>
      </c>
      <c r="C448">
        <v>1847</v>
      </c>
      <c r="D448" t="s">
        <v>8</v>
      </c>
      <c r="E448" t="str">
        <f>IF(june[[#This Row],[ShiftCounter]]&gt;0, "Running", "Down")</f>
        <v>Running</v>
      </c>
    </row>
    <row r="449" spans="1:5" x14ac:dyDescent="0.25">
      <c r="A449" s="8">
        <v>44716</v>
      </c>
      <c r="B449" t="s">
        <v>35</v>
      </c>
      <c r="C449">
        <v>2496</v>
      </c>
      <c r="D449" t="s">
        <v>6</v>
      </c>
      <c r="E449" t="str">
        <f>IF(june[[#This Row],[ShiftCounter]]&gt;0, "Running", "Down")</f>
        <v>Running</v>
      </c>
    </row>
    <row r="450" spans="1:5" x14ac:dyDescent="0.25">
      <c r="A450" s="8">
        <v>44716</v>
      </c>
      <c r="B450" t="s">
        <v>35</v>
      </c>
      <c r="C450">
        <v>2048</v>
      </c>
      <c r="D450" t="s">
        <v>7</v>
      </c>
      <c r="E450" t="str">
        <f>IF(june[[#This Row],[ShiftCounter]]&gt;0, "Running", "Down")</f>
        <v>Running</v>
      </c>
    </row>
    <row r="451" spans="1:5" x14ac:dyDescent="0.25">
      <c r="A451" s="8">
        <v>44716</v>
      </c>
      <c r="B451" t="s">
        <v>35</v>
      </c>
      <c r="C451">
        <v>1952</v>
      </c>
      <c r="D451" t="s">
        <v>8</v>
      </c>
      <c r="E451" t="str">
        <f>IF(june[[#This Row],[ShiftCounter]]&gt;0, "Running", "Down")</f>
        <v>Running</v>
      </c>
    </row>
    <row r="452" spans="1:5" x14ac:dyDescent="0.25">
      <c r="A452" s="8">
        <v>44716</v>
      </c>
      <c r="B452" t="s">
        <v>36</v>
      </c>
      <c r="C452">
        <v>2449</v>
      </c>
      <c r="D452" t="s">
        <v>6</v>
      </c>
      <c r="E452" t="str">
        <f>IF(june[[#This Row],[ShiftCounter]]&gt;0, "Running", "Down")</f>
        <v>Running</v>
      </c>
    </row>
    <row r="453" spans="1:5" x14ac:dyDescent="0.25">
      <c r="A453" s="8">
        <v>44716</v>
      </c>
      <c r="B453" t="s">
        <v>36</v>
      </c>
      <c r="C453">
        <v>1815</v>
      </c>
      <c r="D453" t="s">
        <v>7</v>
      </c>
      <c r="E453" t="str">
        <f>IF(june[[#This Row],[ShiftCounter]]&gt;0, "Running", "Down")</f>
        <v>Running</v>
      </c>
    </row>
    <row r="454" spans="1:5" x14ac:dyDescent="0.25">
      <c r="A454" s="8">
        <v>44716</v>
      </c>
      <c r="B454" t="s">
        <v>36</v>
      </c>
      <c r="C454">
        <v>2159</v>
      </c>
      <c r="D454" t="s">
        <v>8</v>
      </c>
      <c r="E454" t="str">
        <f>IF(june[[#This Row],[ShiftCounter]]&gt;0, "Running", "Down")</f>
        <v>Running</v>
      </c>
    </row>
    <row r="455" spans="1:5" x14ac:dyDescent="0.25">
      <c r="A455" s="8">
        <v>44716</v>
      </c>
      <c r="B455" t="s">
        <v>37</v>
      </c>
      <c r="C455">
        <v>2332</v>
      </c>
      <c r="D455" t="s">
        <v>6</v>
      </c>
      <c r="E455" t="str">
        <f>IF(june[[#This Row],[ShiftCounter]]&gt;0, "Running", "Down")</f>
        <v>Running</v>
      </c>
    </row>
    <row r="456" spans="1:5" x14ac:dyDescent="0.25">
      <c r="A456" s="8">
        <v>44716</v>
      </c>
      <c r="B456" t="s">
        <v>37</v>
      </c>
      <c r="C456">
        <v>2281</v>
      </c>
      <c r="D456" t="s">
        <v>7</v>
      </c>
      <c r="E456" t="str">
        <f>IF(june[[#This Row],[ShiftCounter]]&gt;0, "Running", "Down")</f>
        <v>Running</v>
      </c>
    </row>
    <row r="457" spans="1:5" x14ac:dyDescent="0.25">
      <c r="A457" s="8">
        <v>44716</v>
      </c>
      <c r="B457" t="s">
        <v>37</v>
      </c>
      <c r="C457">
        <v>1981</v>
      </c>
      <c r="D457" t="s">
        <v>8</v>
      </c>
      <c r="E457" t="str">
        <f>IF(june[[#This Row],[ShiftCounter]]&gt;0, "Running", "Down")</f>
        <v>Running</v>
      </c>
    </row>
    <row r="458" spans="1:5" x14ac:dyDescent="0.25">
      <c r="A458" s="8">
        <v>44717</v>
      </c>
      <c r="B458" t="s">
        <v>158</v>
      </c>
      <c r="C458">
        <v>1996</v>
      </c>
      <c r="D458" t="s">
        <v>6</v>
      </c>
      <c r="E458" t="str">
        <f>IF(june[[#This Row],[ShiftCounter]]&gt;0, "Running", "Down")</f>
        <v>Running</v>
      </c>
    </row>
    <row r="459" spans="1:5" x14ac:dyDescent="0.25">
      <c r="A459" s="8">
        <v>44717</v>
      </c>
      <c r="B459" t="s">
        <v>158</v>
      </c>
      <c r="C459">
        <v>1972</v>
      </c>
      <c r="D459" t="s">
        <v>7</v>
      </c>
      <c r="E459" t="str">
        <f>IF(june[[#This Row],[ShiftCounter]]&gt;0, "Running", "Down")</f>
        <v>Running</v>
      </c>
    </row>
    <row r="460" spans="1:5" x14ac:dyDescent="0.25">
      <c r="A460" s="8">
        <v>44717</v>
      </c>
      <c r="B460" t="s">
        <v>158</v>
      </c>
      <c r="C460">
        <v>2235</v>
      </c>
      <c r="D460" t="s">
        <v>8</v>
      </c>
      <c r="E460" t="str">
        <f>IF(june[[#This Row],[ShiftCounter]]&gt;0, "Running", "Down")</f>
        <v>Running</v>
      </c>
    </row>
    <row r="461" spans="1:5" x14ac:dyDescent="0.25">
      <c r="A461" s="8">
        <v>44717</v>
      </c>
      <c r="B461" t="s">
        <v>40</v>
      </c>
      <c r="C461">
        <v>2339</v>
      </c>
      <c r="D461" t="s">
        <v>6</v>
      </c>
      <c r="E461" t="str">
        <f>IF(june[[#This Row],[ShiftCounter]]&gt;0, "Running", "Down")</f>
        <v>Running</v>
      </c>
    </row>
    <row r="462" spans="1:5" x14ac:dyDescent="0.25">
      <c r="A462" s="8">
        <v>44717</v>
      </c>
      <c r="B462" t="s">
        <v>40</v>
      </c>
      <c r="C462">
        <v>2171</v>
      </c>
      <c r="D462" t="s">
        <v>7</v>
      </c>
      <c r="E462" t="str">
        <f>IF(june[[#This Row],[ShiftCounter]]&gt;0, "Running", "Down")</f>
        <v>Running</v>
      </c>
    </row>
    <row r="463" spans="1:5" x14ac:dyDescent="0.25">
      <c r="A463" s="8">
        <v>44717</v>
      </c>
      <c r="B463" t="s">
        <v>40</v>
      </c>
      <c r="C463">
        <v>1932</v>
      </c>
      <c r="D463" t="s">
        <v>8</v>
      </c>
      <c r="E463" t="str">
        <f>IF(june[[#This Row],[ShiftCounter]]&gt;0, "Running", "Down")</f>
        <v>Running</v>
      </c>
    </row>
    <row r="464" spans="1:5" x14ac:dyDescent="0.25">
      <c r="A464" s="8">
        <v>44717</v>
      </c>
      <c r="B464" t="s">
        <v>39</v>
      </c>
      <c r="C464">
        <v>2046</v>
      </c>
      <c r="D464" t="s">
        <v>6</v>
      </c>
      <c r="E464" t="str">
        <f>IF(june[[#This Row],[ShiftCounter]]&gt;0, "Running", "Down")</f>
        <v>Running</v>
      </c>
    </row>
    <row r="465" spans="1:5" x14ac:dyDescent="0.25">
      <c r="A465" s="8">
        <v>44717</v>
      </c>
      <c r="B465" t="s">
        <v>39</v>
      </c>
      <c r="C465">
        <v>1927</v>
      </c>
      <c r="D465" t="s">
        <v>7</v>
      </c>
      <c r="E465" t="str">
        <f>IF(june[[#This Row],[ShiftCounter]]&gt;0, "Running", "Down")</f>
        <v>Running</v>
      </c>
    </row>
    <row r="466" spans="1:5" x14ac:dyDescent="0.25">
      <c r="A466" s="8">
        <v>44717</v>
      </c>
      <c r="B466" t="s">
        <v>39</v>
      </c>
      <c r="C466">
        <v>1912</v>
      </c>
      <c r="D466" t="s">
        <v>8</v>
      </c>
      <c r="E466" t="str">
        <f>IF(june[[#This Row],[ShiftCounter]]&gt;0, "Running", "Down")</f>
        <v>Running</v>
      </c>
    </row>
    <row r="467" spans="1:5" x14ac:dyDescent="0.25">
      <c r="A467" s="8">
        <v>44717</v>
      </c>
      <c r="B467" t="s">
        <v>41</v>
      </c>
      <c r="C467">
        <v>2079</v>
      </c>
      <c r="D467" t="s">
        <v>6</v>
      </c>
      <c r="E467" t="str">
        <f>IF(june[[#This Row],[ShiftCounter]]&gt;0, "Running", "Down")</f>
        <v>Running</v>
      </c>
    </row>
    <row r="468" spans="1:5" x14ac:dyDescent="0.25">
      <c r="A468" s="8">
        <v>44717</v>
      </c>
      <c r="B468" t="s">
        <v>41</v>
      </c>
      <c r="C468">
        <v>2355</v>
      </c>
      <c r="D468" t="s">
        <v>7</v>
      </c>
      <c r="E468" t="str">
        <f>IF(june[[#This Row],[ShiftCounter]]&gt;0, "Running", "Down")</f>
        <v>Running</v>
      </c>
    </row>
    <row r="469" spans="1:5" x14ac:dyDescent="0.25">
      <c r="A469" s="8">
        <v>44717</v>
      </c>
      <c r="B469" t="s">
        <v>41</v>
      </c>
      <c r="C469">
        <v>2213</v>
      </c>
      <c r="D469" t="s">
        <v>8</v>
      </c>
      <c r="E469" t="str">
        <f>IF(june[[#This Row],[ShiftCounter]]&gt;0, "Running", "Down")</f>
        <v>Running</v>
      </c>
    </row>
    <row r="470" spans="1:5" x14ac:dyDescent="0.25">
      <c r="A470" s="8">
        <v>44717</v>
      </c>
      <c r="B470" t="s">
        <v>5</v>
      </c>
      <c r="C470">
        <v>2230</v>
      </c>
      <c r="D470" t="s">
        <v>6</v>
      </c>
      <c r="E470" t="str">
        <f>IF(june[[#This Row],[ShiftCounter]]&gt;0, "Running", "Down")</f>
        <v>Running</v>
      </c>
    </row>
    <row r="471" spans="1:5" x14ac:dyDescent="0.25">
      <c r="A471" s="8">
        <v>44717</v>
      </c>
      <c r="B471" t="s">
        <v>5</v>
      </c>
      <c r="C471">
        <v>2212</v>
      </c>
      <c r="D471" t="s">
        <v>7</v>
      </c>
      <c r="E471" t="str">
        <f>IF(june[[#This Row],[ShiftCounter]]&gt;0, "Running", "Down")</f>
        <v>Running</v>
      </c>
    </row>
    <row r="472" spans="1:5" x14ac:dyDescent="0.25">
      <c r="A472" s="8">
        <v>44717</v>
      </c>
      <c r="B472" t="s">
        <v>5</v>
      </c>
      <c r="C472">
        <v>2214</v>
      </c>
      <c r="D472" t="s">
        <v>8</v>
      </c>
      <c r="E472" t="str">
        <f>IF(june[[#This Row],[ShiftCounter]]&gt;0, "Running", "Down")</f>
        <v>Running</v>
      </c>
    </row>
    <row r="473" spans="1:5" x14ac:dyDescent="0.25">
      <c r="A473" s="8">
        <v>44717</v>
      </c>
      <c r="B473" t="s">
        <v>9</v>
      </c>
      <c r="C473">
        <v>2396</v>
      </c>
      <c r="D473" t="s">
        <v>6</v>
      </c>
      <c r="E473" t="str">
        <f>IF(june[[#This Row],[ShiftCounter]]&gt;0, "Running", "Down")</f>
        <v>Running</v>
      </c>
    </row>
    <row r="474" spans="1:5" x14ac:dyDescent="0.25">
      <c r="A474" s="8">
        <v>44717</v>
      </c>
      <c r="B474" t="s">
        <v>9</v>
      </c>
      <c r="C474">
        <v>2233</v>
      </c>
      <c r="D474" t="s">
        <v>7</v>
      </c>
      <c r="E474" t="str">
        <f>IF(june[[#This Row],[ShiftCounter]]&gt;0, "Running", "Down")</f>
        <v>Running</v>
      </c>
    </row>
    <row r="475" spans="1:5" x14ac:dyDescent="0.25">
      <c r="A475" s="8">
        <v>44717</v>
      </c>
      <c r="B475" t="s">
        <v>9</v>
      </c>
      <c r="C475">
        <v>2185</v>
      </c>
      <c r="D475" t="s">
        <v>8</v>
      </c>
      <c r="E475" t="str">
        <f>IF(june[[#This Row],[ShiftCounter]]&gt;0, "Running", "Down")</f>
        <v>Running</v>
      </c>
    </row>
    <row r="476" spans="1:5" x14ac:dyDescent="0.25">
      <c r="A476" s="8">
        <v>44717</v>
      </c>
      <c r="B476" t="s">
        <v>10</v>
      </c>
      <c r="C476">
        <v>2233</v>
      </c>
      <c r="D476" t="s">
        <v>6</v>
      </c>
      <c r="E476" t="str">
        <f>IF(june[[#This Row],[ShiftCounter]]&gt;0, "Running", "Down")</f>
        <v>Running</v>
      </c>
    </row>
    <row r="477" spans="1:5" x14ac:dyDescent="0.25">
      <c r="A477" s="8">
        <v>44717</v>
      </c>
      <c r="B477" t="s">
        <v>10</v>
      </c>
      <c r="C477">
        <v>2209</v>
      </c>
      <c r="D477" t="s">
        <v>7</v>
      </c>
      <c r="E477" t="str">
        <f>IF(june[[#This Row],[ShiftCounter]]&gt;0, "Running", "Down")</f>
        <v>Running</v>
      </c>
    </row>
    <row r="478" spans="1:5" x14ac:dyDescent="0.25">
      <c r="A478" s="8">
        <v>44717</v>
      </c>
      <c r="B478" t="s">
        <v>10</v>
      </c>
      <c r="C478">
        <v>2009</v>
      </c>
      <c r="D478" t="s">
        <v>8</v>
      </c>
      <c r="E478" t="str">
        <f>IF(june[[#This Row],[ShiftCounter]]&gt;0, "Running", "Down")</f>
        <v>Running</v>
      </c>
    </row>
    <row r="479" spans="1:5" x14ac:dyDescent="0.25">
      <c r="A479" s="8">
        <v>44717</v>
      </c>
      <c r="B479" t="s">
        <v>12</v>
      </c>
      <c r="C479">
        <v>2389</v>
      </c>
      <c r="D479" t="s">
        <v>6</v>
      </c>
      <c r="E479" t="str">
        <f>IF(june[[#This Row],[ShiftCounter]]&gt;0, "Running", "Down")</f>
        <v>Running</v>
      </c>
    </row>
    <row r="480" spans="1:5" x14ac:dyDescent="0.25">
      <c r="A480" s="8">
        <v>44717</v>
      </c>
      <c r="B480" t="s">
        <v>12</v>
      </c>
      <c r="C480">
        <v>2214</v>
      </c>
      <c r="D480" t="s">
        <v>7</v>
      </c>
      <c r="E480" t="str">
        <f>IF(june[[#This Row],[ShiftCounter]]&gt;0, "Running", "Down")</f>
        <v>Running</v>
      </c>
    </row>
    <row r="481" spans="1:5" x14ac:dyDescent="0.25">
      <c r="A481" s="8">
        <v>44717</v>
      </c>
      <c r="B481" t="s">
        <v>12</v>
      </c>
      <c r="C481">
        <v>2017</v>
      </c>
      <c r="D481" t="s">
        <v>8</v>
      </c>
      <c r="E481" t="str">
        <f>IF(june[[#This Row],[ShiftCounter]]&gt;0, "Running", "Down")</f>
        <v>Running</v>
      </c>
    </row>
    <row r="482" spans="1:5" x14ac:dyDescent="0.25">
      <c r="A482" s="8">
        <v>44717</v>
      </c>
      <c r="B482" t="s">
        <v>13</v>
      </c>
      <c r="C482">
        <v>2207</v>
      </c>
      <c r="D482" t="s">
        <v>6</v>
      </c>
      <c r="E482" t="str">
        <f>IF(june[[#This Row],[ShiftCounter]]&gt;0, "Running", "Down")</f>
        <v>Running</v>
      </c>
    </row>
    <row r="483" spans="1:5" x14ac:dyDescent="0.25">
      <c r="A483" s="8">
        <v>44717</v>
      </c>
      <c r="B483" t="s">
        <v>13</v>
      </c>
      <c r="C483">
        <v>2120</v>
      </c>
      <c r="D483" t="s">
        <v>7</v>
      </c>
      <c r="E483" t="str">
        <f>IF(june[[#This Row],[ShiftCounter]]&gt;0, "Running", "Down")</f>
        <v>Running</v>
      </c>
    </row>
    <row r="484" spans="1:5" x14ac:dyDescent="0.25">
      <c r="A484" s="8">
        <v>44717</v>
      </c>
      <c r="B484" t="s">
        <v>13</v>
      </c>
      <c r="C484">
        <v>1855</v>
      </c>
      <c r="D484" t="s">
        <v>8</v>
      </c>
      <c r="E484" t="str">
        <f>IF(june[[#This Row],[ShiftCounter]]&gt;0, "Running", "Down")</f>
        <v>Running</v>
      </c>
    </row>
    <row r="485" spans="1:5" x14ac:dyDescent="0.25">
      <c r="A485" s="8">
        <v>44717</v>
      </c>
      <c r="B485" t="s">
        <v>114</v>
      </c>
      <c r="C485">
        <v>2120</v>
      </c>
      <c r="D485" t="s">
        <v>6</v>
      </c>
      <c r="E485" t="str">
        <f>IF(june[[#This Row],[ShiftCounter]]&gt;0, "Running", "Down")</f>
        <v>Running</v>
      </c>
    </row>
    <row r="486" spans="1:5" x14ac:dyDescent="0.25">
      <c r="A486" s="8">
        <v>44717</v>
      </c>
      <c r="B486" t="s">
        <v>114</v>
      </c>
      <c r="C486">
        <v>2050</v>
      </c>
      <c r="D486" t="s">
        <v>7</v>
      </c>
      <c r="E486" t="str">
        <f>IF(june[[#This Row],[ShiftCounter]]&gt;0, "Running", "Down")</f>
        <v>Running</v>
      </c>
    </row>
    <row r="487" spans="1:5" x14ac:dyDescent="0.25">
      <c r="A487" s="8">
        <v>44717</v>
      </c>
      <c r="B487" t="s">
        <v>114</v>
      </c>
      <c r="C487">
        <v>1790</v>
      </c>
      <c r="D487" t="s">
        <v>8</v>
      </c>
      <c r="E487" t="str">
        <f>IF(june[[#This Row],[ShiftCounter]]&gt;0, "Running", "Down")</f>
        <v>Running</v>
      </c>
    </row>
    <row r="488" spans="1:5" x14ac:dyDescent="0.25">
      <c r="A488" s="8">
        <v>44717</v>
      </c>
      <c r="B488" t="s">
        <v>14</v>
      </c>
      <c r="C488">
        <v>1871</v>
      </c>
      <c r="D488" t="s">
        <v>6</v>
      </c>
      <c r="E488" t="str">
        <f>IF(june[[#This Row],[ShiftCounter]]&gt;0, "Running", "Down")</f>
        <v>Running</v>
      </c>
    </row>
    <row r="489" spans="1:5" x14ac:dyDescent="0.25">
      <c r="A489" s="8">
        <v>44717</v>
      </c>
      <c r="B489" t="s">
        <v>14</v>
      </c>
      <c r="C489">
        <v>1840</v>
      </c>
      <c r="D489" t="s">
        <v>7</v>
      </c>
      <c r="E489" t="str">
        <f>IF(june[[#This Row],[ShiftCounter]]&gt;0, "Running", "Down")</f>
        <v>Running</v>
      </c>
    </row>
    <row r="490" spans="1:5" x14ac:dyDescent="0.25">
      <c r="A490" s="8">
        <v>44717</v>
      </c>
      <c r="B490" t="s">
        <v>14</v>
      </c>
      <c r="C490">
        <v>1590</v>
      </c>
      <c r="D490" t="s">
        <v>8</v>
      </c>
      <c r="E490" t="str">
        <f>IF(june[[#This Row],[ShiftCounter]]&gt;0, "Running", "Down")</f>
        <v>Running</v>
      </c>
    </row>
    <row r="491" spans="1:5" x14ac:dyDescent="0.25">
      <c r="A491" s="8">
        <v>44717</v>
      </c>
      <c r="B491" t="s">
        <v>15</v>
      </c>
      <c r="C491">
        <v>2129</v>
      </c>
      <c r="D491" t="s">
        <v>6</v>
      </c>
      <c r="E491" t="str">
        <f>IF(june[[#This Row],[ShiftCounter]]&gt;0, "Running", "Down")</f>
        <v>Running</v>
      </c>
    </row>
    <row r="492" spans="1:5" x14ac:dyDescent="0.25">
      <c r="A492" s="8">
        <v>44717</v>
      </c>
      <c r="B492" t="s">
        <v>15</v>
      </c>
      <c r="C492">
        <v>1917</v>
      </c>
      <c r="D492" t="s">
        <v>7</v>
      </c>
      <c r="E492" t="str">
        <f>IF(june[[#This Row],[ShiftCounter]]&gt;0, "Running", "Down")</f>
        <v>Running</v>
      </c>
    </row>
    <row r="493" spans="1:5" x14ac:dyDescent="0.25">
      <c r="A493" s="8">
        <v>44717</v>
      </c>
      <c r="B493" t="s">
        <v>15</v>
      </c>
      <c r="C493">
        <v>1687</v>
      </c>
      <c r="D493" t="s">
        <v>8</v>
      </c>
      <c r="E493" t="str">
        <f>IF(june[[#This Row],[ShiftCounter]]&gt;0, "Running", "Down")</f>
        <v>Running</v>
      </c>
    </row>
    <row r="494" spans="1:5" x14ac:dyDescent="0.25">
      <c r="A494" s="8">
        <v>44717</v>
      </c>
      <c r="B494" t="s">
        <v>16</v>
      </c>
      <c r="C494">
        <v>2196</v>
      </c>
      <c r="D494" t="s">
        <v>6</v>
      </c>
      <c r="E494" t="str">
        <f>IF(june[[#This Row],[ShiftCounter]]&gt;0, "Running", "Down")</f>
        <v>Running</v>
      </c>
    </row>
    <row r="495" spans="1:5" x14ac:dyDescent="0.25">
      <c r="A495" s="8">
        <v>44717</v>
      </c>
      <c r="B495" t="s">
        <v>16</v>
      </c>
      <c r="C495">
        <v>2238</v>
      </c>
      <c r="D495" t="s">
        <v>7</v>
      </c>
      <c r="E495" t="str">
        <f>IF(june[[#This Row],[ShiftCounter]]&gt;0, "Running", "Down")</f>
        <v>Running</v>
      </c>
    </row>
    <row r="496" spans="1:5" x14ac:dyDescent="0.25">
      <c r="A496" s="8">
        <v>44717</v>
      </c>
      <c r="B496" t="s">
        <v>16</v>
      </c>
      <c r="C496">
        <v>1834</v>
      </c>
      <c r="D496" t="s">
        <v>8</v>
      </c>
      <c r="E496" t="str">
        <f>IF(june[[#This Row],[ShiftCounter]]&gt;0, "Running", "Down")</f>
        <v>Running</v>
      </c>
    </row>
    <row r="497" spans="1:5" x14ac:dyDescent="0.25">
      <c r="A497" s="8">
        <v>44717</v>
      </c>
      <c r="B497" t="s">
        <v>17</v>
      </c>
      <c r="C497">
        <v>2314</v>
      </c>
      <c r="D497" t="s">
        <v>6</v>
      </c>
      <c r="E497" t="str">
        <f>IF(june[[#This Row],[ShiftCounter]]&gt;0, "Running", "Down")</f>
        <v>Running</v>
      </c>
    </row>
    <row r="498" spans="1:5" x14ac:dyDescent="0.25">
      <c r="A498" s="8">
        <v>44717</v>
      </c>
      <c r="B498" t="s">
        <v>17</v>
      </c>
      <c r="C498">
        <v>2323</v>
      </c>
      <c r="D498" t="s">
        <v>7</v>
      </c>
      <c r="E498" t="str">
        <f>IF(june[[#This Row],[ShiftCounter]]&gt;0, "Running", "Down")</f>
        <v>Running</v>
      </c>
    </row>
    <row r="499" spans="1:5" x14ac:dyDescent="0.25">
      <c r="A499" s="8">
        <v>44717</v>
      </c>
      <c r="B499" t="s">
        <v>17</v>
      </c>
      <c r="C499">
        <v>2021</v>
      </c>
      <c r="D499" t="s">
        <v>8</v>
      </c>
      <c r="E499" t="str">
        <f>IF(june[[#This Row],[ShiftCounter]]&gt;0, "Running", "Down")</f>
        <v>Running</v>
      </c>
    </row>
    <row r="500" spans="1:5" x14ac:dyDescent="0.25">
      <c r="A500" s="8">
        <v>44717</v>
      </c>
      <c r="B500" t="s">
        <v>18</v>
      </c>
      <c r="C500">
        <v>2389</v>
      </c>
      <c r="D500" t="s">
        <v>6</v>
      </c>
      <c r="E500" t="str">
        <f>IF(june[[#This Row],[ShiftCounter]]&gt;0, "Running", "Down")</f>
        <v>Running</v>
      </c>
    </row>
    <row r="501" spans="1:5" x14ac:dyDescent="0.25">
      <c r="A501" s="8">
        <v>44717</v>
      </c>
      <c r="B501" t="s">
        <v>18</v>
      </c>
      <c r="C501">
        <v>2245</v>
      </c>
      <c r="D501" t="s">
        <v>7</v>
      </c>
      <c r="E501" t="str">
        <f>IF(june[[#This Row],[ShiftCounter]]&gt;0, "Running", "Down")</f>
        <v>Running</v>
      </c>
    </row>
    <row r="502" spans="1:5" x14ac:dyDescent="0.25">
      <c r="A502" s="8">
        <v>44717</v>
      </c>
      <c r="B502" t="s">
        <v>18</v>
      </c>
      <c r="C502">
        <v>1852</v>
      </c>
      <c r="D502" t="s">
        <v>8</v>
      </c>
      <c r="E502" t="str">
        <f>IF(june[[#This Row],[ShiftCounter]]&gt;0, "Running", "Down")</f>
        <v>Running</v>
      </c>
    </row>
    <row r="503" spans="1:5" x14ac:dyDescent="0.25">
      <c r="A503" s="8">
        <v>44717</v>
      </c>
      <c r="B503" t="s">
        <v>19</v>
      </c>
      <c r="C503">
        <v>0</v>
      </c>
      <c r="D503" t="s">
        <v>6</v>
      </c>
      <c r="E503" t="str">
        <f>IF(june[[#This Row],[ShiftCounter]]&gt;0, "Running", "Down")</f>
        <v>Down</v>
      </c>
    </row>
    <row r="504" spans="1:5" x14ac:dyDescent="0.25">
      <c r="A504" s="8">
        <v>44717</v>
      </c>
      <c r="B504" t="s">
        <v>19</v>
      </c>
      <c r="C504">
        <v>0</v>
      </c>
      <c r="D504" t="s">
        <v>7</v>
      </c>
      <c r="E504" t="str">
        <f>IF(june[[#This Row],[ShiftCounter]]&gt;0, "Running", "Down")</f>
        <v>Down</v>
      </c>
    </row>
    <row r="505" spans="1:5" x14ac:dyDescent="0.25">
      <c r="A505" s="8">
        <v>44717</v>
      </c>
      <c r="B505" t="s">
        <v>19</v>
      </c>
      <c r="C505">
        <v>1770</v>
      </c>
      <c r="D505" t="s">
        <v>8</v>
      </c>
      <c r="E505" t="str">
        <f>IF(june[[#This Row],[ShiftCounter]]&gt;0, "Running", "Down")</f>
        <v>Running</v>
      </c>
    </row>
    <row r="506" spans="1:5" x14ac:dyDescent="0.25">
      <c r="A506" s="8">
        <v>44717</v>
      </c>
      <c r="B506" t="s">
        <v>42</v>
      </c>
      <c r="C506">
        <v>2031</v>
      </c>
      <c r="D506" t="s">
        <v>6</v>
      </c>
      <c r="E506" t="str">
        <f>IF(june[[#This Row],[ShiftCounter]]&gt;0, "Running", "Down")</f>
        <v>Running</v>
      </c>
    </row>
    <row r="507" spans="1:5" x14ac:dyDescent="0.25">
      <c r="A507" s="8">
        <v>44717</v>
      </c>
      <c r="B507" t="s">
        <v>42</v>
      </c>
      <c r="C507">
        <v>1526</v>
      </c>
      <c r="D507" t="s">
        <v>7</v>
      </c>
      <c r="E507" t="str">
        <f>IF(june[[#This Row],[ShiftCounter]]&gt;0, "Running", "Down")</f>
        <v>Running</v>
      </c>
    </row>
    <row r="508" spans="1:5" x14ac:dyDescent="0.25">
      <c r="A508" s="8">
        <v>44717</v>
      </c>
      <c r="B508" t="s">
        <v>42</v>
      </c>
      <c r="C508">
        <v>1847</v>
      </c>
      <c r="D508" t="s">
        <v>8</v>
      </c>
      <c r="E508" t="str">
        <f>IF(june[[#This Row],[ShiftCounter]]&gt;0, "Running", "Down")</f>
        <v>Running</v>
      </c>
    </row>
    <row r="509" spans="1:5" x14ac:dyDescent="0.25">
      <c r="A509" s="8">
        <v>44717</v>
      </c>
      <c r="B509" t="s">
        <v>38</v>
      </c>
      <c r="C509">
        <v>2086</v>
      </c>
      <c r="D509" t="s">
        <v>6</v>
      </c>
      <c r="E509" t="str">
        <f>IF(june[[#This Row],[ShiftCounter]]&gt;0, "Running", "Down")</f>
        <v>Running</v>
      </c>
    </row>
    <row r="510" spans="1:5" x14ac:dyDescent="0.25">
      <c r="A510" s="8">
        <v>44717</v>
      </c>
      <c r="B510" t="s">
        <v>38</v>
      </c>
      <c r="C510">
        <v>2288</v>
      </c>
      <c r="D510" t="s">
        <v>7</v>
      </c>
      <c r="E510" t="str">
        <f>IF(june[[#This Row],[ShiftCounter]]&gt;0, "Running", "Down")</f>
        <v>Running</v>
      </c>
    </row>
    <row r="511" spans="1:5" x14ac:dyDescent="0.25">
      <c r="A511" s="8">
        <v>44717</v>
      </c>
      <c r="B511" t="s">
        <v>38</v>
      </c>
      <c r="C511">
        <v>1903</v>
      </c>
      <c r="D511" t="s">
        <v>8</v>
      </c>
      <c r="E511" t="str">
        <f>IF(june[[#This Row],[ShiftCounter]]&gt;0, "Running", "Down")</f>
        <v>Running</v>
      </c>
    </row>
    <row r="512" spans="1:5" x14ac:dyDescent="0.25">
      <c r="A512" s="8">
        <v>44717</v>
      </c>
      <c r="B512" t="s">
        <v>20</v>
      </c>
      <c r="C512">
        <v>2344</v>
      </c>
      <c r="D512" t="s">
        <v>6</v>
      </c>
      <c r="E512" t="str">
        <f>IF(june[[#This Row],[ShiftCounter]]&gt;0, "Running", "Down")</f>
        <v>Running</v>
      </c>
    </row>
    <row r="513" spans="1:5" x14ac:dyDescent="0.25">
      <c r="A513" s="8">
        <v>44717</v>
      </c>
      <c r="B513" t="s">
        <v>20</v>
      </c>
      <c r="C513">
        <v>2295</v>
      </c>
      <c r="D513" t="s">
        <v>7</v>
      </c>
      <c r="E513" t="str">
        <f>IF(june[[#This Row],[ShiftCounter]]&gt;0, "Running", "Down")</f>
        <v>Running</v>
      </c>
    </row>
    <row r="514" spans="1:5" x14ac:dyDescent="0.25">
      <c r="A514" s="8">
        <v>44717</v>
      </c>
      <c r="B514" t="s">
        <v>20</v>
      </c>
      <c r="C514">
        <v>2114</v>
      </c>
      <c r="D514" t="s">
        <v>8</v>
      </c>
      <c r="E514" t="str">
        <f>IF(june[[#This Row],[ShiftCounter]]&gt;0, "Running", "Down")</f>
        <v>Running</v>
      </c>
    </row>
    <row r="515" spans="1:5" x14ac:dyDescent="0.25">
      <c r="A515" s="8">
        <v>44717</v>
      </c>
      <c r="B515" t="s">
        <v>21</v>
      </c>
      <c r="C515">
        <v>2115</v>
      </c>
      <c r="D515" t="s">
        <v>6</v>
      </c>
      <c r="E515" t="str">
        <f>IF(june[[#This Row],[ShiftCounter]]&gt;0, "Running", "Down")</f>
        <v>Running</v>
      </c>
    </row>
    <row r="516" spans="1:5" x14ac:dyDescent="0.25">
      <c r="A516" s="8">
        <v>44717</v>
      </c>
      <c r="B516" t="s">
        <v>21</v>
      </c>
      <c r="C516">
        <v>2088</v>
      </c>
      <c r="D516" t="s">
        <v>7</v>
      </c>
      <c r="E516" t="str">
        <f>IF(june[[#This Row],[ShiftCounter]]&gt;0, "Running", "Down")</f>
        <v>Running</v>
      </c>
    </row>
    <row r="517" spans="1:5" x14ac:dyDescent="0.25">
      <c r="A517" s="8">
        <v>44717</v>
      </c>
      <c r="B517" t="s">
        <v>21</v>
      </c>
      <c r="C517">
        <v>1894</v>
      </c>
      <c r="D517" t="s">
        <v>8</v>
      </c>
      <c r="E517" t="str">
        <f>IF(june[[#This Row],[ShiftCounter]]&gt;0, "Running", "Down")</f>
        <v>Running</v>
      </c>
    </row>
    <row r="518" spans="1:5" x14ac:dyDescent="0.25">
      <c r="A518" s="8">
        <v>44717</v>
      </c>
      <c r="B518" t="s">
        <v>22</v>
      </c>
      <c r="C518">
        <v>2266</v>
      </c>
      <c r="D518" t="s">
        <v>6</v>
      </c>
      <c r="E518" t="str">
        <f>IF(june[[#This Row],[ShiftCounter]]&gt;0, "Running", "Down")</f>
        <v>Running</v>
      </c>
    </row>
    <row r="519" spans="1:5" x14ac:dyDescent="0.25">
      <c r="A519" s="8">
        <v>44717</v>
      </c>
      <c r="B519" t="s">
        <v>22</v>
      </c>
      <c r="C519">
        <v>2262</v>
      </c>
      <c r="D519" t="s">
        <v>7</v>
      </c>
      <c r="E519" t="str">
        <f>IF(june[[#This Row],[ShiftCounter]]&gt;0, "Running", "Down")</f>
        <v>Running</v>
      </c>
    </row>
    <row r="520" spans="1:5" x14ac:dyDescent="0.25">
      <c r="A520" s="8">
        <v>44717</v>
      </c>
      <c r="B520" t="s">
        <v>22</v>
      </c>
      <c r="C520">
        <v>1956</v>
      </c>
      <c r="D520" t="s">
        <v>8</v>
      </c>
      <c r="E520" t="str">
        <f>IF(june[[#This Row],[ShiftCounter]]&gt;0, "Running", "Down")</f>
        <v>Running</v>
      </c>
    </row>
    <row r="521" spans="1:5" x14ac:dyDescent="0.25">
      <c r="A521" s="8">
        <v>44717</v>
      </c>
      <c r="B521" t="s">
        <v>23</v>
      </c>
      <c r="C521">
        <v>2306</v>
      </c>
      <c r="D521" t="s">
        <v>6</v>
      </c>
      <c r="E521" t="str">
        <f>IF(june[[#This Row],[ShiftCounter]]&gt;0, "Running", "Down")</f>
        <v>Running</v>
      </c>
    </row>
    <row r="522" spans="1:5" x14ac:dyDescent="0.25">
      <c r="A522" s="8">
        <v>44717</v>
      </c>
      <c r="B522" t="s">
        <v>23</v>
      </c>
      <c r="C522">
        <v>2325</v>
      </c>
      <c r="D522" t="s">
        <v>7</v>
      </c>
      <c r="E522" t="str">
        <f>IF(june[[#This Row],[ShiftCounter]]&gt;0, "Running", "Down")</f>
        <v>Running</v>
      </c>
    </row>
    <row r="523" spans="1:5" x14ac:dyDescent="0.25">
      <c r="A523" s="8">
        <v>44717</v>
      </c>
      <c r="B523" t="s">
        <v>23</v>
      </c>
      <c r="C523">
        <v>2088</v>
      </c>
      <c r="D523" t="s">
        <v>8</v>
      </c>
      <c r="E523" t="str">
        <f>IF(june[[#This Row],[ShiftCounter]]&gt;0, "Running", "Down")</f>
        <v>Running</v>
      </c>
    </row>
    <row r="524" spans="1:5" x14ac:dyDescent="0.25">
      <c r="A524" s="8">
        <v>44717</v>
      </c>
      <c r="B524" t="s">
        <v>24</v>
      </c>
      <c r="C524">
        <v>2160</v>
      </c>
      <c r="D524" t="s">
        <v>6</v>
      </c>
      <c r="E524" t="str">
        <f>IF(june[[#This Row],[ShiftCounter]]&gt;0, "Running", "Down")</f>
        <v>Running</v>
      </c>
    </row>
    <row r="525" spans="1:5" x14ac:dyDescent="0.25">
      <c r="A525" s="8">
        <v>44717</v>
      </c>
      <c r="B525" t="s">
        <v>24</v>
      </c>
      <c r="C525">
        <v>2212</v>
      </c>
      <c r="D525" t="s">
        <v>7</v>
      </c>
      <c r="E525" t="str">
        <f>IF(june[[#This Row],[ShiftCounter]]&gt;0, "Running", "Down")</f>
        <v>Running</v>
      </c>
    </row>
    <row r="526" spans="1:5" x14ac:dyDescent="0.25">
      <c r="A526" s="8">
        <v>44717</v>
      </c>
      <c r="B526" t="s">
        <v>24</v>
      </c>
      <c r="C526">
        <v>1862</v>
      </c>
      <c r="D526" t="s">
        <v>8</v>
      </c>
      <c r="E526" t="str">
        <f>IF(june[[#This Row],[ShiftCounter]]&gt;0, "Running", "Down")</f>
        <v>Running</v>
      </c>
    </row>
    <row r="527" spans="1:5" x14ac:dyDescent="0.25">
      <c r="A527" s="8">
        <v>44717</v>
      </c>
      <c r="B527" t="s">
        <v>25</v>
      </c>
      <c r="C527">
        <v>2317</v>
      </c>
      <c r="D527" t="s">
        <v>6</v>
      </c>
      <c r="E527" t="str">
        <f>IF(june[[#This Row],[ShiftCounter]]&gt;0, "Running", "Down")</f>
        <v>Running</v>
      </c>
    </row>
    <row r="528" spans="1:5" x14ac:dyDescent="0.25">
      <c r="A528" s="8">
        <v>44717</v>
      </c>
      <c r="B528" t="s">
        <v>25</v>
      </c>
      <c r="C528">
        <v>2349</v>
      </c>
      <c r="D528" t="s">
        <v>7</v>
      </c>
      <c r="E528" t="str">
        <f>IF(june[[#This Row],[ShiftCounter]]&gt;0, "Running", "Down")</f>
        <v>Running</v>
      </c>
    </row>
    <row r="529" spans="1:5" x14ac:dyDescent="0.25">
      <c r="A529" s="8">
        <v>44717</v>
      </c>
      <c r="B529" t="s">
        <v>25</v>
      </c>
      <c r="C529">
        <v>2092</v>
      </c>
      <c r="D529" t="s">
        <v>8</v>
      </c>
      <c r="E529" t="str">
        <f>IF(june[[#This Row],[ShiftCounter]]&gt;0, "Running", "Down")</f>
        <v>Running</v>
      </c>
    </row>
    <row r="530" spans="1:5" x14ac:dyDescent="0.25">
      <c r="A530" s="8">
        <v>44717</v>
      </c>
      <c r="B530" t="s">
        <v>26</v>
      </c>
      <c r="C530">
        <v>2120</v>
      </c>
      <c r="D530" t="s">
        <v>6</v>
      </c>
      <c r="E530" t="str">
        <f>IF(june[[#This Row],[ShiftCounter]]&gt;0, "Running", "Down")</f>
        <v>Running</v>
      </c>
    </row>
    <row r="531" spans="1:5" x14ac:dyDescent="0.25">
      <c r="A531" s="8">
        <v>44717</v>
      </c>
      <c r="B531" t="s">
        <v>26</v>
      </c>
      <c r="C531">
        <v>2158</v>
      </c>
      <c r="D531" t="s">
        <v>7</v>
      </c>
      <c r="E531" t="str">
        <f>IF(june[[#This Row],[ShiftCounter]]&gt;0, "Running", "Down")</f>
        <v>Running</v>
      </c>
    </row>
    <row r="532" spans="1:5" x14ac:dyDescent="0.25">
      <c r="A532" s="8">
        <v>44717</v>
      </c>
      <c r="B532" t="s">
        <v>26</v>
      </c>
      <c r="C532">
        <v>1881</v>
      </c>
      <c r="D532" t="s">
        <v>8</v>
      </c>
      <c r="E532" t="str">
        <f>IF(june[[#This Row],[ShiftCounter]]&gt;0, "Running", "Down")</f>
        <v>Running</v>
      </c>
    </row>
    <row r="533" spans="1:5" x14ac:dyDescent="0.25">
      <c r="A533" s="8">
        <v>44717</v>
      </c>
      <c r="B533" t="s">
        <v>27</v>
      </c>
      <c r="C533">
        <v>2270</v>
      </c>
      <c r="D533" t="s">
        <v>6</v>
      </c>
      <c r="E533" t="str">
        <f>IF(june[[#This Row],[ShiftCounter]]&gt;0, "Running", "Down")</f>
        <v>Running</v>
      </c>
    </row>
    <row r="534" spans="1:5" x14ac:dyDescent="0.25">
      <c r="A534" s="8">
        <v>44717</v>
      </c>
      <c r="B534" t="s">
        <v>27</v>
      </c>
      <c r="C534">
        <v>1682</v>
      </c>
      <c r="D534" t="s">
        <v>7</v>
      </c>
      <c r="E534" t="str">
        <f>IF(june[[#This Row],[ShiftCounter]]&gt;0, "Running", "Down")</f>
        <v>Running</v>
      </c>
    </row>
    <row r="535" spans="1:5" x14ac:dyDescent="0.25">
      <c r="A535" s="8">
        <v>44717</v>
      </c>
      <c r="B535" t="s">
        <v>27</v>
      </c>
      <c r="C535">
        <v>2041</v>
      </c>
      <c r="D535" t="s">
        <v>8</v>
      </c>
      <c r="E535" t="str">
        <f>IF(june[[#This Row],[ShiftCounter]]&gt;0, "Running", "Down")</f>
        <v>Running</v>
      </c>
    </row>
    <row r="536" spans="1:5" x14ac:dyDescent="0.25">
      <c r="A536" s="8">
        <v>44717</v>
      </c>
      <c r="B536" t="s">
        <v>28</v>
      </c>
      <c r="C536">
        <v>2204</v>
      </c>
      <c r="D536" t="s">
        <v>6</v>
      </c>
      <c r="E536" t="str">
        <f>IF(june[[#This Row],[ShiftCounter]]&gt;0, "Running", "Down")</f>
        <v>Running</v>
      </c>
    </row>
    <row r="537" spans="1:5" x14ac:dyDescent="0.25">
      <c r="A537" s="8">
        <v>44717</v>
      </c>
      <c r="B537" t="s">
        <v>28</v>
      </c>
      <c r="C537">
        <v>2286</v>
      </c>
      <c r="D537" t="s">
        <v>7</v>
      </c>
      <c r="E537" t="str">
        <f>IF(june[[#This Row],[ShiftCounter]]&gt;0, "Running", "Down")</f>
        <v>Running</v>
      </c>
    </row>
    <row r="538" spans="1:5" x14ac:dyDescent="0.25">
      <c r="A538" s="8">
        <v>44717</v>
      </c>
      <c r="B538" t="s">
        <v>28</v>
      </c>
      <c r="C538">
        <v>1978</v>
      </c>
      <c r="D538" t="s">
        <v>8</v>
      </c>
      <c r="E538" t="str">
        <f>IF(june[[#This Row],[ShiftCounter]]&gt;0, "Running", "Down")</f>
        <v>Running</v>
      </c>
    </row>
    <row r="539" spans="1:5" x14ac:dyDescent="0.25">
      <c r="A539" s="8">
        <v>44717</v>
      </c>
      <c r="B539" t="s">
        <v>29</v>
      </c>
      <c r="C539">
        <v>2033</v>
      </c>
      <c r="D539" t="s">
        <v>6</v>
      </c>
      <c r="E539" t="str">
        <f>IF(june[[#This Row],[ShiftCounter]]&gt;0, "Running", "Down")</f>
        <v>Running</v>
      </c>
    </row>
    <row r="540" spans="1:5" x14ac:dyDescent="0.25">
      <c r="A540" s="8">
        <v>44717</v>
      </c>
      <c r="B540" t="s">
        <v>29</v>
      </c>
      <c r="C540">
        <v>2139</v>
      </c>
      <c r="D540" t="s">
        <v>7</v>
      </c>
      <c r="E540" t="str">
        <f>IF(june[[#This Row],[ShiftCounter]]&gt;0, "Running", "Down")</f>
        <v>Running</v>
      </c>
    </row>
    <row r="541" spans="1:5" x14ac:dyDescent="0.25">
      <c r="A541" s="8">
        <v>44717</v>
      </c>
      <c r="B541" t="s">
        <v>29</v>
      </c>
      <c r="C541">
        <v>1795</v>
      </c>
      <c r="D541" t="s">
        <v>8</v>
      </c>
      <c r="E541" t="str">
        <f>IF(june[[#This Row],[ShiftCounter]]&gt;0, "Running", "Down")</f>
        <v>Running</v>
      </c>
    </row>
    <row r="542" spans="1:5" x14ac:dyDescent="0.25">
      <c r="A542" s="8">
        <v>44717</v>
      </c>
      <c r="B542" t="s">
        <v>30</v>
      </c>
      <c r="C542">
        <v>2267</v>
      </c>
      <c r="D542" t="s">
        <v>6</v>
      </c>
      <c r="E542" t="str">
        <f>IF(june[[#This Row],[ShiftCounter]]&gt;0, "Running", "Down")</f>
        <v>Running</v>
      </c>
    </row>
    <row r="543" spans="1:5" x14ac:dyDescent="0.25">
      <c r="A543" s="8">
        <v>44717</v>
      </c>
      <c r="B543" t="s">
        <v>30</v>
      </c>
      <c r="C543">
        <v>2175</v>
      </c>
      <c r="D543" t="s">
        <v>7</v>
      </c>
      <c r="E543" t="str">
        <f>IF(june[[#This Row],[ShiftCounter]]&gt;0, "Running", "Down")</f>
        <v>Running</v>
      </c>
    </row>
    <row r="544" spans="1:5" x14ac:dyDescent="0.25">
      <c r="A544" s="8">
        <v>44717</v>
      </c>
      <c r="B544" t="s">
        <v>30</v>
      </c>
      <c r="C544">
        <v>1985</v>
      </c>
      <c r="D544" t="s">
        <v>8</v>
      </c>
      <c r="E544" t="str">
        <f>IF(june[[#This Row],[ShiftCounter]]&gt;0, "Running", "Down")</f>
        <v>Running</v>
      </c>
    </row>
    <row r="545" spans="1:5" x14ac:dyDescent="0.25">
      <c r="A545" s="8">
        <v>44717</v>
      </c>
      <c r="B545" t="s">
        <v>31</v>
      </c>
      <c r="C545">
        <v>2096</v>
      </c>
      <c r="D545" t="s">
        <v>6</v>
      </c>
      <c r="E545" t="str">
        <f>IF(june[[#This Row],[ShiftCounter]]&gt;0, "Running", "Down")</f>
        <v>Running</v>
      </c>
    </row>
    <row r="546" spans="1:5" x14ac:dyDescent="0.25">
      <c r="A546" s="8">
        <v>44717</v>
      </c>
      <c r="B546" t="s">
        <v>31</v>
      </c>
      <c r="C546">
        <v>2069</v>
      </c>
      <c r="D546" t="s">
        <v>7</v>
      </c>
      <c r="E546" t="str">
        <f>IF(june[[#This Row],[ShiftCounter]]&gt;0, "Running", "Down")</f>
        <v>Running</v>
      </c>
    </row>
    <row r="547" spans="1:5" x14ac:dyDescent="0.25">
      <c r="A547" s="8">
        <v>44717</v>
      </c>
      <c r="B547" t="s">
        <v>31</v>
      </c>
      <c r="C547">
        <v>1832</v>
      </c>
      <c r="D547" t="s">
        <v>8</v>
      </c>
      <c r="E547" t="str">
        <f>IF(june[[#This Row],[ShiftCounter]]&gt;0, "Running", "Down")</f>
        <v>Running</v>
      </c>
    </row>
    <row r="548" spans="1:5" x14ac:dyDescent="0.25">
      <c r="A548" s="8">
        <v>44717</v>
      </c>
      <c r="B548" t="s">
        <v>32</v>
      </c>
      <c r="C548">
        <v>2241</v>
      </c>
      <c r="D548" t="s">
        <v>6</v>
      </c>
      <c r="E548" t="str">
        <f>IF(june[[#This Row],[ShiftCounter]]&gt;0, "Running", "Down")</f>
        <v>Running</v>
      </c>
    </row>
    <row r="549" spans="1:5" x14ac:dyDescent="0.25">
      <c r="A549" s="8">
        <v>44717</v>
      </c>
      <c r="B549" t="s">
        <v>32</v>
      </c>
      <c r="C549">
        <v>2229</v>
      </c>
      <c r="D549" t="s">
        <v>7</v>
      </c>
      <c r="E549" t="str">
        <f>IF(june[[#This Row],[ShiftCounter]]&gt;0, "Running", "Down")</f>
        <v>Running</v>
      </c>
    </row>
    <row r="550" spans="1:5" x14ac:dyDescent="0.25">
      <c r="A550" s="8">
        <v>44717</v>
      </c>
      <c r="B550" t="s">
        <v>32</v>
      </c>
      <c r="C550">
        <v>1975</v>
      </c>
      <c r="D550" t="s">
        <v>8</v>
      </c>
      <c r="E550" t="str">
        <f>IF(june[[#This Row],[ShiftCounter]]&gt;0, "Running", "Down")</f>
        <v>Running</v>
      </c>
    </row>
    <row r="551" spans="1:5" x14ac:dyDescent="0.25">
      <c r="A551" s="8">
        <v>44717</v>
      </c>
      <c r="B551" t="s">
        <v>71</v>
      </c>
      <c r="C551">
        <v>2205</v>
      </c>
      <c r="D551" t="s">
        <v>6</v>
      </c>
      <c r="E551" t="str">
        <f>IF(june[[#This Row],[ShiftCounter]]&gt;0, "Running", "Down")</f>
        <v>Running</v>
      </c>
    </row>
    <row r="552" spans="1:5" x14ac:dyDescent="0.25">
      <c r="A552" s="8">
        <v>44717</v>
      </c>
      <c r="B552" t="s">
        <v>71</v>
      </c>
      <c r="C552">
        <v>2123</v>
      </c>
      <c r="D552" t="s">
        <v>7</v>
      </c>
      <c r="E552" t="str">
        <f>IF(june[[#This Row],[ShiftCounter]]&gt;0, "Running", "Down")</f>
        <v>Running</v>
      </c>
    </row>
    <row r="553" spans="1:5" x14ac:dyDescent="0.25">
      <c r="A553" s="8">
        <v>44717</v>
      </c>
      <c r="B553" t="s">
        <v>71</v>
      </c>
      <c r="C553">
        <v>1900</v>
      </c>
      <c r="D553" t="s">
        <v>8</v>
      </c>
      <c r="E553" t="str">
        <f>IF(june[[#This Row],[ShiftCounter]]&gt;0, "Running", "Down")</f>
        <v>Running</v>
      </c>
    </row>
    <row r="554" spans="1:5" x14ac:dyDescent="0.25">
      <c r="A554" s="8">
        <v>44717</v>
      </c>
      <c r="B554" t="s">
        <v>33</v>
      </c>
      <c r="C554">
        <v>2498</v>
      </c>
      <c r="D554" t="s">
        <v>6</v>
      </c>
      <c r="E554" t="str">
        <f>IF(june[[#This Row],[ShiftCounter]]&gt;0, "Running", "Down")</f>
        <v>Running</v>
      </c>
    </row>
    <row r="555" spans="1:5" x14ac:dyDescent="0.25">
      <c r="A555" s="8">
        <v>44717</v>
      </c>
      <c r="B555" t="s">
        <v>33</v>
      </c>
      <c r="C555">
        <v>2370</v>
      </c>
      <c r="D555" t="s">
        <v>7</v>
      </c>
      <c r="E555" t="str">
        <f>IF(june[[#This Row],[ShiftCounter]]&gt;0, "Running", "Down")</f>
        <v>Running</v>
      </c>
    </row>
    <row r="556" spans="1:5" x14ac:dyDescent="0.25">
      <c r="A556" s="8">
        <v>44717</v>
      </c>
      <c r="B556" t="s">
        <v>33</v>
      </c>
      <c r="C556">
        <v>2202</v>
      </c>
      <c r="D556" t="s">
        <v>8</v>
      </c>
      <c r="E556" t="str">
        <f>IF(june[[#This Row],[ShiftCounter]]&gt;0, "Running", "Down")</f>
        <v>Running</v>
      </c>
    </row>
    <row r="557" spans="1:5" x14ac:dyDescent="0.25">
      <c r="A557" s="8">
        <v>44717</v>
      </c>
      <c r="B557" t="s">
        <v>34</v>
      </c>
      <c r="C557">
        <v>2050</v>
      </c>
      <c r="D557" t="s">
        <v>6</v>
      </c>
      <c r="E557" t="str">
        <f>IF(june[[#This Row],[ShiftCounter]]&gt;0, "Running", "Down")</f>
        <v>Running</v>
      </c>
    </row>
    <row r="558" spans="1:5" x14ac:dyDescent="0.25">
      <c r="A558" s="8">
        <v>44717</v>
      </c>
      <c r="B558" t="s">
        <v>34</v>
      </c>
      <c r="C558">
        <v>2007</v>
      </c>
      <c r="D558" t="s">
        <v>7</v>
      </c>
      <c r="E558" t="str">
        <f>IF(june[[#This Row],[ShiftCounter]]&gt;0, "Running", "Down")</f>
        <v>Running</v>
      </c>
    </row>
    <row r="559" spans="1:5" x14ac:dyDescent="0.25">
      <c r="A559" s="8">
        <v>44717</v>
      </c>
      <c r="B559" t="s">
        <v>34</v>
      </c>
      <c r="C559">
        <v>2000</v>
      </c>
      <c r="D559" t="s">
        <v>8</v>
      </c>
      <c r="E559" t="str">
        <f>IF(june[[#This Row],[ShiftCounter]]&gt;0, "Running", "Down")</f>
        <v>Running</v>
      </c>
    </row>
    <row r="560" spans="1:5" x14ac:dyDescent="0.25">
      <c r="A560" s="8">
        <v>44717</v>
      </c>
      <c r="B560" t="s">
        <v>35</v>
      </c>
      <c r="C560">
        <v>2150</v>
      </c>
      <c r="D560" t="s">
        <v>6</v>
      </c>
      <c r="E560" t="str">
        <f>IF(june[[#This Row],[ShiftCounter]]&gt;0, "Running", "Down")</f>
        <v>Running</v>
      </c>
    </row>
    <row r="561" spans="1:5" x14ac:dyDescent="0.25">
      <c r="A561" s="8">
        <v>44717</v>
      </c>
      <c r="B561" t="s">
        <v>35</v>
      </c>
      <c r="C561">
        <v>2105</v>
      </c>
      <c r="D561" t="s">
        <v>7</v>
      </c>
      <c r="E561" t="str">
        <f>IF(june[[#This Row],[ShiftCounter]]&gt;0, "Running", "Down")</f>
        <v>Running</v>
      </c>
    </row>
    <row r="562" spans="1:5" x14ac:dyDescent="0.25">
      <c r="A562" s="8">
        <v>44717</v>
      </c>
      <c r="B562" t="s">
        <v>35</v>
      </c>
      <c r="C562">
        <v>2193</v>
      </c>
      <c r="D562" t="s">
        <v>8</v>
      </c>
      <c r="E562" t="str">
        <f>IF(june[[#This Row],[ShiftCounter]]&gt;0, "Running", "Down")</f>
        <v>Running</v>
      </c>
    </row>
    <row r="563" spans="1:5" x14ac:dyDescent="0.25">
      <c r="A563" s="8">
        <v>44717</v>
      </c>
      <c r="B563" t="s">
        <v>36</v>
      </c>
      <c r="C563">
        <v>2410</v>
      </c>
      <c r="D563" t="s">
        <v>6</v>
      </c>
      <c r="E563" t="str">
        <f>IF(june[[#This Row],[ShiftCounter]]&gt;0, "Running", "Down")</f>
        <v>Running</v>
      </c>
    </row>
    <row r="564" spans="1:5" x14ac:dyDescent="0.25">
      <c r="A564" s="8">
        <v>44717</v>
      </c>
      <c r="B564" t="s">
        <v>36</v>
      </c>
      <c r="C564">
        <v>2291</v>
      </c>
      <c r="D564" t="s">
        <v>7</v>
      </c>
      <c r="E564" t="str">
        <f>IF(june[[#This Row],[ShiftCounter]]&gt;0, "Running", "Down")</f>
        <v>Running</v>
      </c>
    </row>
    <row r="565" spans="1:5" x14ac:dyDescent="0.25">
      <c r="A565" s="8">
        <v>44717</v>
      </c>
      <c r="B565" t="s">
        <v>36</v>
      </c>
      <c r="C565">
        <v>2209</v>
      </c>
      <c r="D565" t="s">
        <v>8</v>
      </c>
      <c r="E565" t="str">
        <f>IF(june[[#This Row],[ShiftCounter]]&gt;0, "Running", "Down")</f>
        <v>Running</v>
      </c>
    </row>
    <row r="566" spans="1:5" x14ac:dyDescent="0.25">
      <c r="A566" s="8">
        <v>44717</v>
      </c>
      <c r="B566" t="s">
        <v>37</v>
      </c>
      <c r="C566">
        <v>2305</v>
      </c>
      <c r="D566" t="s">
        <v>6</v>
      </c>
      <c r="E566" t="str">
        <f>IF(june[[#This Row],[ShiftCounter]]&gt;0, "Running", "Down")</f>
        <v>Running</v>
      </c>
    </row>
    <row r="567" spans="1:5" x14ac:dyDescent="0.25">
      <c r="A567" s="8">
        <v>44717</v>
      </c>
      <c r="B567" t="s">
        <v>37</v>
      </c>
      <c r="C567">
        <v>2239</v>
      </c>
      <c r="D567" t="s">
        <v>7</v>
      </c>
      <c r="E567" t="str">
        <f>IF(june[[#This Row],[ShiftCounter]]&gt;0, "Running", "Down")</f>
        <v>Running</v>
      </c>
    </row>
    <row r="568" spans="1:5" x14ac:dyDescent="0.25">
      <c r="A568" s="8">
        <v>44717</v>
      </c>
      <c r="B568" t="s">
        <v>37</v>
      </c>
      <c r="C568">
        <v>2216</v>
      </c>
      <c r="D568" t="s">
        <v>8</v>
      </c>
      <c r="E568" t="str">
        <f>IF(june[[#This Row],[ShiftCounter]]&gt;0, "Running", "Down")</f>
        <v>Running</v>
      </c>
    </row>
    <row r="569" spans="1:5" x14ac:dyDescent="0.25">
      <c r="A569" s="8">
        <v>44718</v>
      </c>
      <c r="B569" t="s">
        <v>158</v>
      </c>
      <c r="C569">
        <v>1982</v>
      </c>
      <c r="D569" t="s">
        <v>6</v>
      </c>
      <c r="E569" t="str">
        <f>IF(june[[#This Row],[ShiftCounter]]&gt;0, "Running", "Down")</f>
        <v>Running</v>
      </c>
    </row>
    <row r="570" spans="1:5" x14ac:dyDescent="0.25">
      <c r="A570" s="8">
        <v>44718</v>
      </c>
      <c r="B570" t="s">
        <v>158</v>
      </c>
      <c r="C570">
        <v>2017</v>
      </c>
      <c r="D570" t="s">
        <v>7</v>
      </c>
      <c r="E570" t="str">
        <f>IF(june[[#This Row],[ShiftCounter]]&gt;0, "Running", "Down")</f>
        <v>Running</v>
      </c>
    </row>
    <row r="571" spans="1:5" x14ac:dyDescent="0.25">
      <c r="A571" s="8">
        <v>44718</v>
      </c>
      <c r="B571" t="s">
        <v>158</v>
      </c>
      <c r="C571">
        <v>1967</v>
      </c>
      <c r="D571" t="s">
        <v>8</v>
      </c>
      <c r="E571" t="str">
        <f>IF(june[[#This Row],[ShiftCounter]]&gt;0, "Running", "Down")</f>
        <v>Running</v>
      </c>
    </row>
    <row r="572" spans="1:5" x14ac:dyDescent="0.25">
      <c r="A572" s="8">
        <v>44718</v>
      </c>
      <c r="B572" t="s">
        <v>40</v>
      </c>
      <c r="C572">
        <v>2472</v>
      </c>
      <c r="D572" t="s">
        <v>6</v>
      </c>
      <c r="E572" t="str">
        <f>IF(june[[#This Row],[ShiftCounter]]&gt;0, "Running", "Down")</f>
        <v>Running</v>
      </c>
    </row>
    <row r="573" spans="1:5" x14ac:dyDescent="0.25">
      <c r="A573" s="8">
        <v>44718</v>
      </c>
      <c r="B573" t="s">
        <v>40</v>
      </c>
      <c r="C573">
        <v>2249</v>
      </c>
      <c r="D573" t="s">
        <v>7</v>
      </c>
      <c r="E573" t="str">
        <f>IF(june[[#This Row],[ShiftCounter]]&gt;0, "Running", "Down")</f>
        <v>Running</v>
      </c>
    </row>
    <row r="574" spans="1:5" x14ac:dyDescent="0.25">
      <c r="A574" s="8">
        <v>44718</v>
      </c>
      <c r="B574" t="s">
        <v>40</v>
      </c>
      <c r="C574">
        <v>2218</v>
      </c>
      <c r="D574" t="s">
        <v>8</v>
      </c>
      <c r="E574" t="str">
        <f>IF(june[[#This Row],[ShiftCounter]]&gt;0, "Running", "Down")</f>
        <v>Running</v>
      </c>
    </row>
    <row r="575" spans="1:5" x14ac:dyDescent="0.25">
      <c r="A575" s="8">
        <v>44718</v>
      </c>
      <c r="B575" t="s">
        <v>39</v>
      </c>
      <c r="C575">
        <v>1785</v>
      </c>
      <c r="D575" t="s">
        <v>6</v>
      </c>
      <c r="E575" t="str">
        <f>IF(june[[#This Row],[ShiftCounter]]&gt;0, "Running", "Down")</f>
        <v>Running</v>
      </c>
    </row>
    <row r="576" spans="1:5" x14ac:dyDescent="0.25">
      <c r="A576" s="8">
        <v>44718</v>
      </c>
      <c r="B576" t="s">
        <v>39</v>
      </c>
      <c r="C576">
        <v>1960</v>
      </c>
      <c r="D576" t="s">
        <v>7</v>
      </c>
      <c r="E576" t="str">
        <f>IF(june[[#This Row],[ShiftCounter]]&gt;0, "Running", "Down")</f>
        <v>Running</v>
      </c>
    </row>
    <row r="577" spans="1:5" x14ac:dyDescent="0.25">
      <c r="A577" s="8">
        <v>44718</v>
      </c>
      <c r="B577" t="s">
        <v>39</v>
      </c>
      <c r="C577">
        <v>1941</v>
      </c>
      <c r="D577" t="s">
        <v>8</v>
      </c>
      <c r="E577" t="str">
        <f>IF(june[[#This Row],[ShiftCounter]]&gt;0, "Running", "Down")</f>
        <v>Running</v>
      </c>
    </row>
    <row r="578" spans="1:5" x14ac:dyDescent="0.25">
      <c r="A578" s="8">
        <v>44718</v>
      </c>
      <c r="B578" t="s">
        <v>41</v>
      </c>
      <c r="C578">
        <v>2250</v>
      </c>
      <c r="D578" t="s">
        <v>6</v>
      </c>
      <c r="E578" t="str">
        <f>IF(june[[#This Row],[ShiftCounter]]&gt;0, "Running", "Down")</f>
        <v>Running</v>
      </c>
    </row>
    <row r="579" spans="1:5" x14ac:dyDescent="0.25">
      <c r="A579" s="8">
        <v>44718</v>
      </c>
      <c r="B579" t="s">
        <v>41</v>
      </c>
      <c r="C579">
        <v>2252</v>
      </c>
      <c r="D579" t="s">
        <v>7</v>
      </c>
      <c r="E579" t="str">
        <f>IF(june[[#This Row],[ShiftCounter]]&gt;0, "Running", "Down")</f>
        <v>Running</v>
      </c>
    </row>
    <row r="580" spans="1:5" x14ac:dyDescent="0.25">
      <c r="A580" s="8">
        <v>44718</v>
      </c>
      <c r="B580" t="s">
        <v>41</v>
      </c>
      <c r="C580">
        <v>2216</v>
      </c>
      <c r="D580" t="s">
        <v>8</v>
      </c>
      <c r="E580" t="str">
        <f>IF(june[[#This Row],[ShiftCounter]]&gt;0, "Running", "Down")</f>
        <v>Running</v>
      </c>
    </row>
    <row r="581" spans="1:5" x14ac:dyDescent="0.25">
      <c r="A581" s="8">
        <v>44718</v>
      </c>
      <c r="B581" t="s">
        <v>5</v>
      </c>
      <c r="C581">
        <v>2367</v>
      </c>
      <c r="D581" t="s">
        <v>6</v>
      </c>
      <c r="E581" t="str">
        <f>IF(june[[#This Row],[ShiftCounter]]&gt;0, "Running", "Down")</f>
        <v>Running</v>
      </c>
    </row>
    <row r="582" spans="1:5" x14ac:dyDescent="0.25">
      <c r="A582" s="8">
        <v>44718</v>
      </c>
      <c r="B582" t="s">
        <v>5</v>
      </c>
      <c r="C582">
        <v>2233</v>
      </c>
      <c r="D582" t="s">
        <v>7</v>
      </c>
      <c r="E582" t="str">
        <f>IF(june[[#This Row],[ShiftCounter]]&gt;0, "Running", "Down")</f>
        <v>Running</v>
      </c>
    </row>
    <row r="583" spans="1:5" x14ac:dyDescent="0.25">
      <c r="A583" s="8">
        <v>44718</v>
      </c>
      <c r="B583" t="s">
        <v>5</v>
      </c>
      <c r="C583">
        <v>2193</v>
      </c>
      <c r="D583" t="s">
        <v>8</v>
      </c>
      <c r="E583" t="str">
        <f>IF(june[[#This Row],[ShiftCounter]]&gt;0, "Running", "Down")</f>
        <v>Running</v>
      </c>
    </row>
    <row r="584" spans="1:5" x14ac:dyDescent="0.25">
      <c r="A584" s="8">
        <v>44718</v>
      </c>
      <c r="B584" t="s">
        <v>9</v>
      </c>
      <c r="C584">
        <v>2480</v>
      </c>
      <c r="D584" t="s">
        <v>6</v>
      </c>
      <c r="E584" t="str">
        <f>IF(june[[#This Row],[ShiftCounter]]&gt;0, "Running", "Down")</f>
        <v>Running</v>
      </c>
    </row>
    <row r="585" spans="1:5" x14ac:dyDescent="0.25">
      <c r="A585" s="8">
        <v>44718</v>
      </c>
      <c r="B585" t="s">
        <v>9</v>
      </c>
      <c r="C585">
        <v>2260</v>
      </c>
      <c r="D585" t="s">
        <v>7</v>
      </c>
      <c r="E585" t="str">
        <f>IF(june[[#This Row],[ShiftCounter]]&gt;0, "Running", "Down")</f>
        <v>Running</v>
      </c>
    </row>
    <row r="586" spans="1:5" x14ac:dyDescent="0.25">
      <c r="A586" s="8">
        <v>44718</v>
      </c>
      <c r="B586" t="s">
        <v>9</v>
      </c>
      <c r="C586">
        <v>2204</v>
      </c>
      <c r="D586" t="s">
        <v>8</v>
      </c>
      <c r="E586" t="str">
        <f>IF(june[[#This Row],[ShiftCounter]]&gt;0, "Running", "Down")</f>
        <v>Running</v>
      </c>
    </row>
    <row r="587" spans="1:5" x14ac:dyDescent="0.25">
      <c r="A587" s="8">
        <v>44718</v>
      </c>
      <c r="B587" t="s">
        <v>10</v>
      </c>
      <c r="C587">
        <v>2119</v>
      </c>
      <c r="D587" t="s">
        <v>6</v>
      </c>
      <c r="E587" t="str">
        <f>IF(june[[#This Row],[ShiftCounter]]&gt;0, "Running", "Down")</f>
        <v>Running</v>
      </c>
    </row>
    <row r="588" spans="1:5" x14ac:dyDescent="0.25">
      <c r="A588" s="8">
        <v>44718</v>
      </c>
      <c r="B588" t="s">
        <v>10</v>
      </c>
      <c r="C588">
        <v>2239</v>
      </c>
      <c r="D588" t="s">
        <v>7</v>
      </c>
      <c r="E588" t="str">
        <f>IF(june[[#This Row],[ShiftCounter]]&gt;0, "Running", "Down")</f>
        <v>Running</v>
      </c>
    </row>
    <row r="589" spans="1:5" x14ac:dyDescent="0.25">
      <c r="A589" s="8">
        <v>44718</v>
      </c>
      <c r="B589" t="s">
        <v>10</v>
      </c>
      <c r="C589">
        <v>2150</v>
      </c>
      <c r="D589" t="s">
        <v>8</v>
      </c>
      <c r="E589" t="str">
        <f>IF(june[[#This Row],[ShiftCounter]]&gt;0, "Running", "Down")</f>
        <v>Running</v>
      </c>
    </row>
    <row r="590" spans="1:5" x14ac:dyDescent="0.25">
      <c r="A590" s="8">
        <v>44718</v>
      </c>
      <c r="B590" t="s">
        <v>11</v>
      </c>
      <c r="C590">
        <v>0</v>
      </c>
      <c r="D590" t="s">
        <v>6</v>
      </c>
      <c r="E590" t="str">
        <f>IF(june[[#This Row],[ShiftCounter]]&gt;0, "Running", "Down")</f>
        <v>Down</v>
      </c>
    </row>
    <row r="591" spans="1:5" x14ac:dyDescent="0.25">
      <c r="A591" s="8">
        <v>44718</v>
      </c>
      <c r="B591" t="s">
        <v>11</v>
      </c>
      <c r="C591">
        <v>1716</v>
      </c>
      <c r="D591" t="s">
        <v>7</v>
      </c>
      <c r="E591" t="str">
        <f>IF(june[[#This Row],[ShiftCounter]]&gt;0, "Running", "Down")</f>
        <v>Running</v>
      </c>
    </row>
    <row r="592" spans="1:5" x14ac:dyDescent="0.25">
      <c r="A592" s="8">
        <v>44718</v>
      </c>
      <c r="B592" t="s">
        <v>11</v>
      </c>
      <c r="C592">
        <v>2043</v>
      </c>
      <c r="D592" t="s">
        <v>8</v>
      </c>
      <c r="E592" t="str">
        <f>IF(june[[#This Row],[ShiftCounter]]&gt;0, "Running", "Down")</f>
        <v>Running</v>
      </c>
    </row>
    <row r="593" spans="1:5" x14ac:dyDescent="0.25">
      <c r="A593" s="8">
        <v>44718</v>
      </c>
      <c r="B593" t="s">
        <v>12</v>
      </c>
      <c r="C593">
        <v>2326</v>
      </c>
      <c r="D593" t="s">
        <v>6</v>
      </c>
      <c r="E593" t="str">
        <f>IF(june[[#This Row],[ShiftCounter]]&gt;0, "Running", "Down")</f>
        <v>Running</v>
      </c>
    </row>
    <row r="594" spans="1:5" x14ac:dyDescent="0.25">
      <c r="A594" s="8">
        <v>44718</v>
      </c>
      <c r="B594" t="s">
        <v>12</v>
      </c>
      <c r="C594">
        <v>2287</v>
      </c>
      <c r="D594" t="s">
        <v>7</v>
      </c>
      <c r="E594" t="str">
        <f>IF(june[[#This Row],[ShiftCounter]]&gt;0, "Running", "Down")</f>
        <v>Running</v>
      </c>
    </row>
    <row r="595" spans="1:5" x14ac:dyDescent="0.25">
      <c r="A595" s="8">
        <v>44718</v>
      </c>
      <c r="B595" t="s">
        <v>12</v>
      </c>
      <c r="C595">
        <v>2051</v>
      </c>
      <c r="D595" t="s">
        <v>8</v>
      </c>
      <c r="E595" t="str">
        <f>IF(june[[#This Row],[ShiftCounter]]&gt;0, "Running", "Down")</f>
        <v>Running</v>
      </c>
    </row>
    <row r="596" spans="1:5" x14ac:dyDescent="0.25">
      <c r="A596" s="8">
        <v>44718</v>
      </c>
      <c r="B596" t="s">
        <v>13</v>
      </c>
      <c r="C596">
        <v>2229</v>
      </c>
      <c r="D596" t="s">
        <v>6</v>
      </c>
      <c r="E596" t="str">
        <f>IF(june[[#This Row],[ShiftCounter]]&gt;0, "Running", "Down")</f>
        <v>Running</v>
      </c>
    </row>
    <row r="597" spans="1:5" x14ac:dyDescent="0.25">
      <c r="A597" s="8">
        <v>44718</v>
      </c>
      <c r="B597" t="s">
        <v>13</v>
      </c>
      <c r="C597">
        <v>2015</v>
      </c>
      <c r="D597" t="s">
        <v>7</v>
      </c>
      <c r="E597" t="str">
        <f>IF(june[[#This Row],[ShiftCounter]]&gt;0, "Running", "Down")</f>
        <v>Running</v>
      </c>
    </row>
    <row r="598" spans="1:5" x14ac:dyDescent="0.25">
      <c r="A598" s="8">
        <v>44718</v>
      </c>
      <c r="B598" t="s">
        <v>13</v>
      </c>
      <c r="C598">
        <v>1893</v>
      </c>
      <c r="D598" t="s">
        <v>8</v>
      </c>
      <c r="E598" t="str">
        <f>IF(june[[#This Row],[ShiftCounter]]&gt;0, "Running", "Down")</f>
        <v>Running</v>
      </c>
    </row>
    <row r="599" spans="1:5" x14ac:dyDescent="0.25">
      <c r="A599" s="8">
        <v>44718</v>
      </c>
      <c r="B599" t="s">
        <v>114</v>
      </c>
      <c r="C599">
        <v>2142</v>
      </c>
      <c r="D599" t="s">
        <v>6</v>
      </c>
      <c r="E599" t="str">
        <f>IF(june[[#This Row],[ShiftCounter]]&gt;0, "Running", "Down")</f>
        <v>Running</v>
      </c>
    </row>
    <row r="600" spans="1:5" x14ac:dyDescent="0.25">
      <c r="A600" s="8">
        <v>44718</v>
      </c>
      <c r="B600" t="s">
        <v>114</v>
      </c>
      <c r="C600">
        <v>1942</v>
      </c>
      <c r="D600" t="s">
        <v>7</v>
      </c>
      <c r="E600" t="str">
        <f>IF(june[[#This Row],[ShiftCounter]]&gt;0, "Running", "Down")</f>
        <v>Running</v>
      </c>
    </row>
    <row r="601" spans="1:5" x14ac:dyDescent="0.25">
      <c r="A601" s="8">
        <v>44718</v>
      </c>
      <c r="B601" t="s">
        <v>114</v>
      </c>
      <c r="C601">
        <v>1837</v>
      </c>
      <c r="D601" t="s">
        <v>8</v>
      </c>
      <c r="E601" t="str">
        <f>IF(june[[#This Row],[ShiftCounter]]&gt;0, "Running", "Down")</f>
        <v>Running</v>
      </c>
    </row>
    <row r="602" spans="1:5" x14ac:dyDescent="0.25">
      <c r="A602" s="8">
        <v>44718</v>
      </c>
      <c r="B602" t="s">
        <v>14</v>
      </c>
      <c r="C602">
        <v>2482</v>
      </c>
      <c r="D602" t="s">
        <v>6</v>
      </c>
      <c r="E602" t="str">
        <f>IF(june[[#This Row],[ShiftCounter]]&gt;0, "Running", "Down")</f>
        <v>Running</v>
      </c>
    </row>
    <row r="603" spans="1:5" x14ac:dyDescent="0.25">
      <c r="A603" s="8">
        <v>44718</v>
      </c>
      <c r="B603" t="s">
        <v>14</v>
      </c>
      <c r="C603">
        <v>2320</v>
      </c>
      <c r="D603" t="s">
        <v>7</v>
      </c>
      <c r="E603" t="str">
        <f>IF(june[[#This Row],[ShiftCounter]]&gt;0, "Running", "Down")</f>
        <v>Running</v>
      </c>
    </row>
    <row r="604" spans="1:5" x14ac:dyDescent="0.25">
      <c r="A604" s="8">
        <v>44718</v>
      </c>
      <c r="B604" t="s">
        <v>14</v>
      </c>
      <c r="C604">
        <v>2207</v>
      </c>
      <c r="D604" t="s">
        <v>8</v>
      </c>
      <c r="E604" t="str">
        <f>IF(june[[#This Row],[ShiftCounter]]&gt;0, "Running", "Down")</f>
        <v>Running</v>
      </c>
    </row>
    <row r="605" spans="1:5" x14ac:dyDescent="0.25">
      <c r="A605" s="8">
        <v>44718</v>
      </c>
      <c r="B605" t="s">
        <v>15</v>
      </c>
      <c r="C605">
        <v>2155</v>
      </c>
      <c r="D605" t="s">
        <v>6</v>
      </c>
      <c r="E605" t="str">
        <f>IF(june[[#This Row],[ShiftCounter]]&gt;0, "Running", "Down")</f>
        <v>Running</v>
      </c>
    </row>
    <row r="606" spans="1:5" x14ac:dyDescent="0.25">
      <c r="A606" s="8">
        <v>44718</v>
      </c>
      <c r="B606" t="s">
        <v>15</v>
      </c>
      <c r="C606">
        <v>1982</v>
      </c>
      <c r="D606" t="s">
        <v>7</v>
      </c>
      <c r="E606" t="str">
        <f>IF(june[[#This Row],[ShiftCounter]]&gt;0, "Running", "Down")</f>
        <v>Running</v>
      </c>
    </row>
    <row r="607" spans="1:5" x14ac:dyDescent="0.25">
      <c r="A607" s="8">
        <v>44718</v>
      </c>
      <c r="B607" t="s">
        <v>15</v>
      </c>
      <c r="C607">
        <v>1838</v>
      </c>
      <c r="D607" t="s">
        <v>8</v>
      </c>
      <c r="E607" t="str">
        <f>IF(june[[#This Row],[ShiftCounter]]&gt;0, "Running", "Down")</f>
        <v>Running</v>
      </c>
    </row>
    <row r="608" spans="1:5" x14ac:dyDescent="0.25">
      <c r="A608" s="8">
        <v>44718</v>
      </c>
      <c r="B608" t="s">
        <v>16</v>
      </c>
      <c r="C608">
        <v>2252</v>
      </c>
      <c r="D608" t="s">
        <v>6</v>
      </c>
      <c r="E608" t="str">
        <f>IF(june[[#This Row],[ShiftCounter]]&gt;0, "Running", "Down")</f>
        <v>Running</v>
      </c>
    </row>
    <row r="609" spans="1:5" x14ac:dyDescent="0.25">
      <c r="A609" s="8">
        <v>44718</v>
      </c>
      <c r="B609" t="s">
        <v>16</v>
      </c>
      <c r="C609">
        <v>2049</v>
      </c>
      <c r="D609" t="s">
        <v>7</v>
      </c>
      <c r="E609" t="str">
        <f>IF(june[[#This Row],[ShiftCounter]]&gt;0, "Running", "Down")</f>
        <v>Running</v>
      </c>
    </row>
    <row r="610" spans="1:5" x14ac:dyDescent="0.25">
      <c r="A610" s="8">
        <v>44718</v>
      </c>
      <c r="B610" t="s">
        <v>16</v>
      </c>
      <c r="C610">
        <v>1874</v>
      </c>
      <c r="D610" t="s">
        <v>8</v>
      </c>
      <c r="E610" t="str">
        <f>IF(june[[#This Row],[ShiftCounter]]&gt;0, "Running", "Down")</f>
        <v>Running</v>
      </c>
    </row>
    <row r="611" spans="1:5" x14ac:dyDescent="0.25">
      <c r="A611" s="8">
        <v>44718</v>
      </c>
      <c r="B611" t="s">
        <v>17</v>
      </c>
      <c r="C611">
        <v>2396</v>
      </c>
      <c r="D611" t="s">
        <v>6</v>
      </c>
      <c r="E611" t="str">
        <f>IF(june[[#This Row],[ShiftCounter]]&gt;0, "Running", "Down")</f>
        <v>Running</v>
      </c>
    </row>
    <row r="612" spans="1:5" x14ac:dyDescent="0.25">
      <c r="A612" s="8">
        <v>44718</v>
      </c>
      <c r="B612" t="s">
        <v>17</v>
      </c>
      <c r="C612">
        <v>2252</v>
      </c>
      <c r="D612" t="s">
        <v>7</v>
      </c>
      <c r="E612" t="str">
        <f>IF(june[[#This Row],[ShiftCounter]]&gt;0, "Running", "Down")</f>
        <v>Running</v>
      </c>
    </row>
    <row r="613" spans="1:5" x14ac:dyDescent="0.25">
      <c r="A613" s="8">
        <v>44718</v>
      </c>
      <c r="B613" t="s">
        <v>17</v>
      </c>
      <c r="C613">
        <v>2100</v>
      </c>
      <c r="D613" t="s">
        <v>8</v>
      </c>
      <c r="E613" t="str">
        <f>IF(june[[#This Row],[ShiftCounter]]&gt;0, "Running", "Down")</f>
        <v>Running</v>
      </c>
    </row>
    <row r="614" spans="1:5" x14ac:dyDescent="0.25">
      <c r="A614" s="8">
        <v>44718</v>
      </c>
      <c r="B614" t="s">
        <v>19</v>
      </c>
      <c r="C614">
        <v>1224</v>
      </c>
      <c r="D614" t="s">
        <v>6</v>
      </c>
      <c r="E614" t="str">
        <f>IF(june[[#This Row],[ShiftCounter]]&gt;0, "Running", "Down")</f>
        <v>Running</v>
      </c>
    </row>
    <row r="615" spans="1:5" x14ac:dyDescent="0.25">
      <c r="A615" s="8">
        <v>44718</v>
      </c>
      <c r="B615" t="s">
        <v>19</v>
      </c>
      <c r="C615">
        <v>1827</v>
      </c>
      <c r="D615" t="s">
        <v>7</v>
      </c>
      <c r="E615" t="str">
        <f>IF(june[[#This Row],[ShiftCounter]]&gt;0, "Running", "Down")</f>
        <v>Running</v>
      </c>
    </row>
    <row r="616" spans="1:5" x14ac:dyDescent="0.25">
      <c r="A616" s="8">
        <v>44718</v>
      </c>
      <c r="B616" t="s">
        <v>19</v>
      </c>
      <c r="C616">
        <v>1430</v>
      </c>
      <c r="D616" t="s">
        <v>8</v>
      </c>
      <c r="E616" t="str">
        <f>IF(june[[#This Row],[ShiftCounter]]&gt;0, "Running", "Down")</f>
        <v>Running</v>
      </c>
    </row>
    <row r="617" spans="1:5" x14ac:dyDescent="0.25">
      <c r="A617" s="8">
        <v>44718</v>
      </c>
      <c r="B617" t="s">
        <v>18</v>
      </c>
      <c r="C617">
        <v>2233</v>
      </c>
      <c r="D617" t="s">
        <v>6</v>
      </c>
      <c r="E617" t="str">
        <f>IF(june[[#This Row],[ShiftCounter]]&gt;0, "Running", "Down")</f>
        <v>Running</v>
      </c>
    </row>
    <row r="618" spans="1:5" x14ac:dyDescent="0.25">
      <c r="A618" s="8">
        <v>44718</v>
      </c>
      <c r="B618" t="s">
        <v>18</v>
      </c>
      <c r="C618">
        <v>2322</v>
      </c>
      <c r="D618" t="s">
        <v>7</v>
      </c>
      <c r="E618" t="str">
        <f>IF(june[[#This Row],[ShiftCounter]]&gt;0, "Running", "Down")</f>
        <v>Running</v>
      </c>
    </row>
    <row r="619" spans="1:5" x14ac:dyDescent="0.25">
      <c r="A619" s="8">
        <v>44718</v>
      </c>
      <c r="B619" t="s">
        <v>18</v>
      </c>
      <c r="C619">
        <v>1950</v>
      </c>
      <c r="D619" t="s">
        <v>8</v>
      </c>
      <c r="E619" t="str">
        <f>IF(june[[#This Row],[ShiftCounter]]&gt;0, "Running", "Down")</f>
        <v>Running</v>
      </c>
    </row>
    <row r="620" spans="1:5" x14ac:dyDescent="0.25">
      <c r="A620" s="8">
        <v>44718</v>
      </c>
      <c r="B620" t="s">
        <v>42</v>
      </c>
      <c r="C620">
        <v>0</v>
      </c>
      <c r="D620" t="s">
        <v>6</v>
      </c>
      <c r="E620" t="str">
        <f>IF(june[[#This Row],[ShiftCounter]]&gt;0, "Running", "Down")</f>
        <v>Down</v>
      </c>
    </row>
    <row r="621" spans="1:5" x14ac:dyDescent="0.25">
      <c r="A621" s="8">
        <v>44718</v>
      </c>
      <c r="B621" t="s">
        <v>42</v>
      </c>
      <c r="C621">
        <v>0</v>
      </c>
      <c r="D621" t="s">
        <v>7</v>
      </c>
      <c r="E621" t="str">
        <f>IF(june[[#This Row],[ShiftCounter]]&gt;0, "Running", "Down")</f>
        <v>Down</v>
      </c>
    </row>
    <row r="622" spans="1:5" x14ac:dyDescent="0.25">
      <c r="A622" s="8">
        <v>44718</v>
      </c>
      <c r="B622" t="s">
        <v>42</v>
      </c>
      <c r="C622">
        <v>0</v>
      </c>
      <c r="D622" t="s">
        <v>8</v>
      </c>
      <c r="E622" t="str">
        <f>IF(june[[#This Row],[ShiftCounter]]&gt;0, "Running", "Down")</f>
        <v>Down</v>
      </c>
    </row>
    <row r="623" spans="1:5" x14ac:dyDescent="0.25">
      <c r="A623" s="8">
        <v>44718</v>
      </c>
      <c r="B623" t="s">
        <v>38</v>
      </c>
      <c r="C623">
        <v>2184</v>
      </c>
      <c r="D623" t="s">
        <v>6</v>
      </c>
      <c r="E623" t="str">
        <f>IF(june[[#This Row],[ShiftCounter]]&gt;0, "Running", "Down")</f>
        <v>Running</v>
      </c>
    </row>
    <row r="624" spans="1:5" x14ac:dyDescent="0.25">
      <c r="A624" s="8">
        <v>44718</v>
      </c>
      <c r="B624" t="s">
        <v>38</v>
      </c>
      <c r="C624">
        <v>2342</v>
      </c>
      <c r="D624" t="s">
        <v>7</v>
      </c>
      <c r="E624" t="str">
        <f>IF(june[[#This Row],[ShiftCounter]]&gt;0, "Running", "Down")</f>
        <v>Running</v>
      </c>
    </row>
    <row r="625" spans="1:5" x14ac:dyDescent="0.25">
      <c r="A625" s="8">
        <v>44718</v>
      </c>
      <c r="B625" t="s">
        <v>38</v>
      </c>
      <c r="C625">
        <v>1985</v>
      </c>
      <c r="D625" t="s">
        <v>8</v>
      </c>
      <c r="E625" t="str">
        <f>IF(june[[#This Row],[ShiftCounter]]&gt;0, "Running", "Down")</f>
        <v>Running</v>
      </c>
    </row>
    <row r="626" spans="1:5" x14ac:dyDescent="0.25">
      <c r="A626" s="8">
        <v>44718</v>
      </c>
      <c r="B626" t="s">
        <v>20</v>
      </c>
      <c r="C626">
        <v>2235</v>
      </c>
      <c r="D626" t="s">
        <v>6</v>
      </c>
      <c r="E626" t="str">
        <f>IF(june[[#This Row],[ShiftCounter]]&gt;0, "Running", "Down")</f>
        <v>Running</v>
      </c>
    </row>
    <row r="627" spans="1:5" x14ac:dyDescent="0.25">
      <c r="A627" s="8">
        <v>44718</v>
      </c>
      <c r="B627" t="s">
        <v>20</v>
      </c>
      <c r="C627">
        <v>2334</v>
      </c>
      <c r="D627" t="s">
        <v>7</v>
      </c>
      <c r="E627" t="str">
        <f>IF(june[[#This Row],[ShiftCounter]]&gt;0, "Running", "Down")</f>
        <v>Running</v>
      </c>
    </row>
    <row r="628" spans="1:5" x14ac:dyDescent="0.25">
      <c r="A628" s="8">
        <v>44718</v>
      </c>
      <c r="B628" t="s">
        <v>20</v>
      </c>
      <c r="C628">
        <v>1957</v>
      </c>
      <c r="D628" t="s">
        <v>8</v>
      </c>
      <c r="E628" t="str">
        <f>IF(june[[#This Row],[ShiftCounter]]&gt;0, "Running", "Down")</f>
        <v>Running</v>
      </c>
    </row>
    <row r="629" spans="1:5" x14ac:dyDescent="0.25">
      <c r="A629" s="8">
        <v>44718</v>
      </c>
      <c r="B629" t="s">
        <v>21</v>
      </c>
      <c r="C629">
        <v>2013</v>
      </c>
      <c r="D629" t="s">
        <v>6</v>
      </c>
      <c r="E629" t="str">
        <f>IF(june[[#This Row],[ShiftCounter]]&gt;0, "Running", "Down")</f>
        <v>Running</v>
      </c>
    </row>
    <row r="630" spans="1:5" x14ac:dyDescent="0.25">
      <c r="A630" s="8">
        <v>44718</v>
      </c>
      <c r="B630" t="s">
        <v>21</v>
      </c>
      <c r="C630">
        <v>2117</v>
      </c>
      <c r="D630" t="s">
        <v>7</v>
      </c>
      <c r="E630" t="str">
        <f>IF(june[[#This Row],[ShiftCounter]]&gt;0, "Running", "Down")</f>
        <v>Running</v>
      </c>
    </row>
    <row r="631" spans="1:5" x14ac:dyDescent="0.25">
      <c r="A631" s="8">
        <v>44718</v>
      </c>
      <c r="B631" t="s">
        <v>21</v>
      </c>
      <c r="C631">
        <v>1815</v>
      </c>
      <c r="D631" t="s">
        <v>8</v>
      </c>
      <c r="E631" t="str">
        <f>IF(june[[#This Row],[ShiftCounter]]&gt;0, "Running", "Down")</f>
        <v>Running</v>
      </c>
    </row>
    <row r="632" spans="1:5" x14ac:dyDescent="0.25">
      <c r="A632" s="8">
        <v>44718</v>
      </c>
      <c r="B632" t="s">
        <v>22</v>
      </c>
      <c r="C632">
        <v>2040</v>
      </c>
      <c r="D632" t="s">
        <v>6</v>
      </c>
      <c r="E632" t="str">
        <f>IF(june[[#This Row],[ShiftCounter]]&gt;0, "Running", "Down")</f>
        <v>Running</v>
      </c>
    </row>
    <row r="633" spans="1:5" x14ac:dyDescent="0.25">
      <c r="A633" s="8">
        <v>44718</v>
      </c>
      <c r="B633" t="s">
        <v>22</v>
      </c>
      <c r="C633">
        <v>2202</v>
      </c>
      <c r="D633" t="s">
        <v>7</v>
      </c>
      <c r="E633" t="str">
        <f>IF(june[[#This Row],[ShiftCounter]]&gt;0, "Running", "Down")</f>
        <v>Running</v>
      </c>
    </row>
    <row r="634" spans="1:5" x14ac:dyDescent="0.25">
      <c r="A634" s="8">
        <v>44718</v>
      </c>
      <c r="B634" t="s">
        <v>22</v>
      </c>
      <c r="C634">
        <v>1769</v>
      </c>
      <c r="D634" t="s">
        <v>8</v>
      </c>
      <c r="E634" t="str">
        <f>IF(june[[#This Row],[ShiftCounter]]&gt;0, "Running", "Down")</f>
        <v>Running</v>
      </c>
    </row>
    <row r="635" spans="1:5" x14ac:dyDescent="0.25">
      <c r="A635" s="8">
        <v>44718</v>
      </c>
      <c r="B635" t="s">
        <v>23</v>
      </c>
      <c r="C635">
        <v>2247</v>
      </c>
      <c r="D635" t="s">
        <v>6</v>
      </c>
      <c r="E635" t="str">
        <f>IF(june[[#This Row],[ShiftCounter]]&gt;0, "Running", "Down")</f>
        <v>Running</v>
      </c>
    </row>
    <row r="636" spans="1:5" x14ac:dyDescent="0.25">
      <c r="A636" s="8">
        <v>44718</v>
      </c>
      <c r="B636" t="s">
        <v>23</v>
      </c>
      <c r="C636">
        <v>2503</v>
      </c>
      <c r="D636" t="s">
        <v>7</v>
      </c>
      <c r="E636" t="str">
        <f>IF(june[[#This Row],[ShiftCounter]]&gt;0, "Running", "Down")</f>
        <v>Running</v>
      </c>
    </row>
    <row r="637" spans="1:5" x14ac:dyDescent="0.25">
      <c r="A637" s="8">
        <v>44718</v>
      </c>
      <c r="B637" t="s">
        <v>23</v>
      </c>
      <c r="C637">
        <v>2160</v>
      </c>
      <c r="D637" t="s">
        <v>8</v>
      </c>
      <c r="E637" t="str">
        <f>IF(june[[#This Row],[ShiftCounter]]&gt;0, "Running", "Down")</f>
        <v>Running</v>
      </c>
    </row>
    <row r="638" spans="1:5" x14ac:dyDescent="0.25">
      <c r="A638" s="8">
        <v>44718</v>
      </c>
      <c r="B638" t="s">
        <v>24</v>
      </c>
      <c r="C638">
        <v>2097</v>
      </c>
      <c r="D638" t="s">
        <v>6</v>
      </c>
      <c r="E638" t="str">
        <f>IF(june[[#This Row],[ShiftCounter]]&gt;0, "Running", "Down")</f>
        <v>Running</v>
      </c>
    </row>
    <row r="639" spans="1:5" x14ac:dyDescent="0.25">
      <c r="A639" s="8">
        <v>44718</v>
      </c>
      <c r="B639" t="s">
        <v>24</v>
      </c>
      <c r="C639">
        <v>2102</v>
      </c>
      <c r="D639" t="s">
        <v>7</v>
      </c>
      <c r="E639" t="str">
        <f>IF(june[[#This Row],[ShiftCounter]]&gt;0, "Running", "Down")</f>
        <v>Running</v>
      </c>
    </row>
    <row r="640" spans="1:5" x14ac:dyDescent="0.25">
      <c r="A640" s="8">
        <v>44718</v>
      </c>
      <c r="B640" t="s">
        <v>24</v>
      </c>
      <c r="C640">
        <v>1789</v>
      </c>
      <c r="D640" t="s">
        <v>8</v>
      </c>
      <c r="E640" t="str">
        <f>IF(june[[#This Row],[ShiftCounter]]&gt;0, "Running", "Down")</f>
        <v>Running</v>
      </c>
    </row>
    <row r="641" spans="1:5" x14ac:dyDescent="0.25">
      <c r="A641" s="8">
        <v>44718</v>
      </c>
      <c r="B641" t="s">
        <v>25</v>
      </c>
      <c r="C641">
        <v>1834</v>
      </c>
      <c r="D641" t="s">
        <v>6</v>
      </c>
      <c r="E641" t="str">
        <f>IF(june[[#This Row],[ShiftCounter]]&gt;0, "Running", "Down")</f>
        <v>Running</v>
      </c>
    </row>
    <row r="642" spans="1:5" x14ac:dyDescent="0.25">
      <c r="A642" s="8">
        <v>44718</v>
      </c>
      <c r="B642" t="s">
        <v>25</v>
      </c>
      <c r="C642">
        <v>2258</v>
      </c>
      <c r="D642" t="s">
        <v>7</v>
      </c>
      <c r="E642" t="str">
        <f>IF(june[[#This Row],[ShiftCounter]]&gt;0, "Running", "Down")</f>
        <v>Running</v>
      </c>
    </row>
    <row r="643" spans="1:5" x14ac:dyDescent="0.25">
      <c r="A643" s="8">
        <v>44718</v>
      </c>
      <c r="B643" t="s">
        <v>25</v>
      </c>
      <c r="C643">
        <v>1702</v>
      </c>
      <c r="D643" t="s">
        <v>8</v>
      </c>
      <c r="E643" t="str">
        <f>IF(june[[#This Row],[ShiftCounter]]&gt;0, "Running", "Down")</f>
        <v>Running</v>
      </c>
    </row>
    <row r="644" spans="1:5" x14ac:dyDescent="0.25">
      <c r="A644" s="8">
        <v>44718</v>
      </c>
      <c r="B644" t="s">
        <v>27</v>
      </c>
      <c r="C644">
        <v>2044</v>
      </c>
      <c r="D644" t="s">
        <v>6</v>
      </c>
      <c r="E644" t="str">
        <f>IF(june[[#This Row],[ShiftCounter]]&gt;0, "Running", "Down")</f>
        <v>Running</v>
      </c>
    </row>
    <row r="645" spans="1:5" x14ac:dyDescent="0.25">
      <c r="A645" s="8">
        <v>44718</v>
      </c>
      <c r="B645" t="s">
        <v>27</v>
      </c>
      <c r="C645">
        <v>2258</v>
      </c>
      <c r="D645" t="s">
        <v>7</v>
      </c>
      <c r="E645" t="str">
        <f>IF(june[[#This Row],[ShiftCounter]]&gt;0, "Running", "Down")</f>
        <v>Running</v>
      </c>
    </row>
    <row r="646" spans="1:5" x14ac:dyDescent="0.25">
      <c r="A646" s="8">
        <v>44718</v>
      </c>
      <c r="B646" t="s">
        <v>27</v>
      </c>
      <c r="C646">
        <v>2120</v>
      </c>
      <c r="D646" t="s">
        <v>8</v>
      </c>
      <c r="E646" t="str">
        <f>IF(june[[#This Row],[ShiftCounter]]&gt;0, "Running", "Down")</f>
        <v>Running</v>
      </c>
    </row>
    <row r="647" spans="1:5" x14ac:dyDescent="0.25">
      <c r="A647" s="8">
        <v>44718</v>
      </c>
      <c r="B647" t="s">
        <v>28</v>
      </c>
      <c r="C647">
        <v>1955</v>
      </c>
      <c r="D647" t="s">
        <v>6</v>
      </c>
      <c r="E647" t="str">
        <f>IF(june[[#This Row],[ShiftCounter]]&gt;0, "Running", "Down")</f>
        <v>Running</v>
      </c>
    </row>
    <row r="648" spans="1:5" x14ac:dyDescent="0.25">
      <c r="A648" s="8">
        <v>44718</v>
      </c>
      <c r="B648" t="s">
        <v>28</v>
      </c>
      <c r="C648">
        <v>2215</v>
      </c>
      <c r="D648" t="s">
        <v>7</v>
      </c>
      <c r="E648" t="str">
        <f>IF(june[[#This Row],[ShiftCounter]]&gt;0, "Running", "Down")</f>
        <v>Running</v>
      </c>
    </row>
    <row r="649" spans="1:5" x14ac:dyDescent="0.25">
      <c r="A649" s="8">
        <v>44718</v>
      </c>
      <c r="B649" t="s">
        <v>28</v>
      </c>
      <c r="C649">
        <v>1967</v>
      </c>
      <c r="D649" t="s">
        <v>8</v>
      </c>
      <c r="E649" t="str">
        <f>IF(june[[#This Row],[ShiftCounter]]&gt;0, "Running", "Down")</f>
        <v>Running</v>
      </c>
    </row>
    <row r="650" spans="1:5" x14ac:dyDescent="0.25">
      <c r="A650" s="8">
        <v>44718</v>
      </c>
      <c r="B650" t="s">
        <v>29</v>
      </c>
      <c r="C650">
        <v>2111</v>
      </c>
      <c r="D650" t="s">
        <v>6</v>
      </c>
      <c r="E650" t="str">
        <f>IF(june[[#This Row],[ShiftCounter]]&gt;0, "Running", "Down")</f>
        <v>Running</v>
      </c>
    </row>
    <row r="651" spans="1:5" x14ac:dyDescent="0.25">
      <c r="A651" s="8">
        <v>44718</v>
      </c>
      <c r="B651" t="s">
        <v>29</v>
      </c>
      <c r="C651">
        <v>2015</v>
      </c>
      <c r="D651" t="s">
        <v>7</v>
      </c>
      <c r="E651" t="str">
        <f>IF(june[[#This Row],[ShiftCounter]]&gt;0, "Running", "Down")</f>
        <v>Running</v>
      </c>
    </row>
    <row r="652" spans="1:5" x14ac:dyDescent="0.25">
      <c r="A652" s="8">
        <v>44718</v>
      </c>
      <c r="B652" t="s">
        <v>29</v>
      </c>
      <c r="C652">
        <v>1791</v>
      </c>
      <c r="D652" t="s">
        <v>8</v>
      </c>
      <c r="E652" t="str">
        <f>IF(june[[#This Row],[ShiftCounter]]&gt;0, "Running", "Down")</f>
        <v>Running</v>
      </c>
    </row>
    <row r="653" spans="1:5" x14ac:dyDescent="0.25">
      <c r="A653" s="8">
        <v>44718</v>
      </c>
      <c r="B653" t="s">
        <v>30</v>
      </c>
      <c r="C653">
        <v>1419</v>
      </c>
      <c r="D653" t="s">
        <v>6</v>
      </c>
      <c r="E653" t="str">
        <f>IF(june[[#This Row],[ShiftCounter]]&gt;0, "Running", "Down")</f>
        <v>Running</v>
      </c>
    </row>
    <row r="654" spans="1:5" x14ac:dyDescent="0.25">
      <c r="A654" s="8">
        <v>44718</v>
      </c>
      <c r="B654" t="s">
        <v>30</v>
      </c>
      <c r="C654">
        <v>2254</v>
      </c>
      <c r="D654" t="s">
        <v>7</v>
      </c>
      <c r="E654" t="str">
        <f>IF(june[[#This Row],[ShiftCounter]]&gt;0, "Running", "Down")</f>
        <v>Running</v>
      </c>
    </row>
    <row r="655" spans="1:5" x14ac:dyDescent="0.25">
      <c r="A655" s="8">
        <v>44718</v>
      </c>
      <c r="B655" t="s">
        <v>30</v>
      </c>
      <c r="C655">
        <v>2014</v>
      </c>
      <c r="D655" t="s">
        <v>8</v>
      </c>
      <c r="E655" t="str">
        <f>IF(june[[#This Row],[ShiftCounter]]&gt;0, "Running", "Down")</f>
        <v>Running</v>
      </c>
    </row>
    <row r="656" spans="1:5" x14ac:dyDescent="0.25">
      <c r="A656" s="8">
        <v>44718</v>
      </c>
      <c r="B656" t="s">
        <v>31</v>
      </c>
      <c r="C656">
        <v>1613</v>
      </c>
      <c r="D656" t="s">
        <v>6</v>
      </c>
      <c r="E656" t="str">
        <f>IF(june[[#This Row],[ShiftCounter]]&gt;0, "Running", "Down")</f>
        <v>Running</v>
      </c>
    </row>
    <row r="657" spans="1:5" x14ac:dyDescent="0.25">
      <c r="A657" s="8">
        <v>44718</v>
      </c>
      <c r="B657" t="s">
        <v>31</v>
      </c>
      <c r="C657">
        <v>2107</v>
      </c>
      <c r="D657" t="s">
        <v>7</v>
      </c>
      <c r="E657" t="str">
        <f>IF(june[[#This Row],[ShiftCounter]]&gt;0, "Running", "Down")</f>
        <v>Running</v>
      </c>
    </row>
    <row r="658" spans="1:5" x14ac:dyDescent="0.25">
      <c r="A658" s="8">
        <v>44718</v>
      </c>
      <c r="B658" t="s">
        <v>31</v>
      </c>
      <c r="C658">
        <v>1993</v>
      </c>
      <c r="D658" t="s">
        <v>8</v>
      </c>
      <c r="E658" t="str">
        <f>IF(june[[#This Row],[ShiftCounter]]&gt;0, "Running", "Down")</f>
        <v>Running</v>
      </c>
    </row>
    <row r="659" spans="1:5" x14ac:dyDescent="0.25">
      <c r="A659" s="8">
        <v>44718</v>
      </c>
      <c r="B659" t="s">
        <v>32</v>
      </c>
      <c r="C659">
        <v>2366</v>
      </c>
      <c r="D659" t="s">
        <v>6</v>
      </c>
      <c r="E659" t="str">
        <f>IF(june[[#This Row],[ShiftCounter]]&gt;0, "Running", "Down")</f>
        <v>Running</v>
      </c>
    </row>
    <row r="660" spans="1:5" x14ac:dyDescent="0.25">
      <c r="A660" s="8">
        <v>44718</v>
      </c>
      <c r="B660" t="s">
        <v>32</v>
      </c>
      <c r="C660">
        <v>2168</v>
      </c>
      <c r="D660" t="s">
        <v>7</v>
      </c>
      <c r="E660" t="str">
        <f>IF(june[[#This Row],[ShiftCounter]]&gt;0, "Running", "Down")</f>
        <v>Running</v>
      </c>
    </row>
    <row r="661" spans="1:5" x14ac:dyDescent="0.25">
      <c r="A661" s="8">
        <v>44718</v>
      </c>
      <c r="B661" t="s">
        <v>32</v>
      </c>
      <c r="C661">
        <v>1895</v>
      </c>
      <c r="D661" t="s">
        <v>8</v>
      </c>
      <c r="E661" t="str">
        <f>IF(june[[#This Row],[ShiftCounter]]&gt;0, "Running", "Down")</f>
        <v>Running</v>
      </c>
    </row>
    <row r="662" spans="1:5" x14ac:dyDescent="0.25">
      <c r="A662" s="8">
        <v>44718</v>
      </c>
      <c r="B662" t="s">
        <v>71</v>
      </c>
      <c r="C662">
        <v>2255</v>
      </c>
      <c r="D662" t="s">
        <v>6</v>
      </c>
      <c r="E662" t="str">
        <f>IF(june[[#This Row],[ShiftCounter]]&gt;0, "Running", "Down")</f>
        <v>Running</v>
      </c>
    </row>
    <row r="663" spans="1:5" x14ac:dyDescent="0.25">
      <c r="A663" s="8">
        <v>44718</v>
      </c>
      <c r="B663" t="s">
        <v>71</v>
      </c>
      <c r="C663">
        <v>2097</v>
      </c>
      <c r="D663" t="s">
        <v>7</v>
      </c>
      <c r="E663" t="str">
        <f>IF(june[[#This Row],[ShiftCounter]]&gt;0, "Running", "Down")</f>
        <v>Running</v>
      </c>
    </row>
    <row r="664" spans="1:5" x14ac:dyDescent="0.25">
      <c r="A664" s="8">
        <v>44718</v>
      </c>
      <c r="B664" t="s">
        <v>71</v>
      </c>
      <c r="C664">
        <v>1825</v>
      </c>
      <c r="D664" t="s">
        <v>8</v>
      </c>
      <c r="E664" t="str">
        <f>IF(june[[#This Row],[ShiftCounter]]&gt;0, "Running", "Down")</f>
        <v>Running</v>
      </c>
    </row>
    <row r="665" spans="1:5" x14ac:dyDescent="0.25">
      <c r="A665" s="8">
        <v>44718</v>
      </c>
      <c r="B665" t="s">
        <v>33</v>
      </c>
      <c r="C665">
        <v>2607</v>
      </c>
      <c r="D665" t="s">
        <v>6</v>
      </c>
      <c r="E665" t="str">
        <f>IF(june[[#This Row],[ShiftCounter]]&gt;0, "Running", "Down")</f>
        <v>Running</v>
      </c>
    </row>
    <row r="666" spans="1:5" x14ac:dyDescent="0.25">
      <c r="A666" s="8">
        <v>44718</v>
      </c>
      <c r="B666" t="s">
        <v>33</v>
      </c>
      <c r="C666">
        <v>2415</v>
      </c>
      <c r="D666" t="s">
        <v>7</v>
      </c>
      <c r="E666" t="str">
        <f>IF(june[[#This Row],[ShiftCounter]]&gt;0, "Running", "Down")</f>
        <v>Running</v>
      </c>
    </row>
    <row r="667" spans="1:5" x14ac:dyDescent="0.25">
      <c r="A667" s="8">
        <v>44718</v>
      </c>
      <c r="B667" t="s">
        <v>33</v>
      </c>
      <c r="C667">
        <v>2171</v>
      </c>
      <c r="D667" t="s">
        <v>8</v>
      </c>
      <c r="E667" t="str">
        <f>IF(june[[#This Row],[ShiftCounter]]&gt;0, "Running", "Down")</f>
        <v>Running</v>
      </c>
    </row>
    <row r="668" spans="1:5" x14ac:dyDescent="0.25">
      <c r="A668" s="8">
        <v>44718</v>
      </c>
      <c r="B668" t="s">
        <v>34</v>
      </c>
      <c r="C668">
        <v>1963</v>
      </c>
      <c r="D668" t="s">
        <v>6</v>
      </c>
      <c r="E668" t="str">
        <f>IF(june[[#This Row],[ShiftCounter]]&gt;0, "Running", "Down")</f>
        <v>Running</v>
      </c>
    </row>
    <row r="669" spans="1:5" x14ac:dyDescent="0.25">
      <c r="A669" s="8">
        <v>44718</v>
      </c>
      <c r="B669" t="s">
        <v>34</v>
      </c>
      <c r="C669">
        <v>1896</v>
      </c>
      <c r="D669" t="s">
        <v>7</v>
      </c>
      <c r="E669" t="str">
        <f>IF(june[[#This Row],[ShiftCounter]]&gt;0, "Running", "Down")</f>
        <v>Running</v>
      </c>
    </row>
    <row r="670" spans="1:5" x14ac:dyDescent="0.25">
      <c r="A670" s="8">
        <v>44718</v>
      </c>
      <c r="B670" t="s">
        <v>34</v>
      </c>
      <c r="C670">
        <v>1773</v>
      </c>
      <c r="D670" t="s">
        <v>8</v>
      </c>
      <c r="E670" t="str">
        <f>IF(june[[#This Row],[ShiftCounter]]&gt;0, "Running", "Down")</f>
        <v>Running</v>
      </c>
    </row>
    <row r="671" spans="1:5" x14ac:dyDescent="0.25">
      <c r="A671" s="8">
        <v>44718</v>
      </c>
      <c r="B671" t="s">
        <v>36</v>
      </c>
      <c r="C671">
        <v>2374</v>
      </c>
      <c r="D671" t="s">
        <v>6</v>
      </c>
      <c r="E671" t="str">
        <f>IF(june[[#This Row],[ShiftCounter]]&gt;0, "Running", "Down")</f>
        <v>Running</v>
      </c>
    </row>
    <row r="672" spans="1:5" x14ac:dyDescent="0.25">
      <c r="A672" s="8">
        <v>44718</v>
      </c>
      <c r="B672" t="s">
        <v>36</v>
      </c>
      <c r="C672">
        <v>2247</v>
      </c>
      <c r="D672" t="s">
        <v>7</v>
      </c>
      <c r="E672" t="str">
        <f>IF(june[[#This Row],[ShiftCounter]]&gt;0, "Running", "Down")</f>
        <v>Running</v>
      </c>
    </row>
    <row r="673" spans="1:5" x14ac:dyDescent="0.25">
      <c r="A673" s="8">
        <v>44718</v>
      </c>
      <c r="B673" t="s">
        <v>36</v>
      </c>
      <c r="C673">
        <v>2132</v>
      </c>
      <c r="D673" t="s">
        <v>8</v>
      </c>
      <c r="E673" t="str">
        <f>IF(june[[#This Row],[ShiftCounter]]&gt;0, "Running", "Down")</f>
        <v>Running</v>
      </c>
    </row>
    <row r="674" spans="1:5" x14ac:dyDescent="0.25">
      <c r="A674" s="8">
        <v>44718</v>
      </c>
      <c r="B674" t="s">
        <v>37</v>
      </c>
      <c r="C674">
        <v>2264</v>
      </c>
      <c r="D674" t="s">
        <v>6</v>
      </c>
      <c r="E674" t="str">
        <f>IF(june[[#This Row],[ShiftCounter]]&gt;0, "Running", "Down")</f>
        <v>Running</v>
      </c>
    </row>
    <row r="675" spans="1:5" x14ac:dyDescent="0.25">
      <c r="A675" s="8">
        <v>44718</v>
      </c>
      <c r="B675" t="s">
        <v>37</v>
      </c>
      <c r="C675">
        <v>2024</v>
      </c>
      <c r="D675" t="s">
        <v>7</v>
      </c>
      <c r="E675" t="str">
        <f>IF(june[[#This Row],[ShiftCounter]]&gt;0, "Running", "Down")</f>
        <v>Running</v>
      </c>
    </row>
    <row r="676" spans="1:5" x14ac:dyDescent="0.25">
      <c r="A676" s="8">
        <v>44718</v>
      </c>
      <c r="B676" t="s">
        <v>37</v>
      </c>
      <c r="C676">
        <v>2144</v>
      </c>
      <c r="D676" t="s">
        <v>8</v>
      </c>
      <c r="E676" t="str">
        <f>IF(june[[#This Row],[ShiftCounter]]&gt;0, "Running", "Down")</f>
        <v>Running</v>
      </c>
    </row>
    <row r="677" spans="1:5" x14ac:dyDescent="0.25">
      <c r="A677" s="8">
        <v>44719</v>
      </c>
      <c r="B677" t="s">
        <v>160</v>
      </c>
      <c r="C677">
        <v>0</v>
      </c>
      <c r="D677" t="s">
        <v>6</v>
      </c>
      <c r="E677" t="str">
        <f>IF(june[[#This Row],[ShiftCounter]]&gt;0, "Running", "Down")</f>
        <v>Down</v>
      </c>
    </row>
    <row r="678" spans="1:5" x14ac:dyDescent="0.25">
      <c r="A678" s="8">
        <v>44719</v>
      </c>
      <c r="B678" t="s">
        <v>160</v>
      </c>
      <c r="C678">
        <v>1475</v>
      </c>
      <c r="D678" t="s">
        <v>7</v>
      </c>
      <c r="E678" t="str">
        <f>IF(june[[#This Row],[ShiftCounter]]&gt;0, "Running", "Down")</f>
        <v>Running</v>
      </c>
    </row>
    <row r="679" spans="1:5" x14ac:dyDescent="0.25">
      <c r="A679" s="8">
        <v>44719</v>
      </c>
      <c r="B679" t="s">
        <v>160</v>
      </c>
      <c r="C679">
        <v>2200</v>
      </c>
      <c r="D679" t="s">
        <v>8</v>
      </c>
      <c r="E679" t="str">
        <f>IF(june[[#This Row],[ShiftCounter]]&gt;0, "Running", "Down")</f>
        <v>Running</v>
      </c>
    </row>
    <row r="680" spans="1:5" x14ac:dyDescent="0.25">
      <c r="A680" s="8">
        <v>44719</v>
      </c>
      <c r="B680" t="s">
        <v>158</v>
      </c>
      <c r="C680">
        <v>2048</v>
      </c>
      <c r="D680" t="s">
        <v>6</v>
      </c>
      <c r="E680" t="str">
        <f>IF(june[[#This Row],[ShiftCounter]]&gt;0, "Running", "Down")</f>
        <v>Running</v>
      </c>
    </row>
    <row r="681" spans="1:5" x14ac:dyDescent="0.25">
      <c r="A681" s="8">
        <v>44719</v>
      </c>
      <c r="B681" t="s">
        <v>158</v>
      </c>
      <c r="C681">
        <v>2110</v>
      </c>
      <c r="D681" t="s">
        <v>7</v>
      </c>
      <c r="E681" t="str">
        <f>IF(june[[#This Row],[ShiftCounter]]&gt;0, "Running", "Down")</f>
        <v>Running</v>
      </c>
    </row>
    <row r="682" spans="1:5" x14ac:dyDescent="0.25">
      <c r="A682" s="8">
        <v>44719</v>
      </c>
      <c r="B682" t="s">
        <v>158</v>
      </c>
      <c r="C682">
        <v>1841</v>
      </c>
      <c r="D682" t="s">
        <v>8</v>
      </c>
      <c r="E682" t="str">
        <f>IF(june[[#This Row],[ShiftCounter]]&gt;0, "Running", "Down")</f>
        <v>Running</v>
      </c>
    </row>
    <row r="683" spans="1:5" x14ac:dyDescent="0.25">
      <c r="A683" s="8">
        <v>44719</v>
      </c>
      <c r="B683" t="s">
        <v>40</v>
      </c>
      <c r="C683">
        <v>2272</v>
      </c>
      <c r="D683" t="s">
        <v>6</v>
      </c>
      <c r="E683" t="str">
        <f>IF(june[[#This Row],[ShiftCounter]]&gt;0, "Running", "Down")</f>
        <v>Running</v>
      </c>
    </row>
    <row r="684" spans="1:5" x14ac:dyDescent="0.25">
      <c r="A684" s="8">
        <v>44719</v>
      </c>
      <c r="B684" t="s">
        <v>40</v>
      </c>
      <c r="C684">
        <v>2277</v>
      </c>
      <c r="D684" t="s">
        <v>7</v>
      </c>
      <c r="E684" t="str">
        <f>IF(june[[#This Row],[ShiftCounter]]&gt;0, "Running", "Down")</f>
        <v>Running</v>
      </c>
    </row>
    <row r="685" spans="1:5" x14ac:dyDescent="0.25">
      <c r="A685" s="8">
        <v>44719</v>
      </c>
      <c r="B685" t="s">
        <v>40</v>
      </c>
      <c r="C685">
        <v>2040</v>
      </c>
      <c r="D685" t="s">
        <v>8</v>
      </c>
      <c r="E685" t="str">
        <f>IF(june[[#This Row],[ShiftCounter]]&gt;0, "Running", "Down")</f>
        <v>Running</v>
      </c>
    </row>
    <row r="686" spans="1:5" x14ac:dyDescent="0.25">
      <c r="A686" s="8">
        <v>44719</v>
      </c>
      <c r="B686" t="s">
        <v>39</v>
      </c>
      <c r="C686">
        <v>1975</v>
      </c>
      <c r="D686" t="s">
        <v>6</v>
      </c>
      <c r="E686" t="str">
        <f>IF(june[[#This Row],[ShiftCounter]]&gt;0, "Running", "Down")</f>
        <v>Running</v>
      </c>
    </row>
    <row r="687" spans="1:5" x14ac:dyDescent="0.25">
      <c r="A687" s="8">
        <v>44719</v>
      </c>
      <c r="B687" t="s">
        <v>39</v>
      </c>
      <c r="C687">
        <v>1977</v>
      </c>
      <c r="D687" t="s">
        <v>7</v>
      </c>
      <c r="E687" t="str">
        <f>IF(june[[#This Row],[ShiftCounter]]&gt;0, "Running", "Down")</f>
        <v>Running</v>
      </c>
    </row>
    <row r="688" spans="1:5" x14ac:dyDescent="0.25">
      <c r="A688" s="8">
        <v>44719</v>
      </c>
      <c r="B688" t="s">
        <v>39</v>
      </c>
      <c r="C688">
        <v>1649</v>
      </c>
      <c r="D688" t="s">
        <v>8</v>
      </c>
      <c r="E688" t="str">
        <f>IF(june[[#This Row],[ShiftCounter]]&gt;0, "Running", "Down")</f>
        <v>Running</v>
      </c>
    </row>
    <row r="689" spans="1:5" x14ac:dyDescent="0.25">
      <c r="A689" s="8">
        <v>44719</v>
      </c>
      <c r="B689" t="s">
        <v>41</v>
      </c>
      <c r="C689">
        <v>2301</v>
      </c>
      <c r="D689" t="s">
        <v>6</v>
      </c>
      <c r="E689" t="str">
        <f>IF(june[[#This Row],[ShiftCounter]]&gt;0, "Running", "Down")</f>
        <v>Running</v>
      </c>
    </row>
    <row r="690" spans="1:5" x14ac:dyDescent="0.25">
      <c r="A690" s="8">
        <v>44719</v>
      </c>
      <c r="B690" t="s">
        <v>41</v>
      </c>
      <c r="C690">
        <v>2285</v>
      </c>
      <c r="D690" t="s">
        <v>7</v>
      </c>
      <c r="E690" t="str">
        <f>IF(june[[#This Row],[ShiftCounter]]&gt;0, "Running", "Down")</f>
        <v>Running</v>
      </c>
    </row>
    <row r="691" spans="1:5" x14ac:dyDescent="0.25">
      <c r="A691" s="8">
        <v>44719</v>
      </c>
      <c r="B691" t="s">
        <v>41</v>
      </c>
      <c r="C691">
        <v>2052</v>
      </c>
      <c r="D691" t="s">
        <v>8</v>
      </c>
      <c r="E691" t="str">
        <f>IF(june[[#This Row],[ShiftCounter]]&gt;0, "Running", "Down")</f>
        <v>Running</v>
      </c>
    </row>
    <row r="692" spans="1:5" x14ac:dyDescent="0.25">
      <c r="A692" s="8">
        <v>44719</v>
      </c>
      <c r="B692" t="s">
        <v>5</v>
      </c>
      <c r="C692">
        <v>2283</v>
      </c>
      <c r="D692" t="s">
        <v>6</v>
      </c>
      <c r="E692" t="str">
        <f>IF(june[[#This Row],[ShiftCounter]]&gt;0, "Running", "Down")</f>
        <v>Running</v>
      </c>
    </row>
    <row r="693" spans="1:5" x14ac:dyDescent="0.25">
      <c r="A693" s="8">
        <v>44719</v>
      </c>
      <c r="B693" t="s">
        <v>5</v>
      </c>
      <c r="C693">
        <v>2294</v>
      </c>
      <c r="D693" t="s">
        <v>7</v>
      </c>
      <c r="E693" t="str">
        <f>IF(june[[#This Row],[ShiftCounter]]&gt;0, "Running", "Down")</f>
        <v>Running</v>
      </c>
    </row>
    <row r="694" spans="1:5" x14ac:dyDescent="0.25">
      <c r="A694" s="8">
        <v>44719</v>
      </c>
      <c r="B694" t="s">
        <v>5</v>
      </c>
      <c r="C694">
        <v>1835</v>
      </c>
      <c r="D694" t="s">
        <v>8</v>
      </c>
      <c r="E694" t="str">
        <f>IF(june[[#This Row],[ShiftCounter]]&gt;0, "Running", "Down")</f>
        <v>Running</v>
      </c>
    </row>
    <row r="695" spans="1:5" x14ac:dyDescent="0.25">
      <c r="A695" s="8">
        <v>44719</v>
      </c>
      <c r="B695" t="s">
        <v>9</v>
      </c>
      <c r="C695">
        <v>654</v>
      </c>
      <c r="D695" t="s">
        <v>6</v>
      </c>
      <c r="E695" t="str">
        <f>IF(june[[#This Row],[ShiftCounter]]&gt;0, "Running", "Down")</f>
        <v>Running</v>
      </c>
    </row>
    <row r="696" spans="1:5" x14ac:dyDescent="0.25">
      <c r="A696" s="8">
        <v>44719</v>
      </c>
      <c r="B696" t="s">
        <v>9</v>
      </c>
      <c r="C696">
        <v>2098</v>
      </c>
      <c r="D696" t="s">
        <v>7</v>
      </c>
      <c r="E696" t="str">
        <f>IF(june[[#This Row],[ShiftCounter]]&gt;0, "Running", "Down")</f>
        <v>Running</v>
      </c>
    </row>
    <row r="697" spans="1:5" x14ac:dyDescent="0.25">
      <c r="A697" s="8">
        <v>44719</v>
      </c>
      <c r="B697" t="s">
        <v>9</v>
      </c>
      <c r="C697">
        <v>2028</v>
      </c>
      <c r="D697" t="s">
        <v>8</v>
      </c>
      <c r="E697" t="str">
        <f>IF(june[[#This Row],[ShiftCounter]]&gt;0, "Running", "Down")</f>
        <v>Running</v>
      </c>
    </row>
    <row r="698" spans="1:5" x14ac:dyDescent="0.25">
      <c r="A698" s="8">
        <v>44719</v>
      </c>
      <c r="B698" t="s">
        <v>10</v>
      </c>
      <c r="C698">
        <v>2261</v>
      </c>
      <c r="D698" t="s">
        <v>6</v>
      </c>
      <c r="E698" t="str">
        <f>IF(june[[#This Row],[ShiftCounter]]&gt;0, "Running", "Down")</f>
        <v>Running</v>
      </c>
    </row>
    <row r="699" spans="1:5" x14ac:dyDescent="0.25">
      <c r="A699" s="8">
        <v>44719</v>
      </c>
      <c r="B699" t="s">
        <v>10</v>
      </c>
      <c r="C699">
        <v>2300</v>
      </c>
      <c r="D699" t="s">
        <v>7</v>
      </c>
      <c r="E699" t="str">
        <f>IF(june[[#This Row],[ShiftCounter]]&gt;0, "Running", "Down")</f>
        <v>Running</v>
      </c>
    </row>
    <row r="700" spans="1:5" x14ac:dyDescent="0.25">
      <c r="A700" s="8">
        <v>44719</v>
      </c>
      <c r="B700" t="s">
        <v>10</v>
      </c>
      <c r="C700">
        <v>2047</v>
      </c>
      <c r="D700" t="s">
        <v>8</v>
      </c>
      <c r="E700" t="str">
        <f>IF(june[[#This Row],[ShiftCounter]]&gt;0, "Running", "Down")</f>
        <v>Running</v>
      </c>
    </row>
    <row r="701" spans="1:5" x14ac:dyDescent="0.25">
      <c r="A701" s="8">
        <v>44719</v>
      </c>
      <c r="B701" t="s">
        <v>11</v>
      </c>
      <c r="C701">
        <v>2162</v>
      </c>
      <c r="D701" t="s">
        <v>6</v>
      </c>
      <c r="E701" t="str">
        <f>IF(june[[#This Row],[ShiftCounter]]&gt;0, "Running", "Down")</f>
        <v>Running</v>
      </c>
    </row>
    <row r="702" spans="1:5" x14ac:dyDescent="0.25">
      <c r="A702" s="8">
        <v>44719</v>
      </c>
      <c r="B702" t="s">
        <v>11</v>
      </c>
      <c r="C702">
        <v>2179</v>
      </c>
      <c r="D702" t="s">
        <v>7</v>
      </c>
      <c r="E702" t="str">
        <f>IF(june[[#This Row],[ShiftCounter]]&gt;0, "Running", "Down")</f>
        <v>Running</v>
      </c>
    </row>
    <row r="703" spans="1:5" x14ac:dyDescent="0.25">
      <c r="A703" s="8">
        <v>44719</v>
      </c>
      <c r="B703" t="s">
        <v>11</v>
      </c>
      <c r="C703">
        <v>1879</v>
      </c>
      <c r="D703" t="s">
        <v>8</v>
      </c>
      <c r="E703" t="str">
        <f>IF(june[[#This Row],[ShiftCounter]]&gt;0, "Running", "Down")</f>
        <v>Running</v>
      </c>
    </row>
    <row r="704" spans="1:5" x14ac:dyDescent="0.25">
      <c r="A704" s="8">
        <v>44719</v>
      </c>
      <c r="B704" t="s">
        <v>12</v>
      </c>
      <c r="C704">
        <v>2405</v>
      </c>
      <c r="D704" t="s">
        <v>6</v>
      </c>
      <c r="E704" t="str">
        <f>IF(june[[#This Row],[ShiftCounter]]&gt;0, "Running", "Down")</f>
        <v>Running</v>
      </c>
    </row>
    <row r="705" spans="1:5" x14ac:dyDescent="0.25">
      <c r="A705" s="8">
        <v>44719</v>
      </c>
      <c r="B705" t="s">
        <v>12</v>
      </c>
      <c r="C705">
        <v>2392</v>
      </c>
      <c r="D705" t="s">
        <v>7</v>
      </c>
      <c r="E705" t="str">
        <f>IF(june[[#This Row],[ShiftCounter]]&gt;0, "Running", "Down")</f>
        <v>Running</v>
      </c>
    </row>
    <row r="706" spans="1:5" x14ac:dyDescent="0.25">
      <c r="A706" s="8">
        <v>44719</v>
      </c>
      <c r="B706" t="s">
        <v>12</v>
      </c>
      <c r="C706">
        <v>2029</v>
      </c>
      <c r="D706" t="s">
        <v>8</v>
      </c>
      <c r="E706" t="str">
        <f>IF(june[[#This Row],[ShiftCounter]]&gt;0, "Running", "Down")</f>
        <v>Running</v>
      </c>
    </row>
    <row r="707" spans="1:5" x14ac:dyDescent="0.25">
      <c r="A707" s="8">
        <v>44719</v>
      </c>
      <c r="B707" t="s">
        <v>13</v>
      </c>
      <c r="C707">
        <v>2232</v>
      </c>
      <c r="D707" t="s">
        <v>6</v>
      </c>
      <c r="E707" t="str">
        <f>IF(june[[#This Row],[ShiftCounter]]&gt;0, "Running", "Down")</f>
        <v>Running</v>
      </c>
    </row>
    <row r="708" spans="1:5" x14ac:dyDescent="0.25">
      <c r="A708" s="8">
        <v>44719</v>
      </c>
      <c r="B708" t="s">
        <v>13</v>
      </c>
      <c r="C708">
        <v>2142</v>
      </c>
      <c r="D708" t="s">
        <v>7</v>
      </c>
      <c r="E708" t="str">
        <f>IF(june[[#This Row],[ShiftCounter]]&gt;0, "Running", "Down")</f>
        <v>Running</v>
      </c>
    </row>
    <row r="709" spans="1:5" x14ac:dyDescent="0.25">
      <c r="A709" s="8">
        <v>44719</v>
      </c>
      <c r="B709" t="s">
        <v>13</v>
      </c>
      <c r="C709">
        <v>1849</v>
      </c>
      <c r="D709" t="s">
        <v>8</v>
      </c>
      <c r="E709" t="str">
        <f>IF(june[[#This Row],[ShiftCounter]]&gt;0, "Running", "Down")</f>
        <v>Running</v>
      </c>
    </row>
    <row r="710" spans="1:5" x14ac:dyDescent="0.25">
      <c r="A710" s="8">
        <v>44719</v>
      </c>
      <c r="B710" t="s">
        <v>114</v>
      </c>
      <c r="C710">
        <v>2150</v>
      </c>
      <c r="D710" t="s">
        <v>6</v>
      </c>
      <c r="E710" t="str">
        <f>IF(june[[#This Row],[ShiftCounter]]&gt;0, "Running", "Down")</f>
        <v>Running</v>
      </c>
    </row>
    <row r="711" spans="1:5" x14ac:dyDescent="0.25">
      <c r="A711" s="8">
        <v>44719</v>
      </c>
      <c r="B711" t="s">
        <v>114</v>
      </c>
      <c r="C711">
        <v>2017</v>
      </c>
      <c r="D711" t="s">
        <v>7</v>
      </c>
      <c r="E711" t="str">
        <f>IF(june[[#This Row],[ShiftCounter]]&gt;0, "Running", "Down")</f>
        <v>Running</v>
      </c>
    </row>
    <row r="712" spans="1:5" x14ac:dyDescent="0.25">
      <c r="A712" s="8">
        <v>44719</v>
      </c>
      <c r="B712" t="s">
        <v>114</v>
      </c>
      <c r="C712">
        <v>1772</v>
      </c>
      <c r="D712" t="s">
        <v>8</v>
      </c>
      <c r="E712" t="str">
        <f>IF(june[[#This Row],[ShiftCounter]]&gt;0, "Running", "Down")</f>
        <v>Running</v>
      </c>
    </row>
    <row r="713" spans="1:5" x14ac:dyDescent="0.25">
      <c r="A713" s="8">
        <v>44719</v>
      </c>
      <c r="B713" t="s">
        <v>14</v>
      </c>
      <c r="C713">
        <v>2510</v>
      </c>
      <c r="D713" t="s">
        <v>6</v>
      </c>
      <c r="E713" t="str">
        <f>IF(june[[#This Row],[ShiftCounter]]&gt;0, "Running", "Down")</f>
        <v>Running</v>
      </c>
    </row>
    <row r="714" spans="1:5" x14ac:dyDescent="0.25">
      <c r="A714" s="8">
        <v>44719</v>
      </c>
      <c r="B714" t="s">
        <v>14</v>
      </c>
      <c r="C714">
        <v>2253</v>
      </c>
      <c r="D714" t="s">
        <v>7</v>
      </c>
      <c r="E714" t="str">
        <f>IF(june[[#This Row],[ShiftCounter]]&gt;0, "Running", "Down")</f>
        <v>Running</v>
      </c>
    </row>
    <row r="715" spans="1:5" x14ac:dyDescent="0.25">
      <c r="A715" s="8">
        <v>44719</v>
      </c>
      <c r="B715" t="s">
        <v>14</v>
      </c>
      <c r="C715">
        <v>1963</v>
      </c>
      <c r="D715" t="s">
        <v>8</v>
      </c>
      <c r="E715" t="str">
        <f>IF(june[[#This Row],[ShiftCounter]]&gt;0, "Running", "Down")</f>
        <v>Running</v>
      </c>
    </row>
    <row r="716" spans="1:5" x14ac:dyDescent="0.25">
      <c r="A716" s="8">
        <v>44719</v>
      </c>
      <c r="B716" t="s">
        <v>15</v>
      </c>
      <c r="C716">
        <v>2197</v>
      </c>
      <c r="D716" t="s">
        <v>6</v>
      </c>
      <c r="E716" t="str">
        <f>IF(june[[#This Row],[ShiftCounter]]&gt;0, "Running", "Down")</f>
        <v>Running</v>
      </c>
    </row>
    <row r="717" spans="1:5" x14ac:dyDescent="0.25">
      <c r="A717" s="8">
        <v>44719</v>
      </c>
      <c r="B717" t="s">
        <v>15</v>
      </c>
      <c r="C717">
        <v>2045</v>
      </c>
      <c r="D717" t="s">
        <v>7</v>
      </c>
      <c r="E717" t="str">
        <f>IF(june[[#This Row],[ShiftCounter]]&gt;0, "Running", "Down")</f>
        <v>Running</v>
      </c>
    </row>
    <row r="718" spans="1:5" x14ac:dyDescent="0.25">
      <c r="A718" s="8">
        <v>44719</v>
      </c>
      <c r="B718" t="s">
        <v>15</v>
      </c>
      <c r="C718">
        <v>1801</v>
      </c>
      <c r="D718" t="s">
        <v>8</v>
      </c>
      <c r="E718" t="str">
        <f>IF(june[[#This Row],[ShiftCounter]]&gt;0, "Running", "Down")</f>
        <v>Running</v>
      </c>
    </row>
    <row r="719" spans="1:5" x14ac:dyDescent="0.25">
      <c r="A719" s="8">
        <v>44719</v>
      </c>
      <c r="B719" t="s">
        <v>16</v>
      </c>
      <c r="C719">
        <v>2320</v>
      </c>
      <c r="D719" t="s">
        <v>6</v>
      </c>
      <c r="E719" t="str">
        <f>IF(june[[#This Row],[ShiftCounter]]&gt;0, "Running", "Down")</f>
        <v>Running</v>
      </c>
    </row>
    <row r="720" spans="1:5" x14ac:dyDescent="0.25">
      <c r="A720" s="8">
        <v>44719</v>
      </c>
      <c r="B720" t="s">
        <v>16</v>
      </c>
      <c r="C720">
        <v>2162</v>
      </c>
      <c r="D720" t="s">
        <v>7</v>
      </c>
      <c r="E720" t="str">
        <f>IF(june[[#This Row],[ShiftCounter]]&gt;0, "Running", "Down")</f>
        <v>Running</v>
      </c>
    </row>
    <row r="721" spans="1:5" x14ac:dyDescent="0.25">
      <c r="A721" s="8">
        <v>44719</v>
      </c>
      <c r="B721" t="s">
        <v>16</v>
      </c>
      <c r="C721">
        <v>1740</v>
      </c>
      <c r="D721" t="s">
        <v>8</v>
      </c>
      <c r="E721" t="str">
        <f>IF(june[[#This Row],[ShiftCounter]]&gt;0, "Running", "Down")</f>
        <v>Running</v>
      </c>
    </row>
    <row r="722" spans="1:5" x14ac:dyDescent="0.25">
      <c r="A722" s="8">
        <v>44719</v>
      </c>
      <c r="B722" t="s">
        <v>17</v>
      </c>
      <c r="C722">
        <v>2485</v>
      </c>
      <c r="D722" t="s">
        <v>6</v>
      </c>
      <c r="E722" t="str">
        <f>IF(june[[#This Row],[ShiftCounter]]&gt;0, "Running", "Down")</f>
        <v>Running</v>
      </c>
    </row>
    <row r="723" spans="1:5" x14ac:dyDescent="0.25">
      <c r="A723" s="8">
        <v>44719</v>
      </c>
      <c r="B723" t="s">
        <v>17</v>
      </c>
      <c r="C723">
        <v>2038</v>
      </c>
      <c r="D723" t="s">
        <v>7</v>
      </c>
      <c r="E723" t="str">
        <f>IF(june[[#This Row],[ShiftCounter]]&gt;0, "Running", "Down")</f>
        <v>Running</v>
      </c>
    </row>
    <row r="724" spans="1:5" x14ac:dyDescent="0.25">
      <c r="A724" s="8">
        <v>44719</v>
      </c>
      <c r="B724" t="s">
        <v>17</v>
      </c>
      <c r="C724">
        <v>1992</v>
      </c>
      <c r="D724" t="s">
        <v>8</v>
      </c>
      <c r="E724" t="str">
        <f>IF(june[[#This Row],[ShiftCounter]]&gt;0, "Running", "Down")</f>
        <v>Running</v>
      </c>
    </row>
    <row r="725" spans="1:5" x14ac:dyDescent="0.25">
      <c r="A725" s="8">
        <v>44719</v>
      </c>
      <c r="B725" t="s">
        <v>19</v>
      </c>
      <c r="C725">
        <v>1529</v>
      </c>
      <c r="D725" t="s">
        <v>6</v>
      </c>
      <c r="E725" t="str">
        <f>IF(june[[#This Row],[ShiftCounter]]&gt;0, "Running", "Down")</f>
        <v>Running</v>
      </c>
    </row>
    <row r="726" spans="1:5" x14ac:dyDescent="0.25">
      <c r="A726" s="8">
        <v>44719</v>
      </c>
      <c r="B726" t="s">
        <v>19</v>
      </c>
      <c r="C726">
        <v>1945</v>
      </c>
      <c r="D726" t="s">
        <v>7</v>
      </c>
      <c r="E726" t="str">
        <f>IF(june[[#This Row],[ShiftCounter]]&gt;0, "Running", "Down")</f>
        <v>Running</v>
      </c>
    </row>
    <row r="727" spans="1:5" x14ac:dyDescent="0.25">
      <c r="A727" s="8">
        <v>44719</v>
      </c>
      <c r="B727" t="s">
        <v>19</v>
      </c>
      <c r="C727">
        <v>1681</v>
      </c>
      <c r="D727" t="s">
        <v>8</v>
      </c>
      <c r="E727" t="str">
        <f>IF(june[[#This Row],[ShiftCounter]]&gt;0, "Running", "Down")</f>
        <v>Running</v>
      </c>
    </row>
    <row r="728" spans="1:5" x14ac:dyDescent="0.25">
      <c r="A728" s="8">
        <v>44719</v>
      </c>
      <c r="B728" t="s">
        <v>18</v>
      </c>
      <c r="C728">
        <v>1759</v>
      </c>
      <c r="D728" t="s">
        <v>6</v>
      </c>
      <c r="E728" t="str">
        <f>IF(june[[#This Row],[ShiftCounter]]&gt;0, "Running", "Down")</f>
        <v>Running</v>
      </c>
    </row>
    <row r="729" spans="1:5" x14ac:dyDescent="0.25">
      <c r="A729" s="8">
        <v>44719</v>
      </c>
      <c r="B729" t="s">
        <v>18</v>
      </c>
      <c r="C729">
        <v>2248</v>
      </c>
      <c r="D729" t="s">
        <v>7</v>
      </c>
      <c r="E729" t="str">
        <f>IF(june[[#This Row],[ShiftCounter]]&gt;0, "Running", "Down")</f>
        <v>Running</v>
      </c>
    </row>
    <row r="730" spans="1:5" x14ac:dyDescent="0.25">
      <c r="A730" s="8">
        <v>44719</v>
      </c>
      <c r="B730" t="s">
        <v>18</v>
      </c>
      <c r="C730">
        <v>2288</v>
      </c>
      <c r="D730" t="s">
        <v>8</v>
      </c>
      <c r="E730" t="str">
        <f>IF(june[[#This Row],[ShiftCounter]]&gt;0, "Running", "Down")</f>
        <v>Running</v>
      </c>
    </row>
    <row r="731" spans="1:5" x14ac:dyDescent="0.25">
      <c r="A731" s="8">
        <v>44719</v>
      </c>
      <c r="B731" t="s">
        <v>38</v>
      </c>
      <c r="C731">
        <v>2395</v>
      </c>
      <c r="D731" t="s">
        <v>6</v>
      </c>
      <c r="E731" t="str">
        <f>IF(june[[#This Row],[ShiftCounter]]&gt;0, "Running", "Down")</f>
        <v>Running</v>
      </c>
    </row>
    <row r="732" spans="1:5" x14ac:dyDescent="0.25">
      <c r="A732" s="8">
        <v>44719</v>
      </c>
      <c r="B732" t="s">
        <v>38</v>
      </c>
      <c r="C732">
        <v>2208</v>
      </c>
      <c r="D732" t="s">
        <v>7</v>
      </c>
      <c r="E732" t="str">
        <f>IF(june[[#This Row],[ShiftCounter]]&gt;0, "Running", "Down")</f>
        <v>Running</v>
      </c>
    </row>
    <row r="733" spans="1:5" x14ac:dyDescent="0.25">
      <c r="A733" s="8">
        <v>44719</v>
      </c>
      <c r="B733" t="s">
        <v>38</v>
      </c>
      <c r="C733">
        <v>2171</v>
      </c>
      <c r="D733" t="s">
        <v>8</v>
      </c>
      <c r="E733" t="str">
        <f>IF(june[[#This Row],[ShiftCounter]]&gt;0, "Running", "Down")</f>
        <v>Running</v>
      </c>
    </row>
    <row r="734" spans="1:5" x14ac:dyDescent="0.25">
      <c r="A734" s="8">
        <v>44719</v>
      </c>
      <c r="B734" t="s">
        <v>20</v>
      </c>
      <c r="C734">
        <v>2430</v>
      </c>
      <c r="D734" t="s">
        <v>6</v>
      </c>
      <c r="E734" t="str">
        <f>IF(june[[#This Row],[ShiftCounter]]&gt;0, "Running", "Down")</f>
        <v>Running</v>
      </c>
    </row>
    <row r="735" spans="1:5" x14ac:dyDescent="0.25">
      <c r="A735" s="8">
        <v>44719</v>
      </c>
      <c r="B735" t="s">
        <v>20</v>
      </c>
      <c r="C735">
        <v>2247</v>
      </c>
      <c r="D735" t="s">
        <v>7</v>
      </c>
      <c r="E735" t="str">
        <f>IF(june[[#This Row],[ShiftCounter]]&gt;0, "Running", "Down")</f>
        <v>Running</v>
      </c>
    </row>
    <row r="736" spans="1:5" x14ac:dyDescent="0.25">
      <c r="A736" s="8">
        <v>44719</v>
      </c>
      <c r="B736" t="s">
        <v>20</v>
      </c>
      <c r="C736">
        <v>2141</v>
      </c>
      <c r="D736" t="s">
        <v>8</v>
      </c>
      <c r="E736" t="str">
        <f>IF(june[[#This Row],[ShiftCounter]]&gt;0, "Running", "Down")</f>
        <v>Running</v>
      </c>
    </row>
    <row r="737" spans="1:5" x14ac:dyDescent="0.25">
      <c r="A737" s="8">
        <v>44719</v>
      </c>
      <c r="B737" t="s">
        <v>21</v>
      </c>
      <c r="C737">
        <v>2072</v>
      </c>
      <c r="D737" t="s">
        <v>6</v>
      </c>
      <c r="E737" t="str">
        <f>IF(june[[#This Row],[ShiftCounter]]&gt;0, "Running", "Down")</f>
        <v>Running</v>
      </c>
    </row>
    <row r="738" spans="1:5" x14ac:dyDescent="0.25">
      <c r="A738" s="8">
        <v>44719</v>
      </c>
      <c r="B738" t="s">
        <v>21</v>
      </c>
      <c r="C738">
        <v>2034</v>
      </c>
      <c r="D738" t="s">
        <v>7</v>
      </c>
      <c r="E738" t="str">
        <f>IF(june[[#This Row],[ShiftCounter]]&gt;0, "Running", "Down")</f>
        <v>Running</v>
      </c>
    </row>
    <row r="739" spans="1:5" x14ac:dyDescent="0.25">
      <c r="A739" s="8">
        <v>44719</v>
      </c>
      <c r="B739" t="s">
        <v>21</v>
      </c>
      <c r="C739">
        <v>1905</v>
      </c>
      <c r="D739" t="s">
        <v>8</v>
      </c>
      <c r="E739" t="str">
        <f>IF(june[[#This Row],[ShiftCounter]]&gt;0, "Running", "Down")</f>
        <v>Running</v>
      </c>
    </row>
    <row r="740" spans="1:5" x14ac:dyDescent="0.25">
      <c r="A740" s="8">
        <v>44719</v>
      </c>
      <c r="B740" t="s">
        <v>22</v>
      </c>
      <c r="C740">
        <v>1995</v>
      </c>
      <c r="D740" t="s">
        <v>6</v>
      </c>
      <c r="E740" t="str">
        <f>IF(june[[#This Row],[ShiftCounter]]&gt;0, "Running", "Down")</f>
        <v>Running</v>
      </c>
    </row>
    <row r="741" spans="1:5" x14ac:dyDescent="0.25">
      <c r="A741" s="8">
        <v>44719</v>
      </c>
      <c r="B741" t="s">
        <v>22</v>
      </c>
      <c r="C741">
        <v>2158</v>
      </c>
      <c r="D741" t="s">
        <v>7</v>
      </c>
      <c r="E741" t="str">
        <f>IF(june[[#This Row],[ShiftCounter]]&gt;0, "Running", "Down")</f>
        <v>Running</v>
      </c>
    </row>
    <row r="742" spans="1:5" x14ac:dyDescent="0.25">
      <c r="A742" s="8">
        <v>44719</v>
      </c>
      <c r="B742" t="s">
        <v>22</v>
      </c>
      <c r="C742">
        <v>2406</v>
      </c>
      <c r="D742" t="s">
        <v>8</v>
      </c>
      <c r="E742" t="str">
        <f>IF(june[[#This Row],[ShiftCounter]]&gt;0, "Running", "Down")</f>
        <v>Running</v>
      </c>
    </row>
    <row r="743" spans="1:5" x14ac:dyDescent="0.25">
      <c r="A743" s="8">
        <v>44719</v>
      </c>
      <c r="B743" t="s">
        <v>23</v>
      </c>
      <c r="C743">
        <v>2592</v>
      </c>
      <c r="D743" t="s">
        <v>6</v>
      </c>
      <c r="E743" t="str">
        <f>IF(june[[#This Row],[ShiftCounter]]&gt;0, "Running", "Down")</f>
        <v>Running</v>
      </c>
    </row>
    <row r="744" spans="1:5" x14ac:dyDescent="0.25">
      <c r="A744" s="8">
        <v>44719</v>
      </c>
      <c r="B744" t="s">
        <v>23</v>
      </c>
      <c r="C744">
        <v>2468</v>
      </c>
      <c r="D744" t="s">
        <v>7</v>
      </c>
      <c r="E744" t="str">
        <f>IF(june[[#This Row],[ShiftCounter]]&gt;0, "Running", "Down")</f>
        <v>Running</v>
      </c>
    </row>
    <row r="745" spans="1:5" x14ac:dyDescent="0.25">
      <c r="A745" s="8">
        <v>44719</v>
      </c>
      <c r="B745" t="s">
        <v>23</v>
      </c>
      <c r="C745">
        <v>2383</v>
      </c>
      <c r="D745" t="s">
        <v>8</v>
      </c>
      <c r="E745" t="str">
        <f>IF(june[[#This Row],[ShiftCounter]]&gt;0, "Running", "Down")</f>
        <v>Running</v>
      </c>
    </row>
    <row r="746" spans="1:5" x14ac:dyDescent="0.25">
      <c r="A746" s="8">
        <v>44719</v>
      </c>
      <c r="B746" t="s">
        <v>24</v>
      </c>
      <c r="C746">
        <v>2046</v>
      </c>
      <c r="D746" t="s">
        <v>6</v>
      </c>
      <c r="E746" t="str">
        <f>IF(june[[#This Row],[ShiftCounter]]&gt;0, "Running", "Down")</f>
        <v>Running</v>
      </c>
    </row>
    <row r="747" spans="1:5" x14ac:dyDescent="0.25">
      <c r="A747" s="8">
        <v>44719</v>
      </c>
      <c r="B747" t="s">
        <v>24</v>
      </c>
      <c r="C747">
        <v>2085</v>
      </c>
      <c r="D747" t="s">
        <v>7</v>
      </c>
      <c r="E747" t="str">
        <f>IF(june[[#This Row],[ShiftCounter]]&gt;0, "Running", "Down")</f>
        <v>Running</v>
      </c>
    </row>
    <row r="748" spans="1:5" x14ac:dyDescent="0.25">
      <c r="A748" s="8">
        <v>44719</v>
      </c>
      <c r="B748" t="s">
        <v>24</v>
      </c>
      <c r="C748">
        <v>1818</v>
      </c>
      <c r="D748" t="s">
        <v>8</v>
      </c>
      <c r="E748" t="str">
        <f>IF(june[[#This Row],[ShiftCounter]]&gt;0, "Running", "Down")</f>
        <v>Running</v>
      </c>
    </row>
    <row r="749" spans="1:5" x14ac:dyDescent="0.25">
      <c r="A749" s="8">
        <v>44719</v>
      </c>
      <c r="B749" t="s">
        <v>25</v>
      </c>
      <c r="C749">
        <v>2015</v>
      </c>
      <c r="D749" t="s">
        <v>6</v>
      </c>
      <c r="E749" t="str">
        <f>IF(june[[#This Row],[ShiftCounter]]&gt;0, "Running", "Down")</f>
        <v>Running</v>
      </c>
    </row>
    <row r="750" spans="1:5" x14ac:dyDescent="0.25">
      <c r="A750" s="8">
        <v>44719</v>
      </c>
      <c r="B750" t="s">
        <v>25</v>
      </c>
      <c r="C750">
        <v>2215</v>
      </c>
      <c r="D750" t="s">
        <v>7</v>
      </c>
      <c r="E750" t="str">
        <f>IF(june[[#This Row],[ShiftCounter]]&gt;0, "Running", "Down")</f>
        <v>Running</v>
      </c>
    </row>
    <row r="751" spans="1:5" x14ac:dyDescent="0.25">
      <c r="A751" s="8">
        <v>44719</v>
      </c>
      <c r="B751" t="s">
        <v>25</v>
      </c>
      <c r="C751">
        <v>2026</v>
      </c>
      <c r="D751" t="s">
        <v>8</v>
      </c>
      <c r="E751" t="str">
        <f>IF(june[[#This Row],[ShiftCounter]]&gt;0, "Running", "Down")</f>
        <v>Running</v>
      </c>
    </row>
    <row r="752" spans="1:5" x14ac:dyDescent="0.25">
      <c r="A752" s="8">
        <v>44719</v>
      </c>
      <c r="B752" t="s">
        <v>26</v>
      </c>
      <c r="C752">
        <v>0</v>
      </c>
      <c r="D752" t="s">
        <v>6</v>
      </c>
      <c r="E752" t="str">
        <f>IF(june[[#This Row],[ShiftCounter]]&gt;0, "Running", "Down")</f>
        <v>Down</v>
      </c>
    </row>
    <row r="753" spans="1:7" x14ac:dyDescent="0.25">
      <c r="A753" s="8">
        <v>44719</v>
      </c>
      <c r="B753" t="s">
        <v>26</v>
      </c>
      <c r="C753">
        <v>2550</v>
      </c>
      <c r="D753" t="s">
        <v>7</v>
      </c>
      <c r="E753" t="str">
        <f>IF(june[[#This Row],[ShiftCounter]]&gt;0, "Running", "Down")</f>
        <v>Running</v>
      </c>
    </row>
    <row r="754" spans="1:7" x14ac:dyDescent="0.25">
      <c r="A754" s="8">
        <v>44719</v>
      </c>
      <c r="B754" t="s">
        <v>26</v>
      </c>
      <c r="C754">
        <v>1822</v>
      </c>
      <c r="D754" t="s">
        <v>8</v>
      </c>
      <c r="E754" t="str">
        <f>IF(june[[#This Row],[ShiftCounter]]&gt;0, "Running", "Down")</f>
        <v>Running</v>
      </c>
    </row>
    <row r="755" spans="1:7" x14ac:dyDescent="0.25">
      <c r="A755" s="8">
        <v>44719</v>
      </c>
      <c r="B755" t="s">
        <v>27</v>
      </c>
      <c r="C755">
        <v>2115</v>
      </c>
      <c r="D755" t="s">
        <v>6</v>
      </c>
      <c r="E755" t="str">
        <f>IF(june[[#This Row],[ShiftCounter]]&gt;0, "Running", "Down")</f>
        <v>Running</v>
      </c>
    </row>
    <row r="756" spans="1:7" x14ac:dyDescent="0.25">
      <c r="A756" s="8">
        <v>44719</v>
      </c>
      <c r="B756" t="s">
        <v>27</v>
      </c>
      <c r="C756">
        <v>2154</v>
      </c>
      <c r="D756" t="s">
        <v>7</v>
      </c>
      <c r="E756" t="str">
        <f>IF(june[[#This Row],[ShiftCounter]]&gt;0, "Running", "Down")</f>
        <v>Running</v>
      </c>
    </row>
    <row r="757" spans="1:7" x14ac:dyDescent="0.25">
      <c r="A757" s="8">
        <v>44719</v>
      </c>
      <c r="B757" t="s">
        <v>27</v>
      </c>
      <c r="C757">
        <v>1882</v>
      </c>
      <c r="D757" t="s">
        <v>8</v>
      </c>
      <c r="E757" t="str">
        <f>IF(june[[#This Row],[ShiftCounter]]&gt;0, "Running", "Down")</f>
        <v>Running</v>
      </c>
    </row>
    <row r="758" spans="1:7" x14ac:dyDescent="0.25">
      <c r="A758" s="8">
        <v>44719</v>
      </c>
      <c r="B758" t="s">
        <v>28</v>
      </c>
      <c r="C758">
        <v>1774</v>
      </c>
      <c r="D758" t="s">
        <v>6</v>
      </c>
      <c r="E758" t="str">
        <f>IF(june[[#This Row],[ShiftCounter]]&gt;0, "Running", "Down")</f>
        <v>Running</v>
      </c>
      <c r="G758">
        <f>3549/2</f>
        <v>1774.5</v>
      </c>
    </row>
    <row r="759" spans="1:7" x14ac:dyDescent="0.25">
      <c r="A759" s="8">
        <v>44719</v>
      </c>
      <c r="B759" t="s">
        <v>28</v>
      </c>
      <c r="C759">
        <v>1775</v>
      </c>
      <c r="D759" t="s">
        <v>7</v>
      </c>
      <c r="E759" t="str">
        <f>IF(june[[#This Row],[ShiftCounter]]&gt;0, "Running", "Down")</f>
        <v>Running</v>
      </c>
      <c r="G759">
        <v>1774</v>
      </c>
    </row>
    <row r="760" spans="1:7" x14ac:dyDescent="0.25">
      <c r="A760" s="8">
        <v>44719</v>
      </c>
      <c r="B760" t="s">
        <v>28</v>
      </c>
      <c r="C760">
        <v>1913</v>
      </c>
      <c r="D760" t="s">
        <v>8</v>
      </c>
      <c r="E760" t="str">
        <f>IF(june[[#This Row],[ShiftCounter]]&gt;0, "Running", "Down")</f>
        <v>Running</v>
      </c>
      <c r="G760">
        <v>1775</v>
      </c>
    </row>
    <row r="761" spans="1:7" x14ac:dyDescent="0.25">
      <c r="A761" s="8">
        <v>44719</v>
      </c>
      <c r="B761" t="s">
        <v>29</v>
      </c>
      <c r="C761">
        <v>2378</v>
      </c>
      <c r="D761" t="s">
        <v>6</v>
      </c>
      <c r="E761" t="str">
        <f>IF(june[[#This Row],[ShiftCounter]]&gt;0, "Running", "Down")</f>
        <v>Running</v>
      </c>
      <c r="G761">
        <f>G759+G760</f>
        <v>3549</v>
      </c>
    </row>
    <row r="762" spans="1:7" x14ac:dyDescent="0.25">
      <c r="A762" s="8">
        <v>44719</v>
      </c>
      <c r="B762" t="s">
        <v>29</v>
      </c>
      <c r="C762">
        <v>2026</v>
      </c>
      <c r="D762" t="s">
        <v>7</v>
      </c>
      <c r="E762" t="str">
        <f>IF(june[[#This Row],[ShiftCounter]]&gt;0, "Running", "Down")</f>
        <v>Running</v>
      </c>
    </row>
    <row r="763" spans="1:7" x14ac:dyDescent="0.25">
      <c r="A763" s="8">
        <v>44719</v>
      </c>
      <c r="B763" t="s">
        <v>29</v>
      </c>
      <c r="C763">
        <v>1880</v>
      </c>
      <c r="D763" t="s">
        <v>8</v>
      </c>
      <c r="E763" t="str">
        <f>IF(june[[#This Row],[ShiftCounter]]&gt;0, "Running", "Down")</f>
        <v>Running</v>
      </c>
    </row>
    <row r="764" spans="1:7" x14ac:dyDescent="0.25">
      <c r="A764" s="8">
        <v>44719</v>
      </c>
      <c r="B764" t="s">
        <v>30</v>
      </c>
      <c r="C764">
        <v>2415</v>
      </c>
      <c r="D764" t="s">
        <v>6</v>
      </c>
      <c r="E764" t="str">
        <f>IF(june[[#This Row],[ShiftCounter]]&gt;0, "Running", "Down")</f>
        <v>Running</v>
      </c>
    </row>
    <row r="765" spans="1:7" x14ac:dyDescent="0.25">
      <c r="A765" s="8">
        <v>44719</v>
      </c>
      <c r="B765" t="s">
        <v>30</v>
      </c>
      <c r="C765">
        <v>2321</v>
      </c>
      <c r="D765" t="s">
        <v>7</v>
      </c>
      <c r="E765" t="str">
        <f>IF(june[[#This Row],[ShiftCounter]]&gt;0, "Running", "Down")</f>
        <v>Running</v>
      </c>
    </row>
    <row r="766" spans="1:7" x14ac:dyDescent="0.25">
      <c r="A766" s="8">
        <v>44719</v>
      </c>
      <c r="B766" t="s">
        <v>30</v>
      </c>
      <c r="C766">
        <v>2141</v>
      </c>
      <c r="D766" t="s">
        <v>8</v>
      </c>
      <c r="E766" t="str">
        <f>IF(june[[#This Row],[ShiftCounter]]&gt;0, "Running", "Down")</f>
        <v>Running</v>
      </c>
    </row>
    <row r="767" spans="1:7" x14ac:dyDescent="0.25">
      <c r="A767" s="8">
        <v>44719</v>
      </c>
      <c r="B767" t="s">
        <v>32</v>
      </c>
      <c r="C767">
        <v>0</v>
      </c>
      <c r="D767" t="s">
        <v>6</v>
      </c>
      <c r="E767" t="str">
        <f>IF(june[[#This Row],[ShiftCounter]]&gt;0, "Running", "Down")</f>
        <v>Down</v>
      </c>
    </row>
    <row r="768" spans="1:7" x14ac:dyDescent="0.25">
      <c r="A768" s="8">
        <v>44719</v>
      </c>
      <c r="B768" t="s">
        <v>32</v>
      </c>
      <c r="C768">
        <v>2453</v>
      </c>
      <c r="D768" t="s">
        <v>7</v>
      </c>
      <c r="E768" t="str">
        <f>IF(june[[#This Row],[ShiftCounter]]&gt;0, "Running", "Down")</f>
        <v>Running</v>
      </c>
    </row>
    <row r="769" spans="1:5" x14ac:dyDescent="0.25">
      <c r="A769" s="8">
        <v>44719</v>
      </c>
      <c r="B769" t="s">
        <v>32</v>
      </c>
      <c r="C769">
        <v>1930</v>
      </c>
      <c r="D769" t="s">
        <v>8</v>
      </c>
      <c r="E769" t="str">
        <f>IF(june[[#This Row],[ShiftCounter]]&gt;0, "Running", "Down")</f>
        <v>Running</v>
      </c>
    </row>
    <row r="770" spans="1:5" x14ac:dyDescent="0.25">
      <c r="A770" s="8">
        <v>44719</v>
      </c>
      <c r="B770" t="s">
        <v>31</v>
      </c>
      <c r="C770">
        <v>2362</v>
      </c>
      <c r="D770" t="s">
        <v>6</v>
      </c>
      <c r="E770" t="str">
        <f>IF(june[[#This Row],[ShiftCounter]]&gt;0, "Running", "Down")</f>
        <v>Running</v>
      </c>
    </row>
    <row r="771" spans="1:5" x14ac:dyDescent="0.25">
      <c r="A771" s="8">
        <v>44719</v>
      </c>
      <c r="B771" t="s">
        <v>31</v>
      </c>
      <c r="C771">
        <v>2370</v>
      </c>
      <c r="D771" t="s">
        <v>7</v>
      </c>
      <c r="E771" t="str">
        <f>IF(june[[#This Row],[ShiftCounter]]&gt;0, "Running", "Down")</f>
        <v>Running</v>
      </c>
    </row>
    <row r="772" spans="1:5" x14ac:dyDescent="0.25">
      <c r="A772" s="8">
        <v>44719</v>
      </c>
      <c r="B772" t="s">
        <v>31</v>
      </c>
      <c r="C772">
        <v>2088</v>
      </c>
      <c r="D772" t="s">
        <v>8</v>
      </c>
      <c r="E772" t="str">
        <f>IF(june[[#This Row],[ShiftCounter]]&gt;0, "Running", "Down")</f>
        <v>Running</v>
      </c>
    </row>
    <row r="773" spans="1:5" x14ac:dyDescent="0.25">
      <c r="A773" s="8">
        <v>44719</v>
      </c>
      <c r="B773" t="s">
        <v>71</v>
      </c>
      <c r="C773">
        <v>2276</v>
      </c>
      <c r="D773" t="s">
        <v>6</v>
      </c>
      <c r="E773" t="str">
        <f>IF(june[[#This Row],[ShiftCounter]]&gt;0, "Running", "Down")</f>
        <v>Running</v>
      </c>
    </row>
    <row r="774" spans="1:5" x14ac:dyDescent="0.25">
      <c r="A774" s="8">
        <v>44719</v>
      </c>
      <c r="B774" t="s">
        <v>71</v>
      </c>
      <c r="C774">
        <v>2107</v>
      </c>
      <c r="D774" t="s">
        <v>7</v>
      </c>
      <c r="E774" t="str">
        <f>IF(june[[#This Row],[ShiftCounter]]&gt;0, "Running", "Down")</f>
        <v>Running</v>
      </c>
    </row>
    <row r="775" spans="1:5" x14ac:dyDescent="0.25">
      <c r="A775" s="8">
        <v>44719</v>
      </c>
      <c r="B775" t="s">
        <v>71</v>
      </c>
      <c r="C775">
        <v>1770</v>
      </c>
      <c r="D775" t="s">
        <v>8</v>
      </c>
      <c r="E775" t="str">
        <f>IF(june[[#This Row],[ShiftCounter]]&gt;0, "Running", "Down")</f>
        <v>Running</v>
      </c>
    </row>
    <row r="776" spans="1:5" x14ac:dyDescent="0.25">
      <c r="A776" s="8">
        <v>44719</v>
      </c>
      <c r="B776" t="s">
        <v>33</v>
      </c>
      <c r="C776">
        <v>2572</v>
      </c>
      <c r="D776" t="s">
        <v>6</v>
      </c>
      <c r="E776" t="str">
        <f>IF(june[[#This Row],[ShiftCounter]]&gt;0, "Running", "Down")</f>
        <v>Running</v>
      </c>
    </row>
    <row r="777" spans="1:5" x14ac:dyDescent="0.25">
      <c r="A777" s="8">
        <v>44719</v>
      </c>
      <c r="B777" t="s">
        <v>33</v>
      </c>
      <c r="C777">
        <v>2410</v>
      </c>
      <c r="D777" t="s">
        <v>7</v>
      </c>
      <c r="E777" t="str">
        <f>IF(june[[#This Row],[ShiftCounter]]&gt;0, "Running", "Down")</f>
        <v>Running</v>
      </c>
    </row>
    <row r="778" spans="1:5" x14ac:dyDescent="0.25">
      <c r="A778" s="8">
        <v>44719</v>
      </c>
      <c r="B778" t="s">
        <v>33</v>
      </c>
      <c r="C778">
        <v>2314</v>
      </c>
      <c r="D778" t="s">
        <v>8</v>
      </c>
      <c r="E778" t="str">
        <f>IF(june[[#This Row],[ShiftCounter]]&gt;0, "Running", "Down")</f>
        <v>Running</v>
      </c>
    </row>
    <row r="779" spans="1:5" x14ac:dyDescent="0.25">
      <c r="A779" s="8">
        <v>44719</v>
      </c>
      <c r="B779" t="s">
        <v>34</v>
      </c>
      <c r="C779">
        <v>2087</v>
      </c>
      <c r="D779" t="s">
        <v>6</v>
      </c>
      <c r="E779" t="str">
        <f>IF(june[[#This Row],[ShiftCounter]]&gt;0, "Running", "Down")</f>
        <v>Running</v>
      </c>
    </row>
    <row r="780" spans="1:5" x14ac:dyDescent="0.25">
      <c r="A780" s="8">
        <v>44719</v>
      </c>
      <c r="B780" t="s">
        <v>34</v>
      </c>
      <c r="C780">
        <v>2027</v>
      </c>
      <c r="D780" t="s">
        <v>7</v>
      </c>
      <c r="E780" t="str">
        <f>IF(june[[#This Row],[ShiftCounter]]&gt;0, "Running", "Down")</f>
        <v>Running</v>
      </c>
    </row>
    <row r="781" spans="1:5" x14ac:dyDescent="0.25">
      <c r="A781" s="8">
        <v>44719</v>
      </c>
      <c r="B781" t="s">
        <v>34</v>
      </c>
      <c r="C781">
        <v>1792</v>
      </c>
      <c r="D781" t="s">
        <v>8</v>
      </c>
      <c r="E781" t="str">
        <f>IF(june[[#This Row],[ShiftCounter]]&gt;0, "Running", "Down")</f>
        <v>Running</v>
      </c>
    </row>
    <row r="782" spans="1:5" x14ac:dyDescent="0.25">
      <c r="A782" s="8">
        <v>44719</v>
      </c>
      <c r="B782" t="s">
        <v>35</v>
      </c>
      <c r="C782">
        <v>1243</v>
      </c>
      <c r="D782" t="s">
        <v>6</v>
      </c>
      <c r="E782" t="str">
        <f>IF(june[[#This Row],[ShiftCounter]]&gt;0, "Running", "Down")</f>
        <v>Running</v>
      </c>
    </row>
    <row r="783" spans="1:5" x14ac:dyDescent="0.25">
      <c r="A783" s="8">
        <v>44719</v>
      </c>
      <c r="B783" t="s">
        <v>35</v>
      </c>
      <c r="C783">
        <v>2005</v>
      </c>
      <c r="D783" t="s">
        <v>7</v>
      </c>
      <c r="E783" t="str">
        <f>IF(june[[#This Row],[ShiftCounter]]&gt;0, "Running", "Down")</f>
        <v>Running</v>
      </c>
    </row>
    <row r="784" spans="1:5" x14ac:dyDescent="0.25">
      <c r="A784" s="8">
        <v>44719</v>
      </c>
      <c r="B784" t="s">
        <v>35</v>
      </c>
      <c r="C784">
        <v>1974</v>
      </c>
      <c r="D784" t="s">
        <v>8</v>
      </c>
      <c r="E784" t="str">
        <f>IF(june[[#This Row],[ShiftCounter]]&gt;0, "Running", "Down")</f>
        <v>Running</v>
      </c>
    </row>
    <row r="785" spans="1:5" x14ac:dyDescent="0.25">
      <c r="A785" s="8">
        <v>44719</v>
      </c>
      <c r="B785" t="s">
        <v>36</v>
      </c>
      <c r="C785">
        <v>2465</v>
      </c>
      <c r="D785" t="s">
        <v>6</v>
      </c>
      <c r="E785" t="str">
        <f>IF(june[[#This Row],[ShiftCounter]]&gt;0, "Running", "Down")</f>
        <v>Running</v>
      </c>
    </row>
    <row r="786" spans="1:5" x14ac:dyDescent="0.25">
      <c r="A786" s="8">
        <v>44719</v>
      </c>
      <c r="B786" t="s">
        <v>36</v>
      </c>
      <c r="C786">
        <v>2236</v>
      </c>
      <c r="D786" t="s">
        <v>7</v>
      </c>
      <c r="E786" t="str">
        <f>IF(june[[#This Row],[ShiftCounter]]&gt;0, "Running", "Down")</f>
        <v>Running</v>
      </c>
    </row>
    <row r="787" spans="1:5" x14ac:dyDescent="0.25">
      <c r="A787" s="8">
        <v>44719</v>
      </c>
      <c r="B787" t="s">
        <v>36</v>
      </c>
      <c r="C787">
        <v>2150</v>
      </c>
      <c r="D787" t="s">
        <v>8</v>
      </c>
      <c r="E787" t="str">
        <f>IF(june[[#This Row],[ShiftCounter]]&gt;0, "Running", "Down")</f>
        <v>Running</v>
      </c>
    </row>
    <row r="788" spans="1:5" x14ac:dyDescent="0.25">
      <c r="A788" s="8">
        <v>44719</v>
      </c>
      <c r="B788" t="s">
        <v>37</v>
      </c>
      <c r="C788">
        <v>2387</v>
      </c>
      <c r="D788" t="s">
        <v>6</v>
      </c>
      <c r="E788" t="str">
        <f>IF(june[[#This Row],[ShiftCounter]]&gt;0, "Running", "Down")</f>
        <v>Running</v>
      </c>
    </row>
    <row r="789" spans="1:5" x14ac:dyDescent="0.25">
      <c r="A789" s="8">
        <v>44719</v>
      </c>
      <c r="B789" t="s">
        <v>37</v>
      </c>
      <c r="C789">
        <v>2291</v>
      </c>
      <c r="D789" t="s">
        <v>7</v>
      </c>
      <c r="E789" t="str">
        <f>IF(june[[#This Row],[ShiftCounter]]&gt;0, "Running", "Down")</f>
        <v>Running</v>
      </c>
    </row>
    <row r="790" spans="1:5" x14ac:dyDescent="0.25">
      <c r="A790" s="8">
        <v>44719</v>
      </c>
      <c r="B790" t="s">
        <v>37</v>
      </c>
      <c r="C790">
        <v>1996</v>
      </c>
      <c r="D790" t="s">
        <v>8</v>
      </c>
      <c r="E790" t="str">
        <f>IF(june[[#This Row],[ShiftCounter]]&gt;0, "Running", "Down")</f>
        <v>Running</v>
      </c>
    </row>
    <row r="791" spans="1:5" x14ac:dyDescent="0.25">
      <c r="A791" s="8">
        <v>44719</v>
      </c>
      <c r="B791" t="s">
        <v>54</v>
      </c>
      <c r="C791">
        <v>0</v>
      </c>
      <c r="D791" t="s">
        <v>6</v>
      </c>
      <c r="E791" t="str">
        <f>IF(june[[#This Row],[ShiftCounter]]&gt;0, "Running", "Down")</f>
        <v>Down</v>
      </c>
    </row>
    <row r="792" spans="1:5" x14ac:dyDescent="0.25">
      <c r="A792" s="8">
        <v>44719</v>
      </c>
      <c r="B792" t="s">
        <v>54</v>
      </c>
      <c r="C792">
        <v>0</v>
      </c>
      <c r="D792" t="s">
        <v>7</v>
      </c>
      <c r="E792" t="str">
        <f>IF(june[[#This Row],[ShiftCounter]]&gt;0, "Running", "Down")</f>
        <v>Down</v>
      </c>
    </row>
    <row r="793" spans="1:5" x14ac:dyDescent="0.25">
      <c r="A793" s="8">
        <v>44719</v>
      </c>
      <c r="B793" t="s">
        <v>54</v>
      </c>
      <c r="C793">
        <v>1753</v>
      </c>
      <c r="D793" t="s">
        <v>8</v>
      </c>
      <c r="E793" t="str">
        <f>IF(june[[#This Row],[ShiftCounter]]&gt;0, "Running", "Down")</f>
        <v>Running</v>
      </c>
    </row>
    <row r="794" spans="1:5" x14ac:dyDescent="0.25">
      <c r="A794" s="8">
        <v>44720</v>
      </c>
      <c r="B794" t="s">
        <v>160</v>
      </c>
      <c r="C794">
        <v>2359</v>
      </c>
      <c r="D794" t="s">
        <v>6</v>
      </c>
      <c r="E794" t="str">
        <f>IF(june[[#This Row],[ShiftCounter]]&gt;0, "Running", "Down")</f>
        <v>Running</v>
      </c>
    </row>
    <row r="795" spans="1:5" x14ac:dyDescent="0.25">
      <c r="A795" s="8">
        <v>44720</v>
      </c>
      <c r="B795" t="s">
        <v>160</v>
      </c>
      <c r="C795">
        <v>2513</v>
      </c>
      <c r="D795" t="s">
        <v>7</v>
      </c>
      <c r="E795" t="str">
        <f>IF(june[[#This Row],[ShiftCounter]]&gt;0, "Running", "Down")</f>
        <v>Running</v>
      </c>
    </row>
    <row r="796" spans="1:5" x14ac:dyDescent="0.25">
      <c r="A796" s="8">
        <v>44720</v>
      </c>
      <c r="B796" t="s">
        <v>160</v>
      </c>
      <c r="C796">
        <v>1593</v>
      </c>
      <c r="D796" t="s">
        <v>8</v>
      </c>
      <c r="E796" t="str">
        <f>IF(june[[#This Row],[ShiftCounter]]&gt;0, "Running", "Down")</f>
        <v>Running</v>
      </c>
    </row>
    <row r="797" spans="1:5" x14ac:dyDescent="0.25">
      <c r="A797" s="8">
        <v>44720</v>
      </c>
      <c r="B797" t="s">
        <v>158</v>
      </c>
      <c r="C797">
        <v>2247</v>
      </c>
      <c r="D797" t="s">
        <v>6</v>
      </c>
      <c r="E797" t="str">
        <f>IF(june[[#This Row],[ShiftCounter]]&gt;0, "Running", "Down")</f>
        <v>Running</v>
      </c>
    </row>
    <row r="798" spans="1:5" x14ac:dyDescent="0.25">
      <c r="A798" s="8">
        <v>44720</v>
      </c>
      <c r="B798" t="s">
        <v>158</v>
      </c>
      <c r="C798">
        <v>2331</v>
      </c>
      <c r="D798" t="s">
        <v>7</v>
      </c>
      <c r="E798" t="str">
        <f>IF(june[[#This Row],[ShiftCounter]]&gt;0, "Running", "Down")</f>
        <v>Running</v>
      </c>
    </row>
    <row r="799" spans="1:5" x14ac:dyDescent="0.25">
      <c r="A799" s="8">
        <v>44720</v>
      </c>
      <c r="B799" t="s">
        <v>158</v>
      </c>
      <c r="C799">
        <v>1596</v>
      </c>
      <c r="D799" t="s">
        <v>8</v>
      </c>
      <c r="E799" t="str">
        <f>IF(june[[#This Row],[ShiftCounter]]&gt;0, "Running", "Down")</f>
        <v>Running</v>
      </c>
    </row>
    <row r="800" spans="1:5" x14ac:dyDescent="0.25">
      <c r="A800" s="8">
        <v>44720</v>
      </c>
      <c r="B800" t="s">
        <v>40</v>
      </c>
      <c r="C800">
        <v>2384</v>
      </c>
      <c r="D800" t="s">
        <v>6</v>
      </c>
      <c r="E800" t="str">
        <f>IF(june[[#This Row],[ShiftCounter]]&gt;0, "Running", "Down")</f>
        <v>Running</v>
      </c>
    </row>
    <row r="801" spans="1:5" x14ac:dyDescent="0.25">
      <c r="A801" s="8">
        <v>44720</v>
      </c>
      <c r="B801" t="s">
        <v>40</v>
      </c>
      <c r="C801">
        <v>2407</v>
      </c>
      <c r="D801" t="s">
        <v>7</v>
      </c>
      <c r="E801" t="str">
        <f>IF(june[[#This Row],[ShiftCounter]]&gt;0, "Running", "Down")</f>
        <v>Running</v>
      </c>
    </row>
    <row r="802" spans="1:5" x14ac:dyDescent="0.25">
      <c r="A802" s="8">
        <v>44720</v>
      </c>
      <c r="B802" t="s">
        <v>40</v>
      </c>
      <c r="C802">
        <v>1636</v>
      </c>
      <c r="D802" t="s">
        <v>8</v>
      </c>
      <c r="E802" t="str">
        <f>IF(june[[#This Row],[ShiftCounter]]&gt;0, "Running", "Down")</f>
        <v>Running</v>
      </c>
    </row>
    <row r="803" spans="1:5" x14ac:dyDescent="0.25">
      <c r="A803" s="8">
        <v>44720</v>
      </c>
      <c r="B803" t="s">
        <v>39</v>
      </c>
      <c r="C803">
        <v>2084</v>
      </c>
      <c r="D803" t="s">
        <v>6</v>
      </c>
      <c r="E803" t="str">
        <f>IF(june[[#This Row],[ShiftCounter]]&gt;0, "Running", "Down")</f>
        <v>Running</v>
      </c>
    </row>
    <row r="804" spans="1:5" x14ac:dyDescent="0.25">
      <c r="A804" s="8">
        <v>44720</v>
      </c>
      <c r="B804" t="s">
        <v>39</v>
      </c>
      <c r="C804">
        <v>2406</v>
      </c>
      <c r="D804" t="s">
        <v>7</v>
      </c>
      <c r="E804" t="str">
        <f>IF(june[[#This Row],[ShiftCounter]]&gt;0, "Running", "Down")</f>
        <v>Running</v>
      </c>
    </row>
    <row r="805" spans="1:5" x14ac:dyDescent="0.25">
      <c r="A805" s="8">
        <v>44720</v>
      </c>
      <c r="B805" t="s">
        <v>39</v>
      </c>
      <c r="C805">
        <v>1595</v>
      </c>
      <c r="D805" t="s">
        <v>8</v>
      </c>
      <c r="E805" t="str">
        <f>IF(june[[#This Row],[ShiftCounter]]&gt;0, "Running", "Down")</f>
        <v>Running</v>
      </c>
    </row>
    <row r="806" spans="1:5" x14ac:dyDescent="0.25">
      <c r="A806" s="8">
        <v>44720</v>
      </c>
      <c r="B806" t="s">
        <v>41</v>
      </c>
      <c r="C806">
        <v>2338</v>
      </c>
      <c r="D806" t="s">
        <v>6</v>
      </c>
      <c r="E806" t="str">
        <f>IF(june[[#This Row],[ShiftCounter]]&gt;0, "Running", "Down")</f>
        <v>Running</v>
      </c>
    </row>
    <row r="807" spans="1:5" x14ac:dyDescent="0.25">
      <c r="A807" s="8">
        <v>44720</v>
      </c>
      <c r="B807" t="s">
        <v>41</v>
      </c>
      <c r="C807">
        <v>2484</v>
      </c>
      <c r="D807" t="s">
        <v>7</v>
      </c>
      <c r="E807" t="str">
        <f>IF(june[[#This Row],[ShiftCounter]]&gt;0, "Running", "Down")</f>
        <v>Running</v>
      </c>
    </row>
    <row r="808" spans="1:5" x14ac:dyDescent="0.25">
      <c r="A808" s="8">
        <v>44720</v>
      </c>
      <c r="B808" t="s">
        <v>41</v>
      </c>
      <c r="C808">
        <v>1614</v>
      </c>
      <c r="D808" t="s">
        <v>8</v>
      </c>
      <c r="E808" t="str">
        <f>IF(june[[#This Row],[ShiftCounter]]&gt;0, "Running", "Down")</f>
        <v>Running</v>
      </c>
    </row>
    <row r="809" spans="1:5" x14ac:dyDescent="0.25">
      <c r="A809" s="8">
        <v>44720</v>
      </c>
      <c r="B809" t="s">
        <v>5</v>
      </c>
      <c r="C809">
        <v>2375</v>
      </c>
      <c r="D809" t="s">
        <v>6</v>
      </c>
      <c r="E809" t="str">
        <f>IF(june[[#This Row],[ShiftCounter]]&gt;0, "Running", "Down")</f>
        <v>Running</v>
      </c>
    </row>
    <row r="810" spans="1:5" x14ac:dyDescent="0.25">
      <c r="A810" s="8">
        <v>44720</v>
      </c>
      <c r="B810" t="s">
        <v>5</v>
      </c>
      <c r="C810">
        <v>2471</v>
      </c>
      <c r="D810" t="s">
        <v>7</v>
      </c>
      <c r="E810" t="str">
        <f>IF(june[[#This Row],[ShiftCounter]]&gt;0, "Running", "Down")</f>
        <v>Running</v>
      </c>
    </row>
    <row r="811" spans="1:5" x14ac:dyDescent="0.25">
      <c r="A811" s="8">
        <v>44720</v>
      </c>
      <c r="B811" t="s">
        <v>5</v>
      </c>
      <c r="C811">
        <v>1591</v>
      </c>
      <c r="D811" t="s">
        <v>8</v>
      </c>
      <c r="E811" t="str">
        <f>IF(june[[#This Row],[ShiftCounter]]&gt;0, "Running", "Down")</f>
        <v>Running</v>
      </c>
    </row>
    <row r="812" spans="1:5" x14ac:dyDescent="0.25">
      <c r="A812" s="8">
        <v>44720</v>
      </c>
      <c r="B812" t="s">
        <v>9</v>
      </c>
      <c r="C812">
        <v>2382</v>
      </c>
      <c r="D812" t="s">
        <v>6</v>
      </c>
      <c r="E812" t="str">
        <f>IF(june[[#This Row],[ShiftCounter]]&gt;0, "Running", "Down")</f>
        <v>Running</v>
      </c>
    </row>
    <row r="813" spans="1:5" x14ac:dyDescent="0.25">
      <c r="A813" s="8">
        <v>44720</v>
      </c>
      <c r="B813" t="s">
        <v>9</v>
      </c>
      <c r="C813">
        <v>2487</v>
      </c>
      <c r="D813" t="s">
        <v>7</v>
      </c>
      <c r="E813" t="str">
        <f>IF(june[[#This Row],[ShiftCounter]]&gt;0, "Running", "Down")</f>
        <v>Running</v>
      </c>
    </row>
    <row r="814" spans="1:5" x14ac:dyDescent="0.25">
      <c r="A814" s="8">
        <v>44720</v>
      </c>
      <c r="B814" t="s">
        <v>9</v>
      </c>
      <c r="C814">
        <v>1595</v>
      </c>
      <c r="D814" t="s">
        <v>8</v>
      </c>
      <c r="E814" t="str">
        <f>IF(june[[#This Row],[ShiftCounter]]&gt;0, "Running", "Down")</f>
        <v>Running</v>
      </c>
    </row>
    <row r="815" spans="1:5" x14ac:dyDescent="0.25">
      <c r="A815" s="8">
        <v>44720</v>
      </c>
      <c r="B815" t="s">
        <v>10</v>
      </c>
      <c r="C815">
        <v>2395</v>
      </c>
      <c r="D815" t="s">
        <v>6</v>
      </c>
      <c r="E815" t="str">
        <f>IF(june[[#This Row],[ShiftCounter]]&gt;0, "Running", "Down")</f>
        <v>Running</v>
      </c>
    </row>
    <row r="816" spans="1:5" x14ac:dyDescent="0.25">
      <c r="A816" s="8">
        <v>44720</v>
      </c>
      <c r="B816" t="s">
        <v>10</v>
      </c>
      <c r="C816">
        <v>2477</v>
      </c>
      <c r="D816" t="s">
        <v>7</v>
      </c>
      <c r="E816" t="str">
        <f>IF(june[[#This Row],[ShiftCounter]]&gt;0, "Running", "Down")</f>
        <v>Running</v>
      </c>
    </row>
    <row r="817" spans="1:5" x14ac:dyDescent="0.25">
      <c r="A817" s="8">
        <v>44720</v>
      </c>
      <c r="B817" t="s">
        <v>10</v>
      </c>
      <c r="C817">
        <v>1595</v>
      </c>
      <c r="D817" t="s">
        <v>8</v>
      </c>
      <c r="E817" t="str">
        <f>IF(june[[#This Row],[ShiftCounter]]&gt;0, "Running", "Down")</f>
        <v>Running</v>
      </c>
    </row>
    <row r="818" spans="1:5" x14ac:dyDescent="0.25">
      <c r="A818" s="8">
        <v>44720</v>
      </c>
      <c r="B818" t="s">
        <v>11</v>
      </c>
      <c r="C818">
        <v>2383</v>
      </c>
      <c r="D818" t="s">
        <v>6</v>
      </c>
      <c r="E818" t="str">
        <f>IF(june[[#This Row],[ShiftCounter]]&gt;0, "Running", "Down")</f>
        <v>Running</v>
      </c>
    </row>
    <row r="819" spans="1:5" x14ac:dyDescent="0.25">
      <c r="A819" s="8">
        <v>44720</v>
      </c>
      <c r="B819" t="s">
        <v>11</v>
      </c>
      <c r="C819">
        <v>2399</v>
      </c>
      <c r="D819" t="s">
        <v>7</v>
      </c>
      <c r="E819" t="str">
        <f>IF(june[[#This Row],[ShiftCounter]]&gt;0, "Running", "Down")</f>
        <v>Running</v>
      </c>
    </row>
    <row r="820" spans="1:5" x14ac:dyDescent="0.25">
      <c r="A820" s="8">
        <v>44720</v>
      </c>
      <c r="B820" t="s">
        <v>11</v>
      </c>
      <c r="C820">
        <v>1602</v>
      </c>
      <c r="D820" t="s">
        <v>8</v>
      </c>
      <c r="E820" t="str">
        <f>IF(june[[#This Row],[ShiftCounter]]&gt;0, "Running", "Down")</f>
        <v>Running</v>
      </c>
    </row>
    <row r="821" spans="1:5" x14ac:dyDescent="0.25">
      <c r="A821" s="8">
        <v>44720</v>
      </c>
      <c r="B821" t="s">
        <v>12</v>
      </c>
      <c r="C821">
        <v>2394</v>
      </c>
      <c r="D821" t="s">
        <v>6</v>
      </c>
      <c r="E821" t="str">
        <f>IF(june[[#This Row],[ShiftCounter]]&gt;0, "Running", "Down")</f>
        <v>Running</v>
      </c>
    </row>
    <row r="822" spans="1:5" x14ac:dyDescent="0.25">
      <c r="A822" s="8">
        <v>44720</v>
      </c>
      <c r="B822" t="s">
        <v>12</v>
      </c>
      <c r="C822">
        <v>1742</v>
      </c>
      <c r="D822" t="s">
        <v>7</v>
      </c>
      <c r="E822" t="str">
        <f>IF(june[[#This Row],[ShiftCounter]]&gt;0, "Running", "Down")</f>
        <v>Running</v>
      </c>
    </row>
    <row r="823" spans="1:5" x14ac:dyDescent="0.25">
      <c r="A823" s="8">
        <v>44720</v>
      </c>
      <c r="B823" t="s">
        <v>12</v>
      </c>
      <c r="C823">
        <v>2042</v>
      </c>
      <c r="D823" t="s">
        <v>8</v>
      </c>
      <c r="E823" t="str">
        <f>IF(june[[#This Row],[ShiftCounter]]&gt;0, "Running", "Down")</f>
        <v>Running</v>
      </c>
    </row>
    <row r="824" spans="1:5" x14ac:dyDescent="0.25">
      <c r="A824" s="8">
        <v>44720</v>
      </c>
      <c r="B824" t="s">
        <v>120</v>
      </c>
      <c r="C824">
        <v>448</v>
      </c>
      <c r="D824" t="s">
        <v>6</v>
      </c>
      <c r="E824" t="str">
        <f>IF(june[[#This Row],[ShiftCounter]]&gt;0, "Running", "Down")</f>
        <v>Running</v>
      </c>
    </row>
    <row r="825" spans="1:5" x14ac:dyDescent="0.25">
      <c r="A825" s="8">
        <v>44720</v>
      </c>
      <c r="B825" t="s">
        <v>120</v>
      </c>
      <c r="C825">
        <v>0</v>
      </c>
      <c r="D825" t="s">
        <v>7</v>
      </c>
      <c r="E825" t="str">
        <f>IF(june[[#This Row],[ShiftCounter]]&gt;0, "Running", "Down")</f>
        <v>Down</v>
      </c>
    </row>
    <row r="826" spans="1:5" x14ac:dyDescent="0.25">
      <c r="A826" s="8">
        <v>44720</v>
      </c>
      <c r="B826" t="s">
        <v>120</v>
      </c>
      <c r="C826">
        <v>0</v>
      </c>
      <c r="D826" t="s">
        <v>8</v>
      </c>
      <c r="E826" t="str">
        <f>IF(june[[#This Row],[ShiftCounter]]&gt;0, "Running", "Down")</f>
        <v>Down</v>
      </c>
    </row>
    <row r="827" spans="1:5" x14ac:dyDescent="0.25">
      <c r="A827" s="8">
        <v>44720</v>
      </c>
      <c r="B827" t="s">
        <v>13</v>
      </c>
      <c r="C827">
        <v>2221</v>
      </c>
      <c r="D827" t="s">
        <v>6</v>
      </c>
      <c r="E827" t="str">
        <f>IF(june[[#This Row],[ShiftCounter]]&gt;0, "Running", "Down")</f>
        <v>Running</v>
      </c>
    </row>
    <row r="828" spans="1:5" x14ac:dyDescent="0.25">
      <c r="A828" s="8">
        <v>44720</v>
      </c>
      <c r="B828" t="s">
        <v>13</v>
      </c>
      <c r="C828">
        <v>2108</v>
      </c>
      <c r="D828" t="s">
        <v>7</v>
      </c>
      <c r="E828" t="str">
        <f>IF(june[[#This Row],[ShiftCounter]]&gt;0, "Running", "Down")</f>
        <v>Running</v>
      </c>
    </row>
    <row r="829" spans="1:5" x14ac:dyDescent="0.25">
      <c r="A829" s="8">
        <v>44720</v>
      </c>
      <c r="B829" t="s">
        <v>13</v>
      </c>
      <c r="C829">
        <v>1825</v>
      </c>
      <c r="D829" t="s">
        <v>8</v>
      </c>
      <c r="E829" t="str">
        <f>IF(june[[#This Row],[ShiftCounter]]&gt;0, "Running", "Down")</f>
        <v>Running</v>
      </c>
    </row>
    <row r="830" spans="1:5" x14ac:dyDescent="0.25">
      <c r="A830" s="8">
        <v>44720</v>
      </c>
      <c r="B830" t="s">
        <v>114</v>
      </c>
      <c r="C830">
        <v>2137</v>
      </c>
      <c r="D830" t="s">
        <v>6</v>
      </c>
      <c r="E830" t="str">
        <f>IF(june[[#This Row],[ShiftCounter]]&gt;0, "Running", "Down")</f>
        <v>Running</v>
      </c>
    </row>
    <row r="831" spans="1:5" x14ac:dyDescent="0.25">
      <c r="A831" s="8">
        <v>44720</v>
      </c>
      <c r="B831" t="s">
        <v>114</v>
      </c>
      <c r="C831">
        <v>2031</v>
      </c>
      <c r="D831" t="s">
        <v>7</v>
      </c>
      <c r="E831" t="str">
        <f>IF(june[[#This Row],[ShiftCounter]]&gt;0, "Running", "Down")</f>
        <v>Running</v>
      </c>
    </row>
    <row r="832" spans="1:5" x14ac:dyDescent="0.25">
      <c r="A832" s="8">
        <v>44720</v>
      </c>
      <c r="B832" t="s">
        <v>114</v>
      </c>
      <c r="C832">
        <v>1750</v>
      </c>
      <c r="D832" t="s">
        <v>8</v>
      </c>
      <c r="E832" t="str">
        <f>IF(june[[#This Row],[ShiftCounter]]&gt;0, "Running", "Down")</f>
        <v>Running</v>
      </c>
    </row>
    <row r="833" spans="1:5" x14ac:dyDescent="0.25">
      <c r="A833" s="8">
        <v>44720</v>
      </c>
      <c r="B833" t="s">
        <v>14</v>
      </c>
      <c r="C833">
        <v>2422</v>
      </c>
      <c r="D833" t="s">
        <v>6</v>
      </c>
      <c r="E833" t="str">
        <f>IF(june[[#This Row],[ShiftCounter]]&gt;0, "Running", "Down")</f>
        <v>Running</v>
      </c>
    </row>
    <row r="834" spans="1:5" x14ac:dyDescent="0.25">
      <c r="A834" s="8">
        <v>44720</v>
      </c>
      <c r="B834" t="s">
        <v>14</v>
      </c>
      <c r="C834">
        <v>2347</v>
      </c>
      <c r="D834" t="s">
        <v>7</v>
      </c>
      <c r="E834" t="str">
        <f>IF(june[[#This Row],[ShiftCounter]]&gt;0, "Running", "Down")</f>
        <v>Running</v>
      </c>
    </row>
    <row r="835" spans="1:5" x14ac:dyDescent="0.25">
      <c r="A835" s="8">
        <v>44720</v>
      </c>
      <c r="B835" t="s">
        <v>14</v>
      </c>
      <c r="C835">
        <v>2017</v>
      </c>
      <c r="D835" t="s">
        <v>8</v>
      </c>
      <c r="E835" t="str">
        <f>IF(june[[#This Row],[ShiftCounter]]&gt;0, "Running", "Down")</f>
        <v>Running</v>
      </c>
    </row>
    <row r="836" spans="1:5" x14ac:dyDescent="0.25">
      <c r="A836" s="8">
        <v>44720</v>
      </c>
      <c r="B836" t="s">
        <v>15</v>
      </c>
      <c r="C836">
        <v>2269</v>
      </c>
      <c r="D836" t="s">
        <v>6</v>
      </c>
      <c r="E836" t="str">
        <f>IF(june[[#This Row],[ShiftCounter]]&gt;0, "Running", "Down")</f>
        <v>Running</v>
      </c>
    </row>
    <row r="837" spans="1:5" x14ac:dyDescent="0.25">
      <c r="A837" s="8">
        <v>44720</v>
      </c>
      <c r="B837" t="s">
        <v>15</v>
      </c>
      <c r="C837">
        <v>2238</v>
      </c>
      <c r="D837" t="s">
        <v>7</v>
      </c>
      <c r="E837" t="str">
        <f>IF(june[[#This Row],[ShiftCounter]]&gt;0, "Running", "Down")</f>
        <v>Running</v>
      </c>
    </row>
    <row r="838" spans="1:5" x14ac:dyDescent="0.25">
      <c r="A838" s="8">
        <v>44720</v>
      </c>
      <c r="B838" t="s">
        <v>15</v>
      </c>
      <c r="C838">
        <v>1854</v>
      </c>
      <c r="D838" t="s">
        <v>8</v>
      </c>
      <c r="E838" t="str">
        <f>IF(june[[#This Row],[ShiftCounter]]&gt;0, "Running", "Down")</f>
        <v>Running</v>
      </c>
    </row>
    <row r="839" spans="1:5" x14ac:dyDescent="0.25">
      <c r="A839" s="8">
        <v>44720</v>
      </c>
      <c r="B839" t="s">
        <v>16</v>
      </c>
      <c r="C839">
        <v>1934</v>
      </c>
      <c r="D839" t="s">
        <v>6</v>
      </c>
      <c r="E839" t="str">
        <f>IF(june[[#This Row],[ShiftCounter]]&gt;0, "Running", "Down")</f>
        <v>Running</v>
      </c>
    </row>
    <row r="840" spans="1:5" x14ac:dyDescent="0.25">
      <c r="A840" s="8">
        <v>44720</v>
      </c>
      <c r="B840" t="s">
        <v>16</v>
      </c>
      <c r="C840">
        <v>1973</v>
      </c>
      <c r="D840" t="s">
        <v>7</v>
      </c>
      <c r="E840" t="str">
        <f>IF(june[[#This Row],[ShiftCounter]]&gt;0, "Running", "Down")</f>
        <v>Running</v>
      </c>
    </row>
    <row r="841" spans="1:5" x14ac:dyDescent="0.25">
      <c r="A841" s="8">
        <v>44720</v>
      </c>
      <c r="B841" t="s">
        <v>16</v>
      </c>
      <c r="C841">
        <v>1749</v>
      </c>
      <c r="D841" t="s">
        <v>8</v>
      </c>
      <c r="E841" t="str">
        <f>IF(june[[#This Row],[ShiftCounter]]&gt;0, "Running", "Down")</f>
        <v>Running</v>
      </c>
    </row>
    <row r="842" spans="1:5" x14ac:dyDescent="0.25">
      <c r="A842" s="8">
        <v>44720</v>
      </c>
      <c r="B842" t="s">
        <v>17</v>
      </c>
      <c r="C842">
        <v>2404</v>
      </c>
      <c r="D842" t="s">
        <v>6</v>
      </c>
      <c r="E842" t="str">
        <f>IF(june[[#This Row],[ShiftCounter]]&gt;0, "Running", "Down")</f>
        <v>Running</v>
      </c>
    </row>
    <row r="843" spans="1:5" x14ac:dyDescent="0.25">
      <c r="A843" s="8">
        <v>44720</v>
      </c>
      <c r="B843" t="s">
        <v>17</v>
      </c>
      <c r="C843">
        <v>2422</v>
      </c>
      <c r="D843" t="s">
        <v>7</v>
      </c>
      <c r="E843" t="str">
        <f>IF(june[[#This Row],[ShiftCounter]]&gt;0, "Running", "Down")</f>
        <v>Running</v>
      </c>
    </row>
    <row r="844" spans="1:5" x14ac:dyDescent="0.25">
      <c r="A844" s="8">
        <v>44720</v>
      </c>
      <c r="B844" t="s">
        <v>17</v>
      </c>
      <c r="C844">
        <v>1984</v>
      </c>
      <c r="D844" t="s">
        <v>8</v>
      </c>
      <c r="E844" t="str">
        <f>IF(june[[#This Row],[ShiftCounter]]&gt;0, "Running", "Down")</f>
        <v>Running</v>
      </c>
    </row>
    <row r="845" spans="1:5" x14ac:dyDescent="0.25">
      <c r="A845" s="8">
        <v>44720</v>
      </c>
      <c r="B845" t="s">
        <v>19</v>
      </c>
      <c r="C845">
        <v>1892</v>
      </c>
      <c r="D845" t="s">
        <v>6</v>
      </c>
      <c r="E845" t="str">
        <f>IF(june[[#This Row],[ShiftCounter]]&gt;0, "Running", "Down")</f>
        <v>Running</v>
      </c>
    </row>
    <row r="846" spans="1:5" x14ac:dyDescent="0.25">
      <c r="A846" s="8">
        <v>44720</v>
      </c>
      <c r="B846" t="s">
        <v>19</v>
      </c>
      <c r="C846">
        <v>676</v>
      </c>
      <c r="D846" t="s">
        <v>7</v>
      </c>
      <c r="E846" t="str">
        <f>IF(june[[#This Row],[ShiftCounter]]&gt;0, "Running", "Down")</f>
        <v>Running</v>
      </c>
    </row>
    <row r="847" spans="1:5" x14ac:dyDescent="0.25">
      <c r="A847" s="8">
        <v>44720</v>
      </c>
      <c r="B847" t="s">
        <v>19</v>
      </c>
      <c r="C847">
        <v>0</v>
      </c>
      <c r="D847" t="s">
        <v>8</v>
      </c>
      <c r="E847" t="str">
        <f>IF(june[[#This Row],[ShiftCounter]]&gt;0, "Running", "Down")</f>
        <v>Down</v>
      </c>
    </row>
    <row r="848" spans="1:5" x14ac:dyDescent="0.25">
      <c r="A848" s="8">
        <v>44720</v>
      </c>
      <c r="B848" t="s">
        <v>18</v>
      </c>
      <c r="C848">
        <v>1703</v>
      </c>
      <c r="D848" t="s">
        <v>6</v>
      </c>
      <c r="E848" t="str">
        <f>IF(june[[#This Row],[ShiftCounter]]&gt;0, "Running", "Down")</f>
        <v>Running</v>
      </c>
    </row>
    <row r="849" spans="1:7" x14ac:dyDescent="0.25">
      <c r="A849" s="8">
        <v>44720</v>
      </c>
      <c r="B849" t="s">
        <v>18</v>
      </c>
      <c r="C849">
        <v>2408</v>
      </c>
      <c r="D849" t="s">
        <v>7</v>
      </c>
      <c r="E849" t="str">
        <f>IF(june[[#This Row],[ShiftCounter]]&gt;0, "Running", "Down")</f>
        <v>Running</v>
      </c>
    </row>
    <row r="850" spans="1:7" x14ac:dyDescent="0.25">
      <c r="A850" s="8">
        <v>44720</v>
      </c>
      <c r="B850" t="s">
        <v>18</v>
      </c>
      <c r="C850">
        <v>2013</v>
      </c>
      <c r="D850" t="s">
        <v>8</v>
      </c>
      <c r="E850" t="str">
        <f>IF(june[[#This Row],[ShiftCounter]]&gt;0, "Running", "Down")</f>
        <v>Running</v>
      </c>
    </row>
    <row r="851" spans="1:7" x14ac:dyDescent="0.25">
      <c r="A851" s="8">
        <v>44720</v>
      </c>
      <c r="B851" t="s">
        <v>38</v>
      </c>
      <c r="C851">
        <v>2280</v>
      </c>
      <c r="D851" t="s">
        <v>6</v>
      </c>
      <c r="E851" t="str">
        <f>IF(june[[#This Row],[ShiftCounter]]&gt;0, "Running", "Down")</f>
        <v>Running</v>
      </c>
    </row>
    <row r="852" spans="1:7" x14ac:dyDescent="0.25">
      <c r="A852" s="8">
        <v>44720</v>
      </c>
      <c r="B852" t="s">
        <v>38</v>
      </c>
      <c r="C852">
        <v>2323</v>
      </c>
      <c r="D852" t="s">
        <v>7</v>
      </c>
      <c r="E852" t="str">
        <f>IF(june[[#This Row],[ShiftCounter]]&gt;0, "Running", "Down")</f>
        <v>Running</v>
      </c>
    </row>
    <row r="853" spans="1:7" x14ac:dyDescent="0.25">
      <c r="A853" s="8">
        <v>44720</v>
      </c>
      <c r="B853" t="s">
        <v>38</v>
      </c>
      <c r="C853">
        <v>1966</v>
      </c>
      <c r="D853" t="s">
        <v>8</v>
      </c>
      <c r="E853" t="str">
        <f>IF(june[[#This Row],[ShiftCounter]]&gt;0, "Running", "Down")</f>
        <v>Running</v>
      </c>
    </row>
    <row r="854" spans="1:7" x14ac:dyDescent="0.25">
      <c r="A854" s="8">
        <v>44720</v>
      </c>
      <c r="B854" t="s">
        <v>20</v>
      </c>
      <c r="C854">
        <v>2247</v>
      </c>
      <c r="D854" t="s">
        <v>6</v>
      </c>
      <c r="E854" t="str">
        <f>IF(june[[#This Row],[ShiftCounter]]&gt;0, "Running", "Down")</f>
        <v>Running</v>
      </c>
    </row>
    <row r="855" spans="1:7" x14ac:dyDescent="0.25">
      <c r="A855" s="8">
        <v>44720</v>
      </c>
      <c r="B855" t="s">
        <v>20</v>
      </c>
      <c r="C855">
        <v>1987</v>
      </c>
      <c r="D855" t="s">
        <v>7</v>
      </c>
      <c r="E855" t="str">
        <f>IF(june[[#This Row],[ShiftCounter]]&gt;0, "Running", "Down")</f>
        <v>Running</v>
      </c>
    </row>
    <row r="856" spans="1:7" x14ac:dyDescent="0.25">
      <c r="A856" s="8">
        <v>44720</v>
      </c>
      <c r="B856" t="s">
        <v>20</v>
      </c>
      <c r="C856">
        <v>1896</v>
      </c>
      <c r="D856" t="s">
        <v>8</v>
      </c>
      <c r="E856" t="str">
        <f>IF(june[[#This Row],[ShiftCounter]]&gt;0, "Running", "Down")</f>
        <v>Running</v>
      </c>
    </row>
    <row r="857" spans="1:7" x14ac:dyDescent="0.25">
      <c r="A857" s="8">
        <v>44720</v>
      </c>
      <c r="B857" t="s">
        <v>21</v>
      </c>
      <c r="C857">
        <v>1361</v>
      </c>
      <c r="D857" t="s">
        <v>6</v>
      </c>
      <c r="E857" t="str">
        <f>IF(june[[#This Row],[ShiftCounter]]&gt;0, "Running", "Down")</f>
        <v>Running</v>
      </c>
    </row>
    <row r="858" spans="1:7" x14ac:dyDescent="0.25">
      <c r="A858" s="8">
        <v>44720</v>
      </c>
      <c r="B858" t="s">
        <v>21</v>
      </c>
      <c r="C858">
        <v>2046</v>
      </c>
      <c r="D858" t="s">
        <v>7</v>
      </c>
      <c r="E858" t="str">
        <f>IF(june[[#This Row],[ShiftCounter]]&gt;0, "Running", "Down")</f>
        <v>Running</v>
      </c>
    </row>
    <row r="859" spans="1:7" x14ac:dyDescent="0.25">
      <c r="A859" s="8">
        <v>44720</v>
      </c>
      <c r="B859" t="s">
        <v>21</v>
      </c>
      <c r="C859">
        <v>1773</v>
      </c>
      <c r="D859" t="s">
        <v>8</v>
      </c>
      <c r="E859" t="str">
        <f>IF(june[[#This Row],[ShiftCounter]]&gt;0, "Running", "Down")</f>
        <v>Running</v>
      </c>
    </row>
    <row r="860" spans="1:7" x14ac:dyDescent="0.25">
      <c r="A860" s="8">
        <v>44720</v>
      </c>
      <c r="B860" t="s">
        <v>22</v>
      </c>
      <c r="C860">
        <v>2473</v>
      </c>
      <c r="D860" t="s">
        <v>6</v>
      </c>
      <c r="E860" t="str">
        <f>IF(june[[#This Row],[ShiftCounter]]&gt;0, "Running", "Down")</f>
        <v>Running</v>
      </c>
    </row>
    <row r="861" spans="1:7" x14ac:dyDescent="0.25">
      <c r="A861" s="8">
        <v>44720</v>
      </c>
      <c r="B861" t="s">
        <v>22</v>
      </c>
      <c r="C861">
        <v>2501</v>
      </c>
      <c r="D861" t="s">
        <v>7</v>
      </c>
      <c r="E861" t="str">
        <f>IF(june[[#This Row],[ShiftCounter]]&gt;0, "Running", "Down")</f>
        <v>Running</v>
      </c>
    </row>
    <row r="862" spans="1:7" x14ac:dyDescent="0.25">
      <c r="A862" s="8">
        <v>44720</v>
      </c>
      <c r="B862" t="s">
        <v>22</v>
      </c>
      <c r="C862">
        <v>2187</v>
      </c>
      <c r="D862" t="s">
        <v>8</v>
      </c>
      <c r="E862" t="str">
        <f>IF(june[[#This Row],[ShiftCounter]]&gt;0, "Running", "Down")</f>
        <v>Running</v>
      </c>
    </row>
    <row r="863" spans="1:7" x14ac:dyDescent="0.25">
      <c r="A863" s="8">
        <v>44720</v>
      </c>
      <c r="B863" t="s">
        <v>23</v>
      </c>
      <c r="C863">
        <v>2425</v>
      </c>
      <c r="D863" t="s">
        <v>6</v>
      </c>
      <c r="E863" t="str">
        <f>IF(june[[#This Row],[ShiftCounter]]&gt;0, "Running", "Down")</f>
        <v>Running</v>
      </c>
      <c r="G863">
        <f>4850/2</f>
        <v>2425</v>
      </c>
    </row>
    <row r="864" spans="1:7" x14ac:dyDescent="0.25">
      <c r="A864" s="8">
        <v>44720</v>
      </c>
      <c r="B864" t="s">
        <v>23</v>
      </c>
      <c r="C864">
        <v>2425</v>
      </c>
      <c r="D864" t="s">
        <v>7</v>
      </c>
      <c r="E864" t="str">
        <f>IF(june[[#This Row],[ShiftCounter]]&gt;0, "Running", "Down")</f>
        <v>Running</v>
      </c>
    </row>
    <row r="865" spans="1:7" x14ac:dyDescent="0.25">
      <c r="A865" s="8">
        <v>44720</v>
      </c>
      <c r="B865" t="s">
        <v>23</v>
      </c>
      <c r="C865">
        <v>2441</v>
      </c>
      <c r="D865" t="s">
        <v>8</v>
      </c>
      <c r="E865" t="str">
        <f>IF(june[[#This Row],[ShiftCounter]]&gt;0, "Running", "Down")</f>
        <v>Running</v>
      </c>
    </row>
    <row r="866" spans="1:7" x14ac:dyDescent="0.25">
      <c r="A866" s="8">
        <v>44720</v>
      </c>
      <c r="B866" t="s">
        <v>24</v>
      </c>
      <c r="C866">
        <v>2096</v>
      </c>
      <c r="D866" t="s">
        <v>6</v>
      </c>
      <c r="E866" t="str">
        <f>IF(june[[#This Row],[ShiftCounter]]&gt;0, "Running", "Down")</f>
        <v>Running</v>
      </c>
    </row>
    <row r="867" spans="1:7" x14ac:dyDescent="0.25">
      <c r="A867" s="8">
        <v>44720</v>
      </c>
      <c r="B867" t="s">
        <v>24</v>
      </c>
      <c r="C867">
        <v>2064</v>
      </c>
      <c r="D867" t="s">
        <v>7</v>
      </c>
      <c r="E867" t="str">
        <f>IF(june[[#This Row],[ShiftCounter]]&gt;0, "Running", "Down")</f>
        <v>Running</v>
      </c>
    </row>
    <row r="868" spans="1:7" x14ac:dyDescent="0.25">
      <c r="A868" s="8">
        <v>44720</v>
      </c>
      <c r="B868" t="s">
        <v>24</v>
      </c>
      <c r="C868">
        <v>2023</v>
      </c>
      <c r="D868" t="s">
        <v>8</v>
      </c>
      <c r="E868" t="str">
        <f>IF(june[[#This Row],[ShiftCounter]]&gt;0, "Running", "Down")</f>
        <v>Running</v>
      </c>
    </row>
    <row r="869" spans="1:7" x14ac:dyDescent="0.25">
      <c r="A869" s="8">
        <v>44720</v>
      </c>
      <c r="B869" t="s">
        <v>25</v>
      </c>
      <c r="C869">
        <v>2242</v>
      </c>
      <c r="D869" t="s">
        <v>6</v>
      </c>
      <c r="E869" t="str">
        <f>IF(june[[#This Row],[ShiftCounter]]&gt;0, "Running", "Down")</f>
        <v>Running</v>
      </c>
    </row>
    <row r="870" spans="1:7" x14ac:dyDescent="0.25">
      <c r="A870" s="8">
        <v>44720</v>
      </c>
      <c r="B870" t="s">
        <v>25</v>
      </c>
      <c r="C870">
        <v>2228</v>
      </c>
      <c r="D870" t="s">
        <v>7</v>
      </c>
      <c r="E870" t="str">
        <f>IF(june[[#This Row],[ShiftCounter]]&gt;0, "Running", "Down")</f>
        <v>Running</v>
      </c>
      <c r="G870" s="8"/>
    </row>
    <row r="871" spans="1:7" x14ac:dyDescent="0.25">
      <c r="A871" s="8">
        <v>44720</v>
      </c>
      <c r="B871" t="s">
        <v>25</v>
      </c>
      <c r="C871">
        <v>2155</v>
      </c>
      <c r="D871" t="s">
        <v>8</v>
      </c>
      <c r="E871" t="str">
        <f>IF(june[[#This Row],[ShiftCounter]]&gt;0, "Running", "Down")</f>
        <v>Running</v>
      </c>
    </row>
    <row r="872" spans="1:7" x14ac:dyDescent="0.25">
      <c r="A872" s="8">
        <v>44720</v>
      </c>
      <c r="B872" t="s">
        <v>26</v>
      </c>
      <c r="C872">
        <v>1846</v>
      </c>
      <c r="D872" t="s">
        <v>6</v>
      </c>
      <c r="E872" t="str">
        <f>IF(june[[#This Row],[ShiftCounter]]&gt;0, "Running", "Down")</f>
        <v>Running</v>
      </c>
    </row>
    <row r="873" spans="1:7" x14ac:dyDescent="0.25">
      <c r="A873" s="8">
        <v>44720</v>
      </c>
      <c r="B873" t="s">
        <v>26</v>
      </c>
      <c r="C873">
        <v>2058</v>
      </c>
      <c r="D873" t="s">
        <v>7</v>
      </c>
      <c r="E873" t="str">
        <f>IF(june[[#This Row],[ShiftCounter]]&gt;0, "Running", "Down")</f>
        <v>Running</v>
      </c>
    </row>
    <row r="874" spans="1:7" x14ac:dyDescent="0.25">
      <c r="A874" s="8">
        <v>44720</v>
      </c>
      <c r="B874" t="s">
        <v>26</v>
      </c>
      <c r="C874">
        <v>1948</v>
      </c>
      <c r="D874" t="s">
        <v>8</v>
      </c>
      <c r="E874" t="str">
        <f>IF(june[[#This Row],[ShiftCounter]]&gt;0, "Running", "Down")</f>
        <v>Running</v>
      </c>
    </row>
    <row r="875" spans="1:7" x14ac:dyDescent="0.25">
      <c r="A875" s="8">
        <v>44720</v>
      </c>
      <c r="B875" t="s">
        <v>27</v>
      </c>
      <c r="C875">
        <v>1576</v>
      </c>
      <c r="D875" t="s">
        <v>6</v>
      </c>
      <c r="E875" t="str">
        <f>IF(june[[#This Row],[ShiftCounter]]&gt;0, "Running", "Down")</f>
        <v>Running</v>
      </c>
    </row>
    <row r="876" spans="1:7" x14ac:dyDescent="0.25">
      <c r="A876" s="8">
        <v>44720</v>
      </c>
      <c r="B876" t="s">
        <v>27</v>
      </c>
      <c r="C876">
        <v>2265</v>
      </c>
      <c r="D876" t="s">
        <v>7</v>
      </c>
      <c r="E876" t="str">
        <f>IF(june[[#This Row],[ShiftCounter]]&gt;0, "Running", "Down")</f>
        <v>Running</v>
      </c>
    </row>
    <row r="877" spans="1:7" x14ac:dyDescent="0.25">
      <c r="A877" s="8">
        <v>44720</v>
      </c>
      <c r="B877" t="s">
        <v>27</v>
      </c>
      <c r="C877">
        <v>2162</v>
      </c>
      <c r="D877" t="s">
        <v>8</v>
      </c>
      <c r="E877" t="str">
        <f>IF(june[[#This Row],[ShiftCounter]]&gt;0, "Running", "Down")</f>
        <v>Running</v>
      </c>
    </row>
    <row r="878" spans="1:7" x14ac:dyDescent="0.25">
      <c r="A878" s="8">
        <v>44720</v>
      </c>
      <c r="B878" t="s">
        <v>28</v>
      </c>
      <c r="C878">
        <v>2032</v>
      </c>
      <c r="D878" t="s">
        <v>6</v>
      </c>
      <c r="E878" t="str">
        <f>IF(june[[#This Row],[ShiftCounter]]&gt;0, "Running", "Down")</f>
        <v>Running</v>
      </c>
    </row>
    <row r="879" spans="1:7" x14ac:dyDescent="0.25">
      <c r="A879" s="8">
        <v>44720</v>
      </c>
      <c r="B879" t="s">
        <v>28</v>
      </c>
      <c r="C879">
        <v>2188</v>
      </c>
      <c r="D879" t="s">
        <v>7</v>
      </c>
      <c r="E879" t="str">
        <f>IF(june[[#This Row],[ShiftCounter]]&gt;0, "Running", "Down")</f>
        <v>Running</v>
      </c>
    </row>
    <row r="880" spans="1:7" x14ac:dyDescent="0.25">
      <c r="A880" s="8">
        <v>44720</v>
      </c>
      <c r="B880" t="s">
        <v>28</v>
      </c>
      <c r="C880">
        <v>2105</v>
      </c>
      <c r="D880" t="s">
        <v>8</v>
      </c>
      <c r="E880" t="str">
        <f>IF(june[[#This Row],[ShiftCounter]]&gt;0, "Running", "Down")</f>
        <v>Running</v>
      </c>
    </row>
    <row r="881" spans="1:5" x14ac:dyDescent="0.25">
      <c r="A881" s="8">
        <v>44720</v>
      </c>
      <c r="B881" t="s">
        <v>29</v>
      </c>
      <c r="C881">
        <v>2005</v>
      </c>
      <c r="D881" t="s">
        <v>6</v>
      </c>
      <c r="E881" t="str">
        <f>IF(june[[#This Row],[ShiftCounter]]&gt;0, "Running", "Down")</f>
        <v>Running</v>
      </c>
    </row>
    <row r="882" spans="1:5" x14ac:dyDescent="0.25">
      <c r="A882" s="8">
        <v>44720</v>
      </c>
      <c r="B882" t="s">
        <v>29</v>
      </c>
      <c r="C882">
        <v>2144</v>
      </c>
      <c r="D882" t="s">
        <v>7</v>
      </c>
      <c r="E882" t="str">
        <f>IF(june[[#This Row],[ShiftCounter]]&gt;0, "Running", "Down")</f>
        <v>Running</v>
      </c>
    </row>
    <row r="883" spans="1:5" x14ac:dyDescent="0.25">
      <c r="A883" s="8">
        <v>44720</v>
      </c>
      <c r="B883" t="s">
        <v>29</v>
      </c>
      <c r="C883">
        <v>2080</v>
      </c>
      <c r="D883" t="s">
        <v>8</v>
      </c>
      <c r="E883" t="str">
        <f>IF(june[[#This Row],[ShiftCounter]]&gt;0, "Running", "Down")</f>
        <v>Running</v>
      </c>
    </row>
    <row r="884" spans="1:5" x14ac:dyDescent="0.25">
      <c r="A884" s="8">
        <v>44720</v>
      </c>
      <c r="B884" t="s">
        <v>30</v>
      </c>
      <c r="C884">
        <v>2285</v>
      </c>
      <c r="D884" t="s">
        <v>6</v>
      </c>
      <c r="E884" t="str">
        <f>IF(june[[#This Row],[ShiftCounter]]&gt;0, "Running", "Down")</f>
        <v>Running</v>
      </c>
    </row>
    <row r="885" spans="1:5" x14ac:dyDescent="0.25">
      <c r="A885" s="8">
        <v>44720</v>
      </c>
      <c r="B885" t="s">
        <v>30</v>
      </c>
      <c r="C885">
        <v>2210</v>
      </c>
      <c r="D885" t="s">
        <v>7</v>
      </c>
      <c r="E885" t="str">
        <f>IF(june[[#This Row],[ShiftCounter]]&gt;0, "Running", "Down")</f>
        <v>Running</v>
      </c>
    </row>
    <row r="886" spans="1:5" x14ac:dyDescent="0.25">
      <c r="A886" s="8">
        <v>44720</v>
      </c>
      <c r="B886" t="s">
        <v>30</v>
      </c>
      <c r="C886">
        <v>2004</v>
      </c>
      <c r="D886" t="s">
        <v>8</v>
      </c>
      <c r="E886" t="str">
        <f>IF(june[[#This Row],[ShiftCounter]]&gt;0, "Running", "Down")</f>
        <v>Running</v>
      </c>
    </row>
    <row r="887" spans="1:5" x14ac:dyDescent="0.25">
      <c r="A887" s="8">
        <v>44720</v>
      </c>
      <c r="B887" t="s">
        <v>32</v>
      </c>
      <c r="C887">
        <v>2106</v>
      </c>
      <c r="D887" t="s">
        <v>6</v>
      </c>
      <c r="E887" t="str">
        <f>IF(june[[#This Row],[ShiftCounter]]&gt;0, "Running", "Down")</f>
        <v>Running</v>
      </c>
    </row>
    <row r="888" spans="1:5" x14ac:dyDescent="0.25">
      <c r="A888" s="8">
        <v>44720</v>
      </c>
      <c r="B888" t="s">
        <v>32</v>
      </c>
      <c r="C888">
        <v>2023</v>
      </c>
      <c r="D888" t="s">
        <v>7</v>
      </c>
      <c r="E888" t="str">
        <f>IF(june[[#This Row],[ShiftCounter]]&gt;0, "Running", "Down")</f>
        <v>Running</v>
      </c>
    </row>
    <row r="889" spans="1:5" x14ac:dyDescent="0.25">
      <c r="A889" s="8">
        <v>44720</v>
      </c>
      <c r="B889" t="s">
        <v>32</v>
      </c>
      <c r="C889">
        <v>1804</v>
      </c>
      <c r="D889" t="s">
        <v>8</v>
      </c>
      <c r="E889" t="str">
        <f>IF(june[[#This Row],[ShiftCounter]]&gt;0, "Running", "Down")</f>
        <v>Running</v>
      </c>
    </row>
    <row r="890" spans="1:5" x14ac:dyDescent="0.25">
      <c r="A890" s="8">
        <v>44720</v>
      </c>
      <c r="B890" t="s">
        <v>31</v>
      </c>
      <c r="C890">
        <v>2260</v>
      </c>
      <c r="D890" t="s">
        <v>6</v>
      </c>
      <c r="E890" t="str">
        <f>IF(june[[#This Row],[ShiftCounter]]&gt;0, "Running", "Down")</f>
        <v>Running</v>
      </c>
    </row>
    <row r="891" spans="1:5" x14ac:dyDescent="0.25">
      <c r="A891" s="8">
        <v>44720</v>
      </c>
      <c r="B891" t="s">
        <v>31</v>
      </c>
      <c r="C891">
        <v>2190</v>
      </c>
      <c r="D891" t="s">
        <v>7</v>
      </c>
      <c r="E891" t="str">
        <f>IF(june[[#This Row],[ShiftCounter]]&gt;0, "Running", "Down")</f>
        <v>Running</v>
      </c>
    </row>
    <row r="892" spans="1:5" x14ac:dyDescent="0.25">
      <c r="A892" s="8">
        <v>44720</v>
      </c>
      <c r="B892" t="s">
        <v>31</v>
      </c>
      <c r="C892">
        <v>1955</v>
      </c>
      <c r="D892" t="s">
        <v>8</v>
      </c>
      <c r="E892" t="str">
        <f>IF(june[[#This Row],[ShiftCounter]]&gt;0, "Running", "Down")</f>
        <v>Running</v>
      </c>
    </row>
    <row r="893" spans="1:5" x14ac:dyDescent="0.25">
      <c r="A893" s="8">
        <v>44720</v>
      </c>
      <c r="B893" t="s">
        <v>71</v>
      </c>
      <c r="C893">
        <v>1190</v>
      </c>
      <c r="D893" t="s">
        <v>6</v>
      </c>
      <c r="E893" t="str">
        <f>IF(june[[#This Row],[ShiftCounter]]&gt;0, "Running", "Down")</f>
        <v>Running</v>
      </c>
    </row>
    <row r="894" spans="1:5" x14ac:dyDescent="0.25">
      <c r="A894" s="8">
        <v>44720</v>
      </c>
      <c r="B894" t="s">
        <v>71</v>
      </c>
      <c r="C894">
        <v>1750</v>
      </c>
      <c r="D894" t="s">
        <v>7</v>
      </c>
      <c r="E894" t="str">
        <f>IF(june[[#This Row],[ShiftCounter]]&gt;0, "Running", "Down")</f>
        <v>Running</v>
      </c>
    </row>
    <row r="895" spans="1:5" x14ac:dyDescent="0.25">
      <c r="A895" s="8">
        <v>44720</v>
      </c>
      <c r="B895" t="s">
        <v>71</v>
      </c>
      <c r="C895">
        <v>1624</v>
      </c>
      <c r="D895" t="s">
        <v>8</v>
      </c>
      <c r="E895" t="str">
        <f>IF(june[[#This Row],[ShiftCounter]]&gt;0, "Running", "Down")</f>
        <v>Running</v>
      </c>
    </row>
    <row r="896" spans="1:5" x14ac:dyDescent="0.25">
      <c r="A896" s="8">
        <v>44720</v>
      </c>
      <c r="B896" t="s">
        <v>33</v>
      </c>
      <c r="C896">
        <v>2456</v>
      </c>
      <c r="D896" t="s">
        <v>6</v>
      </c>
      <c r="E896" t="str">
        <f>IF(june[[#This Row],[ShiftCounter]]&gt;0, "Running", "Down")</f>
        <v>Running</v>
      </c>
    </row>
    <row r="897" spans="1:5" x14ac:dyDescent="0.25">
      <c r="A897" s="8">
        <v>44720</v>
      </c>
      <c r="B897" t="s">
        <v>33</v>
      </c>
      <c r="C897">
        <v>2383</v>
      </c>
      <c r="D897" t="s">
        <v>7</v>
      </c>
      <c r="E897" t="str">
        <f>IF(june[[#This Row],[ShiftCounter]]&gt;0, "Running", "Down")</f>
        <v>Running</v>
      </c>
    </row>
    <row r="898" spans="1:5" x14ac:dyDescent="0.25">
      <c r="A898" s="8">
        <v>44720</v>
      </c>
      <c r="B898" t="s">
        <v>33</v>
      </c>
      <c r="C898">
        <v>2141</v>
      </c>
      <c r="D898" t="s">
        <v>8</v>
      </c>
      <c r="E898" t="str">
        <f>IF(june[[#This Row],[ShiftCounter]]&gt;0, "Running", "Down")</f>
        <v>Running</v>
      </c>
    </row>
    <row r="899" spans="1:5" x14ac:dyDescent="0.25">
      <c r="A899" s="8">
        <v>44720</v>
      </c>
      <c r="B899" t="s">
        <v>34</v>
      </c>
      <c r="C899">
        <v>2145</v>
      </c>
      <c r="D899" t="s">
        <v>6</v>
      </c>
      <c r="E899" t="str">
        <f>IF(june[[#This Row],[ShiftCounter]]&gt;0, "Running", "Down")</f>
        <v>Running</v>
      </c>
    </row>
    <row r="900" spans="1:5" x14ac:dyDescent="0.25">
      <c r="A900" s="8">
        <v>44720</v>
      </c>
      <c r="B900" t="s">
        <v>34</v>
      </c>
      <c r="C900">
        <v>2100</v>
      </c>
      <c r="D900" t="s">
        <v>7</v>
      </c>
      <c r="E900" t="str">
        <f>IF(june[[#This Row],[ShiftCounter]]&gt;0, "Running", "Down")</f>
        <v>Running</v>
      </c>
    </row>
    <row r="901" spans="1:5" x14ac:dyDescent="0.25">
      <c r="A901" s="8">
        <v>44720</v>
      </c>
      <c r="B901" t="s">
        <v>34</v>
      </c>
      <c r="C901">
        <v>1881</v>
      </c>
      <c r="D901" t="s">
        <v>8</v>
      </c>
      <c r="E901" t="str">
        <f>IF(june[[#This Row],[ShiftCounter]]&gt;0, "Running", "Down")</f>
        <v>Running</v>
      </c>
    </row>
    <row r="902" spans="1:5" x14ac:dyDescent="0.25">
      <c r="A902" s="8">
        <v>44720</v>
      </c>
      <c r="B902" t="s">
        <v>35</v>
      </c>
      <c r="C902">
        <v>2241</v>
      </c>
      <c r="D902" t="s">
        <v>6</v>
      </c>
      <c r="E902" t="str">
        <f>IF(june[[#This Row],[ShiftCounter]]&gt;0, "Running", "Down")</f>
        <v>Running</v>
      </c>
    </row>
    <row r="903" spans="1:5" x14ac:dyDescent="0.25">
      <c r="A903" s="8">
        <v>44720</v>
      </c>
      <c r="B903" t="s">
        <v>35</v>
      </c>
      <c r="C903">
        <v>2162</v>
      </c>
      <c r="D903" t="s">
        <v>7</v>
      </c>
      <c r="E903" t="str">
        <f>IF(june[[#This Row],[ShiftCounter]]&gt;0, "Running", "Down")</f>
        <v>Running</v>
      </c>
    </row>
    <row r="904" spans="1:5" x14ac:dyDescent="0.25">
      <c r="A904" s="8">
        <v>44720</v>
      </c>
      <c r="B904" t="s">
        <v>35</v>
      </c>
      <c r="C904">
        <v>1997</v>
      </c>
      <c r="D904" t="s">
        <v>8</v>
      </c>
      <c r="E904" t="str">
        <f>IF(june[[#This Row],[ShiftCounter]]&gt;0, "Running", "Down")</f>
        <v>Running</v>
      </c>
    </row>
    <row r="905" spans="1:5" x14ac:dyDescent="0.25">
      <c r="A905" s="8">
        <v>44720</v>
      </c>
      <c r="B905" t="s">
        <v>36</v>
      </c>
      <c r="C905">
        <v>2512</v>
      </c>
      <c r="D905" t="s">
        <v>6</v>
      </c>
      <c r="E905" t="str">
        <f>IF(june[[#This Row],[ShiftCounter]]&gt;0, "Running", "Down")</f>
        <v>Running</v>
      </c>
    </row>
    <row r="906" spans="1:5" x14ac:dyDescent="0.25">
      <c r="A906" s="8">
        <v>44720</v>
      </c>
      <c r="B906" t="s">
        <v>36</v>
      </c>
      <c r="C906">
        <v>2351</v>
      </c>
      <c r="D906" t="s">
        <v>7</v>
      </c>
      <c r="E906" t="str">
        <f>IF(june[[#This Row],[ShiftCounter]]&gt;0, "Running", "Down")</f>
        <v>Running</v>
      </c>
    </row>
    <row r="907" spans="1:5" x14ac:dyDescent="0.25">
      <c r="A907" s="8">
        <v>44720</v>
      </c>
      <c r="B907" t="s">
        <v>36</v>
      </c>
      <c r="C907">
        <v>2179</v>
      </c>
      <c r="D907" t="s">
        <v>8</v>
      </c>
      <c r="E907" t="str">
        <f>IF(june[[#This Row],[ShiftCounter]]&gt;0, "Running", "Down")</f>
        <v>Running</v>
      </c>
    </row>
    <row r="908" spans="1:5" x14ac:dyDescent="0.25">
      <c r="A908" s="8">
        <v>44720</v>
      </c>
      <c r="B908" t="s">
        <v>37</v>
      </c>
      <c r="C908">
        <v>2365</v>
      </c>
      <c r="D908" t="s">
        <v>6</v>
      </c>
      <c r="E908" t="str">
        <f>IF(june[[#This Row],[ShiftCounter]]&gt;0, "Running", "Down")</f>
        <v>Running</v>
      </c>
    </row>
    <row r="909" spans="1:5" x14ac:dyDescent="0.25">
      <c r="A909" s="8">
        <v>44720</v>
      </c>
      <c r="B909" t="s">
        <v>37</v>
      </c>
      <c r="C909">
        <v>2389</v>
      </c>
      <c r="D909" t="s">
        <v>7</v>
      </c>
      <c r="E909" t="str">
        <f>IF(june[[#This Row],[ShiftCounter]]&gt;0, "Running", "Down")</f>
        <v>Running</v>
      </c>
    </row>
    <row r="910" spans="1:5" x14ac:dyDescent="0.25">
      <c r="A910" s="8">
        <v>44720</v>
      </c>
      <c r="B910" t="s">
        <v>37</v>
      </c>
      <c r="C910">
        <v>2207</v>
      </c>
      <c r="D910" t="s">
        <v>8</v>
      </c>
      <c r="E910" t="str">
        <f>IF(june[[#This Row],[ShiftCounter]]&gt;0, "Running", "Down")</f>
        <v>Running</v>
      </c>
    </row>
    <row r="911" spans="1:5" x14ac:dyDescent="0.25">
      <c r="A911" s="8">
        <v>44720</v>
      </c>
      <c r="B911" t="s">
        <v>54</v>
      </c>
      <c r="C911">
        <v>0</v>
      </c>
      <c r="D911" t="s">
        <v>6</v>
      </c>
      <c r="E911" t="str">
        <f>IF(june[[#This Row],[ShiftCounter]]&gt;0, "Running", "Down")</f>
        <v>Down</v>
      </c>
    </row>
    <row r="912" spans="1:5" x14ac:dyDescent="0.25">
      <c r="A912" s="8">
        <v>44720</v>
      </c>
      <c r="B912" t="s">
        <v>54</v>
      </c>
      <c r="C912">
        <v>0</v>
      </c>
      <c r="D912" t="s">
        <v>7</v>
      </c>
      <c r="E912" t="str">
        <f>IF(june[[#This Row],[ShiftCounter]]&gt;0, "Running", "Down")</f>
        <v>Down</v>
      </c>
    </row>
    <row r="913" spans="1:5" x14ac:dyDescent="0.25">
      <c r="A913" s="8">
        <v>44720</v>
      </c>
      <c r="B913" t="s">
        <v>54</v>
      </c>
      <c r="C913">
        <v>1763</v>
      </c>
      <c r="D913" t="s">
        <v>8</v>
      </c>
      <c r="E913" t="str">
        <f>IF(june[[#This Row],[ShiftCounter]]&gt;0, "Running", "Down")</f>
        <v>Running</v>
      </c>
    </row>
    <row r="914" spans="1:5" x14ac:dyDescent="0.25">
      <c r="A914" s="8">
        <v>44721</v>
      </c>
      <c r="B914" t="s">
        <v>160</v>
      </c>
      <c r="C914">
        <v>2066</v>
      </c>
      <c r="D914" t="s">
        <v>6</v>
      </c>
      <c r="E914" t="str">
        <f>IF(june[[#This Row],[ShiftCounter]]&gt;0, "Running", "Down")</f>
        <v>Running</v>
      </c>
    </row>
    <row r="915" spans="1:5" x14ac:dyDescent="0.25">
      <c r="A915" s="8">
        <v>44721</v>
      </c>
      <c r="B915" t="s">
        <v>160</v>
      </c>
      <c r="C915">
        <v>2033</v>
      </c>
      <c r="D915" t="s">
        <v>7</v>
      </c>
      <c r="E915" t="str">
        <f>IF(june[[#This Row],[ShiftCounter]]&gt;0, "Running", "Down")</f>
        <v>Running</v>
      </c>
    </row>
    <row r="916" spans="1:5" x14ac:dyDescent="0.25">
      <c r="A916" s="8">
        <v>44721</v>
      </c>
      <c r="B916" t="s">
        <v>160</v>
      </c>
      <c r="C916">
        <v>2050</v>
      </c>
      <c r="D916" t="s">
        <v>8</v>
      </c>
      <c r="E916" t="str">
        <f>IF(june[[#This Row],[ShiftCounter]]&gt;0, "Running", "Down")</f>
        <v>Running</v>
      </c>
    </row>
    <row r="917" spans="1:5" x14ac:dyDescent="0.25">
      <c r="A917" s="8">
        <v>44721</v>
      </c>
      <c r="B917" t="s">
        <v>158</v>
      </c>
      <c r="C917">
        <v>2844</v>
      </c>
      <c r="D917" t="s">
        <v>6</v>
      </c>
      <c r="E917" t="str">
        <f>IF(june[[#This Row],[ShiftCounter]]&gt;0, "Running", "Down")</f>
        <v>Running</v>
      </c>
    </row>
    <row r="918" spans="1:5" x14ac:dyDescent="0.25">
      <c r="A918" s="8">
        <v>44721</v>
      </c>
      <c r="B918" t="s">
        <v>158</v>
      </c>
      <c r="C918">
        <v>2095</v>
      </c>
      <c r="D918" t="s">
        <v>7</v>
      </c>
      <c r="E918" t="str">
        <f>IF(june[[#This Row],[ShiftCounter]]&gt;0, "Running", "Down")</f>
        <v>Running</v>
      </c>
    </row>
    <row r="919" spans="1:5" x14ac:dyDescent="0.25">
      <c r="A919" s="8">
        <v>44721</v>
      </c>
      <c r="B919" t="s">
        <v>158</v>
      </c>
      <c r="C919">
        <v>1882</v>
      </c>
      <c r="D919" t="s">
        <v>8</v>
      </c>
      <c r="E919" t="str">
        <f>IF(june[[#This Row],[ShiftCounter]]&gt;0, "Running", "Down")</f>
        <v>Running</v>
      </c>
    </row>
    <row r="920" spans="1:5" x14ac:dyDescent="0.25">
      <c r="A920" s="8">
        <v>44721</v>
      </c>
      <c r="B920" t="s">
        <v>40</v>
      </c>
      <c r="C920">
        <v>2912</v>
      </c>
      <c r="D920" t="s">
        <v>6</v>
      </c>
      <c r="E920" t="str">
        <f>IF(june[[#This Row],[ShiftCounter]]&gt;0, "Running", "Down")</f>
        <v>Running</v>
      </c>
    </row>
    <row r="921" spans="1:5" x14ac:dyDescent="0.25">
      <c r="A921" s="8">
        <v>44721</v>
      </c>
      <c r="B921" t="s">
        <v>40</v>
      </c>
      <c r="C921">
        <v>2165</v>
      </c>
      <c r="D921" t="s">
        <v>7</v>
      </c>
      <c r="E921" t="str">
        <f>IF(june[[#This Row],[ShiftCounter]]&gt;0, "Running", "Down")</f>
        <v>Running</v>
      </c>
    </row>
    <row r="922" spans="1:5" x14ac:dyDescent="0.25">
      <c r="A922" s="8">
        <v>44721</v>
      </c>
      <c r="B922" t="s">
        <v>40</v>
      </c>
      <c r="C922">
        <v>1935</v>
      </c>
      <c r="D922" t="s">
        <v>8</v>
      </c>
      <c r="E922" t="str">
        <f>IF(june[[#This Row],[ShiftCounter]]&gt;0, "Running", "Down")</f>
        <v>Running</v>
      </c>
    </row>
    <row r="923" spans="1:5" x14ac:dyDescent="0.25">
      <c r="A923" s="8">
        <v>44721</v>
      </c>
      <c r="B923" t="s">
        <v>39</v>
      </c>
      <c r="C923">
        <v>2826</v>
      </c>
      <c r="D923" t="s">
        <v>6</v>
      </c>
      <c r="E923" t="str">
        <f>IF(june[[#This Row],[ShiftCounter]]&gt;0, "Running", "Down")</f>
        <v>Running</v>
      </c>
    </row>
    <row r="924" spans="1:5" x14ac:dyDescent="0.25">
      <c r="A924" s="8">
        <v>44721</v>
      </c>
      <c r="B924" t="s">
        <v>39</v>
      </c>
      <c r="C924">
        <v>2131</v>
      </c>
      <c r="D924" t="s">
        <v>7</v>
      </c>
      <c r="E924" t="str">
        <f>IF(june[[#This Row],[ShiftCounter]]&gt;0, "Running", "Down")</f>
        <v>Running</v>
      </c>
    </row>
    <row r="925" spans="1:5" x14ac:dyDescent="0.25">
      <c r="A925" s="8">
        <v>44721</v>
      </c>
      <c r="B925" t="s">
        <v>39</v>
      </c>
      <c r="C925">
        <v>1881</v>
      </c>
      <c r="D925" t="s">
        <v>8</v>
      </c>
      <c r="E925" t="str">
        <f>IF(june[[#This Row],[ShiftCounter]]&gt;0, "Running", "Down")</f>
        <v>Running</v>
      </c>
    </row>
    <row r="926" spans="1:5" x14ac:dyDescent="0.25">
      <c r="A926" s="8">
        <v>44721</v>
      </c>
      <c r="B926" t="s">
        <v>41</v>
      </c>
      <c r="C926">
        <v>2931</v>
      </c>
      <c r="D926" t="s">
        <v>6</v>
      </c>
      <c r="E926" t="str">
        <f>IF(june[[#This Row],[ShiftCounter]]&gt;0, "Running", "Down")</f>
        <v>Running</v>
      </c>
    </row>
    <row r="927" spans="1:5" x14ac:dyDescent="0.25">
      <c r="A927" s="8">
        <v>44721</v>
      </c>
      <c r="B927" t="s">
        <v>41</v>
      </c>
      <c r="C927">
        <v>2219</v>
      </c>
      <c r="D927" t="s">
        <v>7</v>
      </c>
      <c r="E927" t="str">
        <f>IF(june[[#This Row],[ShiftCounter]]&gt;0, "Running", "Down")</f>
        <v>Running</v>
      </c>
    </row>
    <row r="928" spans="1:5" x14ac:dyDescent="0.25">
      <c r="A928" s="8">
        <v>44721</v>
      </c>
      <c r="B928" t="s">
        <v>41</v>
      </c>
      <c r="C928">
        <v>1915</v>
      </c>
      <c r="D928" t="s">
        <v>8</v>
      </c>
      <c r="E928" t="str">
        <f>IF(june[[#This Row],[ShiftCounter]]&gt;0, "Running", "Down")</f>
        <v>Running</v>
      </c>
    </row>
    <row r="929" spans="1:5" x14ac:dyDescent="0.25">
      <c r="A929" s="8">
        <v>44721</v>
      </c>
      <c r="B929" t="s">
        <v>9</v>
      </c>
      <c r="C929">
        <v>2890</v>
      </c>
      <c r="D929" t="s">
        <v>6</v>
      </c>
      <c r="E929" t="str">
        <f>IF(june[[#This Row],[ShiftCounter]]&gt;0, "Running", "Down")</f>
        <v>Running</v>
      </c>
    </row>
    <row r="930" spans="1:5" x14ac:dyDescent="0.25">
      <c r="A930" s="8">
        <v>44721</v>
      </c>
      <c r="B930" t="s">
        <v>9</v>
      </c>
      <c r="C930">
        <v>2265</v>
      </c>
      <c r="D930" t="s">
        <v>7</v>
      </c>
      <c r="E930" t="str">
        <f>IF(june[[#This Row],[ShiftCounter]]&gt;0, "Running", "Down")</f>
        <v>Running</v>
      </c>
    </row>
    <row r="931" spans="1:5" x14ac:dyDescent="0.25">
      <c r="A931" s="8">
        <v>44721</v>
      </c>
      <c r="B931" t="s">
        <v>9</v>
      </c>
      <c r="C931">
        <v>1896</v>
      </c>
      <c r="D931" t="s">
        <v>8</v>
      </c>
      <c r="E931" t="str">
        <f>IF(june[[#This Row],[ShiftCounter]]&gt;0, "Running", "Down")</f>
        <v>Running</v>
      </c>
    </row>
    <row r="932" spans="1:5" x14ac:dyDescent="0.25">
      <c r="A932" s="8">
        <v>44721</v>
      </c>
      <c r="B932" t="s">
        <v>5</v>
      </c>
      <c r="C932">
        <v>2827</v>
      </c>
      <c r="D932" t="s">
        <v>6</v>
      </c>
      <c r="E932" t="str">
        <f>IF(june[[#This Row],[ShiftCounter]]&gt;0, "Running", "Down")</f>
        <v>Running</v>
      </c>
    </row>
    <row r="933" spans="1:5" x14ac:dyDescent="0.25">
      <c r="A933" s="8">
        <v>44721</v>
      </c>
      <c r="B933" t="s">
        <v>5</v>
      </c>
      <c r="C933">
        <v>2211</v>
      </c>
      <c r="D933" t="s">
        <v>7</v>
      </c>
      <c r="E933" t="str">
        <f>IF(june[[#This Row],[ShiftCounter]]&gt;0, "Running", "Down")</f>
        <v>Running</v>
      </c>
    </row>
    <row r="934" spans="1:5" x14ac:dyDescent="0.25">
      <c r="A934" s="8">
        <v>44721</v>
      </c>
      <c r="B934" t="s">
        <v>5</v>
      </c>
      <c r="C934">
        <v>2210</v>
      </c>
      <c r="D934" t="s">
        <v>8</v>
      </c>
      <c r="E934" t="str">
        <f>IF(june[[#This Row],[ShiftCounter]]&gt;0, "Running", "Down")</f>
        <v>Running</v>
      </c>
    </row>
    <row r="935" spans="1:5" x14ac:dyDescent="0.25">
      <c r="A935" s="8">
        <v>44721</v>
      </c>
      <c r="B935" t="s">
        <v>10</v>
      </c>
      <c r="C935">
        <v>2924</v>
      </c>
      <c r="D935" t="s">
        <v>6</v>
      </c>
      <c r="E935" t="str">
        <f>IF(june[[#This Row],[ShiftCounter]]&gt;0, "Running", "Down")</f>
        <v>Running</v>
      </c>
    </row>
    <row r="936" spans="1:5" x14ac:dyDescent="0.25">
      <c r="A936" s="8">
        <v>44721</v>
      </c>
      <c r="B936" t="s">
        <v>10</v>
      </c>
      <c r="C936">
        <v>2233</v>
      </c>
      <c r="D936" t="s">
        <v>7</v>
      </c>
      <c r="E936" t="str">
        <f>IF(june[[#This Row],[ShiftCounter]]&gt;0, "Running", "Down")</f>
        <v>Running</v>
      </c>
    </row>
    <row r="937" spans="1:5" x14ac:dyDescent="0.25">
      <c r="A937" s="8">
        <v>44721</v>
      </c>
      <c r="B937" t="s">
        <v>10</v>
      </c>
      <c r="C937">
        <v>2228</v>
      </c>
      <c r="D937" t="s">
        <v>8</v>
      </c>
      <c r="E937" t="str">
        <f>IF(june[[#This Row],[ShiftCounter]]&gt;0, "Running", "Down")</f>
        <v>Running</v>
      </c>
    </row>
    <row r="938" spans="1:5" x14ac:dyDescent="0.25">
      <c r="A938" s="8">
        <v>44721</v>
      </c>
      <c r="B938" t="s">
        <v>11</v>
      </c>
      <c r="C938">
        <v>2933</v>
      </c>
      <c r="D938" t="s">
        <v>6</v>
      </c>
      <c r="E938" t="str">
        <f>IF(june[[#This Row],[ShiftCounter]]&gt;0, "Running", "Down")</f>
        <v>Running</v>
      </c>
    </row>
    <row r="939" spans="1:5" x14ac:dyDescent="0.25">
      <c r="A939" s="8">
        <v>44721</v>
      </c>
      <c r="B939" t="s">
        <v>11</v>
      </c>
      <c r="C939">
        <v>2245</v>
      </c>
      <c r="D939" t="s">
        <v>7</v>
      </c>
      <c r="E939" t="str">
        <f>IF(june[[#This Row],[ShiftCounter]]&gt;0, "Running", "Down")</f>
        <v>Running</v>
      </c>
    </row>
    <row r="940" spans="1:5" x14ac:dyDescent="0.25">
      <c r="A940" s="8">
        <v>44721</v>
      </c>
      <c r="B940" t="s">
        <v>11</v>
      </c>
      <c r="C940">
        <v>1896</v>
      </c>
      <c r="D940" t="s">
        <v>8</v>
      </c>
      <c r="E940" t="str">
        <f>IF(june[[#This Row],[ShiftCounter]]&gt;0, "Running", "Down")</f>
        <v>Running</v>
      </c>
    </row>
    <row r="941" spans="1:5" x14ac:dyDescent="0.25">
      <c r="A941" s="8">
        <v>44721</v>
      </c>
      <c r="B941" t="s">
        <v>12</v>
      </c>
      <c r="C941">
        <v>2359</v>
      </c>
      <c r="D941" t="s">
        <v>6</v>
      </c>
      <c r="E941" t="str">
        <f>IF(june[[#This Row],[ShiftCounter]]&gt;0, "Running", "Down")</f>
        <v>Running</v>
      </c>
    </row>
    <row r="942" spans="1:5" x14ac:dyDescent="0.25">
      <c r="A942" s="8">
        <v>44721</v>
      </c>
      <c r="B942" t="s">
        <v>12</v>
      </c>
      <c r="C942">
        <v>2254</v>
      </c>
      <c r="D942" t="s">
        <v>7</v>
      </c>
      <c r="E942" t="str">
        <f>IF(june[[#This Row],[ShiftCounter]]&gt;0, "Running", "Down")</f>
        <v>Running</v>
      </c>
    </row>
    <row r="943" spans="1:5" x14ac:dyDescent="0.25">
      <c r="A943" s="8">
        <v>44721</v>
      </c>
      <c r="B943" t="s">
        <v>12</v>
      </c>
      <c r="C943">
        <v>2008</v>
      </c>
      <c r="D943" t="s">
        <v>8</v>
      </c>
      <c r="E943" t="str">
        <f>IF(june[[#This Row],[ShiftCounter]]&gt;0, "Running", "Down")</f>
        <v>Running</v>
      </c>
    </row>
    <row r="944" spans="1:5" x14ac:dyDescent="0.25">
      <c r="A944" s="8">
        <v>44721</v>
      </c>
      <c r="B944" t="s">
        <v>13</v>
      </c>
      <c r="C944">
        <v>2215</v>
      </c>
      <c r="D944" t="s">
        <v>6</v>
      </c>
      <c r="E944" t="str">
        <f>IF(june[[#This Row],[ShiftCounter]]&gt;0, "Running", "Down")</f>
        <v>Running</v>
      </c>
    </row>
    <row r="945" spans="1:5" x14ac:dyDescent="0.25">
      <c r="A945" s="8">
        <v>44721</v>
      </c>
      <c r="B945" t="s">
        <v>13</v>
      </c>
      <c r="C945">
        <v>2232</v>
      </c>
      <c r="D945" t="s">
        <v>7</v>
      </c>
      <c r="E945" t="str">
        <f>IF(june[[#This Row],[ShiftCounter]]&gt;0, "Running", "Down")</f>
        <v>Running</v>
      </c>
    </row>
    <row r="946" spans="1:5" x14ac:dyDescent="0.25">
      <c r="A946" s="8">
        <v>44721</v>
      </c>
      <c r="B946" t="s">
        <v>13</v>
      </c>
      <c r="C946">
        <v>1923</v>
      </c>
      <c r="D946" t="s">
        <v>8</v>
      </c>
      <c r="E946" t="str">
        <f>IF(june[[#This Row],[ShiftCounter]]&gt;0, "Running", "Down")</f>
        <v>Running</v>
      </c>
    </row>
    <row r="947" spans="1:5" x14ac:dyDescent="0.25">
      <c r="A947" s="8">
        <v>44721</v>
      </c>
      <c r="B947" t="s">
        <v>114</v>
      </c>
      <c r="C947">
        <v>0</v>
      </c>
      <c r="D947" t="s">
        <v>6</v>
      </c>
      <c r="E947" t="str">
        <f>IF(june[[#This Row],[ShiftCounter]]&gt;0, "Running", "Down")</f>
        <v>Down</v>
      </c>
    </row>
    <row r="948" spans="1:5" x14ac:dyDescent="0.25">
      <c r="A948" s="8">
        <v>44721</v>
      </c>
      <c r="B948" t="s">
        <v>114</v>
      </c>
      <c r="C948">
        <v>1962</v>
      </c>
      <c r="D948" t="s">
        <v>7</v>
      </c>
      <c r="E948" t="str">
        <f>IF(june[[#This Row],[ShiftCounter]]&gt;0, "Running", "Down")</f>
        <v>Running</v>
      </c>
    </row>
    <row r="949" spans="1:5" x14ac:dyDescent="0.25">
      <c r="A949" s="8">
        <v>44721</v>
      </c>
      <c r="B949" t="s">
        <v>114</v>
      </c>
      <c r="C949">
        <v>1847</v>
      </c>
      <c r="D949" t="s">
        <v>8</v>
      </c>
      <c r="E949" t="str">
        <f>IF(june[[#This Row],[ShiftCounter]]&gt;0, "Running", "Down")</f>
        <v>Running</v>
      </c>
    </row>
    <row r="950" spans="1:5" x14ac:dyDescent="0.25">
      <c r="A950" s="8">
        <v>44721</v>
      </c>
      <c r="B950" t="s">
        <v>14</v>
      </c>
      <c r="C950">
        <v>2036</v>
      </c>
      <c r="D950" t="s">
        <v>6</v>
      </c>
      <c r="E950" t="str">
        <f>IF(june[[#This Row],[ShiftCounter]]&gt;0, "Running", "Down")</f>
        <v>Running</v>
      </c>
    </row>
    <row r="951" spans="1:5" x14ac:dyDescent="0.25">
      <c r="A951" s="8">
        <v>44721</v>
      </c>
      <c r="B951" t="s">
        <v>14</v>
      </c>
      <c r="C951">
        <v>2484</v>
      </c>
      <c r="D951" t="s">
        <v>7</v>
      </c>
      <c r="E951" t="str">
        <f>IF(june[[#This Row],[ShiftCounter]]&gt;0, "Running", "Down")</f>
        <v>Running</v>
      </c>
    </row>
    <row r="952" spans="1:5" x14ac:dyDescent="0.25">
      <c r="A952" s="8">
        <v>44721</v>
      </c>
      <c r="B952" t="s">
        <v>14</v>
      </c>
      <c r="C952">
        <v>2127</v>
      </c>
      <c r="D952" t="s">
        <v>8</v>
      </c>
      <c r="E952" t="str">
        <f>IF(june[[#This Row],[ShiftCounter]]&gt;0, "Running", "Down")</f>
        <v>Running</v>
      </c>
    </row>
    <row r="953" spans="1:5" x14ac:dyDescent="0.25">
      <c r="A953" s="8">
        <v>44721</v>
      </c>
      <c r="B953" t="s">
        <v>15</v>
      </c>
      <c r="C953">
        <v>2315</v>
      </c>
      <c r="D953" t="s">
        <v>6</v>
      </c>
      <c r="E953" t="str">
        <f>IF(june[[#This Row],[ShiftCounter]]&gt;0, "Running", "Down")</f>
        <v>Running</v>
      </c>
    </row>
    <row r="954" spans="1:5" x14ac:dyDescent="0.25">
      <c r="A954" s="8">
        <v>44721</v>
      </c>
      <c r="B954" t="s">
        <v>15</v>
      </c>
      <c r="C954">
        <v>2372</v>
      </c>
      <c r="D954" t="s">
        <v>7</v>
      </c>
      <c r="E954" t="str">
        <f>IF(june[[#This Row],[ShiftCounter]]&gt;0, "Running", "Down")</f>
        <v>Running</v>
      </c>
    </row>
    <row r="955" spans="1:5" x14ac:dyDescent="0.25">
      <c r="A955" s="8">
        <v>44721</v>
      </c>
      <c r="B955" t="s">
        <v>15</v>
      </c>
      <c r="C955">
        <v>2018</v>
      </c>
      <c r="D955" t="s">
        <v>8</v>
      </c>
      <c r="E955" t="str">
        <f>IF(june[[#This Row],[ShiftCounter]]&gt;0, "Running", "Down")</f>
        <v>Running</v>
      </c>
    </row>
    <row r="956" spans="1:5" x14ac:dyDescent="0.25">
      <c r="A956" s="8">
        <v>44721</v>
      </c>
      <c r="B956" t="s">
        <v>16</v>
      </c>
      <c r="C956">
        <v>2310</v>
      </c>
      <c r="D956" t="s">
        <v>6</v>
      </c>
      <c r="E956" t="str">
        <f>IF(june[[#This Row],[ShiftCounter]]&gt;0, "Running", "Down")</f>
        <v>Running</v>
      </c>
    </row>
    <row r="957" spans="1:5" x14ac:dyDescent="0.25">
      <c r="A957" s="8">
        <v>44721</v>
      </c>
      <c r="B957" t="s">
        <v>16</v>
      </c>
      <c r="C957">
        <v>2298</v>
      </c>
      <c r="D957" t="s">
        <v>7</v>
      </c>
      <c r="E957" t="str">
        <f>IF(june[[#This Row],[ShiftCounter]]&gt;0, "Running", "Down")</f>
        <v>Running</v>
      </c>
    </row>
    <row r="958" spans="1:5" x14ac:dyDescent="0.25">
      <c r="A958" s="8">
        <v>44721</v>
      </c>
      <c r="B958" t="s">
        <v>16</v>
      </c>
      <c r="C958">
        <v>1982</v>
      </c>
      <c r="D958" t="s">
        <v>8</v>
      </c>
      <c r="E958" t="str">
        <f>IF(june[[#This Row],[ShiftCounter]]&gt;0, "Running", "Down")</f>
        <v>Running</v>
      </c>
    </row>
    <row r="959" spans="1:5" x14ac:dyDescent="0.25">
      <c r="A959" s="8">
        <v>44721</v>
      </c>
      <c r="B959" t="s">
        <v>17</v>
      </c>
      <c r="C959">
        <v>2410</v>
      </c>
      <c r="D959" t="s">
        <v>6</v>
      </c>
      <c r="E959" t="str">
        <f>IF(june[[#This Row],[ShiftCounter]]&gt;0, "Running", "Down")</f>
        <v>Running</v>
      </c>
    </row>
    <row r="960" spans="1:5" x14ac:dyDescent="0.25">
      <c r="A960" s="8">
        <v>44721</v>
      </c>
      <c r="B960" t="s">
        <v>17</v>
      </c>
      <c r="C960">
        <v>2515</v>
      </c>
      <c r="D960" t="s">
        <v>7</v>
      </c>
      <c r="E960" t="str">
        <f>IF(june[[#This Row],[ShiftCounter]]&gt;0, "Running", "Down")</f>
        <v>Running</v>
      </c>
    </row>
    <row r="961" spans="1:5" x14ac:dyDescent="0.25">
      <c r="A961" s="8">
        <v>44721</v>
      </c>
      <c r="B961" t="s">
        <v>17</v>
      </c>
      <c r="C961">
        <v>2053</v>
      </c>
      <c r="D961" t="s">
        <v>8</v>
      </c>
      <c r="E961" t="str">
        <f>IF(june[[#This Row],[ShiftCounter]]&gt;0, "Running", "Down")</f>
        <v>Running</v>
      </c>
    </row>
    <row r="962" spans="1:5" x14ac:dyDescent="0.25">
      <c r="A962" s="8">
        <v>44721</v>
      </c>
      <c r="B962" t="s">
        <v>18</v>
      </c>
      <c r="C962">
        <v>2460</v>
      </c>
      <c r="D962" t="s">
        <v>6</v>
      </c>
      <c r="E962" t="str">
        <f>IF(june[[#This Row],[ShiftCounter]]&gt;0, "Running", "Down")</f>
        <v>Running</v>
      </c>
    </row>
    <row r="963" spans="1:5" x14ac:dyDescent="0.25">
      <c r="A963" s="8">
        <v>44721</v>
      </c>
      <c r="B963" t="s">
        <v>18</v>
      </c>
      <c r="C963">
        <v>2497</v>
      </c>
      <c r="D963" t="s">
        <v>7</v>
      </c>
      <c r="E963" t="str">
        <f>IF(june[[#This Row],[ShiftCounter]]&gt;0, "Running", "Down")</f>
        <v>Running</v>
      </c>
    </row>
    <row r="964" spans="1:5" x14ac:dyDescent="0.25">
      <c r="A964" s="8">
        <v>44721</v>
      </c>
      <c r="B964" t="s">
        <v>18</v>
      </c>
      <c r="C964">
        <v>2198</v>
      </c>
      <c r="D964" t="s">
        <v>8</v>
      </c>
      <c r="E964" t="str">
        <f>IF(june[[#This Row],[ShiftCounter]]&gt;0, "Running", "Down")</f>
        <v>Running</v>
      </c>
    </row>
    <row r="965" spans="1:5" x14ac:dyDescent="0.25">
      <c r="A965" s="8">
        <v>44721</v>
      </c>
      <c r="B965" t="s">
        <v>19</v>
      </c>
      <c r="C965">
        <v>581</v>
      </c>
      <c r="D965" t="s">
        <v>6</v>
      </c>
      <c r="E965" t="str">
        <f>IF(june[[#This Row],[ShiftCounter]]&gt;0, "Running", "Down")</f>
        <v>Running</v>
      </c>
    </row>
    <row r="966" spans="1:5" x14ac:dyDescent="0.25">
      <c r="A966" s="8">
        <v>44721</v>
      </c>
      <c r="B966" t="s">
        <v>19</v>
      </c>
      <c r="C966">
        <v>2190</v>
      </c>
      <c r="D966" t="s">
        <v>7</v>
      </c>
      <c r="E966" t="str">
        <f>IF(june[[#This Row],[ShiftCounter]]&gt;0, "Running", "Down")</f>
        <v>Running</v>
      </c>
    </row>
    <row r="967" spans="1:5" x14ac:dyDescent="0.25">
      <c r="A967" s="8">
        <v>44721</v>
      </c>
      <c r="B967" t="s">
        <v>19</v>
      </c>
      <c r="C967">
        <v>1666</v>
      </c>
      <c r="D967" t="s">
        <v>8</v>
      </c>
      <c r="E967" t="str">
        <f>IF(june[[#This Row],[ShiftCounter]]&gt;0, "Running", "Down")</f>
        <v>Running</v>
      </c>
    </row>
    <row r="968" spans="1:5" x14ac:dyDescent="0.25">
      <c r="A968" s="8">
        <v>44721</v>
      </c>
      <c r="B968" t="s">
        <v>38</v>
      </c>
      <c r="C968">
        <v>2366</v>
      </c>
      <c r="D968" t="s">
        <v>6</v>
      </c>
      <c r="E968" t="str">
        <f>IF(june[[#This Row],[ShiftCounter]]&gt;0, "Running", "Down")</f>
        <v>Running</v>
      </c>
    </row>
    <row r="969" spans="1:5" x14ac:dyDescent="0.25">
      <c r="A969" s="8">
        <v>44721</v>
      </c>
      <c r="B969" t="s">
        <v>38</v>
      </c>
      <c r="C969">
        <v>1942</v>
      </c>
      <c r="D969" t="s">
        <v>7</v>
      </c>
      <c r="E969" t="str">
        <f>IF(june[[#This Row],[ShiftCounter]]&gt;0, "Running", "Down")</f>
        <v>Running</v>
      </c>
    </row>
    <row r="970" spans="1:5" x14ac:dyDescent="0.25">
      <c r="A970" s="8">
        <v>44721</v>
      </c>
      <c r="B970" t="s">
        <v>38</v>
      </c>
      <c r="C970">
        <v>1997</v>
      </c>
      <c r="D970" t="s">
        <v>8</v>
      </c>
      <c r="E970" t="str">
        <f>IF(june[[#This Row],[ShiftCounter]]&gt;0, "Running", "Down")</f>
        <v>Running</v>
      </c>
    </row>
    <row r="971" spans="1:5" x14ac:dyDescent="0.25">
      <c r="A971" s="8">
        <v>44721</v>
      </c>
      <c r="B971" t="s">
        <v>20</v>
      </c>
      <c r="C971">
        <v>2295</v>
      </c>
      <c r="D971" t="s">
        <v>6</v>
      </c>
      <c r="E971" t="str">
        <f>IF(june[[#This Row],[ShiftCounter]]&gt;0, "Running", "Down")</f>
        <v>Running</v>
      </c>
    </row>
    <row r="972" spans="1:5" x14ac:dyDescent="0.25">
      <c r="A972" s="8">
        <v>44721</v>
      </c>
      <c r="B972" t="s">
        <v>20</v>
      </c>
      <c r="C972">
        <v>2211</v>
      </c>
      <c r="D972" t="s">
        <v>7</v>
      </c>
      <c r="E972" t="str">
        <f>IF(june[[#This Row],[ShiftCounter]]&gt;0, "Running", "Down")</f>
        <v>Running</v>
      </c>
    </row>
    <row r="973" spans="1:5" x14ac:dyDescent="0.25">
      <c r="A973" s="8">
        <v>44721</v>
      </c>
      <c r="B973" t="s">
        <v>20</v>
      </c>
      <c r="C973">
        <v>1973</v>
      </c>
      <c r="D973" t="s">
        <v>8</v>
      </c>
      <c r="E973" t="str">
        <f>IF(june[[#This Row],[ShiftCounter]]&gt;0, "Running", "Down")</f>
        <v>Running</v>
      </c>
    </row>
    <row r="974" spans="1:5" x14ac:dyDescent="0.25">
      <c r="A974" s="8">
        <v>44721</v>
      </c>
      <c r="B974" t="s">
        <v>21</v>
      </c>
      <c r="C974">
        <v>1991</v>
      </c>
      <c r="D974" t="s">
        <v>6</v>
      </c>
      <c r="E974" t="str">
        <f>IF(june[[#This Row],[ShiftCounter]]&gt;0, "Running", "Down")</f>
        <v>Running</v>
      </c>
    </row>
    <row r="975" spans="1:5" x14ac:dyDescent="0.25">
      <c r="A975" s="8">
        <v>44721</v>
      </c>
      <c r="B975" t="s">
        <v>21</v>
      </c>
      <c r="C975">
        <v>1956</v>
      </c>
      <c r="D975" t="s">
        <v>7</v>
      </c>
      <c r="E975" t="str">
        <f>IF(june[[#This Row],[ShiftCounter]]&gt;0, "Running", "Down")</f>
        <v>Running</v>
      </c>
    </row>
    <row r="976" spans="1:5" x14ac:dyDescent="0.25">
      <c r="A976" s="8">
        <v>44721</v>
      </c>
      <c r="B976" t="s">
        <v>21</v>
      </c>
      <c r="C976">
        <v>1997</v>
      </c>
      <c r="D976" t="s">
        <v>8</v>
      </c>
      <c r="E976" t="str">
        <f>IF(june[[#This Row],[ShiftCounter]]&gt;0, "Running", "Down")</f>
        <v>Running</v>
      </c>
    </row>
    <row r="977" spans="1:5" x14ac:dyDescent="0.25">
      <c r="A977" s="8">
        <v>44721</v>
      </c>
      <c r="B977" t="s">
        <v>22</v>
      </c>
      <c r="C977">
        <v>2320</v>
      </c>
      <c r="D977" t="s">
        <v>6</v>
      </c>
      <c r="E977" t="str">
        <f>IF(june[[#This Row],[ShiftCounter]]&gt;0, "Running", "Down")</f>
        <v>Running</v>
      </c>
    </row>
    <row r="978" spans="1:5" x14ac:dyDescent="0.25">
      <c r="A978" s="8">
        <v>44721</v>
      </c>
      <c r="B978" t="s">
        <v>22</v>
      </c>
      <c r="C978">
        <v>2321</v>
      </c>
      <c r="D978" t="s">
        <v>7</v>
      </c>
      <c r="E978" t="str">
        <f>IF(june[[#This Row],[ShiftCounter]]&gt;0, "Running", "Down")</f>
        <v>Running</v>
      </c>
    </row>
    <row r="979" spans="1:5" x14ac:dyDescent="0.25">
      <c r="A979" s="8">
        <v>44721</v>
      </c>
      <c r="B979" t="s">
        <v>22</v>
      </c>
      <c r="C979">
        <v>2109</v>
      </c>
      <c r="D979" t="s">
        <v>8</v>
      </c>
      <c r="E979" t="str">
        <f>IF(june[[#This Row],[ShiftCounter]]&gt;0, "Running", "Down")</f>
        <v>Running</v>
      </c>
    </row>
    <row r="980" spans="1:5" x14ac:dyDescent="0.25">
      <c r="A980" s="8">
        <v>44721</v>
      </c>
      <c r="B980" t="s">
        <v>23</v>
      </c>
      <c r="C980">
        <v>2375</v>
      </c>
      <c r="D980" t="s">
        <v>6</v>
      </c>
      <c r="E980" t="str">
        <f>IF(june[[#This Row],[ShiftCounter]]&gt;0, "Running", "Down")</f>
        <v>Running</v>
      </c>
    </row>
    <row r="981" spans="1:5" x14ac:dyDescent="0.25">
      <c r="A981" s="8">
        <v>44721</v>
      </c>
      <c r="B981" t="s">
        <v>23</v>
      </c>
      <c r="C981">
        <v>2438</v>
      </c>
      <c r="D981" t="s">
        <v>7</v>
      </c>
      <c r="E981" t="str">
        <f>IF(june[[#This Row],[ShiftCounter]]&gt;0, "Running", "Down")</f>
        <v>Running</v>
      </c>
    </row>
    <row r="982" spans="1:5" x14ac:dyDescent="0.25">
      <c r="A982" s="8">
        <v>44721</v>
      </c>
      <c r="B982" t="s">
        <v>23</v>
      </c>
      <c r="C982">
        <v>2174</v>
      </c>
      <c r="D982" t="s">
        <v>8</v>
      </c>
      <c r="E982" t="str">
        <f>IF(june[[#This Row],[ShiftCounter]]&gt;0, "Running", "Down")</f>
        <v>Running</v>
      </c>
    </row>
    <row r="983" spans="1:5" x14ac:dyDescent="0.25">
      <c r="A983" s="8">
        <v>44721</v>
      </c>
      <c r="B983" t="s">
        <v>24</v>
      </c>
      <c r="C983">
        <v>1979</v>
      </c>
      <c r="D983" t="s">
        <v>6</v>
      </c>
      <c r="E983" t="str">
        <f>IF(june[[#This Row],[ShiftCounter]]&gt;0, "Running", "Down")</f>
        <v>Running</v>
      </c>
    </row>
    <row r="984" spans="1:5" x14ac:dyDescent="0.25">
      <c r="A984" s="8">
        <v>44721</v>
      </c>
      <c r="B984" t="s">
        <v>24</v>
      </c>
      <c r="C984">
        <v>2104</v>
      </c>
      <c r="D984" t="s">
        <v>7</v>
      </c>
      <c r="E984" t="str">
        <f>IF(june[[#This Row],[ShiftCounter]]&gt;0, "Running", "Down")</f>
        <v>Running</v>
      </c>
    </row>
    <row r="985" spans="1:5" x14ac:dyDescent="0.25">
      <c r="A985" s="8">
        <v>44721</v>
      </c>
      <c r="B985" t="s">
        <v>24</v>
      </c>
      <c r="C985">
        <v>1793</v>
      </c>
      <c r="D985" t="s">
        <v>8</v>
      </c>
      <c r="E985" t="str">
        <f>IF(june[[#This Row],[ShiftCounter]]&gt;0, "Running", "Down")</f>
        <v>Running</v>
      </c>
    </row>
    <row r="986" spans="1:5" x14ac:dyDescent="0.25">
      <c r="A986" s="8">
        <v>44721</v>
      </c>
      <c r="B986" t="s">
        <v>81</v>
      </c>
      <c r="C986">
        <v>1353</v>
      </c>
      <c r="D986" t="s">
        <v>6</v>
      </c>
      <c r="E986" t="str">
        <f>IF(june[[#This Row],[ShiftCounter]]&gt;0, "Running", "Down")</f>
        <v>Running</v>
      </c>
    </row>
    <row r="987" spans="1:5" x14ac:dyDescent="0.25">
      <c r="A987" s="8">
        <v>44721</v>
      </c>
      <c r="B987" t="s">
        <v>81</v>
      </c>
      <c r="C987">
        <v>2306</v>
      </c>
      <c r="D987" t="s">
        <v>7</v>
      </c>
      <c r="E987" t="str">
        <f>IF(june[[#This Row],[ShiftCounter]]&gt;0, "Running", "Down")</f>
        <v>Running</v>
      </c>
    </row>
    <row r="988" spans="1:5" x14ac:dyDescent="0.25">
      <c r="A988" s="8">
        <v>44721</v>
      </c>
      <c r="B988" t="s">
        <v>81</v>
      </c>
      <c r="C988">
        <v>1625</v>
      </c>
      <c r="D988" t="s">
        <v>8</v>
      </c>
      <c r="E988" t="str">
        <f>IF(june[[#This Row],[ShiftCounter]]&gt;0, "Running", "Down")</f>
        <v>Running</v>
      </c>
    </row>
    <row r="989" spans="1:5" x14ac:dyDescent="0.25">
      <c r="A989" s="8">
        <v>44721</v>
      </c>
      <c r="B989" t="s">
        <v>25</v>
      </c>
      <c r="C989">
        <v>2168</v>
      </c>
      <c r="D989" t="s">
        <v>6</v>
      </c>
      <c r="E989" t="str">
        <f>IF(june[[#This Row],[ShiftCounter]]&gt;0, "Running", "Down")</f>
        <v>Running</v>
      </c>
    </row>
    <row r="990" spans="1:5" x14ac:dyDescent="0.25">
      <c r="A990" s="8">
        <v>44721</v>
      </c>
      <c r="B990" t="s">
        <v>25</v>
      </c>
      <c r="C990">
        <v>2265</v>
      </c>
      <c r="D990" t="s">
        <v>7</v>
      </c>
      <c r="E990" t="str">
        <f>IF(june[[#This Row],[ShiftCounter]]&gt;0, "Running", "Down")</f>
        <v>Running</v>
      </c>
    </row>
    <row r="991" spans="1:5" x14ac:dyDescent="0.25">
      <c r="A991" s="8">
        <v>44721</v>
      </c>
      <c r="B991" t="s">
        <v>25</v>
      </c>
      <c r="C991">
        <v>1980</v>
      </c>
      <c r="D991" t="s">
        <v>8</v>
      </c>
      <c r="E991" t="str">
        <f>IF(june[[#This Row],[ShiftCounter]]&gt;0, "Running", "Down")</f>
        <v>Running</v>
      </c>
    </row>
    <row r="992" spans="1:5" x14ac:dyDescent="0.25">
      <c r="A992" s="8">
        <v>44721</v>
      </c>
      <c r="B992" t="s">
        <v>26</v>
      </c>
      <c r="C992">
        <v>1361</v>
      </c>
      <c r="D992" t="s">
        <v>6</v>
      </c>
      <c r="E992" t="str">
        <f>IF(june[[#This Row],[ShiftCounter]]&gt;0, "Running", "Down")</f>
        <v>Running</v>
      </c>
    </row>
    <row r="993" spans="1:5" x14ac:dyDescent="0.25">
      <c r="A993" s="8">
        <v>44721</v>
      </c>
      <c r="B993" t="s">
        <v>26</v>
      </c>
      <c r="C993">
        <v>1995</v>
      </c>
      <c r="D993" t="s">
        <v>7</v>
      </c>
      <c r="E993" t="str">
        <f>IF(june[[#This Row],[ShiftCounter]]&gt;0, "Running", "Down")</f>
        <v>Running</v>
      </c>
    </row>
    <row r="994" spans="1:5" x14ac:dyDescent="0.25">
      <c r="A994" s="8">
        <v>44721</v>
      </c>
      <c r="B994" t="s">
        <v>26</v>
      </c>
      <c r="C994">
        <v>1786</v>
      </c>
      <c r="D994" t="s">
        <v>8</v>
      </c>
      <c r="E994" t="str">
        <f>IF(june[[#This Row],[ShiftCounter]]&gt;0, "Running", "Down")</f>
        <v>Running</v>
      </c>
    </row>
    <row r="995" spans="1:5" x14ac:dyDescent="0.25">
      <c r="A995" s="8">
        <v>44721</v>
      </c>
      <c r="B995" t="s">
        <v>27</v>
      </c>
      <c r="C995">
        <v>2178</v>
      </c>
      <c r="D995" t="s">
        <v>6</v>
      </c>
      <c r="E995" t="str">
        <f>IF(june[[#This Row],[ShiftCounter]]&gt;0, "Running", "Down")</f>
        <v>Running</v>
      </c>
    </row>
    <row r="996" spans="1:5" x14ac:dyDescent="0.25">
      <c r="A996" s="8">
        <v>44721</v>
      </c>
      <c r="B996" t="s">
        <v>27</v>
      </c>
      <c r="C996">
        <v>2232</v>
      </c>
      <c r="D996" t="s">
        <v>7</v>
      </c>
      <c r="E996" t="str">
        <f>IF(june[[#This Row],[ShiftCounter]]&gt;0, "Running", "Down")</f>
        <v>Running</v>
      </c>
    </row>
    <row r="997" spans="1:5" x14ac:dyDescent="0.25">
      <c r="A997" s="8">
        <v>44721</v>
      </c>
      <c r="B997" t="s">
        <v>27</v>
      </c>
      <c r="C997">
        <v>2037</v>
      </c>
      <c r="D997" t="s">
        <v>8</v>
      </c>
      <c r="E997" t="str">
        <f>IF(june[[#This Row],[ShiftCounter]]&gt;0, "Running", "Down")</f>
        <v>Running</v>
      </c>
    </row>
    <row r="998" spans="1:5" x14ac:dyDescent="0.25">
      <c r="A998" s="8">
        <v>44721</v>
      </c>
      <c r="B998" t="s">
        <v>28</v>
      </c>
      <c r="C998">
        <v>2132</v>
      </c>
      <c r="D998" t="s">
        <v>6</v>
      </c>
      <c r="E998" t="str">
        <f>IF(june[[#This Row],[ShiftCounter]]&gt;0, "Running", "Down")</f>
        <v>Running</v>
      </c>
    </row>
    <row r="999" spans="1:5" x14ac:dyDescent="0.25">
      <c r="A999" s="8">
        <v>44721</v>
      </c>
      <c r="B999" t="s">
        <v>28</v>
      </c>
      <c r="C999">
        <v>2207</v>
      </c>
      <c r="D999" t="s">
        <v>7</v>
      </c>
      <c r="E999" t="str">
        <f>IF(june[[#This Row],[ShiftCounter]]&gt;0, "Running", "Down")</f>
        <v>Running</v>
      </c>
    </row>
    <row r="1000" spans="1:5" x14ac:dyDescent="0.25">
      <c r="A1000" s="8">
        <v>44721</v>
      </c>
      <c r="B1000" t="s">
        <v>28</v>
      </c>
      <c r="C1000">
        <v>1953</v>
      </c>
      <c r="D1000" t="s">
        <v>8</v>
      </c>
      <c r="E1000" t="str">
        <f>IF(june[[#This Row],[ShiftCounter]]&gt;0, "Running", "Down")</f>
        <v>Running</v>
      </c>
    </row>
    <row r="1001" spans="1:5" x14ac:dyDescent="0.25">
      <c r="A1001" s="8">
        <v>44721</v>
      </c>
      <c r="B1001" t="s">
        <v>29</v>
      </c>
      <c r="C1001">
        <v>1407</v>
      </c>
      <c r="D1001" t="s">
        <v>6</v>
      </c>
      <c r="E1001" t="str">
        <f>IF(june[[#This Row],[ShiftCounter]]&gt;0, "Running", "Down")</f>
        <v>Running</v>
      </c>
    </row>
    <row r="1002" spans="1:5" x14ac:dyDescent="0.25">
      <c r="A1002" s="8">
        <v>44721</v>
      </c>
      <c r="B1002" t="s">
        <v>29</v>
      </c>
      <c r="C1002">
        <v>2206</v>
      </c>
      <c r="D1002" t="s">
        <v>7</v>
      </c>
      <c r="E1002" t="str">
        <f>IF(june[[#This Row],[ShiftCounter]]&gt;0, "Running", "Down")</f>
        <v>Running</v>
      </c>
    </row>
    <row r="1003" spans="1:5" x14ac:dyDescent="0.25">
      <c r="A1003" s="8">
        <v>44721</v>
      </c>
      <c r="B1003" t="s">
        <v>29</v>
      </c>
      <c r="C1003">
        <v>1887</v>
      </c>
      <c r="D1003" t="s">
        <v>8</v>
      </c>
      <c r="E1003" t="str">
        <f>IF(june[[#This Row],[ShiftCounter]]&gt;0, "Running", "Down")</f>
        <v>Running</v>
      </c>
    </row>
    <row r="1004" spans="1:5" x14ac:dyDescent="0.25">
      <c r="A1004" s="8">
        <v>44721</v>
      </c>
      <c r="B1004" t="s">
        <v>30</v>
      </c>
      <c r="C1004">
        <v>2323</v>
      </c>
      <c r="D1004" t="s">
        <v>6</v>
      </c>
      <c r="E1004" t="str">
        <f>IF(june[[#This Row],[ShiftCounter]]&gt;0, "Running", "Down")</f>
        <v>Running</v>
      </c>
    </row>
    <row r="1005" spans="1:5" x14ac:dyDescent="0.25">
      <c r="A1005" s="8">
        <v>44721</v>
      </c>
      <c r="B1005" t="s">
        <v>30</v>
      </c>
      <c r="C1005">
        <v>2267</v>
      </c>
      <c r="D1005" t="s">
        <v>7</v>
      </c>
      <c r="E1005" t="str">
        <f>IF(june[[#This Row],[ShiftCounter]]&gt;0, "Running", "Down")</f>
        <v>Running</v>
      </c>
    </row>
    <row r="1006" spans="1:5" x14ac:dyDescent="0.25">
      <c r="A1006" s="8">
        <v>44721</v>
      </c>
      <c r="B1006" t="s">
        <v>30</v>
      </c>
      <c r="C1006">
        <v>2022</v>
      </c>
      <c r="D1006" t="s">
        <v>8</v>
      </c>
      <c r="E1006" t="str">
        <f>IF(june[[#This Row],[ShiftCounter]]&gt;0, "Running", "Down")</f>
        <v>Running</v>
      </c>
    </row>
    <row r="1007" spans="1:5" x14ac:dyDescent="0.25">
      <c r="A1007" s="8">
        <v>44721</v>
      </c>
      <c r="B1007" t="s">
        <v>31</v>
      </c>
      <c r="C1007">
        <v>2272</v>
      </c>
      <c r="D1007" t="s">
        <v>6</v>
      </c>
      <c r="E1007" t="str">
        <f>IF(june[[#This Row],[ShiftCounter]]&gt;0, "Running", "Down")</f>
        <v>Running</v>
      </c>
    </row>
    <row r="1008" spans="1:5" x14ac:dyDescent="0.25">
      <c r="A1008" s="8">
        <v>44721</v>
      </c>
      <c r="B1008" t="s">
        <v>31</v>
      </c>
      <c r="C1008">
        <v>2234</v>
      </c>
      <c r="D1008" t="s">
        <v>7</v>
      </c>
      <c r="E1008" t="str">
        <f>IF(june[[#This Row],[ShiftCounter]]&gt;0, "Running", "Down")</f>
        <v>Running</v>
      </c>
    </row>
    <row r="1009" spans="1:5" x14ac:dyDescent="0.25">
      <c r="A1009" s="8">
        <v>44721</v>
      </c>
      <c r="B1009" t="s">
        <v>31</v>
      </c>
      <c r="C1009">
        <v>2001</v>
      </c>
      <c r="D1009" t="s">
        <v>8</v>
      </c>
      <c r="E1009" t="str">
        <f>IF(june[[#This Row],[ShiftCounter]]&gt;0, "Running", "Down")</f>
        <v>Running</v>
      </c>
    </row>
    <row r="1010" spans="1:5" x14ac:dyDescent="0.25">
      <c r="A1010" s="8">
        <v>44721</v>
      </c>
      <c r="B1010" t="s">
        <v>32</v>
      </c>
      <c r="C1010">
        <v>2096</v>
      </c>
      <c r="D1010" t="s">
        <v>6</v>
      </c>
      <c r="E1010" t="str">
        <f>IF(june[[#This Row],[ShiftCounter]]&gt;0, "Running", "Down")</f>
        <v>Running</v>
      </c>
    </row>
    <row r="1011" spans="1:5" x14ac:dyDescent="0.25">
      <c r="A1011" s="8">
        <v>44721</v>
      </c>
      <c r="B1011" t="s">
        <v>32</v>
      </c>
      <c r="C1011">
        <v>2267</v>
      </c>
      <c r="D1011" t="s">
        <v>7</v>
      </c>
      <c r="E1011" t="str">
        <f>IF(june[[#This Row],[ShiftCounter]]&gt;0, "Running", "Down")</f>
        <v>Running</v>
      </c>
    </row>
    <row r="1012" spans="1:5" x14ac:dyDescent="0.25">
      <c r="A1012" s="8">
        <v>44721</v>
      </c>
      <c r="B1012" t="s">
        <v>32</v>
      </c>
      <c r="C1012">
        <v>1835</v>
      </c>
      <c r="D1012" t="s">
        <v>8</v>
      </c>
      <c r="E1012" t="str">
        <f>IF(june[[#This Row],[ShiftCounter]]&gt;0, "Running", "Down")</f>
        <v>Running</v>
      </c>
    </row>
    <row r="1013" spans="1:5" x14ac:dyDescent="0.25">
      <c r="A1013" s="8">
        <v>44721</v>
      </c>
      <c r="B1013" t="s">
        <v>71</v>
      </c>
      <c r="C1013">
        <v>2242</v>
      </c>
      <c r="D1013" t="s">
        <v>6</v>
      </c>
      <c r="E1013" t="str">
        <f>IF(june[[#This Row],[ShiftCounter]]&gt;0, "Running", "Down")</f>
        <v>Running</v>
      </c>
    </row>
    <row r="1014" spans="1:5" x14ac:dyDescent="0.25">
      <c r="A1014" s="8">
        <v>44721</v>
      </c>
      <c r="B1014" t="s">
        <v>71</v>
      </c>
      <c r="C1014">
        <v>2084</v>
      </c>
      <c r="D1014" t="s">
        <v>7</v>
      </c>
      <c r="E1014" t="str">
        <f>IF(june[[#This Row],[ShiftCounter]]&gt;0, "Running", "Down")</f>
        <v>Running</v>
      </c>
    </row>
    <row r="1015" spans="1:5" x14ac:dyDescent="0.25">
      <c r="A1015" s="8">
        <v>44721</v>
      </c>
      <c r="B1015" t="s">
        <v>71</v>
      </c>
      <c r="C1015">
        <v>2031</v>
      </c>
      <c r="D1015" t="s">
        <v>8</v>
      </c>
      <c r="E1015" t="str">
        <f>IF(june[[#This Row],[ShiftCounter]]&gt;0, "Running", "Down")</f>
        <v>Running</v>
      </c>
    </row>
    <row r="1016" spans="1:5" x14ac:dyDescent="0.25">
      <c r="A1016" s="8">
        <v>44721</v>
      </c>
      <c r="B1016" t="s">
        <v>33</v>
      </c>
      <c r="C1016">
        <v>2589</v>
      </c>
      <c r="D1016" t="s">
        <v>6</v>
      </c>
      <c r="E1016" t="str">
        <f>IF(june[[#This Row],[ShiftCounter]]&gt;0, "Running", "Down")</f>
        <v>Running</v>
      </c>
    </row>
    <row r="1017" spans="1:5" x14ac:dyDescent="0.25">
      <c r="A1017" s="8">
        <v>44721</v>
      </c>
      <c r="B1017" t="s">
        <v>33</v>
      </c>
      <c r="C1017">
        <v>2394</v>
      </c>
      <c r="D1017" t="s">
        <v>7</v>
      </c>
      <c r="E1017" t="str">
        <f>IF(june[[#This Row],[ShiftCounter]]&gt;0, "Running", "Down")</f>
        <v>Running</v>
      </c>
    </row>
    <row r="1018" spans="1:5" x14ac:dyDescent="0.25">
      <c r="A1018" s="8">
        <v>44721</v>
      </c>
      <c r="B1018" t="s">
        <v>33</v>
      </c>
      <c r="C1018">
        <v>2375</v>
      </c>
      <c r="D1018" t="s">
        <v>8</v>
      </c>
      <c r="E1018" t="str">
        <f>IF(june[[#This Row],[ShiftCounter]]&gt;0, "Running", "Down")</f>
        <v>Running</v>
      </c>
    </row>
    <row r="1019" spans="1:5" x14ac:dyDescent="0.25">
      <c r="A1019" s="8">
        <v>44721</v>
      </c>
      <c r="B1019" t="s">
        <v>34</v>
      </c>
      <c r="C1019">
        <v>2202</v>
      </c>
      <c r="D1019" t="s">
        <v>6</v>
      </c>
      <c r="E1019" t="str">
        <f>IF(june[[#This Row],[ShiftCounter]]&gt;0, "Running", "Down")</f>
        <v>Running</v>
      </c>
    </row>
    <row r="1020" spans="1:5" x14ac:dyDescent="0.25">
      <c r="A1020" s="8">
        <v>44721</v>
      </c>
      <c r="B1020" t="s">
        <v>34</v>
      </c>
      <c r="C1020">
        <v>1994</v>
      </c>
      <c r="D1020" t="s">
        <v>7</v>
      </c>
      <c r="E1020" t="str">
        <f>IF(june[[#This Row],[ShiftCounter]]&gt;0, "Running", "Down")</f>
        <v>Running</v>
      </c>
    </row>
    <row r="1021" spans="1:5" x14ac:dyDescent="0.25">
      <c r="A1021" s="8">
        <v>44721</v>
      </c>
      <c r="B1021" t="s">
        <v>34</v>
      </c>
      <c r="C1021">
        <v>1963</v>
      </c>
      <c r="D1021" t="s">
        <v>8</v>
      </c>
      <c r="E1021" t="str">
        <f>IF(june[[#This Row],[ShiftCounter]]&gt;0, "Running", "Down")</f>
        <v>Running</v>
      </c>
    </row>
    <row r="1022" spans="1:5" x14ac:dyDescent="0.25">
      <c r="A1022" s="8">
        <v>44718</v>
      </c>
      <c r="B1022" t="s">
        <v>35</v>
      </c>
      <c r="C1022">
        <v>1808</v>
      </c>
      <c r="D1022" t="s">
        <v>6</v>
      </c>
      <c r="E1022" t="str">
        <f>IF(june[[#This Row],[ShiftCounter]]&gt;0, "Running", "Down")</f>
        <v>Running</v>
      </c>
    </row>
    <row r="1023" spans="1:5" x14ac:dyDescent="0.25">
      <c r="A1023" s="8">
        <v>44718</v>
      </c>
      <c r="B1023" t="s">
        <v>35</v>
      </c>
      <c r="C1023">
        <v>0</v>
      </c>
      <c r="D1023" t="s">
        <v>7</v>
      </c>
      <c r="E1023" t="str">
        <f>IF(june[[#This Row],[ShiftCounter]]&gt;0, "Running", "Down")</f>
        <v>Down</v>
      </c>
    </row>
    <row r="1024" spans="1:5" x14ac:dyDescent="0.25">
      <c r="A1024" s="8">
        <v>44718</v>
      </c>
      <c r="B1024" t="s">
        <v>35</v>
      </c>
      <c r="C1024">
        <v>0</v>
      </c>
      <c r="D1024" t="s">
        <v>8</v>
      </c>
      <c r="E1024" t="str">
        <f>IF(june[[#This Row],[ShiftCounter]]&gt;0, "Running", "Down")</f>
        <v>Down</v>
      </c>
    </row>
    <row r="1025" spans="1:5" x14ac:dyDescent="0.25">
      <c r="A1025" s="8">
        <v>44721</v>
      </c>
      <c r="B1025" t="s">
        <v>35</v>
      </c>
      <c r="C1025">
        <v>2065</v>
      </c>
      <c r="D1025" t="s">
        <v>6</v>
      </c>
      <c r="E1025" t="str">
        <f>IF(june[[#This Row],[ShiftCounter]]&gt;0, "Running", "Down")</f>
        <v>Running</v>
      </c>
    </row>
    <row r="1026" spans="1:5" x14ac:dyDescent="0.25">
      <c r="A1026" s="8">
        <v>44721</v>
      </c>
      <c r="B1026" t="s">
        <v>35</v>
      </c>
      <c r="C1026">
        <v>1890</v>
      </c>
      <c r="D1026" t="s">
        <v>7</v>
      </c>
      <c r="E1026" t="str">
        <f>IF(june[[#This Row],[ShiftCounter]]&gt;0, "Running", "Down")</f>
        <v>Running</v>
      </c>
    </row>
    <row r="1027" spans="1:5" x14ac:dyDescent="0.25">
      <c r="A1027" s="8">
        <v>44721</v>
      </c>
      <c r="B1027" t="s">
        <v>35</v>
      </c>
      <c r="C1027">
        <v>1994</v>
      </c>
      <c r="D1027" t="s">
        <v>8</v>
      </c>
      <c r="E1027" t="str">
        <f>IF(june[[#This Row],[ShiftCounter]]&gt;0, "Running", "Down")</f>
        <v>Running</v>
      </c>
    </row>
    <row r="1028" spans="1:5" x14ac:dyDescent="0.25">
      <c r="A1028" s="8">
        <v>44721</v>
      </c>
      <c r="B1028" t="s">
        <v>36</v>
      </c>
      <c r="C1028">
        <v>2519</v>
      </c>
      <c r="D1028" t="s">
        <v>6</v>
      </c>
      <c r="E1028" t="str">
        <f>IF(june[[#This Row],[ShiftCounter]]&gt;0, "Running", "Down")</f>
        <v>Running</v>
      </c>
    </row>
    <row r="1029" spans="1:5" x14ac:dyDescent="0.25">
      <c r="A1029" s="8">
        <v>44721</v>
      </c>
      <c r="B1029" t="s">
        <v>36</v>
      </c>
      <c r="C1029">
        <v>2217</v>
      </c>
      <c r="D1029" t="s">
        <v>7</v>
      </c>
      <c r="E1029" t="str">
        <f>IF(june[[#This Row],[ShiftCounter]]&gt;0, "Running", "Down")</f>
        <v>Running</v>
      </c>
    </row>
    <row r="1030" spans="1:5" x14ac:dyDescent="0.25">
      <c r="A1030" s="8">
        <v>44721</v>
      </c>
      <c r="B1030" t="s">
        <v>36</v>
      </c>
      <c r="C1030">
        <v>2162</v>
      </c>
      <c r="D1030" t="s">
        <v>8</v>
      </c>
      <c r="E1030" t="str">
        <f>IF(june[[#This Row],[ShiftCounter]]&gt;0, "Running", "Down")</f>
        <v>Running</v>
      </c>
    </row>
    <row r="1031" spans="1:5" x14ac:dyDescent="0.25">
      <c r="A1031" s="8">
        <v>44721</v>
      </c>
      <c r="B1031" t="s">
        <v>37</v>
      </c>
      <c r="C1031">
        <v>2465</v>
      </c>
      <c r="D1031" t="s">
        <v>6</v>
      </c>
      <c r="E1031" t="str">
        <f>IF(june[[#This Row],[ShiftCounter]]&gt;0, "Running", "Down")</f>
        <v>Running</v>
      </c>
    </row>
    <row r="1032" spans="1:5" x14ac:dyDescent="0.25">
      <c r="A1032" s="8">
        <v>44721</v>
      </c>
      <c r="B1032" t="s">
        <v>37</v>
      </c>
      <c r="C1032">
        <v>2298</v>
      </c>
      <c r="D1032" t="s">
        <v>7</v>
      </c>
      <c r="E1032" t="str">
        <f>IF(june[[#This Row],[ShiftCounter]]&gt;0, "Running", "Down")</f>
        <v>Running</v>
      </c>
    </row>
    <row r="1033" spans="1:5" x14ac:dyDescent="0.25">
      <c r="A1033" s="8">
        <v>44721</v>
      </c>
      <c r="B1033" t="s">
        <v>37</v>
      </c>
      <c r="C1033">
        <v>2164</v>
      </c>
      <c r="D1033" t="s">
        <v>8</v>
      </c>
      <c r="E1033" t="str">
        <f>IF(june[[#This Row],[ShiftCounter]]&gt;0, "Running", "Down")</f>
        <v>Running</v>
      </c>
    </row>
    <row r="1034" spans="1:5" x14ac:dyDescent="0.25">
      <c r="A1034" s="8">
        <v>44721</v>
      </c>
      <c r="B1034" t="s">
        <v>54</v>
      </c>
      <c r="C1034">
        <v>0</v>
      </c>
      <c r="D1034" t="s">
        <v>6</v>
      </c>
      <c r="E1034" t="str">
        <f>IF(june[[#This Row],[ShiftCounter]]&gt;0, "Running", "Down")</f>
        <v>Down</v>
      </c>
    </row>
    <row r="1035" spans="1:5" x14ac:dyDescent="0.25">
      <c r="A1035" s="8">
        <v>44721</v>
      </c>
      <c r="B1035" t="s">
        <v>54</v>
      </c>
      <c r="C1035">
        <v>0</v>
      </c>
      <c r="D1035" t="s">
        <v>7</v>
      </c>
      <c r="E1035" t="str">
        <f>IF(june[[#This Row],[ShiftCounter]]&gt;0, "Running", "Down")</f>
        <v>Down</v>
      </c>
    </row>
    <row r="1036" spans="1:5" x14ac:dyDescent="0.25">
      <c r="A1036" s="8">
        <v>44721</v>
      </c>
      <c r="B1036" t="s">
        <v>54</v>
      </c>
      <c r="C1036">
        <v>1755</v>
      </c>
      <c r="D1036" t="s">
        <v>8</v>
      </c>
      <c r="E1036" t="str">
        <f>IF(june[[#This Row],[ShiftCounter]]&gt;0, "Running", "Down")</f>
        <v>Running</v>
      </c>
    </row>
    <row r="1037" spans="1:5" x14ac:dyDescent="0.25">
      <c r="A1037" s="8">
        <v>44722</v>
      </c>
      <c r="B1037" t="s">
        <v>160</v>
      </c>
      <c r="C1037">
        <v>2736</v>
      </c>
      <c r="D1037" t="s">
        <v>6</v>
      </c>
      <c r="E1037" t="str">
        <f>IF(june[[#This Row],[ShiftCounter]]&gt;0, "Running", "Down")</f>
        <v>Running</v>
      </c>
    </row>
    <row r="1038" spans="1:5" x14ac:dyDescent="0.25">
      <c r="A1038" s="8">
        <v>44722</v>
      </c>
      <c r="B1038" t="s">
        <v>160</v>
      </c>
      <c r="C1038">
        <v>516</v>
      </c>
      <c r="D1038" t="s">
        <v>7</v>
      </c>
      <c r="E1038" t="str">
        <f>IF(june[[#This Row],[ShiftCounter]]&gt;0, "Running", "Down")</f>
        <v>Running</v>
      </c>
    </row>
    <row r="1039" spans="1:5" x14ac:dyDescent="0.25">
      <c r="A1039" s="8">
        <v>44722</v>
      </c>
      <c r="B1039" t="s">
        <v>160</v>
      </c>
      <c r="C1039">
        <v>0</v>
      </c>
      <c r="D1039" t="s">
        <v>8</v>
      </c>
      <c r="E1039" t="str">
        <f>IF(june[[#This Row],[ShiftCounter]]&gt;0, "Running", "Down")</f>
        <v>Down</v>
      </c>
    </row>
    <row r="1040" spans="1:5" x14ac:dyDescent="0.25">
      <c r="A1040" s="8">
        <v>44722</v>
      </c>
      <c r="B1040" t="s">
        <v>39</v>
      </c>
      <c r="C1040">
        <v>2466</v>
      </c>
      <c r="D1040" t="s">
        <v>6</v>
      </c>
      <c r="E1040" t="str">
        <f>IF(june[[#This Row],[ShiftCounter]]&gt;0, "Running", "Down")</f>
        <v>Running</v>
      </c>
    </row>
    <row r="1041" spans="1:5" x14ac:dyDescent="0.25">
      <c r="A1041" s="8">
        <v>44722</v>
      </c>
      <c r="B1041" t="s">
        <v>39</v>
      </c>
      <c r="C1041">
        <v>2265</v>
      </c>
      <c r="D1041" t="s">
        <v>7</v>
      </c>
      <c r="E1041" t="str">
        <f>IF(june[[#This Row],[ShiftCounter]]&gt;0, "Running", "Down")</f>
        <v>Running</v>
      </c>
    </row>
    <row r="1042" spans="1:5" x14ac:dyDescent="0.25">
      <c r="A1042" s="8">
        <v>44722</v>
      </c>
      <c r="B1042" t="s">
        <v>39</v>
      </c>
      <c r="C1042">
        <v>1985</v>
      </c>
      <c r="D1042" t="s">
        <v>8</v>
      </c>
      <c r="E1042" t="str">
        <f>IF(june[[#This Row],[ShiftCounter]]&gt;0, "Running", "Down")</f>
        <v>Running</v>
      </c>
    </row>
    <row r="1043" spans="1:5" x14ac:dyDescent="0.25">
      <c r="A1043" s="8">
        <v>44722</v>
      </c>
      <c r="B1043" t="s">
        <v>158</v>
      </c>
      <c r="C1043">
        <v>2432</v>
      </c>
      <c r="D1043" t="s">
        <v>6</v>
      </c>
      <c r="E1043" t="str">
        <f>IF(june[[#This Row],[ShiftCounter]]&gt;0, "Running", "Down")</f>
        <v>Running</v>
      </c>
    </row>
    <row r="1044" spans="1:5" x14ac:dyDescent="0.25">
      <c r="A1044" s="8">
        <v>44722</v>
      </c>
      <c r="B1044" t="s">
        <v>158</v>
      </c>
      <c r="C1044">
        <v>2242</v>
      </c>
      <c r="D1044" t="s">
        <v>7</v>
      </c>
      <c r="E1044" t="str">
        <f>IF(june[[#This Row],[ShiftCounter]]&gt;0, "Running", "Down")</f>
        <v>Running</v>
      </c>
    </row>
    <row r="1045" spans="1:5" x14ac:dyDescent="0.25">
      <c r="A1045" s="8">
        <v>44722</v>
      </c>
      <c r="B1045" t="s">
        <v>158</v>
      </c>
      <c r="C1045">
        <v>2004</v>
      </c>
      <c r="D1045" t="s">
        <v>8</v>
      </c>
      <c r="E1045" t="str">
        <f>IF(june[[#This Row],[ShiftCounter]]&gt;0, "Running", "Down")</f>
        <v>Running</v>
      </c>
    </row>
    <row r="1046" spans="1:5" x14ac:dyDescent="0.25">
      <c r="A1046" s="8">
        <v>44722</v>
      </c>
      <c r="B1046" t="s">
        <v>40</v>
      </c>
      <c r="C1046">
        <v>2569</v>
      </c>
      <c r="D1046" t="s">
        <v>6</v>
      </c>
      <c r="E1046" t="str">
        <f>IF(june[[#This Row],[ShiftCounter]]&gt;0, "Running", "Down")</f>
        <v>Running</v>
      </c>
    </row>
    <row r="1047" spans="1:5" x14ac:dyDescent="0.25">
      <c r="A1047" s="8">
        <v>44722</v>
      </c>
      <c r="B1047" t="s">
        <v>40</v>
      </c>
      <c r="C1047">
        <v>2292</v>
      </c>
      <c r="D1047" t="s">
        <v>7</v>
      </c>
      <c r="E1047" t="str">
        <f>IF(june[[#This Row],[ShiftCounter]]&gt;0, "Running", "Down")</f>
        <v>Running</v>
      </c>
    </row>
    <row r="1048" spans="1:5" x14ac:dyDescent="0.25">
      <c r="A1048" s="8">
        <v>44722</v>
      </c>
      <c r="B1048" t="s">
        <v>40</v>
      </c>
      <c r="C1048">
        <v>2051</v>
      </c>
      <c r="D1048" t="s">
        <v>8</v>
      </c>
      <c r="E1048" t="str">
        <f>IF(june[[#This Row],[ShiftCounter]]&gt;0, "Running", "Down")</f>
        <v>Running</v>
      </c>
    </row>
    <row r="1049" spans="1:5" x14ac:dyDescent="0.25">
      <c r="A1049" s="8">
        <v>44722</v>
      </c>
      <c r="B1049" t="s">
        <v>41</v>
      </c>
      <c r="C1049">
        <v>2586</v>
      </c>
      <c r="D1049" t="s">
        <v>6</v>
      </c>
      <c r="E1049" t="str">
        <f>IF(june[[#This Row],[ShiftCounter]]&gt;0, "Running", "Down")</f>
        <v>Running</v>
      </c>
    </row>
    <row r="1050" spans="1:5" x14ac:dyDescent="0.25">
      <c r="A1050" s="8">
        <v>44722</v>
      </c>
      <c r="B1050" t="s">
        <v>41</v>
      </c>
      <c r="C1050">
        <v>2341</v>
      </c>
      <c r="D1050" t="s">
        <v>7</v>
      </c>
      <c r="E1050" t="str">
        <f>IF(june[[#This Row],[ShiftCounter]]&gt;0, "Running", "Down")</f>
        <v>Running</v>
      </c>
    </row>
    <row r="1051" spans="1:5" x14ac:dyDescent="0.25">
      <c r="A1051" s="8">
        <v>44722</v>
      </c>
      <c r="B1051" t="s">
        <v>41</v>
      </c>
      <c r="C1051">
        <v>2050</v>
      </c>
      <c r="D1051" t="s">
        <v>8</v>
      </c>
      <c r="E1051" t="str">
        <f>IF(june[[#This Row],[ShiftCounter]]&gt;0, "Running", "Down")</f>
        <v>Running</v>
      </c>
    </row>
    <row r="1052" spans="1:5" x14ac:dyDescent="0.25">
      <c r="A1052" s="8">
        <v>44722</v>
      </c>
      <c r="B1052" t="s">
        <v>5</v>
      </c>
      <c r="C1052">
        <v>2293</v>
      </c>
      <c r="D1052" t="s">
        <v>6</v>
      </c>
      <c r="E1052" t="str">
        <f>IF(june[[#This Row],[ShiftCounter]]&gt;0, "Running", "Down")</f>
        <v>Running</v>
      </c>
    </row>
    <row r="1053" spans="1:5" x14ac:dyDescent="0.25">
      <c r="A1053" s="8">
        <v>44722</v>
      </c>
      <c r="B1053" t="s">
        <v>5</v>
      </c>
      <c r="C1053">
        <v>2368</v>
      </c>
      <c r="D1053" t="s">
        <v>7</v>
      </c>
      <c r="E1053" t="str">
        <f>IF(june[[#This Row],[ShiftCounter]]&gt;0, "Running", "Down")</f>
        <v>Running</v>
      </c>
    </row>
    <row r="1054" spans="1:5" x14ac:dyDescent="0.25">
      <c r="A1054" s="8">
        <v>44722</v>
      </c>
      <c r="B1054" t="s">
        <v>5</v>
      </c>
      <c r="C1054">
        <v>1990</v>
      </c>
      <c r="D1054" t="s">
        <v>8</v>
      </c>
      <c r="E1054" t="str">
        <f>IF(june[[#This Row],[ShiftCounter]]&gt;0, "Running", "Down")</f>
        <v>Running</v>
      </c>
    </row>
    <row r="1055" spans="1:5" x14ac:dyDescent="0.25">
      <c r="A1055" s="8">
        <v>44722</v>
      </c>
      <c r="B1055" t="s">
        <v>9</v>
      </c>
      <c r="C1055">
        <v>2506</v>
      </c>
      <c r="D1055" t="s">
        <v>6</v>
      </c>
      <c r="E1055" t="str">
        <f>IF(june[[#This Row],[ShiftCounter]]&gt;0, "Running", "Down")</f>
        <v>Running</v>
      </c>
    </row>
    <row r="1056" spans="1:5" x14ac:dyDescent="0.25">
      <c r="A1056" s="8">
        <v>44722</v>
      </c>
      <c r="B1056" t="s">
        <v>9</v>
      </c>
      <c r="C1056">
        <v>2390</v>
      </c>
      <c r="D1056" t="s">
        <v>7</v>
      </c>
      <c r="E1056" t="str">
        <f>IF(june[[#This Row],[ShiftCounter]]&gt;0, "Running", "Down")</f>
        <v>Running</v>
      </c>
    </row>
    <row r="1057" spans="1:7" x14ac:dyDescent="0.25">
      <c r="A1057" s="8">
        <v>44722</v>
      </c>
      <c r="B1057" t="s">
        <v>9</v>
      </c>
      <c r="C1057">
        <v>2040</v>
      </c>
      <c r="D1057" t="s">
        <v>8</v>
      </c>
      <c r="E1057" t="str">
        <f>IF(june[[#This Row],[ShiftCounter]]&gt;0, "Running", "Down")</f>
        <v>Running</v>
      </c>
    </row>
    <row r="1058" spans="1:7" x14ac:dyDescent="0.25">
      <c r="A1058" s="8">
        <v>44722</v>
      </c>
      <c r="B1058" t="s">
        <v>10</v>
      </c>
      <c r="C1058">
        <v>2407</v>
      </c>
      <c r="D1058" t="s">
        <v>6</v>
      </c>
      <c r="E1058" t="str">
        <f>IF(june[[#This Row],[ShiftCounter]]&gt;0, "Running", "Down")</f>
        <v>Running</v>
      </c>
    </row>
    <row r="1059" spans="1:7" x14ac:dyDescent="0.25">
      <c r="A1059" s="8">
        <v>44722</v>
      </c>
      <c r="B1059" t="s">
        <v>10</v>
      </c>
      <c r="C1059">
        <v>2398</v>
      </c>
      <c r="D1059" t="s">
        <v>7</v>
      </c>
      <c r="E1059" t="str">
        <f>IF(june[[#This Row],[ShiftCounter]]&gt;0, "Running", "Down")</f>
        <v>Running</v>
      </c>
    </row>
    <row r="1060" spans="1:7" x14ac:dyDescent="0.25">
      <c r="A1060" s="8">
        <v>44722</v>
      </c>
      <c r="B1060" t="s">
        <v>10</v>
      </c>
      <c r="C1060">
        <v>2025</v>
      </c>
      <c r="D1060" t="s">
        <v>8</v>
      </c>
      <c r="E1060" t="str">
        <f>IF(june[[#This Row],[ShiftCounter]]&gt;0, "Running", "Down")</f>
        <v>Running</v>
      </c>
    </row>
    <row r="1061" spans="1:7" x14ac:dyDescent="0.25">
      <c r="A1061" s="8">
        <v>44722</v>
      </c>
      <c r="B1061" t="s">
        <v>11</v>
      </c>
      <c r="C1061">
        <v>2595</v>
      </c>
      <c r="D1061" t="s">
        <v>6</v>
      </c>
      <c r="E1061" t="str">
        <f>IF(june[[#This Row],[ShiftCounter]]&gt;0, "Running", "Down")</f>
        <v>Running</v>
      </c>
    </row>
    <row r="1062" spans="1:7" x14ac:dyDescent="0.25">
      <c r="A1062" s="8">
        <v>44722</v>
      </c>
      <c r="B1062" t="s">
        <v>11</v>
      </c>
      <c r="C1062">
        <v>2386</v>
      </c>
      <c r="D1062" t="s">
        <v>7</v>
      </c>
      <c r="E1062" t="str">
        <f>IF(june[[#This Row],[ShiftCounter]]&gt;0, "Running", "Down")</f>
        <v>Running</v>
      </c>
    </row>
    <row r="1063" spans="1:7" x14ac:dyDescent="0.25">
      <c r="A1063" s="8">
        <v>44722</v>
      </c>
      <c r="B1063" t="s">
        <v>11</v>
      </c>
      <c r="C1063">
        <v>2020</v>
      </c>
      <c r="D1063" t="s">
        <v>8</v>
      </c>
      <c r="E1063" t="str">
        <f>IF(june[[#This Row],[ShiftCounter]]&gt;0, "Running", "Down")</f>
        <v>Running</v>
      </c>
    </row>
    <row r="1064" spans="1:7" x14ac:dyDescent="0.25">
      <c r="A1064" s="8">
        <v>44722</v>
      </c>
      <c r="B1064" t="s">
        <v>12</v>
      </c>
      <c r="C1064">
        <v>2281</v>
      </c>
      <c r="D1064" t="s">
        <v>6</v>
      </c>
      <c r="E1064" t="str">
        <f>IF(june[[#This Row],[ShiftCounter]]&gt;0, "Running", "Down")</f>
        <v>Running</v>
      </c>
    </row>
    <row r="1065" spans="1:7" x14ac:dyDescent="0.25">
      <c r="A1065" s="8">
        <v>44722</v>
      </c>
      <c r="B1065" t="s">
        <v>12</v>
      </c>
      <c r="C1065">
        <v>1933</v>
      </c>
      <c r="D1065" t="s">
        <v>7</v>
      </c>
      <c r="E1065" t="str">
        <f>IF(june[[#This Row],[ShiftCounter]]&gt;0, "Running", "Down")</f>
        <v>Running</v>
      </c>
      <c r="G1065">
        <f>3866/2</f>
        <v>1933</v>
      </c>
    </row>
    <row r="1066" spans="1:7" x14ac:dyDescent="0.25">
      <c r="A1066" s="8">
        <v>44722</v>
      </c>
      <c r="B1066" t="s">
        <v>12</v>
      </c>
      <c r="C1066">
        <v>1933</v>
      </c>
      <c r="D1066" t="s">
        <v>8</v>
      </c>
      <c r="E1066" t="str">
        <f>IF(june[[#This Row],[ShiftCounter]]&gt;0, "Running", "Down")</f>
        <v>Running</v>
      </c>
    </row>
    <row r="1067" spans="1:7" x14ac:dyDescent="0.25">
      <c r="A1067" s="8">
        <v>44722</v>
      </c>
      <c r="B1067" t="s">
        <v>13</v>
      </c>
      <c r="C1067">
        <v>2236</v>
      </c>
      <c r="D1067" t="s">
        <v>6</v>
      </c>
      <c r="E1067" t="str">
        <f>IF(june[[#This Row],[ShiftCounter]]&gt;0, "Running", "Down")</f>
        <v>Running</v>
      </c>
    </row>
    <row r="1068" spans="1:7" x14ac:dyDescent="0.25">
      <c r="A1068" s="8">
        <v>44722</v>
      </c>
      <c r="B1068" t="s">
        <v>13</v>
      </c>
      <c r="C1068">
        <v>2044</v>
      </c>
      <c r="D1068" t="s">
        <v>7</v>
      </c>
      <c r="E1068" t="str">
        <f>IF(june[[#This Row],[ShiftCounter]]&gt;0, "Running", "Down")</f>
        <v>Running</v>
      </c>
    </row>
    <row r="1069" spans="1:7" x14ac:dyDescent="0.25">
      <c r="A1069" s="8">
        <v>44722</v>
      </c>
      <c r="B1069" t="s">
        <v>13</v>
      </c>
      <c r="C1069">
        <v>1890</v>
      </c>
      <c r="D1069" t="s">
        <v>8</v>
      </c>
      <c r="E1069" t="str">
        <f>IF(june[[#This Row],[ShiftCounter]]&gt;0, "Running", "Down")</f>
        <v>Running</v>
      </c>
    </row>
    <row r="1070" spans="1:7" x14ac:dyDescent="0.25">
      <c r="A1070" s="8">
        <v>44722</v>
      </c>
      <c r="B1070" t="s">
        <v>114</v>
      </c>
      <c r="C1070">
        <v>2100</v>
      </c>
      <c r="D1070" t="s">
        <v>6</v>
      </c>
      <c r="E1070" t="str">
        <f>IF(june[[#This Row],[ShiftCounter]]&gt;0, "Running", "Down")</f>
        <v>Running</v>
      </c>
    </row>
    <row r="1071" spans="1:7" x14ac:dyDescent="0.25">
      <c r="A1071" s="8">
        <v>44722</v>
      </c>
      <c r="B1071" t="s">
        <v>114</v>
      </c>
      <c r="C1071">
        <v>2010</v>
      </c>
      <c r="D1071" t="s">
        <v>7</v>
      </c>
      <c r="E1071" t="str">
        <f>IF(june[[#This Row],[ShiftCounter]]&gt;0, "Running", "Down")</f>
        <v>Running</v>
      </c>
    </row>
    <row r="1072" spans="1:7" x14ac:dyDescent="0.25">
      <c r="A1072" s="8">
        <v>44722</v>
      </c>
      <c r="B1072" t="s">
        <v>114</v>
      </c>
      <c r="C1072">
        <v>1817</v>
      </c>
      <c r="D1072" t="s">
        <v>8</v>
      </c>
      <c r="E1072" t="str">
        <f>IF(june[[#This Row],[ShiftCounter]]&gt;0, "Running", "Down")</f>
        <v>Running</v>
      </c>
    </row>
    <row r="1073" spans="1:5" x14ac:dyDescent="0.25">
      <c r="A1073" s="8">
        <v>44722</v>
      </c>
      <c r="B1073" t="s">
        <v>14</v>
      </c>
      <c r="C1073">
        <v>2421</v>
      </c>
      <c r="D1073" t="s">
        <v>6</v>
      </c>
      <c r="E1073" t="str">
        <f>IF(june[[#This Row],[ShiftCounter]]&gt;0, "Running", "Down")</f>
        <v>Running</v>
      </c>
    </row>
    <row r="1074" spans="1:5" x14ac:dyDescent="0.25">
      <c r="A1074" s="8">
        <v>44722</v>
      </c>
      <c r="B1074" t="s">
        <v>14</v>
      </c>
      <c r="C1074">
        <v>2192</v>
      </c>
      <c r="D1074" t="s">
        <v>7</v>
      </c>
      <c r="E1074" t="str">
        <f>IF(june[[#This Row],[ShiftCounter]]&gt;0, "Running", "Down")</f>
        <v>Running</v>
      </c>
    </row>
    <row r="1075" spans="1:5" x14ac:dyDescent="0.25">
      <c r="A1075" s="8">
        <v>44722</v>
      </c>
      <c r="B1075" t="s">
        <v>14</v>
      </c>
      <c r="C1075">
        <v>1990</v>
      </c>
      <c r="D1075" t="s">
        <v>8</v>
      </c>
      <c r="E1075" t="str">
        <f>IF(june[[#This Row],[ShiftCounter]]&gt;0, "Running", "Down")</f>
        <v>Running</v>
      </c>
    </row>
    <row r="1076" spans="1:5" x14ac:dyDescent="0.25">
      <c r="A1076" s="8">
        <v>44722</v>
      </c>
      <c r="B1076" t="s">
        <v>15</v>
      </c>
      <c r="C1076">
        <v>2338</v>
      </c>
      <c r="D1076" t="s">
        <v>6</v>
      </c>
      <c r="E1076" t="str">
        <f>IF(june[[#This Row],[ShiftCounter]]&gt;0, "Running", "Down")</f>
        <v>Running</v>
      </c>
    </row>
    <row r="1077" spans="1:5" x14ac:dyDescent="0.25">
      <c r="A1077" s="8">
        <v>44722</v>
      </c>
      <c r="B1077" t="s">
        <v>15</v>
      </c>
      <c r="C1077">
        <v>2180</v>
      </c>
      <c r="D1077" t="s">
        <v>7</v>
      </c>
      <c r="E1077" t="str">
        <f>IF(june[[#This Row],[ShiftCounter]]&gt;0, "Running", "Down")</f>
        <v>Running</v>
      </c>
    </row>
    <row r="1078" spans="1:5" x14ac:dyDescent="0.25">
      <c r="A1078" s="8">
        <v>44722</v>
      </c>
      <c r="B1078" t="s">
        <v>15</v>
      </c>
      <c r="C1078">
        <v>1996</v>
      </c>
      <c r="D1078" t="s">
        <v>8</v>
      </c>
      <c r="E1078" t="str">
        <f>IF(june[[#This Row],[ShiftCounter]]&gt;0, "Running", "Down")</f>
        <v>Running</v>
      </c>
    </row>
    <row r="1079" spans="1:5" x14ac:dyDescent="0.25">
      <c r="A1079" s="8">
        <v>44722</v>
      </c>
      <c r="B1079" t="s">
        <v>16</v>
      </c>
      <c r="C1079">
        <v>1855</v>
      </c>
      <c r="D1079" t="s">
        <v>6</v>
      </c>
      <c r="E1079" t="str">
        <f>IF(june[[#This Row],[ShiftCounter]]&gt;0, "Running", "Down")</f>
        <v>Running</v>
      </c>
    </row>
    <row r="1080" spans="1:5" x14ac:dyDescent="0.25">
      <c r="A1080" s="8">
        <v>44722</v>
      </c>
      <c r="B1080" t="s">
        <v>16</v>
      </c>
      <c r="C1080">
        <v>2060</v>
      </c>
      <c r="D1080" t="s">
        <v>7</v>
      </c>
      <c r="E1080" t="str">
        <f>IF(june[[#This Row],[ShiftCounter]]&gt;0, "Running", "Down")</f>
        <v>Running</v>
      </c>
    </row>
    <row r="1081" spans="1:5" x14ac:dyDescent="0.25">
      <c r="A1081" s="8">
        <v>44722</v>
      </c>
      <c r="B1081" t="s">
        <v>16</v>
      </c>
      <c r="C1081">
        <v>1936</v>
      </c>
      <c r="D1081" t="s">
        <v>8</v>
      </c>
      <c r="E1081" t="str">
        <f>IF(june[[#This Row],[ShiftCounter]]&gt;0, "Running", "Down")</f>
        <v>Running</v>
      </c>
    </row>
    <row r="1082" spans="1:5" x14ac:dyDescent="0.25">
      <c r="A1082" s="8">
        <v>44722</v>
      </c>
      <c r="B1082" t="s">
        <v>17</v>
      </c>
      <c r="C1082">
        <v>2317</v>
      </c>
      <c r="D1082" t="s">
        <v>6</v>
      </c>
      <c r="E1082" t="str">
        <f>IF(june[[#This Row],[ShiftCounter]]&gt;0, "Running", "Down")</f>
        <v>Running</v>
      </c>
    </row>
    <row r="1083" spans="1:5" x14ac:dyDescent="0.25">
      <c r="A1083" s="8">
        <v>44722</v>
      </c>
      <c r="B1083" t="s">
        <v>17</v>
      </c>
      <c r="C1083">
        <v>2296</v>
      </c>
      <c r="D1083" t="s">
        <v>7</v>
      </c>
      <c r="E1083" t="str">
        <f>IF(june[[#This Row],[ShiftCounter]]&gt;0, "Running", "Down")</f>
        <v>Running</v>
      </c>
    </row>
    <row r="1084" spans="1:5" x14ac:dyDescent="0.25">
      <c r="A1084" s="8">
        <v>44722</v>
      </c>
      <c r="B1084" t="s">
        <v>17</v>
      </c>
      <c r="C1084">
        <v>2173</v>
      </c>
      <c r="D1084" t="s">
        <v>8</v>
      </c>
      <c r="E1084" t="str">
        <f>IF(june[[#This Row],[ShiftCounter]]&gt;0, "Running", "Down")</f>
        <v>Running</v>
      </c>
    </row>
    <row r="1085" spans="1:5" x14ac:dyDescent="0.25">
      <c r="A1085" s="8">
        <v>44722</v>
      </c>
      <c r="B1085" t="s">
        <v>19</v>
      </c>
      <c r="C1085">
        <v>2059</v>
      </c>
      <c r="D1085" t="s">
        <v>6</v>
      </c>
      <c r="E1085" t="str">
        <f>IF(june[[#This Row],[ShiftCounter]]&gt;0, "Running", "Down")</f>
        <v>Running</v>
      </c>
    </row>
    <row r="1086" spans="1:5" x14ac:dyDescent="0.25">
      <c r="A1086" s="8">
        <v>44722</v>
      </c>
      <c r="B1086" t="s">
        <v>19</v>
      </c>
      <c r="C1086">
        <v>1818</v>
      </c>
      <c r="D1086" t="s">
        <v>7</v>
      </c>
      <c r="E1086" t="str">
        <f>IF(june[[#This Row],[ShiftCounter]]&gt;0, "Running", "Down")</f>
        <v>Running</v>
      </c>
    </row>
    <row r="1087" spans="1:5" x14ac:dyDescent="0.25">
      <c r="A1087" s="8">
        <v>44722</v>
      </c>
      <c r="B1087" t="s">
        <v>19</v>
      </c>
      <c r="C1087">
        <v>1799</v>
      </c>
      <c r="D1087" t="s">
        <v>8</v>
      </c>
      <c r="E1087" t="str">
        <f>IF(june[[#This Row],[ShiftCounter]]&gt;0, "Running", "Down")</f>
        <v>Running</v>
      </c>
    </row>
    <row r="1088" spans="1:5" x14ac:dyDescent="0.25">
      <c r="A1088" s="8">
        <v>44722</v>
      </c>
      <c r="B1088" t="s">
        <v>18</v>
      </c>
      <c r="C1088">
        <v>2394</v>
      </c>
      <c r="D1088" t="s">
        <v>6</v>
      </c>
      <c r="E1088" t="str">
        <f>IF(june[[#This Row],[ShiftCounter]]&gt;0, "Running", "Down")</f>
        <v>Running</v>
      </c>
    </row>
    <row r="1089" spans="1:5" x14ac:dyDescent="0.25">
      <c r="A1089" s="8">
        <v>44722</v>
      </c>
      <c r="B1089" t="s">
        <v>18</v>
      </c>
      <c r="C1089">
        <v>2433</v>
      </c>
      <c r="D1089" t="s">
        <v>7</v>
      </c>
      <c r="E1089" t="str">
        <f>IF(june[[#This Row],[ShiftCounter]]&gt;0, "Running", "Down")</f>
        <v>Running</v>
      </c>
    </row>
    <row r="1090" spans="1:5" x14ac:dyDescent="0.25">
      <c r="A1090" s="8">
        <v>44722</v>
      </c>
      <c r="B1090" t="s">
        <v>18</v>
      </c>
      <c r="C1090">
        <v>2121</v>
      </c>
      <c r="D1090" t="s">
        <v>8</v>
      </c>
      <c r="E1090" t="str">
        <f>IF(june[[#This Row],[ShiftCounter]]&gt;0, "Running", "Down")</f>
        <v>Running</v>
      </c>
    </row>
    <row r="1091" spans="1:5" x14ac:dyDescent="0.25">
      <c r="A1091" s="8">
        <v>44722</v>
      </c>
      <c r="B1091" t="s">
        <v>42</v>
      </c>
      <c r="C1091">
        <v>1522</v>
      </c>
      <c r="D1091" t="s">
        <v>6</v>
      </c>
      <c r="E1091" t="str">
        <f>IF(june[[#This Row],[ShiftCounter]]&gt;0, "Running", "Down")</f>
        <v>Running</v>
      </c>
    </row>
    <row r="1092" spans="1:5" x14ac:dyDescent="0.25">
      <c r="A1092" s="8">
        <v>44722</v>
      </c>
      <c r="B1092" t="s">
        <v>42</v>
      </c>
      <c r="C1092">
        <v>2094</v>
      </c>
      <c r="D1092" t="s">
        <v>7</v>
      </c>
      <c r="E1092" t="str">
        <f>IF(june[[#This Row],[ShiftCounter]]&gt;0, "Running", "Down")</f>
        <v>Running</v>
      </c>
    </row>
    <row r="1093" spans="1:5" x14ac:dyDescent="0.25">
      <c r="A1093" s="8">
        <v>44722</v>
      </c>
      <c r="B1093" t="s">
        <v>42</v>
      </c>
      <c r="C1093">
        <v>1579</v>
      </c>
      <c r="D1093" t="s">
        <v>8</v>
      </c>
      <c r="E1093" t="str">
        <f>IF(june[[#This Row],[ShiftCounter]]&gt;0, "Running", "Down")</f>
        <v>Running</v>
      </c>
    </row>
    <row r="1094" spans="1:5" x14ac:dyDescent="0.25">
      <c r="A1094" s="8">
        <v>44722</v>
      </c>
      <c r="B1094" t="s">
        <v>38</v>
      </c>
      <c r="C1094">
        <v>2392</v>
      </c>
      <c r="D1094" t="s">
        <v>6</v>
      </c>
      <c r="E1094" t="str">
        <f>IF(june[[#This Row],[ShiftCounter]]&gt;0, "Running", "Down")</f>
        <v>Running</v>
      </c>
    </row>
    <row r="1095" spans="1:5" x14ac:dyDescent="0.25">
      <c r="A1095" s="8">
        <v>44722</v>
      </c>
      <c r="B1095" t="s">
        <v>38</v>
      </c>
      <c r="C1095">
        <v>2346</v>
      </c>
      <c r="D1095" t="s">
        <v>7</v>
      </c>
      <c r="E1095" t="str">
        <f>IF(june[[#This Row],[ShiftCounter]]&gt;0, "Running", "Down")</f>
        <v>Running</v>
      </c>
    </row>
    <row r="1096" spans="1:5" x14ac:dyDescent="0.25">
      <c r="A1096" s="8">
        <v>44722</v>
      </c>
      <c r="B1096" t="s">
        <v>38</v>
      </c>
      <c r="C1096">
        <v>2081</v>
      </c>
      <c r="D1096" t="s">
        <v>8</v>
      </c>
      <c r="E1096" t="str">
        <f>IF(june[[#This Row],[ShiftCounter]]&gt;0, "Running", "Down")</f>
        <v>Running</v>
      </c>
    </row>
    <row r="1097" spans="1:5" x14ac:dyDescent="0.25">
      <c r="A1097" s="8">
        <v>44722</v>
      </c>
      <c r="B1097" t="s">
        <v>20</v>
      </c>
      <c r="C1097">
        <v>2284</v>
      </c>
      <c r="D1097" t="s">
        <v>6</v>
      </c>
      <c r="E1097" t="str">
        <f>IF(june[[#This Row],[ShiftCounter]]&gt;0, "Running", "Down")</f>
        <v>Running</v>
      </c>
    </row>
    <row r="1098" spans="1:5" x14ac:dyDescent="0.25">
      <c r="A1098" s="8">
        <v>44722</v>
      </c>
      <c r="B1098" t="s">
        <v>20</v>
      </c>
      <c r="C1098">
        <v>2125</v>
      </c>
      <c r="D1098" t="s">
        <v>7</v>
      </c>
      <c r="E1098" t="str">
        <f>IF(june[[#This Row],[ShiftCounter]]&gt;0, "Running", "Down")</f>
        <v>Running</v>
      </c>
    </row>
    <row r="1099" spans="1:5" x14ac:dyDescent="0.25">
      <c r="A1099" s="8">
        <v>44722</v>
      </c>
      <c r="B1099" t="s">
        <v>20</v>
      </c>
      <c r="C1099">
        <v>1776</v>
      </c>
      <c r="D1099" t="s">
        <v>8</v>
      </c>
      <c r="E1099" t="str">
        <f>IF(june[[#This Row],[ShiftCounter]]&gt;0, "Running", "Down")</f>
        <v>Running</v>
      </c>
    </row>
    <row r="1100" spans="1:5" x14ac:dyDescent="0.25">
      <c r="A1100" s="8">
        <v>44722</v>
      </c>
      <c r="B1100" t="s">
        <v>21</v>
      </c>
      <c r="C1100">
        <v>0</v>
      </c>
      <c r="D1100" t="s">
        <v>6</v>
      </c>
      <c r="E1100" t="str">
        <f>IF(june[[#This Row],[ShiftCounter]]&gt;0, "Running", "Down")</f>
        <v>Down</v>
      </c>
    </row>
    <row r="1101" spans="1:5" x14ac:dyDescent="0.25">
      <c r="A1101" s="8">
        <v>44722</v>
      </c>
      <c r="B1101" t="s">
        <v>21</v>
      </c>
      <c r="C1101">
        <v>2972</v>
      </c>
      <c r="D1101" t="s">
        <v>7</v>
      </c>
      <c r="E1101" t="str">
        <f>IF(june[[#This Row],[ShiftCounter]]&gt;0, "Running", "Down")</f>
        <v>Running</v>
      </c>
    </row>
    <row r="1102" spans="1:5" x14ac:dyDescent="0.25">
      <c r="A1102" s="8">
        <v>44722</v>
      </c>
      <c r="B1102" t="s">
        <v>21</v>
      </c>
      <c r="C1102">
        <v>1856</v>
      </c>
      <c r="D1102" t="s">
        <v>8</v>
      </c>
      <c r="E1102" t="str">
        <f>IF(june[[#This Row],[ShiftCounter]]&gt;0, "Running", "Down")</f>
        <v>Running</v>
      </c>
    </row>
    <row r="1103" spans="1:5" x14ac:dyDescent="0.25">
      <c r="A1103" s="8">
        <v>44722</v>
      </c>
      <c r="B1103" t="s">
        <v>22</v>
      </c>
      <c r="C1103">
        <v>2156</v>
      </c>
      <c r="D1103" t="s">
        <v>6</v>
      </c>
      <c r="E1103" t="str">
        <f>IF(june[[#This Row],[ShiftCounter]]&gt;0, "Running", "Down")</f>
        <v>Running</v>
      </c>
    </row>
    <row r="1104" spans="1:5" x14ac:dyDescent="0.25">
      <c r="A1104" s="8">
        <v>44722</v>
      </c>
      <c r="B1104" t="s">
        <v>22</v>
      </c>
      <c r="C1104">
        <v>2239</v>
      </c>
      <c r="D1104" t="s">
        <v>7</v>
      </c>
      <c r="E1104" t="str">
        <f>IF(june[[#This Row],[ShiftCounter]]&gt;0, "Running", "Down")</f>
        <v>Running</v>
      </c>
    </row>
    <row r="1105" spans="1:5" x14ac:dyDescent="0.25">
      <c r="A1105" s="8">
        <v>44722</v>
      </c>
      <c r="B1105" t="s">
        <v>22</v>
      </c>
      <c r="C1105">
        <v>2161</v>
      </c>
      <c r="D1105" t="s">
        <v>8</v>
      </c>
      <c r="E1105" t="str">
        <f>IF(june[[#This Row],[ShiftCounter]]&gt;0, "Running", "Down")</f>
        <v>Running</v>
      </c>
    </row>
    <row r="1106" spans="1:5" x14ac:dyDescent="0.25">
      <c r="A1106" s="8">
        <v>44722</v>
      </c>
      <c r="B1106" t="s">
        <v>23</v>
      </c>
      <c r="C1106">
        <v>1017</v>
      </c>
      <c r="D1106" t="s">
        <v>6</v>
      </c>
      <c r="E1106" t="str">
        <f>IF(june[[#This Row],[ShiftCounter]]&gt;0, "Running", "Down")</f>
        <v>Running</v>
      </c>
    </row>
    <row r="1107" spans="1:5" x14ac:dyDescent="0.25">
      <c r="A1107" s="8">
        <v>44722</v>
      </c>
      <c r="B1107" t="s">
        <v>23</v>
      </c>
      <c r="C1107">
        <v>2487</v>
      </c>
      <c r="D1107" t="s">
        <v>7</v>
      </c>
      <c r="E1107" t="str">
        <f>IF(june[[#This Row],[ShiftCounter]]&gt;0, "Running", "Down")</f>
        <v>Running</v>
      </c>
    </row>
    <row r="1108" spans="1:5" x14ac:dyDescent="0.25">
      <c r="A1108" s="8">
        <v>44722</v>
      </c>
      <c r="B1108" t="s">
        <v>23</v>
      </c>
      <c r="C1108">
        <v>2127</v>
      </c>
      <c r="D1108" t="s">
        <v>8</v>
      </c>
      <c r="E1108" t="str">
        <f>IF(june[[#This Row],[ShiftCounter]]&gt;0, "Running", "Down")</f>
        <v>Running</v>
      </c>
    </row>
    <row r="1109" spans="1:5" x14ac:dyDescent="0.25">
      <c r="A1109" s="8">
        <v>44722</v>
      </c>
      <c r="B1109" t="s">
        <v>24</v>
      </c>
      <c r="C1109">
        <v>2184</v>
      </c>
      <c r="D1109" t="s">
        <v>6</v>
      </c>
      <c r="E1109" t="str">
        <f>IF(june[[#This Row],[ShiftCounter]]&gt;0, "Running", "Down")</f>
        <v>Running</v>
      </c>
    </row>
    <row r="1110" spans="1:5" x14ac:dyDescent="0.25">
      <c r="A1110" s="8">
        <v>44722</v>
      </c>
      <c r="B1110" t="s">
        <v>24</v>
      </c>
      <c r="C1110">
        <v>2233</v>
      </c>
      <c r="D1110" t="s">
        <v>7</v>
      </c>
      <c r="E1110" t="str">
        <f>IF(june[[#This Row],[ShiftCounter]]&gt;0, "Running", "Down")</f>
        <v>Running</v>
      </c>
    </row>
    <row r="1111" spans="1:5" x14ac:dyDescent="0.25">
      <c r="A1111" s="8">
        <v>44722</v>
      </c>
      <c r="B1111" t="s">
        <v>24</v>
      </c>
      <c r="C1111">
        <v>1883</v>
      </c>
      <c r="D1111" t="s">
        <v>8</v>
      </c>
      <c r="E1111" t="str">
        <f>IF(june[[#This Row],[ShiftCounter]]&gt;0, "Running", "Down")</f>
        <v>Running</v>
      </c>
    </row>
    <row r="1112" spans="1:5" x14ac:dyDescent="0.25">
      <c r="A1112" s="8">
        <v>44722</v>
      </c>
      <c r="B1112" t="s">
        <v>81</v>
      </c>
      <c r="C1112">
        <v>2263</v>
      </c>
      <c r="D1112" t="s">
        <v>6</v>
      </c>
      <c r="E1112" t="str">
        <f>IF(june[[#This Row],[ShiftCounter]]&gt;0, "Running", "Down")</f>
        <v>Running</v>
      </c>
    </row>
    <row r="1113" spans="1:5" x14ac:dyDescent="0.25">
      <c r="A1113" s="8">
        <v>44722</v>
      </c>
      <c r="B1113" t="s">
        <v>81</v>
      </c>
      <c r="C1113">
        <v>2008</v>
      </c>
      <c r="D1113" t="s">
        <v>7</v>
      </c>
      <c r="E1113" t="str">
        <f>IF(june[[#This Row],[ShiftCounter]]&gt;0, "Running", "Down")</f>
        <v>Running</v>
      </c>
    </row>
    <row r="1114" spans="1:5" x14ac:dyDescent="0.25">
      <c r="A1114" s="8">
        <v>44722</v>
      </c>
      <c r="B1114" t="s">
        <v>81</v>
      </c>
      <c r="C1114">
        <v>2006</v>
      </c>
      <c r="D1114" t="s">
        <v>8</v>
      </c>
      <c r="E1114" t="str">
        <f>IF(june[[#This Row],[ShiftCounter]]&gt;0, "Running", "Down")</f>
        <v>Running</v>
      </c>
    </row>
    <row r="1115" spans="1:5" x14ac:dyDescent="0.25">
      <c r="A1115" s="8">
        <v>44722</v>
      </c>
      <c r="B1115" t="s">
        <v>25</v>
      </c>
      <c r="C1115">
        <v>2180</v>
      </c>
      <c r="D1115" t="s">
        <v>6</v>
      </c>
      <c r="E1115" t="str">
        <f>IF(june[[#This Row],[ShiftCounter]]&gt;0, "Running", "Down")</f>
        <v>Running</v>
      </c>
    </row>
    <row r="1116" spans="1:5" x14ac:dyDescent="0.25">
      <c r="A1116" s="8">
        <v>44722</v>
      </c>
      <c r="B1116" t="s">
        <v>25</v>
      </c>
      <c r="C1116">
        <v>2201</v>
      </c>
      <c r="D1116" t="s">
        <v>7</v>
      </c>
      <c r="E1116" t="str">
        <f>IF(june[[#This Row],[ShiftCounter]]&gt;0, "Running", "Down")</f>
        <v>Running</v>
      </c>
    </row>
    <row r="1117" spans="1:5" x14ac:dyDescent="0.25">
      <c r="A1117" s="8">
        <v>44722</v>
      </c>
      <c r="B1117" t="s">
        <v>25</v>
      </c>
      <c r="C1117">
        <v>2039</v>
      </c>
      <c r="D1117" t="s">
        <v>8</v>
      </c>
      <c r="E1117" t="str">
        <f>IF(june[[#This Row],[ShiftCounter]]&gt;0, "Running", "Down")</f>
        <v>Running</v>
      </c>
    </row>
    <row r="1118" spans="1:5" x14ac:dyDescent="0.25">
      <c r="A1118" s="8">
        <v>44722</v>
      </c>
      <c r="B1118" t="s">
        <v>26</v>
      </c>
      <c r="C1118">
        <v>1562</v>
      </c>
      <c r="D1118" t="s">
        <v>6</v>
      </c>
      <c r="E1118" t="str">
        <f>IF(june[[#This Row],[ShiftCounter]]&gt;0, "Running", "Down")</f>
        <v>Running</v>
      </c>
    </row>
    <row r="1119" spans="1:5" x14ac:dyDescent="0.25">
      <c r="A1119" s="8">
        <v>44722</v>
      </c>
      <c r="B1119" t="s">
        <v>26</v>
      </c>
      <c r="C1119">
        <v>1895</v>
      </c>
      <c r="D1119" t="s">
        <v>7</v>
      </c>
      <c r="E1119" t="str">
        <f>IF(june[[#This Row],[ShiftCounter]]&gt;0, "Running", "Down")</f>
        <v>Running</v>
      </c>
    </row>
    <row r="1120" spans="1:5" x14ac:dyDescent="0.25">
      <c r="A1120" s="8">
        <v>44722</v>
      </c>
      <c r="B1120" t="s">
        <v>26</v>
      </c>
      <c r="C1120">
        <v>1888</v>
      </c>
      <c r="D1120" t="s">
        <v>8</v>
      </c>
      <c r="E1120" t="str">
        <f>IF(june[[#This Row],[ShiftCounter]]&gt;0, "Running", "Down")</f>
        <v>Running</v>
      </c>
    </row>
    <row r="1121" spans="1:5" x14ac:dyDescent="0.25">
      <c r="A1121" s="8">
        <v>44722</v>
      </c>
      <c r="B1121" t="s">
        <v>27</v>
      </c>
      <c r="C1121">
        <v>2102</v>
      </c>
      <c r="D1121" t="s">
        <v>6</v>
      </c>
      <c r="E1121" t="str">
        <f>IF(june[[#This Row],[ShiftCounter]]&gt;0, "Running", "Down")</f>
        <v>Running</v>
      </c>
    </row>
    <row r="1122" spans="1:5" x14ac:dyDescent="0.25">
      <c r="A1122" s="8">
        <v>44722</v>
      </c>
      <c r="B1122" t="s">
        <v>27</v>
      </c>
      <c r="C1122">
        <v>2145</v>
      </c>
      <c r="D1122" t="s">
        <v>7</v>
      </c>
      <c r="E1122" t="str">
        <f>IF(june[[#This Row],[ShiftCounter]]&gt;0, "Running", "Down")</f>
        <v>Running</v>
      </c>
    </row>
    <row r="1123" spans="1:5" x14ac:dyDescent="0.25">
      <c r="A1123" s="8">
        <v>44722</v>
      </c>
      <c r="B1123" t="s">
        <v>27</v>
      </c>
      <c r="C1123">
        <v>2016</v>
      </c>
      <c r="D1123" t="s">
        <v>8</v>
      </c>
      <c r="E1123" t="str">
        <f>IF(june[[#This Row],[ShiftCounter]]&gt;0, "Running", "Down")</f>
        <v>Running</v>
      </c>
    </row>
    <row r="1124" spans="1:5" x14ac:dyDescent="0.25">
      <c r="A1124" s="8">
        <v>44722</v>
      </c>
      <c r="B1124" t="s">
        <v>28</v>
      </c>
      <c r="C1124">
        <v>2214</v>
      </c>
      <c r="D1124" t="s">
        <v>6</v>
      </c>
      <c r="E1124" t="str">
        <f>IF(june[[#This Row],[ShiftCounter]]&gt;0, "Running", "Down")</f>
        <v>Running</v>
      </c>
    </row>
    <row r="1125" spans="1:5" x14ac:dyDescent="0.25">
      <c r="A1125" s="8">
        <v>44722</v>
      </c>
      <c r="B1125" t="s">
        <v>28</v>
      </c>
      <c r="C1125">
        <v>2103</v>
      </c>
      <c r="D1125" t="s">
        <v>7</v>
      </c>
      <c r="E1125" t="str">
        <f>IF(june[[#This Row],[ShiftCounter]]&gt;0, "Running", "Down")</f>
        <v>Running</v>
      </c>
    </row>
    <row r="1126" spans="1:5" x14ac:dyDescent="0.25">
      <c r="A1126" s="8">
        <v>44722</v>
      </c>
      <c r="B1126" t="s">
        <v>28</v>
      </c>
      <c r="C1126">
        <v>1993</v>
      </c>
      <c r="D1126" t="s">
        <v>8</v>
      </c>
      <c r="E1126" t="str">
        <f>IF(june[[#This Row],[ShiftCounter]]&gt;0, "Running", "Down")</f>
        <v>Running</v>
      </c>
    </row>
    <row r="1127" spans="1:5" x14ac:dyDescent="0.25">
      <c r="A1127" s="8">
        <v>44722</v>
      </c>
      <c r="B1127" t="s">
        <v>29</v>
      </c>
      <c r="C1127">
        <v>1978</v>
      </c>
      <c r="D1127" t="s">
        <v>6</v>
      </c>
      <c r="E1127" t="str">
        <f>IF(june[[#This Row],[ShiftCounter]]&gt;0, "Running", "Down")</f>
        <v>Running</v>
      </c>
    </row>
    <row r="1128" spans="1:5" x14ac:dyDescent="0.25">
      <c r="A1128" s="8">
        <v>44722</v>
      </c>
      <c r="B1128" t="s">
        <v>29</v>
      </c>
      <c r="C1128">
        <v>1960</v>
      </c>
      <c r="D1128" t="s">
        <v>7</v>
      </c>
      <c r="E1128" t="str">
        <f>IF(june[[#This Row],[ShiftCounter]]&gt;0, "Running", "Down")</f>
        <v>Running</v>
      </c>
    </row>
    <row r="1129" spans="1:5" x14ac:dyDescent="0.25">
      <c r="A1129" s="8">
        <v>44722</v>
      </c>
      <c r="B1129" t="s">
        <v>29</v>
      </c>
      <c r="C1129">
        <v>1910</v>
      </c>
      <c r="D1129" t="s">
        <v>8</v>
      </c>
      <c r="E1129" t="str">
        <f>IF(june[[#This Row],[ShiftCounter]]&gt;0, "Running", "Down")</f>
        <v>Running</v>
      </c>
    </row>
    <row r="1130" spans="1:5" x14ac:dyDescent="0.25">
      <c r="A1130" s="8">
        <v>44722</v>
      </c>
      <c r="B1130" t="s">
        <v>30</v>
      </c>
      <c r="C1130">
        <v>2265</v>
      </c>
      <c r="D1130" t="s">
        <v>6</v>
      </c>
      <c r="E1130" t="str">
        <f>IF(june[[#This Row],[ShiftCounter]]&gt;0, "Running", "Down")</f>
        <v>Running</v>
      </c>
    </row>
    <row r="1131" spans="1:5" x14ac:dyDescent="0.25">
      <c r="A1131" s="8">
        <v>44722</v>
      </c>
      <c r="B1131" t="s">
        <v>30</v>
      </c>
      <c r="C1131">
        <v>2205</v>
      </c>
      <c r="D1131" t="s">
        <v>7</v>
      </c>
      <c r="E1131" t="str">
        <f>IF(june[[#This Row],[ShiftCounter]]&gt;0, "Running", "Down")</f>
        <v>Running</v>
      </c>
    </row>
    <row r="1132" spans="1:5" x14ac:dyDescent="0.25">
      <c r="A1132" s="8">
        <v>44722</v>
      </c>
      <c r="B1132" t="s">
        <v>30</v>
      </c>
      <c r="C1132">
        <v>2060</v>
      </c>
      <c r="D1132" t="s">
        <v>8</v>
      </c>
      <c r="E1132" t="str">
        <f>IF(june[[#This Row],[ShiftCounter]]&gt;0, "Running", "Down")</f>
        <v>Running</v>
      </c>
    </row>
    <row r="1133" spans="1:5" x14ac:dyDescent="0.25">
      <c r="A1133" s="8">
        <v>44722</v>
      </c>
      <c r="B1133" t="s">
        <v>31</v>
      </c>
      <c r="C1133">
        <v>2210</v>
      </c>
      <c r="D1133" t="s">
        <v>6</v>
      </c>
      <c r="E1133" t="str">
        <f>IF(june[[#This Row],[ShiftCounter]]&gt;0, "Running", "Down")</f>
        <v>Running</v>
      </c>
    </row>
    <row r="1134" spans="1:5" x14ac:dyDescent="0.25">
      <c r="A1134" s="8">
        <v>44722</v>
      </c>
      <c r="B1134" t="s">
        <v>31</v>
      </c>
      <c r="C1134">
        <v>2178</v>
      </c>
      <c r="D1134" t="s">
        <v>7</v>
      </c>
      <c r="E1134" t="str">
        <f>IF(june[[#This Row],[ShiftCounter]]&gt;0, "Running", "Down")</f>
        <v>Running</v>
      </c>
    </row>
    <row r="1135" spans="1:5" x14ac:dyDescent="0.25">
      <c r="A1135" s="8">
        <v>44722</v>
      </c>
      <c r="B1135" t="s">
        <v>31</v>
      </c>
      <c r="C1135">
        <v>2004</v>
      </c>
      <c r="D1135" t="s">
        <v>8</v>
      </c>
      <c r="E1135" t="str">
        <f>IF(june[[#This Row],[ShiftCounter]]&gt;0, "Running", "Down")</f>
        <v>Running</v>
      </c>
    </row>
    <row r="1136" spans="1:5" x14ac:dyDescent="0.25">
      <c r="A1136" s="8">
        <v>44722</v>
      </c>
      <c r="B1136" t="s">
        <v>32</v>
      </c>
      <c r="C1136">
        <v>2008</v>
      </c>
      <c r="D1136" t="s">
        <v>6</v>
      </c>
      <c r="E1136" t="str">
        <f>IF(june[[#This Row],[ShiftCounter]]&gt;0, "Running", "Down")</f>
        <v>Running</v>
      </c>
    </row>
    <row r="1137" spans="1:5" x14ac:dyDescent="0.25">
      <c r="A1137" s="8">
        <v>44722</v>
      </c>
      <c r="B1137" t="s">
        <v>32</v>
      </c>
      <c r="C1137">
        <v>343</v>
      </c>
      <c r="D1137" t="s">
        <v>7</v>
      </c>
      <c r="E1137" t="str">
        <f>IF(june[[#This Row],[ShiftCounter]]&gt;0, "Running", "Down")</f>
        <v>Running</v>
      </c>
    </row>
    <row r="1138" spans="1:5" x14ac:dyDescent="0.25">
      <c r="A1138" s="8">
        <v>44722</v>
      </c>
      <c r="B1138" t="s">
        <v>32</v>
      </c>
      <c r="C1138">
        <v>0</v>
      </c>
      <c r="D1138" t="s">
        <v>8</v>
      </c>
      <c r="E1138" t="str">
        <f>IF(june[[#This Row],[ShiftCounter]]&gt;0, "Running", "Down")</f>
        <v>Down</v>
      </c>
    </row>
    <row r="1139" spans="1:5" x14ac:dyDescent="0.25">
      <c r="A1139" s="8">
        <v>44722</v>
      </c>
      <c r="B1139" t="s">
        <v>71</v>
      </c>
      <c r="C1139">
        <v>2127</v>
      </c>
      <c r="D1139" t="s">
        <v>6</v>
      </c>
      <c r="E1139" t="str">
        <f>IF(june[[#This Row],[ShiftCounter]]&gt;0, "Running", "Down")</f>
        <v>Running</v>
      </c>
    </row>
    <row r="1140" spans="1:5" x14ac:dyDescent="0.25">
      <c r="A1140" s="8">
        <v>44722</v>
      </c>
      <c r="B1140" t="s">
        <v>71</v>
      </c>
      <c r="C1140">
        <v>2122</v>
      </c>
      <c r="D1140" t="s">
        <v>7</v>
      </c>
      <c r="E1140" t="str">
        <f>IF(june[[#This Row],[ShiftCounter]]&gt;0, "Running", "Down")</f>
        <v>Running</v>
      </c>
    </row>
    <row r="1141" spans="1:5" x14ac:dyDescent="0.25">
      <c r="A1141" s="8">
        <v>44722</v>
      </c>
      <c r="B1141" t="s">
        <v>71</v>
      </c>
      <c r="C1141">
        <v>2028</v>
      </c>
      <c r="D1141" t="s">
        <v>8</v>
      </c>
      <c r="E1141" t="str">
        <f>IF(june[[#This Row],[ShiftCounter]]&gt;0, "Running", "Down")</f>
        <v>Running</v>
      </c>
    </row>
    <row r="1142" spans="1:5" x14ac:dyDescent="0.25">
      <c r="A1142" s="8">
        <v>44722</v>
      </c>
      <c r="B1142" t="s">
        <v>33</v>
      </c>
      <c r="C1142">
        <v>2283</v>
      </c>
      <c r="D1142" t="s">
        <v>6</v>
      </c>
      <c r="E1142" t="str">
        <f>IF(june[[#This Row],[ShiftCounter]]&gt;0, "Running", "Down")</f>
        <v>Running</v>
      </c>
    </row>
    <row r="1143" spans="1:5" x14ac:dyDescent="0.25">
      <c r="A1143" s="8">
        <v>44722</v>
      </c>
      <c r="B1143" t="s">
        <v>33</v>
      </c>
      <c r="C1143">
        <v>2447</v>
      </c>
      <c r="D1143" t="s">
        <v>7</v>
      </c>
      <c r="E1143" t="str">
        <f>IF(june[[#This Row],[ShiftCounter]]&gt;0, "Running", "Down")</f>
        <v>Running</v>
      </c>
    </row>
    <row r="1144" spans="1:5" x14ac:dyDescent="0.25">
      <c r="A1144" s="8">
        <v>44722</v>
      </c>
      <c r="B1144" t="s">
        <v>33</v>
      </c>
      <c r="C1144">
        <v>2127</v>
      </c>
      <c r="D1144" t="s">
        <v>8</v>
      </c>
      <c r="E1144" t="str">
        <f>IF(june[[#This Row],[ShiftCounter]]&gt;0, "Running", "Down")</f>
        <v>Running</v>
      </c>
    </row>
    <row r="1145" spans="1:5" x14ac:dyDescent="0.25">
      <c r="A1145" s="8">
        <v>44722</v>
      </c>
      <c r="B1145" t="s">
        <v>34</v>
      </c>
      <c r="C1145">
        <v>2012</v>
      </c>
      <c r="D1145" t="s">
        <v>6</v>
      </c>
      <c r="E1145" t="str">
        <f>IF(june[[#This Row],[ShiftCounter]]&gt;0, "Running", "Down")</f>
        <v>Running</v>
      </c>
    </row>
    <row r="1146" spans="1:5" x14ac:dyDescent="0.25">
      <c r="A1146" s="8">
        <v>44722</v>
      </c>
      <c r="B1146" t="s">
        <v>34</v>
      </c>
      <c r="C1146">
        <v>2150</v>
      </c>
      <c r="D1146" t="s">
        <v>7</v>
      </c>
      <c r="E1146" t="str">
        <f>IF(june[[#This Row],[ShiftCounter]]&gt;0, "Running", "Down")</f>
        <v>Running</v>
      </c>
    </row>
    <row r="1147" spans="1:5" x14ac:dyDescent="0.25">
      <c r="A1147" s="8">
        <v>44722</v>
      </c>
      <c r="B1147" t="s">
        <v>34</v>
      </c>
      <c r="C1147">
        <v>1856</v>
      </c>
      <c r="D1147" t="s">
        <v>8</v>
      </c>
      <c r="E1147" t="str">
        <f>IF(june[[#This Row],[ShiftCounter]]&gt;0, "Running", "Down")</f>
        <v>Running</v>
      </c>
    </row>
    <row r="1148" spans="1:5" x14ac:dyDescent="0.25">
      <c r="A1148" s="8">
        <v>44722</v>
      </c>
      <c r="B1148" t="s">
        <v>35</v>
      </c>
      <c r="C1148">
        <v>1984</v>
      </c>
      <c r="D1148" t="s">
        <v>6</v>
      </c>
      <c r="E1148" t="str">
        <f>IF(june[[#This Row],[ShiftCounter]]&gt;0, "Running", "Down")</f>
        <v>Running</v>
      </c>
    </row>
    <row r="1149" spans="1:5" x14ac:dyDescent="0.25">
      <c r="A1149" s="8">
        <v>44722</v>
      </c>
      <c r="B1149" t="s">
        <v>35</v>
      </c>
      <c r="C1149">
        <v>2181</v>
      </c>
      <c r="D1149" t="s">
        <v>7</v>
      </c>
      <c r="E1149" t="str">
        <f>IF(june[[#This Row],[ShiftCounter]]&gt;0, "Running", "Down")</f>
        <v>Running</v>
      </c>
    </row>
    <row r="1150" spans="1:5" x14ac:dyDescent="0.25">
      <c r="A1150" s="8">
        <v>44722</v>
      </c>
      <c r="B1150" t="s">
        <v>35</v>
      </c>
      <c r="C1150">
        <v>1894</v>
      </c>
      <c r="D1150" t="s">
        <v>8</v>
      </c>
      <c r="E1150" t="str">
        <f>IF(june[[#This Row],[ShiftCounter]]&gt;0, "Running", "Down")</f>
        <v>Running</v>
      </c>
    </row>
    <row r="1151" spans="1:5" x14ac:dyDescent="0.25">
      <c r="A1151" s="8">
        <v>44722</v>
      </c>
      <c r="B1151" t="s">
        <v>36</v>
      </c>
      <c r="C1151">
        <v>2490</v>
      </c>
      <c r="D1151" t="s">
        <v>6</v>
      </c>
      <c r="E1151" t="str">
        <f>IF(june[[#This Row],[ShiftCounter]]&gt;0, "Running", "Down")</f>
        <v>Running</v>
      </c>
    </row>
    <row r="1152" spans="1:5" x14ac:dyDescent="0.25">
      <c r="A1152" s="8">
        <v>44722</v>
      </c>
      <c r="B1152" t="s">
        <v>36</v>
      </c>
      <c r="C1152">
        <v>2124</v>
      </c>
      <c r="D1152" t="s">
        <v>7</v>
      </c>
      <c r="E1152" t="str">
        <f>IF(june[[#This Row],[ShiftCounter]]&gt;0, "Running", "Down")</f>
        <v>Running</v>
      </c>
    </row>
    <row r="1153" spans="1:8" x14ac:dyDescent="0.25">
      <c r="A1153" s="8">
        <v>44722</v>
      </c>
      <c r="B1153" t="s">
        <v>36</v>
      </c>
      <c r="C1153">
        <v>0</v>
      </c>
      <c r="D1153" t="s">
        <v>8</v>
      </c>
      <c r="E1153" t="str">
        <f>IF(june[[#This Row],[ShiftCounter]]&gt;0, "Running", "Down")</f>
        <v>Down</v>
      </c>
    </row>
    <row r="1154" spans="1:8" x14ac:dyDescent="0.25">
      <c r="A1154" s="8">
        <v>44722</v>
      </c>
      <c r="B1154" t="s">
        <v>37</v>
      </c>
      <c r="C1154">
        <v>2521</v>
      </c>
      <c r="D1154" t="s">
        <v>6</v>
      </c>
      <c r="E1154" t="str">
        <f>IF(june[[#This Row],[ShiftCounter]]&gt;0, "Running", "Down")</f>
        <v>Running</v>
      </c>
    </row>
    <row r="1155" spans="1:8" x14ac:dyDescent="0.25">
      <c r="A1155" s="8">
        <v>44722</v>
      </c>
      <c r="B1155" t="s">
        <v>37</v>
      </c>
      <c r="C1155">
        <v>2353</v>
      </c>
      <c r="D1155" t="s">
        <v>7</v>
      </c>
      <c r="E1155" t="str">
        <f>IF(june[[#This Row],[ShiftCounter]]&gt;0, "Running", "Down")</f>
        <v>Running</v>
      </c>
    </row>
    <row r="1156" spans="1:8" x14ac:dyDescent="0.25">
      <c r="A1156" s="8">
        <v>44722</v>
      </c>
      <c r="B1156" t="s">
        <v>37</v>
      </c>
      <c r="C1156">
        <v>1996</v>
      </c>
      <c r="D1156" t="s">
        <v>8</v>
      </c>
      <c r="E1156" t="str">
        <f>IF(june[[#This Row],[ShiftCounter]]&gt;0, "Running", "Down")</f>
        <v>Running</v>
      </c>
    </row>
    <row r="1157" spans="1:8" x14ac:dyDescent="0.25">
      <c r="A1157" s="8">
        <v>44722</v>
      </c>
      <c r="B1157" t="s">
        <v>54</v>
      </c>
      <c r="C1157">
        <v>1744</v>
      </c>
      <c r="D1157" t="s">
        <v>6</v>
      </c>
      <c r="E1157" t="str">
        <f>IF(june[[#This Row],[ShiftCounter]]&gt;0, "Running", "Down")</f>
        <v>Running</v>
      </c>
      <c r="G1157">
        <f>5234/3</f>
        <v>1744.6666666666667</v>
      </c>
      <c r="H1157">
        <v>1744</v>
      </c>
    </row>
    <row r="1158" spans="1:8" x14ac:dyDescent="0.25">
      <c r="A1158" s="8">
        <v>44722</v>
      </c>
      <c r="B1158" t="s">
        <v>54</v>
      </c>
      <c r="C1158">
        <v>1745</v>
      </c>
      <c r="D1158" t="s">
        <v>7</v>
      </c>
      <c r="E1158" t="str">
        <f>IF(june[[#This Row],[ShiftCounter]]&gt;0, "Running", "Down")</f>
        <v>Running</v>
      </c>
      <c r="H1158">
        <v>1745</v>
      </c>
    </row>
    <row r="1159" spans="1:8" x14ac:dyDescent="0.25">
      <c r="A1159" s="8">
        <v>44722</v>
      </c>
      <c r="B1159" t="s">
        <v>54</v>
      </c>
      <c r="C1159">
        <v>1745</v>
      </c>
      <c r="D1159" t="s">
        <v>8</v>
      </c>
      <c r="E1159" t="str">
        <f>IF(june[[#This Row],[ShiftCounter]]&gt;0, "Running", "Down")</f>
        <v>Running</v>
      </c>
      <c r="H1159">
        <v>1745</v>
      </c>
    </row>
    <row r="1160" spans="1:8" x14ac:dyDescent="0.25">
      <c r="A1160" s="8">
        <v>44723</v>
      </c>
      <c r="B1160" t="s">
        <v>158</v>
      </c>
      <c r="C1160">
        <v>2339</v>
      </c>
      <c r="D1160" t="s">
        <v>6</v>
      </c>
      <c r="E1160" t="str">
        <f>IF(june[[#This Row],[ShiftCounter]]&gt;0, "Running", "Down")</f>
        <v>Running</v>
      </c>
      <c r="H1160">
        <f>SUM(H1157:H1159)</f>
        <v>5234</v>
      </c>
    </row>
    <row r="1161" spans="1:8" x14ac:dyDescent="0.25">
      <c r="A1161" s="8">
        <v>44723</v>
      </c>
      <c r="B1161" t="s">
        <v>158</v>
      </c>
      <c r="C1161">
        <v>2208</v>
      </c>
      <c r="D1161" t="s">
        <v>7</v>
      </c>
      <c r="E1161" t="str">
        <f>IF(june[[#This Row],[ShiftCounter]]&gt;0, "Running", "Down")</f>
        <v>Running</v>
      </c>
    </row>
    <row r="1162" spans="1:8" x14ac:dyDescent="0.25">
      <c r="A1162" s="8">
        <v>44723</v>
      </c>
      <c r="B1162" t="s">
        <v>158</v>
      </c>
      <c r="C1162">
        <v>2167</v>
      </c>
      <c r="D1162" t="s">
        <v>8</v>
      </c>
      <c r="E1162" t="str">
        <f>IF(june[[#This Row],[ShiftCounter]]&gt;0, "Running", "Down")</f>
        <v>Running</v>
      </c>
    </row>
    <row r="1163" spans="1:8" x14ac:dyDescent="0.25">
      <c r="A1163" s="8">
        <v>44723</v>
      </c>
      <c r="B1163" t="s">
        <v>40</v>
      </c>
      <c r="C1163">
        <v>2370</v>
      </c>
      <c r="D1163" t="s">
        <v>6</v>
      </c>
      <c r="E1163" t="str">
        <f>IF(june[[#This Row],[ShiftCounter]]&gt;0, "Running", "Down")</f>
        <v>Running</v>
      </c>
    </row>
    <row r="1164" spans="1:8" x14ac:dyDescent="0.25">
      <c r="A1164" s="8">
        <v>44723</v>
      </c>
      <c r="B1164" t="s">
        <v>40</v>
      </c>
      <c r="C1164">
        <v>2187</v>
      </c>
      <c r="D1164" t="s">
        <v>7</v>
      </c>
      <c r="E1164" t="str">
        <f>IF(june[[#This Row],[ShiftCounter]]&gt;0, "Running", "Down")</f>
        <v>Running</v>
      </c>
    </row>
    <row r="1165" spans="1:8" x14ac:dyDescent="0.25">
      <c r="A1165" s="8">
        <v>44723</v>
      </c>
      <c r="B1165" t="s">
        <v>40</v>
      </c>
      <c r="C1165">
        <v>2218</v>
      </c>
      <c r="D1165" t="s">
        <v>8</v>
      </c>
      <c r="E1165" t="str">
        <f>IF(june[[#This Row],[ShiftCounter]]&gt;0, "Running", "Down")</f>
        <v>Running</v>
      </c>
    </row>
    <row r="1166" spans="1:8" x14ac:dyDescent="0.25">
      <c r="A1166" s="8">
        <v>44723</v>
      </c>
      <c r="B1166" t="s">
        <v>39</v>
      </c>
      <c r="C1166">
        <v>2240</v>
      </c>
      <c r="D1166" t="s">
        <v>6</v>
      </c>
      <c r="E1166" t="str">
        <f>IF(june[[#This Row],[ShiftCounter]]&gt;0, "Running", "Down")</f>
        <v>Running</v>
      </c>
    </row>
    <row r="1167" spans="1:8" x14ac:dyDescent="0.25">
      <c r="A1167" s="8">
        <v>44723</v>
      </c>
      <c r="B1167" t="s">
        <v>39</v>
      </c>
      <c r="C1167">
        <v>2166</v>
      </c>
      <c r="D1167" t="s">
        <v>7</v>
      </c>
      <c r="E1167" t="str">
        <f>IF(june[[#This Row],[ShiftCounter]]&gt;0, "Running", "Down")</f>
        <v>Running</v>
      </c>
    </row>
    <row r="1168" spans="1:8" x14ac:dyDescent="0.25">
      <c r="A1168" s="8">
        <v>44723</v>
      </c>
      <c r="B1168" t="s">
        <v>39</v>
      </c>
      <c r="C1168">
        <v>2154</v>
      </c>
      <c r="D1168" t="s">
        <v>8</v>
      </c>
      <c r="E1168" t="str">
        <f>IF(june[[#This Row],[ShiftCounter]]&gt;0, "Running", "Down")</f>
        <v>Running</v>
      </c>
    </row>
    <row r="1169" spans="1:5" x14ac:dyDescent="0.25">
      <c r="A1169" s="8">
        <v>44723</v>
      </c>
      <c r="B1169" t="s">
        <v>41</v>
      </c>
      <c r="C1169">
        <v>2442</v>
      </c>
      <c r="D1169" t="s">
        <v>6</v>
      </c>
      <c r="E1169" t="str">
        <f>IF(june[[#This Row],[ShiftCounter]]&gt;0, "Running", "Down")</f>
        <v>Running</v>
      </c>
    </row>
    <row r="1170" spans="1:5" x14ac:dyDescent="0.25">
      <c r="A1170" s="8">
        <v>44723</v>
      </c>
      <c r="B1170" t="s">
        <v>41</v>
      </c>
      <c r="C1170">
        <v>2294</v>
      </c>
      <c r="D1170" t="s">
        <v>7</v>
      </c>
      <c r="E1170" t="str">
        <f>IF(june[[#This Row],[ShiftCounter]]&gt;0, "Running", "Down")</f>
        <v>Running</v>
      </c>
    </row>
    <row r="1171" spans="1:5" x14ac:dyDescent="0.25">
      <c r="A1171" s="8">
        <v>44723</v>
      </c>
      <c r="B1171" t="s">
        <v>41</v>
      </c>
      <c r="C1171">
        <v>2191</v>
      </c>
      <c r="D1171" t="s">
        <v>8</v>
      </c>
      <c r="E1171" t="str">
        <f>IF(june[[#This Row],[ShiftCounter]]&gt;0, "Running", "Down")</f>
        <v>Running</v>
      </c>
    </row>
    <row r="1172" spans="1:5" x14ac:dyDescent="0.25">
      <c r="A1172" s="8">
        <v>44723</v>
      </c>
      <c r="B1172" t="s">
        <v>5</v>
      </c>
      <c r="C1172">
        <v>2352</v>
      </c>
      <c r="D1172" t="s">
        <v>6</v>
      </c>
      <c r="E1172" t="str">
        <f>IF(june[[#This Row],[ShiftCounter]]&gt;0, "Running", "Down")</f>
        <v>Running</v>
      </c>
    </row>
    <row r="1173" spans="1:5" x14ac:dyDescent="0.25">
      <c r="A1173" s="8">
        <v>44723</v>
      </c>
      <c r="B1173" t="s">
        <v>5</v>
      </c>
      <c r="C1173">
        <v>2377</v>
      </c>
      <c r="D1173" t="s">
        <v>7</v>
      </c>
      <c r="E1173" t="str">
        <f>IF(june[[#This Row],[ShiftCounter]]&gt;0, "Running", "Down")</f>
        <v>Running</v>
      </c>
    </row>
    <row r="1174" spans="1:5" x14ac:dyDescent="0.25">
      <c r="A1174" s="8">
        <v>44723</v>
      </c>
      <c r="B1174" t="s">
        <v>5</v>
      </c>
      <c r="C1174">
        <v>2156</v>
      </c>
      <c r="D1174" t="s">
        <v>8</v>
      </c>
      <c r="E1174" t="str">
        <f>IF(june[[#This Row],[ShiftCounter]]&gt;0, "Running", "Down")</f>
        <v>Running</v>
      </c>
    </row>
    <row r="1175" spans="1:5" x14ac:dyDescent="0.25">
      <c r="A1175" s="8">
        <v>44723</v>
      </c>
      <c r="B1175" t="s">
        <v>9</v>
      </c>
      <c r="C1175">
        <v>2379</v>
      </c>
      <c r="D1175" t="s">
        <v>6</v>
      </c>
      <c r="E1175" t="str">
        <f>IF(june[[#This Row],[ShiftCounter]]&gt;0, "Running", "Down")</f>
        <v>Running</v>
      </c>
    </row>
    <row r="1176" spans="1:5" x14ac:dyDescent="0.25">
      <c r="A1176" s="8">
        <v>44723</v>
      </c>
      <c r="B1176" t="s">
        <v>9</v>
      </c>
      <c r="C1176">
        <v>2087</v>
      </c>
      <c r="D1176" t="s">
        <v>7</v>
      </c>
      <c r="E1176" t="str">
        <f>IF(june[[#This Row],[ShiftCounter]]&gt;0, "Running", "Down")</f>
        <v>Running</v>
      </c>
    </row>
    <row r="1177" spans="1:5" x14ac:dyDescent="0.25">
      <c r="A1177" s="8">
        <v>44723</v>
      </c>
      <c r="B1177" t="s">
        <v>9</v>
      </c>
      <c r="C1177">
        <v>2192</v>
      </c>
      <c r="D1177" t="s">
        <v>8</v>
      </c>
      <c r="E1177" t="str">
        <f>IF(june[[#This Row],[ShiftCounter]]&gt;0, "Running", "Down")</f>
        <v>Running</v>
      </c>
    </row>
    <row r="1178" spans="1:5" x14ac:dyDescent="0.25">
      <c r="A1178" s="8">
        <v>44723</v>
      </c>
      <c r="B1178" t="s">
        <v>10</v>
      </c>
      <c r="C1178">
        <v>2403</v>
      </c>
      <c r="D1178" t="s">
        <v>6</v>
      </c>
      <c r="E1178" t="str">
        <f>IF(june[[#This Row],[ShiftCounter]]&gt;0, "Running", "Down")</f>
        <v>Running</v>
      </c>
    </row>
    <row r="1179" spans="1:5" x14ac:dyDescent="0.25">
      <c r="A1179" s="8">
        <v>44723</v>
      </c>
      <c r="B1179" t="s">
        <v>10</v>
      </c>
      <c r="C1179">
        <v>2344</v>
      </c>
      <c r="D1179" t="s">
        <v>7</v>
      </c>
      <c r="E1179" t="str">
        <f>IF(june[[#This Row],[ShiftCounter]]&gt;0, "Running", "Down")</f>
        <v>Running</v>
      </c>
    </row>
    <row r="1180" spans="1:5" x14ac:dyDescent="0.25">
      <c r="A1180" s="8">
        <v>44723</v>
      </c>
      <c r="B1180" t="s">
        <v>10</v>
      </c>
      <c r="C1180">
        <v>2178</v>
      </c>
      <c r="D1180" t="s">
        <v>8</v>
      </c>
      <c r="E1180" t="str">
        <f>IF(june[[#This Row],[ShiftCounter]]&gt;0, "Running", "Down")</f>
        <v>Running</v>
      </c>
    </row>
    <row r="1181" spans="1:5" x14ac:dyDescent="0.25">
      <c r="A1181" s="8">
        <v>44723</v>
      </c>
      <c r="B1181" t="s">
        <v>11</v>
      </c>
      <c r="C1181">
        <v>2455</v>
      </c>
      <c r="D1181" t="s">
        <v>6</v>
      </c>
      <c r="E1181" t="str">
        <f>IF(june[[#This Row],[ShiftCounter]]&gt;0, "Running", "Down")</f>
        <v>Running</v>
      </c>
    </row>
    <row r="1182" spans="1:5" x14ac:dyDescent="0.25">
      <c r="A1182" s="8">
        <v>44723</v>
      </c>
      <c r="B1182" t="s">
        <v>11</v>
      </c>
      <c r="C1182">
        <v>2280</v>
      </c>
      <c r="D1182" t="s">
        <v>7</v>
      </c>
      <c r="E1182" t="str">
        <f>IF(june[[#This Row],[ShiftCounter]]&gt;0, "Running", "Down")</f>
        <v>Running</v>
      </c>
    </row>
    <row r="1183" spans="1:5" x14ac:dyDescent="0.25">
      <c r="A1183" s="8">
        <v>44723</v>
      </c>
      <c r="B1183" t="s">
        <v>11</v>
      </c>
      <c r="C1183">
        <v>2217</v>
      </c>
      <c r="D1183" t="s">
        <v>8</v>
      </c>
      <c r="E1183" t="str">
        <f>IF(june[[#This Row],[ShiftCounter]]&gt;0, "Running", "Down")</f>
        <v>Running</v>
      </c>
    </row>
    <row r="1184" spans="1:5" x14ac:dyDescent="0.25">
      <c r="A1184" s="8">
        <v>44723</v>
      </c>
      <c r="B1184" t="s">
        <v>12</v>
      </c>
      <c r="C1184">
        <v>2363</v>
      </c>
      <c r="D1184" t="s">
        <v>6</v>
      </c>
      <c r="E1184" t="str">
        <f>IF(june[[#This Row],[ShiftCounter]]&gt;0, "Running", "Down")</f>
        <v>Running</v>
      </c>
    </row>
    <row r="1185" spans="1:5" x14ac:dyDescent="0.25">
      <c r="A1185" s="8">
        <v>44723</v>
      </c>
      <c r="B1185" t="s">
        <v>12</v>
      </c>
      <c r="C1185">
        <v>2345</v>
      </c>
      <c r="D1185" t="s">
        <v>7</v>
      </c>
      <c r="E1185" t="str">
        <f>IF(june[[#This Row],[ShiftCounter]]&gt;0, "Running", "Down")</f>
        <v>Running</v>
      </c>
    </row>
    <row r="1186" spans="1:5" x14ac:dyDescent="0.25">
      <c r="A1186" s="8">
        <v>44723</v>
      </c>
      <c r="B1186" t="s">
        <v>12</v>
      </c>
      <c r="C1186">
        <v>2014</v>
      </c>
      <c r="D1186" t="s">
        <v>8</v>
      </c>
      <c r="E1186" t="str">
        <f>IF(june[[#This Row],[ShiftCounter]]&gt;0, "Running", "Down")</f>
        <v>Running</v>
      </c>
    </row>
    <row r="1187" spans="1:5" x14ac:dyDescent="0.25">
      <c r="A1187" s="8">
        <v>44723</v>
      </c>
      <c r="B1187" t="s">
        <v>13</v>
      </c>
      <c r="C1187">
        <v>2250</v>
      </c>
      <c r="D1187" t="s">
        <v>6</v>
      </c>
      <c r="E1187" t="str">
        <f>IF(june[[#This Row],[ShiftCounter]]&gt;0, "Running", "Down")</f>
        <v>Running</v>
      </c>
    </row>
    <row r="1188" spans="1:5" x14ac:dyDescent="0.25">
      <c r="A1188" s="8">
        <v>44723</v>
      </c>
      <c r="B1188" t="s">
        <v>13</v>
      </c>
      <c r="C1188">
        <v>2693</v>
      </c>
      <c r="D1188" t="s">
        <v>7</v>
      </c>
      <c r="E1188" t="str">
        <f>IF(june[[#This Row],[ShiftCounter]]&gt;0, "Running", "Down")</f>
        <v>Running</v>
      </c>
    </row>
    <row r="1189" spans="1:5" x14ac:dyDescent="0.25">
      <c r="A1189" s="8">
        <v>44723</v>
      </c>
      <c r="B1189" t="s">
        <v>13</v>
      </c>
      <c r="C1189">
        <v>1921</v>
      </c>
      <c r="D1189" t="s">
        <v>8</v>
      </c>
      <c r="E1189" t="str">
        <f>IF(june[[#This Row],[ShiftCounter]]&gt;0, "Running", "Down")</f>
        <v>Running</v>
      </c>
    </row>
    <row r="1190" spans="1:5" x14ac:dyDescent="0.25">
      <c r="A1190" s="8">
        <v>44723</v>
      </c>
      <c r="B1190" t="s">
        <v>114</v>
      </c>
      <c r="C1190">
        <v>2116</v>
      </c>
      <c r="D1190" t="s">
        <v>6</v>
      </c>
      <c r="E1190" t="str">
        <f>IF(june[[#This Row],[ShiftCounter]]&gt;0, "Running", "Down")</f>
        <v>Running</v>
      </c>
    </row>
    <row r="1191" spans="1:5" x14ac:dyDescent="0.25">
      <c r="A1191" s="8">
        <v>44723</v>
      </c>
      <c r="B1191" t="s">
        <v>114</v>
      </c>
      <c r="C1191">
        <v>2060</v>
      </c>
      <c r="D1191" t="s">
        <v>7</v>
      </c>
      <c r="E1191" t="str">
        <f>IF(june[[#This Row],[ShiftCounter]]&gt;0, "Running", "Down")</f>
        <v>Running</v>
      </c>
    </row>
    <row r="1192" spans="1:5" x14ac:dyDescent="0.25">
      <c r="A1192" s="8">
        <v>44723</v>
      </c>
      <c r="B1192" t="s">
        <v>114</v>
      </c>
      <c r="C1192">
        <v>1881</v>
      </c>
      <c r="D1192" t="s">
        <v>8</v>
      </c>
      <c r="E1192" t="str">
        <f>IF(june[[#This Row],[ShiftCounter]]&gt;0, "Running", "Down")</f>
        <v>Running</v>
      </c>
    </row>
    <row r="1193" spans="1:5" x14ac:dyDescent="0.25">
      <c r="A1193" s="8">
        <v>44723</v>
      </c>
      <c r="B1193" t="s">
        <v>14</v>
      </c>
      <c r="C1193">
        <v>2344</v>
      </c>
      <c r="D1193" t="s">
        <v>6</v>
      </c>
      <c r="E1193" t="str">
        <f>IF(june[[#This Row],[ShiftCounter]]&gt;0, "Running", "Down")</f>
        <v>Running</v>
      </c>
    </row>
    <row r="1194" spans="1:5" x14ac:dyDescent="0.25">
      <c r="A1194" s="8">
        <v>44723</v>
      </c>
      <c r="B1194" t="s">
        <v>14</v>
      </c>
      <c r="C1194">
        <v>2237</v>
      </c>
      <c r="D1194" t="s">
        <v>7</v>
      </c>
      <c r="E1194" t="str">
        <f>IF(june[[#This Row],[ShiftCounter]]&gt;0, "Running", "Down")</f>
        <v>Running</v>
      </c>
    </row>
    <row r="1195" spans="1:5" x14ac:dyDescent="0.25">
      <c r="A1195" s="8">
        <v>44723</v>
      </c>
      <c r="B1195" t="s">
        <v>14</v>
      </c>
      <c r="C1195">
        <v>2078</v>
      </c>
      <c r="D1195" t="s">
        <v>8</v>
      </c>
      <c r="E1195" t="str">
        <f>IF(june[[#This Row],[ShiftCounter]]&gt;0, "Running", "Down")</f>
        <v>Running</v>
      </c>
    </row>
    <row r="1196" spans="1:5" x14ac:dyDescent="0.25">
      <c r="A1196" s="8">
        <v>44723</v>
      </c>
      <c r="B1196" t="s">
        <v>15</v>
      </c>
      <c r="C1196">
        <v>2324</v>
      </c>
      <c r="D1196" t="s">
        <v>6</v>
      </c>
      <c r="E1196" t="str">
        <f>IF(june[[#This Row],[ShiftCounter]]&gt;0, "Running", "Down")</f>
        <v>Running</v>
      </c>
    </row>
    <row r="1197" spans="1:5" x14ac:dyDescent="0.25">
      <c r="A1197" s="8">
        <v>44723</v>
      </c>
      <c r="B1197" t="s">
        <v>15</v>
      </c>
      <c r="C1197">
        <v>2238</v>
      </c>
      <c r="D1197" t="s">
        <v>7</v>
      </c>
      <c r="E1197" t="str">
        <f>IF(june[[#This Row],[ShiftCounter]]&gt;0, "Running", "Down")</f>
        <v>Running</v>
      </c>
    </row>
    <row r="1198" spans="1:5" x14ac:dyDescent="0.25">
      <c r="A1198" s="8">
        <v>44723</v>
      </c>
      <c r="B1198" t="s">
        <v>15</v>
      </c>
      <c r="C1198">
        <v>2106</v>
      </c>
      <c r="D1198" t="s">
        <v>8</v>
      </c>
      <c r="E1198" t="str">
        <f>IF(june[[#This Row],[ShiftCounter]]&gt;0, "Running", "Down")</f>
        <v>Running</v>
      </c>
    </row>
    <row r="1199" spans="1:5" x14ac:dyDescent="0.25">
      <c r="A1199" s="8">
        <v>44723</v>
      </c>
      <c r="B1199" t="s">
        <v>16</v>
      </c>
      <c r="C1199">
        <v>2205</v>
      </c>
      <c r="D1199" t="s">
        <v>6</v>
      </c>
      <c r="E1199" t="str">
        <f>IF(june[[#This Row],[ShiftCounter]]&gt;0, "Running", "Down")</f>
        <v>Running</v>
      </c>
    </row>
    <row r="1200" spans="1:5" x14ac:dyDescent="0.25">
      <c r="A1200" s="8">
        <v>44723</v>
      </c>
      <c r="B1200" t="s">
        <v>16</v>
      </c>
      <c r="C1200">
        <v>2198</v>
      </c>
      <c r="D1200" t="s">
        <v>7</v>
      </c>
      <c r="E1200" t="str">
        <f>IF(june[[#This Row],[ShiftCounter]]&gt;0, "Running", "Down")</f>
        <v>Running</v>
      </c>
    </row>
    <row r="1201" spans="1:5" x14ac:dyDescent="0.25">
      <c r="A1201" s="8">
        <v>44723</v>
      </c>
      <c r="B1201" t="s">
        <v>16</v>
      </c>
      <c r="C1201">
        <v>2058</v>
      </c>
      <c r="D1201" t="s">
        <v>8</v>
      </c>
      <c r="E1201" t="str">
        <f>IF(june[[#This Row],[ShiftCounter]]&gt;0, "Running", "Down")</f>
        <v>Running</v>
      </c>
    </row>
    <row r="1202" spans="1:5" x14ac:dyDescent="0.25">
      <c r="A1202" s="8">
        <v>44723</v>
      </c>
      <c r="B1202" t="s">
        <v>17</v>
      </c>
      <c r="C1202">
        <v>2401</v>
      </c>
      <c r="D1202" t="s">
        <v>6</v>
      </c>
      <c r="E1202" t="str">
        <f>IF(june[[#This Row],[ShiftCounter]]&gt;0, "Running", "Down")</f>
        <v>Running</v>
      </c>
    </row>
    <row r="1203" spans="1:5" x14ac:dyDescent="0.25">
      <c r="A1203" s="8">
        <v>44723</v>
      </c>
      <c r="B1203" t="s">
        <v>17</v>
      </c>
      <c r="C1203">
        <v>2311</v>
      </c>
      <c r="D1203" t="s">
        <v>7</v>
      </c>
      <c r="E1203" t="str">
        <f>IF(june[[#This Row],[ShiftCounter]]&gt;0, "Running", "Down")</f>
        <v>Running</v>
      </c>
    </row>
    <row r="1204" spans="1:5" x14ac:dyDescent="0.25">
      <c r="A1204" s="8">
        <v>44723</v>
      </c>
      <c r="B1204" t="s">
        <v>17</v>
      </c>
      <c r="C1204">
        <v>2176</v>
      </c>
      <c r="D1204" t="s">
        <v>8</v>
      </c>
      <c r="E1204" t="str">
        <f>IF(june[[#This Row],[ShiftCounter]]&gt;0, "Running", "Down")</f>
        <v>Running</v>
      </c>
    </row>
    <row r="1205" spans="1:5" x14ac:dyDescent="0.25">
      <c r="A1205" s="8">
        <v>44723</v>
      </c>
      <c r="B1205" t="s">
        <v>19</v>
      </c>
      <c r="C1205">
        <v>1754</v>
      </c>
      <c r="D1205" t="s">
        <v>6</v>
      </c>
      <c r="E1205" t="str">
        <f>IF(june[[#This Row],[ShiftCounter]]&gt;0, "Running", "Down")</f>
        <v>Running</v>
      </c>
    </row>
    <row r="1206" spans="1:5" x14ac:dyDescent="0.25">
      <c r="A1206" s="8">
        <v>44723</v>
      </c>
      <c r="B1206" t="s">
        <v>19</v>
      </c>
      <c r="C1206">
        <v>1813</v>
      </c>
      <c r="D1206" t="s">
        <v>7</v>
      </c>
      <c r="E1206" t="str">
        <f>IF(june[[#This Row],[ShiftCounter]]&gt;0, "Running", "Down")</f>
        <v>Running</v>
      </c>
    </row>
    <row r="1207" spans="1:5" x14ac:dyDescent="0.25">
      <c r="A1207" s="8">
        <v>44723</v>
      </c>
      <c r="B1207" t="s">
        <v>19</v>
      </c>
      <c r="C1207">
        <v>0</v>
      </c>
      <c r="D1207" t="s">
        <v>8</v>
      </c>
      <c r="E1207" t="str">
        <f>IF(june[[#This Row],[ShiftCounter]]&gt;0, "Running", "Down")</f>
        <v>Down</v>
      </c>
    </row>
    <row r="1208" spans="1:5" x14ac:dyDescent="0.25">
      <c r="A1208" s="8">
        <v>44723</v>
      </c>
      <c r="B1208" t="s">
        <v>18</v>
      </c>
      <c r="C1208">
        <v>2396</v>
      </c>
      <c r="D1208" t="s">
        <v>6</v>
      </c>
      <c r="E1208" t="str">
        <f>IF(june[[#This Row],[ShiftCounter]]&gt;0, "Running", "Down")</f>
        <v>Running</v>
      </c>
    </row>
    <row r="1209" spans="1:5" x14ac:dyDescent="0.25">
      <c r="A1209" s="8">
        <v>44723</v>
      </c>
      <c r="B1209" t="s">
        <v>18</v>
      </c>
      <c r="C1209">
        <v>2377</v>
      </c>
      <c r="D1209" t="s">
        <v>7</v>
      </c>
      <c r="E1209" t="str">
        <f>IF(june[[#This Row],[ShiftCounter]]&gt;0, "Running", "Down")</f>
        <v>Running</v>
      </c>
    </row>
    <row r="1210" spans="1:5" x14ac:dyDescent="0.25">
      <c r="A1210" s="8">
        <v>44723</v>
      </c>
      <c r="B1210" t="s">
        <v>18</v>
      </c>
      <c r="C1210">
        <v>2165</v>
      </c>
      <c r="D1210" t="s">
        <v>8</v>
      </c>
      <c r="E1210" t="str">
        <f>IF(june[[#This Row],[ShiftCounter]]&gt;0, "Running", "Down")</f>
        <v>Running</v>
      </c>
    </row>
    <row r="1211" spans="1:5" x14ac:dyDescent="0.25">
      <c r="A1211" s="8">
        <v>44723</v>
      </c>
      <c r="B1211" t="s">
        <v>42</v>
      </c>
      <c r="C1211">
        <v>1866</v>
      </c>
      <c r="D1211" t="s">
        <v>6</v>
      </c>
      <c r="E1211" t="str">
        <f>IF(june[[#This Row],[ShiftCounter]]&gt;0, "Running", "Down")</f>
        <v>Running</v>
      </c>
    </row>
    <row r="1212" spans="1:5" x14ac:dyDescent="0.25">
      <c r="A1212" s="8">
        <v>44723</v>
      </c>
      <c r="B1212" t="s">
        <v>42</v>
      </c>
      <c r="C1212">
        <v>1916</v>
      </c>
      <c r="D1212" t="s">
        <v>7</v>
      </c>
      <c r="E1212" t="str">
        <f>IF(june[[#This Row],[ShiftCounter]]&gt;0, "Running", "Down")</f>
        <v>Running</v>
      </c>
    </row>
    <row r="1213" spans="1:5" x14ac:dyDescent="0.25">
      <c r="A1213" s="8">
        <v>44723</v>
      </c>
      <c r="B1213" t="s">
        <v>42</v>
      </c>
      <c r="C1213">
        <v>1885</v>
      </c>
      <c r="D1213" t="s">
        <v>8</v>
      </c>
      <c r="E1213" t="str">
        <f>IF(june[[#This Row],[ShiftCounter]]&gt;0, "Running", "Down")</f>
        <v>Running</v>
      </c>
    </row>
    <row r="1214" spans="1:5" x14ac:dyDescent="0.25">
      <c r="A1214" s="8">
        <v>44723</v>
      </c>
      <c r="B1214" t="s">
        <v>38</v>
      </c>
      <c r="C1214">
        <v>2378</v>
      </c>
      <c r="D1214" t="s">
        <v>6</v>
      </c>
      <c r="E1214" t="str">
        <f>IF(june[[#This Row],[ShiftCounter]]&gt;0, "Running", "Down")</f>
        <v>Running</v>
      </c>
    </row>
    <row r="1215" spans="1:5" x14ac:dyDescent="0.25">
      <c r="A1215" s="8">
        <v>44723</v>
      </c>
      <c r="B1215" t="s">
        <v>38</v>
      </c>
      <c r="C1215">
        <v>2262</v>
      </c>
      <c r="D1215" t="s">
        <v>7</v>
      </c>
      <c r="E1215" t="str">
        <f>IF(june[[#This Row],[ShiftCounter]]&gt;0, "Running", "Down")</f>
        <v>Running</v>
      </c>
    </row>
    <row r="1216" spans="1:5" x14ac:dyDescent="0.25">
      <c r="A1216" s="8">
        <v>44723</v>
      </c>
      <c r="B1216" t="s">
        <v>38</v>
      </c>
      <c r="C1216">
        <v>2117</v>
      </c>
      <c r="D1216" t="s">
        <v>8</v>
      </c>
      <c r="E1216" t="str">
        <f>IF(june[[#This Row],[ShiftCounter]]&gt;0, "Running", "Down")</f>
        <v>Running</v>
      </c>
    </row>
    <row r="1217" spans="1:5" x14ac:dyDescent="0.25">
      <c r="A1217" s="8">
        <v>44723</v>
      </c>
      <c r="B1217" t="s">
        <v>20</v>
      </c>
      <c r="C1217">
        <v>2027</v>
      </c>
      <c r="D1217" t="s">
        <v>6</v>
      </c>
      <c r="E1217" t="str">
        <f>IF(june[[#This Row],[ShiftCounter]]&gt;0, "Running", "Down")</f>
        <v>Running</v>
      </c>
    </row>
    <row r="1218" spans="1:5" x14ac:dyDescent="0.25">
      <c r="A1218" s="8">
        <v>44723</v>
      </c>
      <c r="B1218" t="s">
        <v>20</v>
      </c>
      <c r="C1218">
        <v>1930</v>
      </c>
      <c r="D1218" t="s">
        <v>7</v>
      </c>
      <c r="E1218" t="str">
        <f>IF(june[[#This Row],[ShiftCounter]]&gt;0, "Running", "Down")</f>
        <v>Running</v>
      </c>
    </row>
    <row r="1219" spans="1:5" x14ac:dyDescent="0.25">
      <c r="A1219" s="8">
        <v>44723</v>
      </c>
      <c r="B1219" t="s">
        <v>20</v>
      </c>
      <c r="C1219">
        <v>1795</v>
      </c>
      <c r="D1219" t="s">
        <v>8</v>
      </c>
      <c r="E1219" t="str">
        <f>IF(june[[#This Row],[ShiftCounter]]&gt;0, "Running", "Down")</f>
        <v>Running</v>
      </c>
    </row>
    <row r="1220" spans="1:5" x14ac:dyDescent="0.25">
      <c r="A1220" s="8">
        <v>44723</v>
      </c>
      <c r="B1220" t="s">
        <v>21</v>
      </c>
      <c r="C1220">
        <v>1990</v>
      </c>
      <c r="D1220" t="s">
        <v>6</v>
      </c>
      <c r="E1220" t="str">
        <f>IF(june[[#This Row],[ShiftCounter]]&gt;0, "Running", "Down")</f>
        <v>Running</v>
      </c>
    </row>
    <row r="1221" spans="1:5" x14ac:dyDescent="0.25">
      <c r="A1221" s="8">
        <v>44723</v>
      </c>
      <c r="B1221" t="s">
        <v>21</v>
      </c>
      <c r="C1221">
        <v>1957</v>
      </c>
      <c r="D1221" t="s">
        <v>7</v>
      </c>
      <c r="E1221" t="str">
        <f>IF(june[[#This Row],[ShiftCounter]]&gt;0, "Running", "Down")</f>
        <v>Running</v>
      </c>
    </row>
    <row r="1222" spans="1:5" x14ac:dyDescent="0.25">
      <c r="A1222" s="8">
        <v>44723</v>
      </c>
      <c r="B1222" t="s">
        <v>21</v>
      </c>
      <c r="C1222">
        <v>1870</v>
      </c>
      <c r="D1222" t="s">
        <v>8</v>
      </c>
      <c r="E1222" t="str">
        <f>IF(june[[#This Row],[ShiftCounter]]&gt;0, "Running", "Down")</f>
        <v>Running</v>
      </c>
    </row>
    <row r="1223" spans="1:5" x14ac:dyDescent="0.25">
      <c r="A1223" s="8">
        <v>44723</v>
      </c>
      <c r="B1223" t="s">
        <v>22</v>
      </c>
      <c r="C1223">
        <v>2372</v>
      </c>
      <c r="D1223" t="s">
        <v>6</v>
      </c>
      <c r="E1223" t="str">
        <f>IF(june[[#This Row],[ShiftCounter]]&gt;0, "Running", "Down")</f>
        <v>Running</v>
      </c>
    </row>
    <row r="1224" spans="1:5" x14ac:dyDescent="0.25">
      <c r="A1224" s="8">
        <v>44723</v>
      </c>
      <c r="B1224" t="s">
        <v>22</v>
      </c>
      <c r="C1224">
        <v>2324</v>
      </c>
      <c r="D1224" t="s">
        <v>7</v>
      </c>
      <c r="E1224" t="str">
        <f>IF(june[[#This Row],[ShiftCounter]]&gt;0, "Running", "Down")</f>
        <v>Running</v>
      </c>
    </row>
    <row r="1225" spans="1:5" x14ac:dyDescent="0.25">
      <c r="A1225" s="8">
        <v>44723</v>
      </c>
      <c r="B1225" t="s">
        <v>22</v>
      </c>
      <c r="C1225">
        <v>2119</v>
      </c>
      <c r="D1225" t="s">
        <v>8</v>
      </c>
      <c r="E1225" t="str">
        <f>IF(june[[#This Row],[ShiftCounter]]&gt;0, "Running", "Down")</f>
        <v>Running</v>
      </c>
    </row>
    <row r="1226" spans="1:5" x14ac:dyDescent="0.25">
      <c r="A1226" s="8">
        <v>44723</v>
      </c>
      <c r="B1226" t="s">
        <v>23</v>
      </c>
      <c r="C1226">
        <v>2400</v>
      </c>
      <c r="D1226" t="s">
        <v>6</v>
      </c>
      <c r="E1226" t="str">
        <f>IF(june[[#This Row],[ShiftCounter]]&gt;0, "Running", "Down")</f>
        <v>Running</v>
      </c>
    </row>
    <row r="1227" spans="1:5" x14ac:dyDescent="0.25">
      <c r="A1227" s="8">
        <v>44723</v>
      </c>
      <c r="B1227" t="s">
        <v>23</v>
      </c>
      <c r="C1227">
        <v>2295</v>
      </c>
      <c r="D1227" t="s">
        <v>7</v>
      </c>
      <c r="E1227" t="str">
        <f>IF(june[[#This Row],[ShiftCounter]]&gt;0, "Running", "Down")</f>
        <v>Running</v>
      </c>
    </row>
    <row r="1228" spans="1:5" x14ac:dyDescent="0.25">
      <c r="A1228" s="8">
        <v>44723</v>
      </c>
      <c r="B1228" t="s">
        <v>23</v>
      </c>
      <c r="C1228">
        <v>2182</v>
      </c>
      <c r="D1228" t="s">
        <v>8</v>
      </c>
      <c r="E1228" t="str">
        <f>IF(june[[#This Row],[ShiftCounter]]&gt;0, "Running", "Down")</f>
        <v>Running</v>
      </c>
    </row>
    <row r="1229" spans="1:5" x14ac:dyDescent="0.25">
      <c r="A1229" s="8">
        <v>44723</v>
      </c>
      <c r="B1229" t="s">
        <v>24</v>
      </c>
      <c r="C1229">
        <v>2004</v>
      </c>
      <c r="D1229" t="s">
        <v>6</v>
      </c>
      <c r="E1229" t="str">
        <f>IF(june[[#This Row],[ShiftCounter]]&gt;0, "Running", "Down")</f>
        <v>Running</v>
      </c>
    </row>
    <row r="1230" spans="1:5" x14ac:dyDescent="0.25">
      <c r="A1230" s="8">
        <v>44723</v>
      </c>
      <c r="B1230" t="s">
        <v>24</v>
      </c>
      <c r="C1230">
        <v>1964</v>
      </c>
      <c r="D1230" t="s">
        <v>7</v>
      </c>
      <c r="E1230" t="str">
        <f>IF(june[[#This Row],[ShiftCounter]]&gt;0, "Running", "Down")</f>
        <v>Running</v>
      </c>
    </row>
    <row r="1231" spans="1:5" x14ac:dyDescent="0.25">
      <c r="A1231" s="8">
        <v>44723</v>
      </c>
      <c r="B1231" t="s">
        <v>24</v>
      </c>
      <c r="C1231">
        <v>1900</v>
      </c>
      <c r="D1231" t="s">
        <v>8</v>
      </c>
      <c r="E1231" t="str">
        <f>IF(june[[#This Row],[ShiftCounter]]&gt;0, "Running", "Down")</f>
        <v>Running</v>
      </c>
    </row>
    <row r="1232" spans="1:5" x14ac:dyDescent="0.25">
      <c r="A1232" s="8">
        <v>44723</v>
      </c>
      <c r="B1232" t="s">
        <v>81</v>
      </c>
      <c r="C1232">
        <v>2228</v>
      </c>
      <c r="D1232" t="s">
        <v>6</v>
      </c>
      <c r="E1232" t="str">
        <f>IF(june[[#This Row],[ShiftCounter]]&gt;0, "Running", "Down")</f>
        <v>Running</v>
      </c>
    </row>
    <row r="1233" spans="1:5" x14ac:dyDescent="0.25">
      <c r="A1233" s="8">
        <v>44723</v>
      </c>
      <c r="B1233" t="s">
        <v>81</v>
      </c>
      <c r="C1233">
        <v>2165</v>
      </c>
      <c r="D1233" t="s">
        <v>7</v>
      </c>
      <c r="E1233" t="str">
        <f>IF(june[[#This Row],[ShiftCounter]]&gt;0, "Running", "Down")</f>
        <v>Running</v>
      </c>
    </row>
    <row r="1234" spans="1:5" x14ac:dyDescent="0.25">
      <c r="A1234" s="8">
        <v>44723</v>
      </c>
      <c r="B1234" t="s">
        <v>81</v>
      </c>
      <c r="C1234">
        <v>2060</v>
      </c>
      <c r="D1234" t="s">
        <v>8</v>
      </c>
      <c r="E1234" t="str">
        <f>IF(june[[#This Row],[ShiftCounter]]&gt;0, "Running", "Down")</f>
        <v>Running</v>
      </c>
    </row>
    <row r="1235" spans="1:5" x14ac:dyDescent="0.25">
      <c r="A1235" s="8">
        <v>44723</v>
      </c>
      <c r="B1235" t="s">
        <v>25</v>
      </c>
      <c r="C1235">
        <v>2184</v>
      </c>
      <c r="D1235" t="s">
        <v>6</v>
      </c>
      <c r="E1235" t="str">
        <f>IF(june[[#This Row],[ShiftCounter]]&gt;0, "Running", "Down")</f>
        <v>Running</v>
      </c>
    </row>
    <row r="1236" spans="1:5" x14ac:dyDescent="0.25">
      <c r="A1236" s="8">
        <v>44723</v>
      </c>
      <c r="B1236" t="s">
        <v>25</v>
      </c>
      <c r="C1236">
        <v>2376</v>
      </c>
      <c r="D1236" t="s">
        <v>7</v>
      </c>
      <c r="E1236" t="str">
        <f>IF(june[[#This Row],[ShiftCounter]]&gt;0, "Running", "Down")</f>
        <v>Running</v>
      </c>
    </row>
    <row r="1237" spans="1:5" x14ac:dyDescent="0.25">
      <c r="A1237" s="8">
        <v>44723</v>
      </c>
      <c r="B1237" t="s">
        <v>25</v>
      </c>
      <c r="C1237">
        <v>2079</v>
      </c>
      <c r="D1237" t="s">
        <v>8</v>
      </c>
      <c r="E1237" t="str">
        <f>IF(june[[#This Row],[ShiftCounter]]&gt;0, "Running", "Down")</f>
        <v>Running</v>
      </c>
    </row>
    <row r="1238" spans="1:5" x14ac:dyDescent="0.25">
      <c r="A1238" s="8">
        <v>44723</v>
      </c>
      <c r="B1238" t="s">
        <v>26</v>
      </c>
      <c r="C1238">
        <v>2015</v>
      </c>
      <c r="D1238" t="s">
        <v>6</v>
      </c>
      <c r="E1238" t="str">
        <f>IF(june[[#This Row],[ShiftCounter]]&gt;0, "Running", "Down")</f>
        <v>Running</v>
      </c>
    </row>
    <row r="1239" spans="1:5" x14ac:dyDescent="0.25">
      <c r="A1239" s="8">
        <v>44723</v>
      </c>
      <c r="B1239" t="s">
        <v>26</v>
      </c>
      <c r="C1239">
        <v>2122</v>
      </c>
      <c r="D1239" t="s">
        <v>7</v>
      </c>
      <c r="E1239" t="str">
        <f>IF(june[[#This Row],[ShiftCounter]]&gt;0, "Running", "Down")</f>
        <v>Running</v>
      </c>
    </row>
    <row r="1240" spans="1:5" x14ac:dyDescent="0.25">
      <c r="A1240" s="8">
        <v>44723</v>
      </c>
      <c r="B1240" t="s">
        <v>26</v>
      </c>
      <c r="C1240">
        <v>2025</v>
      </c>
      <c r="D1240" t="s">
        <v>8</v>
      </c>
      <c r="E1240" t="str">
        <f>IF(june[[#This Row],[ShiftCounter]]&gt;0, "Running", "Down")</f>
        <v>Running</v>
      </c>
    </row>
    <row r="1241" spans="1:5" x14ac:dyDescent="0.25">
      <c r="A1241" s="8">
        <v>44723</v>
      </c>
      <c r="B1241" t="s">
        <v>27</v>
      </c>
      <c r="C1241">
        <v>2410</v>
      </c>
      <c r="D1241" t="s">
        <v>6</v>
      </c>
      <c r="E1241" t="str">
        <f>IF(june[[#This Row],[ShiftCounter]]&gt;0, "Running", "Down")</f>
        <v>Running</v>
      </c>
    </row>
    <row r="1242" spans="1:5" x14ac:dyDescent="0.25">
      <c r="A1242" s="8">
        <v>44723</v>
      </c>
      <c r="B1242" t="s">
        <v>27</v>
      </c>
      <c r="C1242">
        <v>2373</v>
      </c>
      <c r="D1242" t="s">
        <v>7</v>
      </c>
      <c r="E1242" t="str">
        <f>IF(june[[#This Row],[ShiftCounter]]&gt;0, "Running", "Down")</f>
        <v>Running</v>
      </c>
    </row>
    <row r="1243" spans="1:5" x14ac:dyDescent="0.25">
      <c r="A1243" s="8">
        <v>44723</v>
      </c>
      <c r="B1243" t="s">
        <v>27</v>
      </c>
      <c r="C1243">
        <v>2219</v>
      </c>
      <c r="D1243" t="s">
        <v>8</v>
      </c>
      <c r="E1243" t="str">
        <f>IF(june[[#This Row],[ShiftCounter]]&gt;0, "Running", "Down")</f>
        <v>Running</v>
      </c>
    </row>
    <row r="1244" spans="1:5" x14ac:dyDescent="0.25">
      <c r="A1244" s="8">
        <v>44723</v>
      </c>
      <c r="B1244" t="s">
        <v>28</v>
      </c>
      <c r="C1244">
        <v>2210</v>
      </c>
      <c r="D1244" t="s">
        <v>6</v>
      </c>
      <c r="E1244" t="str">
        <f>IF(june[[#This Row],[ShiftCounter]]&gt;0, "Running", "Down")</f>
        <v>Running</v>
      </c>
    </row>
    <row r="1245" spans="1:5" x14ac:dyDescent="0.25">
      <c r="A1245" s="8">
        <v>44723</v>
      </c>
      <c r="B1245" t="s">
        <v>28</v>
      </c>
      <c r="C1245">
        <v>2245</v>
      </c>
      <c r="D1245" t="s">
        <v>7</v>
      </c>
      <c r="E1245" t="str">
        <f>IF(june[[#This Row],[ShiftCounter]]&gt;0, "Running", "Down")</f>
        <v>Running</v>
      </c>
    </row>
    <row r="1246" spans="1:5" x14ac:dyDescent="0.25">
      <c r="A1246" s="8">
        <v>44723</v>
      </c>
      <c r="B1246" t="s">
        <v>28</v>
      </c>
      <c r="C1246">
        <v>2186</v>
      </c>
      <c r="D1246" t="s">
        <v>8</v>
      </c>
      <c r="E1246" t="str">
        <f>IF(june[[#This Row],[ShiftCounter]]&gt;0, "Running", "Down")</f>
        <v>Running</v>
      </c>
    </row>
    <row r="1247" spans="1:5" x14ac:dyDescent="0.25">
      <c r="A1247" s="8">
        <v>44723</v>
      </c>
      <c r="B1247" t="s">
        <v>29</v>
      </c>
      <c r="C1247">
        <v>1981</v>
      </c>
      <c r="D1247" t="s">
        <v>6</v>
      </c>
      <c r="E1247" t="str">
        <f>IF(june[[#This Row],[ShiftCounter]]&gt;0, "Running", "Down")</f>
        <v>Running</v>
      </c>
    </row>
    <row r="1248" spans="1:5" x14ac:dyDescent="0.25">
      <c r="A1248" s="8">
        <v>44723</v>
      </c>
      <c r="B1248" t="s">
        <v>29</v>
      </c>
      <c r="C1248">
        <v>2096</v>
      </c>
      <c r="D1248" t="s">
        <v>7</v>
      </c>
      <c r="E1248" t="str">
        <f>IF(june[[#This Row],[ShiftCounter]]&gt;0, "Running", "Down")</f>
        <v>Running</v>
      </c>
    </row>
    <row r="1249" spans="1:5" x14ac:dyDescent="0.25">
      <c r="A1249" s="8">
        <v>44723</v>
      </c>
      <c r="B1249" t="s">
        <v>29</v>
      </c>
      <c r="C1249">
        <v>2116</v>
      </c>
      <c r="D1249" t="s">
        <v>8</v>
      </c>
      <c r="E1249" t="str">
        <f>IF(june[[#This Row],[ShiftCounter]]&gt;0, "Running", "Down")</f>
        <v>Running</v>
      </c>
    </row>
    <row r="1250" spans="1:5" x14ac:dyDescent="0.25">
      <c r="A1250" s="8">
        <v>44723</v>
      </c>
      <c r="B1250" t="s">
        <v>30</v>
      </c>
      <c r="C1250">
        <v>2275</v>
      </c>
      <c r="D1250" t="s">
        <v>6</v>
      </c>
      <c r="E1250" t="str">
        <f>IF(june[[#This Row],[ShiftCounter]]&gt;0, "Running", "Down")</f>
        <v>Running</v>
      </c>
    </row>
    <row r="1251" spans="1:5" x14ac:dyDescent="0.25">
      <c r="A1251" s="8">
        <v>44723</v>
      </c>
      <c r="B1251" t="s">
        <v>30</v>
      </c>
      <c r="C1251">
        <v>2338</v>
      </c>
      <c r="D1251" t="s">
        <v>7</v>
      </c>
      <c r="E1251" t="str">
        <f>IF(june[[#This Row],[ShiftCounter]]&gt;0, "Running", "Down")</f>
        <v>Running</v>
      </c>
    </row>
    <row r="1252" spans="1:5" x14ac:dyDescent="0.25">
      <c r="A1252" s="8">
        <v>44723</v>
      </c>
      <c r="B1252" t="s">
        <v>30</v>
      </c>
      <c r="C1252">
        <v>2285</v>
      </c>
      <c r="D1252" t="s">
        <v>8</v>
      </c>
      <c r="E1252" t="str">
        <f>IF(june[[#This Row],[ShiftCounter]]&gt;0, "Running", "Down")</f>
        <v>Running</v>
      </c>
    </row>
    <row r="1253" spans="1:5" x14ac:dyDescent="0.25">
      <c r="A1253" s="8">
        <v>44723</v>
      </c>
      <c r="B1253" t="s">
        <v>31</v>
      </c>
      <c r="C1253">
        <v>2243</v>
      </c>
      <c r="D1253" t="s">
        <v>6</v>
      </c>
      <c r="E1253" t="str">
        <f>IF(june[[#This Row],[ShiftCounter]]&gt;0, "Running", "Down")</f>
        <v>Running</v>
      </c>
    </row>
    <row r="1254" spans="1:5" x14ac:dyDescent="0.25">
      <c r="A1254" s="8">
        <v>44723</v>
      </c>
      <c r="B1254" t="s">
        <v>31</v>
      </c>
      <c r="C1254">
        <v>2359</v>
      </c>
      <c r="D1254" t="s">
        <v>7</v>
      </c>
      <c r="E1254" t="str">
        <f>IF(june[[#This Row],[ShiftCounter]]&gt;0, "Running", "Down")</f>
        <v>Running</v>
      </c>
    </row>
    <row r="1255" spans="1:5" x14ac:dyDescent="0.25">
      <c r="A1255" s="8">
        <v>44723</v>
      </c>
      <c r="B1255" t="s">
        <v>31</v>
      </c>
      <c r="C1255">
        <v>2158</v>
      </c>
      <c r="D1255" t="s">
        <v>8</v>
      </c>
      <c r="E1255" t="str">
        <f>IF(june[[#This Row],[ShiftCounter]]&gt;0, "Running", "Down")</f>
        <v>Running</v>
      </c>
    </row>
    <row r="1256" spans="1:5" x14ac:dyDescent="0.25">
      <c r="A1256" s="8">
        <v>44723</v>
      </c>
      <c r="B1256" t="s">
        <v>71</v>
      </c>
      <c r="C1256">
        <v>2260</v>
      </c>
      <c r="D1256" t="s">
        <v>6</v>
      </c>
      <c r="E1256" t="str">
        <f>IF(june[[#This Row],[ShiftCounter]]&gt;0, "Running", "Down")</f>
        <v>Running</v>
      </c>
    </row>
    <row r="1257" spans="1:5" x14ac:dyDescent="0.25">
      <c r="A1257" s="8">
        <v>44723</v>
      </c>
      <c r="B1257" t="s">
        <v>71</v>
      </c>
      <c r="C1257">
        <v>2078</v>
      </c>
      <c r="D1257" t="s">
        <v>7</v>
      </c>
      <c r="E1257" t="str">
        <f>IF(june[[#This Row],[ShiftCounter]]&gt;0, "Running", "Down")</f>
        <v>Running</v>
      </c>
    </row>
    <row r="1258" spans="1:5" x14ac:dyDescent="0.25">
      <c r="A1258" s="8">
        <v>44723</v>
      </c>
      <c r="B1258" t="s">
        <v>71</v>
      </c>
      <c r="C1258">
        <v>2018</v>
      </c>
      <c r="D1258" t="s">
        <v>8</v>
      </c>
      <c r="E1258" t="str">
        <f>IF(june[[#This Row],[ShiftCounter]]&gt;0, "Running", "Down")</f>
        <v>Running</v>
      </c>
    </row>
    <row r="1259" spans="1:5" x14ac:dyDescent="0.25">
      <c r="A1259" s="8">
        <v>44723</v>
      </c>
      <c r="B1259" t="s">
        <v>33</v>
      </c>
      <c r="C1259">
        <v>2606</v>
      </c>
      <c r="D1259" t="s">
        <v>6</v>
      </c>
      <c r="E1259" t="str">
        <f>IF(june[[#This Row],[ShiftCounter]]&gt;0, "Running", "Down")</f>
        <v>Running</v>
      </c>
    </row>
    <row r="1260" spans="1:5" x14ac:dyDescent="0.25">
      <c r="A1260" s="8">
        <v>44723</v>
      </c>
      <c r="B1260" t="s">
        <v>33</v>
      </c>
      <c r="C1260">
        <v>2399</v>
      </c>
      <c r="D1260" t="s">
        <v>7</v>
      </c>
      <c r="E1260" t="str">
        <f>IF(june[[#This Row],[ShiftCounter]]&gt;0, "Running", "Down")</f>
        <v>Running</v>
      </c>
    </row>
    <row r="1261" spans="1:5" x14ac:dyDescent="0.25">
      <c r="A1261" s="8">
        <v>44723</v>
      </c>
      <c r="B1261" t="s">
        <v>33</v>
      </c>
      <c r="C1261">
        <v>2206</v>
      </c>
      <c r="D1261" t="s">
        <v>8</v>
      </c>
      <c r="E1261" t="str">
        <f>IF(june[[#This Row],[ShiftCounter]]&gt;0, "Running", "Down")</f>
        <v>Running</v>
      </c>
    </row>
    <row r="1262" spans="1:5" x14ac:dyDescent="0.25">
      <c r="A1262" s="8">
        <v>44723</v>
      </c>
      <c r="B1262" t="s">
        <v>35</v>
      </c>
      <c r="C1262">
        <v>2312</v>
      </c>
      <c r="D1262" t="s">
        <v>6</v>
      </c>
      <c r="E1262" t="str">
        <f>IF(june[[#This Row],[ShiftCounter]]&gt;0, "Running", "Down")</f>
        <v>Running</v>
      </c>
    </row>
    <row r="1263" spans="1:5" x14ac:dyDescent="0.25">
      <c r="A1263" s="8">
        <v>44723</v>
      </c>
      <c r="B1263" t="s">
        <v>35</v>
      </c>
      <c r="C1263">
        <v>1962</v>
      </c>
      <c r="D1263" t="s">
        <v>7</v>
      </c>
      <c r="E1263" t="str">
        <f>IF(june[[#This Row],[ShiftCounter]]&gt;0, "Running", "Down")</f>
        <v>Running</v>
      </c>
    </row>
    <row r="1264" spans="1:5" x14ac:dyDescent="0.25">
      <c r="A1264" s="8">
        <v>44723</v>
      </c>
      <c r="B1264" t="s">
        <v>35</v>
      </c>
      <c r="C1264">
        <v>1963</v>
      </c>
      <c r="D1264" t="s">
        <v>8</v>
      </c>
      <c r="E1264" t="str">
        <f>IF(june[[#This Row],[ShiftCounter]]&gt;0, "Running", "Down")</f>
        <v>Running</v>
      </c>
    </row>
    <row r="1265" spans="1:5" x14ac:dyDescent="0.25">
      <c r="A1265" s="8">
        <v>44723</v>
      </c>
      <c r="B1265" t="s">
        <v>37</v>
      </c>
      <c r="C1265">
        <v>2507</v>
      </c>
      <c r="D1265" t="s">
        <v>6</v>
      </c>
      <c r="E1265" t="str">
        <f>IF(june[[#This Row],[ShiftCounter]]&gt;0, "Running", "Down")</f>
        <v>Running</v>
      </c>
    </row>
    <row r="1266" spans="1:5" x14ac:dyDescent="0.25">
      <c r="A1266" s="8">
        <v>44723</v>
      </c>
      <c r="B1266" t="s">
        <v>37</v>
      </c>
      <c r="C1266">
        <v>2375</v>
      </c>
      <c r="D1266" t="s">
        <v>7</v>
      </c>
      <c r="E1266" t="str">
        <f>IF(june[[#This Row],[ShiftCounter]]&gt;0, "Running", "Down")</f>
        <v>Running</v>
      </c>
    </row>
    <row r="1267" spans="1:5" x14ac:dyDescent="0.25">
      <c r="A1267" s="8">
        <v>44723</v>
      </c>
      <c r="B1267" t="s">
        <v>37</v>
      </c>
      <c r="C1267">
        <v>2144</v>
      </c>
      <c r="D1267" t="s">
        <v>8</v>
      </c>
      <c r="E1267" t="str">
        <f>IF(june[[#This Row],[ShiftCounter]]&gt;0, "Running", "Down")</f>
        <v>Running</v>
      </c>
    </row>
    <row r="1268" spans="1:5" x14ac:dyDescent="0.25">
      <c r="A1268" s="8">
        <v>44723</v>
      </c>
      <c r="B1268" t="s">
        <v>34</v>
      </c>
      <c r="C1268">
        <v>2203</v>
      </c>
      <c r="D1268" t="s">
        <v>6</v>
      </c>
      <c r="E1268" t="str">
        <f>IF(june[[#This Row],[ShiftCounter]]&gt;0, "Running", "Down")</f>
        <v>Running</v>
      </c>
    </row>
    <row r="1269" spans="1:5" x14ac:dyDescent="0.25">
      <c r="A1269" s="8">
        <v>44723</v>
      </c>
      <c r="B1269" t="s">
        <v>34</v>
      </c>
      <c r="C1269">
        <v>2108</v>
      </c>
      <c r="D1269" t="s">
        <v>7</v>
      </c>
      <c r="E1269" t="str">
        <f>IF(june[[#This Row],[ShiftCounter]]&gt;0, "Running", "Down")</f>
        <v>Running</v>
      </c>
    </row>
    <row r="1270" spans="1:5" x14ac:dyDescent="0.25">
      <c r="A1270" s="8">
        <v>44723</v>
      </c>
      <c r="B1270" t="s">
        <v>34</v>
      </c>
      <c r="C1270">
        <v>1902</v>
      </c>
      <c r="D1270" t="s">
        <v>8</v>
      </c>
      <c r="E1270" t="str">
        <f>IF(june[[#This Row],[ShiftCounter]]&gt;0, "Running", "Down")</f>
        <v>Running</v>
      </c>
    </row>
    <row r="1271" spans="1:5" x14ac:dyDescent="0.25">
      <c r="A1271" s="8">
        <v>44724</v>
      </c>
      <c r="B1271" t="s">
        <v>158</v>
      </c>
      <c r="C1271">
        <v>2216</v>
      </c>
      <c r="D1271" t="s">
        <v>6</v>
      </c>
      <c r="E1271" t="str">
        <f>IF(june[[#This Row],[ShiftCounter]]&gt;0, "Running", "Down")</f>
        <v>Running</v>
      </c>
    </row>
    <row r="1272" spans="1:5" x14ac:dyDescent="0.25">
      <c r="A1272" s="8">
        <v>44724</v>
      </c>
      <c r="B1272" t="s">
        <v>158</v>
      </c>
      <c r="C1272">
        <v>2338</v>
      </c>
      <c r="D1272" t="s">
        <v>7</v>
      </c>
      <c r="E1272" t="str">
        <f>IF(june[[#This Row],[ShiftCounter]]&gt;0, "Running", "Down")</f>
        <v>Running</v>
      </c>
    </row>
    <row r="1273" spans="1:5" x14ac:dyDescent="0.25">
      <c r="A1273" s="8">
        <v>44724</v>
      </c>
      <c r="B1273" t="s">
        <v>158</v>
      </c>
      <c r="C1273">
        <v>2005</v>
      </c>
      <c r="D1273" t="s">
        <v>8</v>
      </c>
      <c r="E1273" t="str">
        <f>IF(june[[#This Row],[ShiftCounter]]&gt;0, "Running", "Down")</f>
        <v>Running</v>
      </c>
    </row>
    <row r="1274" spans="1:5" x14ac:dyDescent="0.25">
      <c r="A1274" s="8">
        <v>44724</v>
      </c>
      <c r="B1274" t="s">
        <v>40</v>
      </c>
      <c r="C1274">
        <v>2356</v>
      </c>
      <c r="D1274" t="s">
        <v>6</v>
      </c>
      <c r="E1274" t="str">
        <f>IF(june[[#This Row],[ShiftCounter]]&gt;0, "Running", "Down")</f>
        <v>Running</v>
      </c>
    </row>
    <row r="1275" spans="1:5" x14ac:dyDescent="0.25">
      <c r="A1275" s="8">
        <v>44724</v>
      </c>
      <c r="B1275" t="s">
        <v>40</v>
      </c>
      <c r="C1275">
        <v>2411</v>
      </c>
      <c r="D1275" t="s">
        <v>7</v>
      </c>
      <c r="E1275" t="str">
        <f>IF(june[[#This Row],[ShiftCounter]]&gt;0, "Running", "Down")</f>
        <v>Running</v>
      </c>
    </row>
    <row r="1276" spans="1:5" x14ac:dyDescent="0.25">
      <c r="A1276" s="8">
        <v>44724</v>
      </c>
      <c r="B1276" t="s">
        <v>40</v>
      </c>
      <c r="C1276">
        <v>2060</v>
      </c>
      <c r="D1276" t="s">
        <v>8</v>
      </c>
      <c r="E1276" t="str">
        <f>IF(june[[#This Row],[ShiftCounter]]&gt;0, "Running", "Down")</f>
        <v>Running</v>
      </c>
    </row>
    <row r="1277" spans="1:5" x14ac:dyDescent="0.25">
      <c r="A1277" s="8">
        <v>44724</v>
      </c>
      <c r="B1277" t="s">
        <v>39</v>
      </c>
      <c r="C1277">
        <v>2239</v>
      </c>
      <c r="D1277" t="s">
        <v>6</v>
      </c>
      <c r="E1277" t="str">
        <f>IF(june[[#This Row],[ShiftCounter]]&gt;0, "Running", "Down")</f>
        <v>Running</v>
      </c>
    </row>
    <row r="1278" spans="1:5" x14ac:dyDescent="0.25">
      <c r="A1278" s="8">
        <v>44724</v>
      </c>
      <c r="B1278" t="s">
        <v>39</v>
      </c>
      <c r="C1278">
        <v>2291</v>
      </c>
      <c r="D1278" t="s">
        <v>7</v>
      </c>
      <c r="E1278" t="str">
        <f>IF(june[[#This Row],[ShiftCounter]]&gt;0, "Running", "Down")</f>
        <v>Running</v>
      </c>
    </row>
    <row r="1279" spans="1:5" x14ac:dyDescent="0.25">
      <c r="A1279" s="8">
        <v>44724</v>
      </c>
      <c r="B1279" t="s">
        <v>39</v>
      </c>
      <c r="C1279">
        <v>1950</v>
      </c>
      <c r="D1279" t="s">
        <v>8</v>
      </c>
      <c r="E1279" t="str">
        <f>IF(june[[#This Row],[ShiftCounter]]&gt;0, "Running", "Down")</f>
        <v>Running</v>
      </c>
    </row>
    <row r="1280" spans="1:5" x14ac:dyDescent="0.25">
      <c r="A1280" s="8">
        <v>44724</v>
      </c>
      <c r="B1280" t="s">
        <v>41</v>
      </c>
      <c r="C1280">
        <v>2352</v>
      </c>
      <c r="D1280" t="s">
        <v>6</v>
      </c>
      <c r="E1280" t="str">
        <f>IF(june[[#This Row],[ShiftCounter]]&gt;0, "Running", "Down")</f>
        <v>Running</v>
      </c>
    </row>
    <row r="1281" spans="1:5" x14ac:dyDescent="0.25">
      <c r="A1281" s="8">
        <v>44724</v>
      </c>
      <c r="B1281" t="s">
        <v>41</v>
      </c>
      <c r="C1281">
        <v>2411</v>
      </c>
      <c r="D1281" t="s">
        <v>7</v>
      </c>
      <c r="E1281" t="str">
        <f>IF(june[[#This Row],[ShiftCounter]]&gt;0, "Running", "Down")</f>
        <v>Running</v>
      </c>
    </row>
    <row r="1282" spans="1:5" x14ac:dyDescent="0.25">
      <c r="A1282" s="8">
        <v>44724</v>
      </c>
      <c r="B1282" t="s">
        <v>41</v>
      </c>
      <c r="C1282">
        <v>2081</v>
      </c>
      <c r="D1282" t="s">
        <v>8</v>
      </c>
      <c r="E1282" t="str">
        <f>IF(june[[#This Row],[ShiftCounter]]&gt;0, "Running", "Down")</f>
        <v>Running</v>
      </c>
    </row>
    <row r="1283" spans="1:5" x14ac:dyDescent="0.25">
      <c r="A1283" s="8">
        <v>44724</v>
      </c>
      <c r="B1283" t="s">
        <v>5</v>
      </c>
      <c r="C1283">
        <v>2344</v>
      </c>
      <c r="D1283" t="s">
        <v>6</v>
      </c>
      <c r="E1283" t="str">
        <f>IF(june[[#This Row],[ShiftCounter]]&gt;0, "Running", "Down")</f>
        <v>Running</v>
      </c>
    </row>
    <row r="1284" spans="1:5" x14ac:dyDescent="0.25">
      <c r="A1284" s="8">
        <v>44724</v>
      </c>
      <c r="B1284" t="s">
        <v>5</v>
      </c>
      <c r="C1284">
        <v>2310</v>
      </c>
      <c r="D1284" t="s">
        <v>7</v>
      </c>
      <c r="E1284" t="str">
        <f>IF(june[[#This Row],[ShiftCounter]]&gt;0, "Running", "Down")</f>
        <v>Running</v>
      </c>
    </row>
    <row r="1285" spans="1:5" x14ac:dyDescent="0.25">
      <c r="A1285" s="8">
        <v>44724</v>
      </c>
      <c r="B1285" t="s">
        <v>5</v>
      </c>
      <c r="C1285">
        <v>2061</v>
      </c>
      <c r="D1285" t="s">
        <v>8</v>
      </c>
      <c r="E1285" t="str">
        <f>IF(june[[#This Row],[ShiftCounter]]&gt;0, "Running", "Down")</f>
        <v>Running</v>
      </c>
    </row>
    <row r="1286" spans="1:5" x14ac:dyDescent="0.25">
      <c r="A1286" s="8">
        <v>44724</v>
      </c>
      <c r="B1286" t="s">
        <v>9</v>
      </c>
      <c r="C1286">
        <v>2332</v>
      </c>
      <c r="D1286" t="s">
        <v>6</v>
      </c>
      <c r="E1286" t="str">
        <f>IF(june[[#This Row],[ShiftCounter]]&gt;0, "Running", "Down")</f>
        <v>Running</v>
      </c>
    </row>
    <row r="1287" spans="1:5" x14ac:dyDescent="0.25">
      <c r="A1287" s="8">
        <v>44724</v>
      </c>
      <c r="B1287" t="s">
        <v>9</v>
      </c>
      <c r="C1287">
        <v>2268</v>
      </c>
      <c r="D1287" t="s">
        <v>7</v>
      </c>
      <c r="E1287" t="str">
        <f>IF(june[[#This Row],[ShiftCounter]]&gt;0, "Running", "Down")</f>
        <v>Running</v>
      </c>
    </row>
    <row r="1288" spans="1:5" x14ac:dyDescent="0.25">
      <c r="A1288" s="8">
        <v>44724</v>
      </c>
      <c r="B1288" t="s">
        <v>9</v>
      </c>
      <c r="C1288">
        <v>2057</v>
      </c>
      <c r="D1288" t="s">
        <v>8</v>
      </c>
      <c r="E1288" t="str">
        <f>IF(june[[#This Row],[ShiftCounter]]&gt;0, "Running", "Down")</f>
        <v>Running</v>
      </c>
    </row>
    <row r="1289" spans="1:5" x14ac:dyDescent="0.25">
      <c r="A1289" s="8">
        <v>44724</v>
      </c>
      <c r="B1289" t="s">
        <v>10</v>
      </c>
      <c r="C1289">
        <v>2346</v>
      </c>
      <c r="D1289" t="s">
        <v>6</v>
      </c>
      <c r="E1289" t="str">
        <f>IF(june[[#This Row],[ShiftCounter]]&gt;0, "Running", "Down")</f>
        <v>Running</v>
      </c>
    </row>
    <row r="1290" spans="1:5" x14ac:dyDescent="0.25">
      <c r="A1290" s="8">
        <v>44724</v>
      </c>
      <c r="B1290" t="s">
        <v>10</v>
      </c>
      <c r="C1290">
        <v>2268</v>
      </c>
      <c r="D1290" t="s">
        <v>7</v>
      </c>
      <c r="E1290" t="str">
        <f>IF(june[[#This Row],[ShiftCounter]]&gt;0, "Running", "Down")</f>
        <v>Running</v>
      </c>
    </row>
    <row r="1291" spans="1:5" x14ac:dyDescent="0.25">
      <c r="A1291" s="8">
        <v>44724</v>
      </c>
      <c r="B1291" t="s">
        <v>10</v>
      </c>
      <c r="C1291">
        <v>2089</v>
      </c>
      <c r="D1291" t="s">
        <v>8</v>
      </c>
      <c r="E1291" t="str">
        <f>IF(june[[#This Row],[ShiftCounter]]&gt;0, "Running", "Down")</f>
        <v>Running</v>
      </c>
    </row>
    <row r="1292" spans="1:5" x14ac:dyDescent="0.25">
      <c r="A1292" s="8">
        <v>44724</v>
      </c>
      <c r="B1292" t="s">
        <v>11</v>
      </c>
      <c r="C1292">
        <v>2392</v>
      </c>
      <c r="D1292" t="s">
        <v>6</v>
      </c>
      <c r="E1292" t="str">
        <f>IF(june[[#This Row],[ShiftCounter]]&gt;0, "Running", "Down")</f>
        <v>Running</v>
      </c>
    </row>
    <row r="1293" spans="1:5" x14ac:dyDescent="0.25">
      <c r="A1293" s="8">
        <v>44724</v>
      </c>
      <c r="B1293" t="s">
        <v>11</v>
      </c>
      <c r="C1293">
        <v>2400</v>
      </c>
      <c r="D1293" t="s">
        <v>7</v>
      </c>
      <c r="E1293" t="str">
        <f>IF(june[[#This Row],[ShiftCounter]]&gt;0, "Running", "Down")</f>
        <v>Running</v>
      </c>
    </row>
    <row r="1294" spans="1:5" x14ac:dyDescent="0.25">
      <c r="A1294" s="8">
        <v>44724</v>
      </c>
      <c r="B1294" t="s">
        <v>11</v>
      </c>
      <c r="C1294">
        <v>2118</v>
      </c>
      <c r="D1294" t="s">
        <v>8</v>
      </c>
      <c r="E1294" t="str">
        <f>IF(june[[#This Row],[ShiftCounter]]&gt;0, "Running", "Down")</f>
        <v>Running</v>
      </c>
    </row>
    <row r="1295" spans="1:5" x14ac:dyDescent="0.25">
      <c r="A1295" s="8">
        <v>44724</v>
      </c>
      <c r="B1295" t="s">
        <v>12</v>
      </c>
      <c r="C1295">
        <v>2432</v>
      </c>
      <c r="D1295" t="s">
        <v>6</v>
      </c>
      <c r="E1295" t="str">
        <f>IF(june[[#This Row],[ShiftCounter]]&gt;0, "Running", "Down")</f>
        <v>Running</v>
      </c>
    </row>
    <row r="1296" spans="1:5" x14ac:dyDescent="0.25">
      <c r="A1296" s="8">
        <v>44724</v>
      </c>
      <c r="B1296" t="s">
        <v>12</v>
      </c>
      <c r="C1296">
        <v>2236</v>
      </c>
      <c r="D1296" t="s">
        <v>7</v>
      </c>
      <c r="E1296" t="str">
        <f>IF(june[[#This Row],[ShiftCounter]]&gt;0, "Running", "Down")</f>
        <v>Running</v>
      </c>
    </row>
    <row r="1297" spans="1:5" x14ac:dyDescent="0.25">
      <c r="A1297" s="8">
        <v>44724</v>
      </c>
      <c r="B1297" t="s">
        <v>12</v>
      </c>
      <c r="C1297">
        <v>2051</v>
      </c>
      <c r="D1297" t="s">
        <v>8</v>
      </c>
      <c r="E1297" t="str">
        <f>IF(june[[#This Row],[ShiftCounter]]&gt;0, "Running", "Down")</f>
        <v>Running</v>
      </c>
    </row>
    <row r="1298" spans="1:5" x14ac:dyDescent="0.25">
      <c r="A1298" s="8">
        <v>44724</v>
      </c>
      <c r="B1298" t="s">
        <v>13</v>
      </c>
      <c r="C1298">
        <v>2284</v>
      </c>
      <c r="D1298" t="s">
        <v>6</v>
      </c>
      <c r="E1298" t="str">
        <f>IF(june[[#This Row],[ShiftCounter]]&gt;0, "Running", "Down")</f>
        <v>Running</v>
      </c>
    </row>
    <row r="1299" spans="1:5" x14ac:dyDescent="0.25">
      <c r="A1299" s="8">
        <v>44724</v>
      </c>
      <c r="B1299" t="s">
        <v>13</v>
      </c>
      <c r="C1299">
        <v>2222</v>
      </c>
      <c r="D1299" t="s">
        <v>7</v>
      </c>
      <c r="E1299" t="str">
        <f>IF(june[[#This Row],[ShiftCounter]]&gt;0, "Running", "Down")</f>
        <v>Running</v>
      </c>
    </row>
    <row r="1300" spans="1:5" x14ac:dyDescent="0.25">
      <c r="A1300" s="8">
        <v>44724</v>
      </c>
      <c r="B1300" t="s">
        <v>13</v>
      </c>
      <c r="C1300">
        <v>1909</v>
      </c>
      <c r="D1300" t="s">
        <v>8</v>
      </c>
      <c r="E1300" t="str">
        <f>IF(june[[#This Row],[ShiftCounter]]&gt;0, "Running", "Down")</f>
        <v>Running</v>
      </c>
    </row>
    <row r="1301" spans="1:5" x14ac:dyDescent="0.25">
      <c r="A1301" s="8">
        <v>44724</v>
      </c>
      <c r="B1301" t="s">
        <v>114</v>
      </c>
      <c r="C1301">
        <v>2070</v>
      </c>
      <c r="D1301" t="s">
        <v>6</v>
      </c>
      <c r="E1301" t="str">
        <f>IF(june[[#This Row],[ShiftCounter]]&gt;0, "Running", "Down")</f>
        <v>Running</v>
      </c>
    </row>
    <row r="1302" spans="1:5" x14ac:dyDescent="0.25">
      <c r="A1302" s="8">
        <v>44724</v>
      </c>
      <c r="B1302" t="s">
        <v>114</v>
      </c>
      <c r="C1302">
        <v>2050</v>
      </c>
      <c r="D1302" t="s">
        <v>7</v>
      </c>
      <c r="E1302" t="str">
        <f>IF(june[[#This Row],[ShiftCounter]]&gt;0, "Running", "Down")</f>
        <v>Running</v>
      </c>
    </row>
    <row r="1303" spans="1:5" x14ac:dyDescent="0.25">
      <c r="A1303" s="8">
        <v>44724</v>
      </c>
      <c r="B1303" t="s">
        <v>114</v>
      </c>
      <c r="C1303">
        <v>1839</v>
      </c>
      <c r="D1303" t="s">
        <v>8</v>
      </c>
      <c r="E1303" t="str">
        <f>IF(june[[#This Row],[ShiftCounter]]&gt;0, "Running", "Down")</f>
        <v>Running</v>
      </c>
    </row>
    <row r="1304" spans="1:5" x14ac:dyDescent="0.25">
      <c r="A1304" s="8">
        <v>44724</v>
      </c>
      <c r="B1304" t="s">
        <v>14</v>
      </c>
      <c r="C1304">
        <v>640</v>
      </c>
      <c r="D1304" t="s">
        <v>6</v>
      </c>
      <c r="E1304" t="str">
        <f>IF(june[[#This Row],[ShiftCounter]]&gt;0, "Running", "Down")</f>
        <v>Running</v>
      </c>
    </row>
    <row r="1305" spans="1:5" x14ac:dyDescent="0.25">
      <c r="A1305" s="8">
        <v>44724</v>
      </c>
      <c r="B1305" t="s">
        <v>14</v>
      </c>
      <c r="C1305">
        <v>2268</v>
      </c>
      <c r="D1305" t="s">
        <v>7</v>
      </c>
      <c r="E1305" t="str">
        <f>IF(june[[#This Row],[ShiftCounter]]&gt;0, "Running", "Down")</f>
        <v>Running</v>
      </c>
    </row>
    <row r="1306" spans="1:5" x14ac:dyDescent="0.25">
      <c r="A1306" s="8">
        <v>44724</v>
      </c>
      <c r="B1306" t="s">
        <v>14</v>
      </c>
      <c r="C1306">
        <v>2099</v>
      </c>
      <c r="D1306" t="s">
        <v>8</v>
      </c>
      <c r="E1306" t="str">
        <f>IF(june[[#This Row],[ShiftCounter]]&gt;0, "Running", "Down")</f>
        <v>Running</v>
      </c>
    </row>
    <row r="1307" spans="1:5" x14ac:dyDescent="0.25">
      <c r="A1307" s="8">
        <v>44724</v>
      </c>
      <c r="B1307" t="s">
        <v>15</v>
      </c>
      <c r="C1307">
        <v>2251</v>
      </c>
      <c r="D1307" t="s">
        <v>6</v>
      </c>
      <c r="E1307" t="str">
        <f>IF(june[[#This Row],[ShiftCounter]]&gt;0, "Running", "Down")</f>
        <v>Running</v>
      </c>
    </row>
    <row r="1308" spans="1:5" x14ac:dyDescent="0.25">
      <c r="A1308" s="8">
        <v>44724</v>
      </c>
      <c r="B1308" t="s">
        <v>15</v>
      </c>
      <c r="C1308">
        <v>2277</v>
      </c>
      <c r="D1308" t="s">
        <v>7</v>
      </c>
      <c r="E1308" t="str">
        <f>IF(june[[#This Row],[ShiftCounter]]&gt;0, "Running", "Down")</f>
        <v>Running</v>
      </c>
    </row>
    <row r="1309" spans="1:5" x14ac:dyDescent="0.25">
      <c r="A1309" s="8">
        <v>44724</v>
      </c>
      <c r="B1309" t="s">
        <v>15</v>
      </c>
      <c r="C1309">
        <v>1973</v>
      </c>
      <c r="D1309" t="s">
        <v>8</v>
      </c>
      <c r="E1309" t="str">
        <f>IF(june[[#This Row],[ShiftCounter]]&gt;0, "Running", "Down")</f>
        <v>Running</v>
      </c>
    </row>
    <row r="1310" spans="1:5" x14ac:dyDescent="0.25">
      <c r="A1310" s="8">
        <v>44724</v>
      </c>
      <c r="B1310" t="s">
        <v>16</v>
      </c>
      <c r="C1310">
        <v>2054</v>
      </c>
      <c r="D1310" t="s">
        <v>6</v>
      </c>
      <c r="E1310" t="str">
        <f>IF(june[[#This Row],[ShiftCounter]]&gt;0, "Running", "Down")</f>
        <v>Running</v>
      </c>
    </row>
    <row r="1311" spans="1:5" x14ac:dyDescent="0.25">
      <c r="A1311" s="8">
        <v>44724</v>
      </c>
      <c r="B1311" t="s">
        <v>16</v>
      </c>
      <c r="C1311">
        <v>2199</v>
      </c>
      <c r="D1311" t="s">
        <v>7</v>
      </c>
      <c r="E1311" t="str">
        <f>IF(june[[#This Row],[ShiftCounter]]&gt;0, "Running", "Down")</f>
        <v>Running</v>
      </c>
    </row>
    <row r="1312" spans="1:5" x14ac:dyDescent="0.25">
      <c r="A1312" s="8">
        <v>44724</v>
      </c>
      <c r="B1312" t="s">
        <v>16</v>
      </c>
      <c r="C1312">
        <v>1999</v>
      </c>
      <c r="D1312" t="s">
        <v>8</v>
      </c>
      <c r="E1312" t="str">
        <f>IF(june[[#This Row],[ShiftCounter]]&gt;0, "Running", "Down")</f>
        <v>Running</v>
      </c>
    </row>
    <row r="1313" spans="1:5" x14ac:dyDescent="0.25">
      <c r="A1313" s="8">
        <v>44724</v>
      </c>
      <c r="B1313" t="s">
        <v>17</v>
      </c>
      <c r="C1313">
        <v>2222</v>
      </c>
      <c r="D1313" t="s">
        <v>6</v>
      </c>
      <c r="E1313" t="str">
        <f>IF(june[[#This Row],[ShiftCounter]]&gt;0, "Running", "Down")</f>
        <v>Running</v>
      </c>
    </row>
    <row r="1314" spans="1:5" x14ac:dyDescent="0.25">
      <c r="A1314" s="8">
        <v>44724</v>
      </c>
      <c r="B1314" t="s">
        <v>17</v>
      </c>
      <c r="C1314">
        <v>2159</v>
      </c>
      <c r="D1314" t="s">
        <v>7</v>
      </c>
      <c r="E1314" t="str">
        <f>IF(june[[#This Row],[ShiftCounter]]&gt;0, "Running", "Down")</f>
        <v>Running</v>
      </c>
    </row>
    <row r="1315" spans="1:5" x14ac:dyDescent="0.25">
      <c r="A1315" s="8">
        <v>44724</v>
      </c>
      <c r="B1315" t="s">
        <v>17</v>
      </c>
      <c r="C1315">
        <v>2294</v>
      </c>
      <c r="D1315" t="s">
        <v>8</v>
      </c>
      <c r="E1315" t="str">
        <f>IF(june[[#This Row],[ShiftCounter]]&gt;0, "Running", "Down")</f>
        <v>Running</v>
      </c>
    </row>
    <row r="1316" spans="1:5" x14ac:dyDescent="0.25">
      <c r="A1316" s="8">
        <v>44724</v>
      </c>
      <c r="B1316" t="s">
        <v>19</v>
      </c>
      <c r="C1316">
        <v>1321</v>
      </c>
      <c r="D1316" t="s">
        <v>6</v>
      </c>
      <c r="E1316" t="str">
        <f>IF(june[[#This Row],[ShiftCounter]]&gt;0, "Running", "Down")</f>
        <v>Running</v>
      </c>
    </row>
    <row r="1317" spans="1:5" x14ac:dyDescent="0.25">
      <c r="A1317" s="8">
        <v>44724</v>
      </c>
      <c r="B1317" t="s">
        <v>19</v>
      </c>
      <c r="C1317">
        <v>2013</v>
      </c>
      <c r="D1317" t="s">
        <v>7</v>
      </c>
      <c r="E1317" t="str">
        <f>IF(june[[#This Row],[ShiftCounter]]&gt;0, "Running", "Down")</f>
        <v>Running</v>
      </c>
    </row>
    <row r="1318" spans="1:5" x14ac:dyDescent="0.25">
      <c r="A1318" s="8">
        <v>44724</v>
      </c>
      <c r="B1318" t="s">
        <v>19</v>
      </c>
      <c r="C1318">
        <v>1902</v>
      </c>
      <c r="D1318" t="s">
        <v>8</v>
      </c>
      <c r="E1318" t="str">
        <f>IF(june[[#This Row],[ShiftCounter]]&gt;0, "Running", "Down")</f>
        <v>Running</v>
      </c>
    </row>
    <row r="1319" spans="1:5" x14ac:dyDescent="0.25">
      <c r="A1319" s="8">
        <v>44724</v>
      </c>
      <c r="B1319" t="s">
        <v>18</v>
      </c>
      <c r="C1319">
        <v>2334</v>
      </c>
      <c r="D1319" t="s">
        <v>6</v>
      </c>
      <c r="E1319" t="str">
        <f>IF(june[[#This Row],[ShiftCounter]]&gt;0, "Running", "Down")</f>
        <v>Running</v>
      </c>
    </row>
    <row r="1320" spans="1:5" x14ac:dyDescent="0.25">
      <c r="A1320" s="8">
        <v>44724</v>
      </c>
      <c r="B1320" t="s">
        <v>18</v>
      </c>
      <c r="C1320">
        <v>2282</v>
      </c>
      <c r="D1320" t="s">
        <v>7</v>
      </c>
      <c r="E1320" t="str">
        <f>IF(june[[#This Row],[ShiftCounter]]&gt;0, "Running", "Down")</f>
        <v>Running</v>
      </c>
    </row>
    <row r="1321" spans="1:5" x14ac:dyDescent="0.25">
      <c r="A1321" s="8">
        <v>44724</v>
      </c>
      <c r="B1321" t="s">
        <v>18</v>
      </c>
      <c r="C1321">
        <v>2258</v>
      </c>
      <c r="D1321" t="s">
        <v>8</v>
      </c>
      <c r="E1321" t="str">
        <f>IF(june[[#This Row],[ShiftCounter]]&gt;0, "Running", "Down")</f>
        <v>Running</v>
      </c>
    </row>
    <row r="1322" spans="1:5" x14ac:dyDescent="0.25">
      <c r="A1322" s="8">
        <v>44724</v>
      </c>
      <c r="B1322" t="s">
        <v>42</v>
      </c>
      <c r="C1322">
        <v>2000</v>
      </c>
      <c r="D1322" t="s">
        <v>6</v>
      </c>
      <c r="E1322" t="str">
        <f>IF(june[[#This Row],[ShiftCounter]]&gt;0, "Running", "Down")</f>
        <v>Running</v>
      </c>
    </row>
    <row r="1323" spans="1:5" x14ac:dyDescent="0.25">
      <c r="A1323" s="8">
        <v>44724</v>
      </c>
      <c r="B1323" t="s">
        <v>42</v>
      </c>
      <c r="C1323">
        <v>1975</v>
      </c>
      <c r="D1323" t="s">
        <v>7</v>
      </c>
      <c r="E1323" t="str">
        <f>IF(june[[#This Row],[ShiftCounter]]&gt;0, "Running", "Down")</f>
        <v>Running</v>
      </c>
    </row>
    <row r="1324" spans="1:5" x14ac:dyDescent="0.25">
      <c r="A1324" s="8">
        <v>44724</v>
      </c>
      <c r="B1324" t="s">
        <v>42</v>
      </c>
      <c r="C1324">
        <v>1825</v>
      </c>
      <c r="D1324" t="s">
        <v>8</v>
      </c>
      <c r="E1324" t="str">
        <f>IF(june[[#This Row],[ShiftCounter]]&gt;0, "Running", "Down")</f>
        <v>Running</v>
      </c>
    </row>
    <row r="1325" spans="1:5" x14ac:dyDescent="0.25">
      <c r="A1325" s="8">
        <v>44724</v>
      </c>
      <c r="B1325" t="s">
        <v>38</v>
      </c>
      <c r="C1325">
        <v>2398</v>
      </c>
      <c r="D1325" t="s">
        <v>6</v>
      </c>
      <c r="E1325" t="str">
        <f>IF(june[[#This Row],[ShiftCounter]]&gt;0, "Running", "Down")</f>
        <v>Running</v>
      </c>
    </row>
    <row r="1326" spans="1:5" x14ac:dyDescent="0.25">
      <c r="A1326" s="8">
        <v>44724</v>
      </c>
      <c r="B1326" t="s">
        <v>38</v>
      </c>
      <c r="C1326">
        <v>2383</v>
      </c>
      <c r="D1326" t="s">
        <v>7</v>
      </c>
      <c r="E1326" t="str">
        <f>IF(june[[#This Row],[ShiftCounter]]&gt;0, "Running", "Down")</f>
        <v>Running</v>
      </c>
    </row>
    <row r="1327" spans="1:5" x14ac:dyDescent="0.25">
      <c r="A1327" s="8">
        <v>44724</v>
      </c>
      <c r="B1327" t="s">
        <v>38</v>
      </c>
      <c r="C1327">
        <v>2172</v>
      </c>
      <c r="D1327" t="s">
        <v>8</v>
      </c>
      <c r="E1327" t="str">
        <f>IF(june[[#This Row],[ShiftCounter]]&gt;0, "Running", "Down")</f>
        <v>Running</v>
      </c>
    </row>
    <row r="1328" spans="1:5" x14ac:dyDescent="0.25">
      <c r="A1328" s="8">
        <v>44724</v>
      </c>
      <c r="B1328" t="s">
        <v>20</v>
      </c>
      <c r="C1328">
        <v>2045</v>
      </c>
      <c r="D1328" t="s">
        <v>6</v>
      </c>
      <c r="E1328" t="str">
        <f>IF(june[[#This Row],[ShiftCounter]]&gt;0, "Running", "Down")</f>
        <v>Running</v>
      </c>
    </row>
    <row r="1329" spans="1:5" x14ac:dyDescent="0.25">
      <c r="A1329" s="8">
        <v>44724</v>
      </c>
      <c r="B1329" t="s">
        <v>20</v>
      </c>
      <c r="C1329">
        <v>2053</v>
      </c>
      <c r="D1329" t="s">
        <v>7</v>
      </c>
      <c r="E1329" t="str">
        <f>IF(june[[#This Row],[ShiftCounter]]&gt;0, "Running", "Down")</f>
        <v>Running</v>
      </c>
    </row>
    <row r="1330" spans="1:5" x14ac:dyDescent="0.25">
      <c r="A1330" s="8">
        <v>44724</v>
      </c>
      <c r="B1330" t="s">
        <v>20</v>
      </c>
      <c r="C1330">
        <v>1878</v>
      </c>
      <c r="D1330" t="s">
        <v>8</v>
      </c>
      <c r="E1330" t="str">
        <f>IF(june[[#This Row],[ShiftCounter]]&gt;0, "Running", "Down")</f>
        <v>Running</v>
      </c>
    </row>
    <row r="1331" spans="1:5" x14ac:dyDescent="0.25">
      <c r="A1331" s="8">
        <v>44724</v>
      </c>
      <c r="B1331" t="s">
        <v>21</v>
      </c>
      <c r="C1331">
        <v>2097</v>
      </c>
      <c r="D1331" t="s">
        <v>6</v>
      </c>
      <c r="E1331" t="str">
        <f>IF(june[[#This Row],[ShiftCounter]]&gt;0, "Running", "Down")</f>
        <v>Running</v>
      </c>
    </row>
    <row r="1332" spans="1:5" x14ac:dyDescent="0.25">
      <c r="A1332" s="8">
        <v>44724</v>
      </c>
      <c r="B1332" t="s">
        <v>21</v>
      </c>
      <c r="C1332">
        <v>2100</v>
      </c>
      <c r="D1332" t="s">
        <v>7</v>
      </c>
      <c r="E1332" t="str">
        <f>IF(june[[#This Row],[ShiftCounter]]&gt;0, "Running", "Down")</f>
        <v>Running</v>
      </c>
    </row>
    <row r="1333" spans="1:5" x14ac:dyDescent="0.25">
      <c r="A1333" s="8">
        <v>44724</v>
      </c>
      <c r="B1333" t="s">
        <v>21</v>
      </c>
      <c r="C1333">
        <v>1929</v>
      </c>
      <c r="D1333" t="s">
        <v>8</v>
      </c>
      <c r="E1333" t="str">
        <f>IF(june[[#This Row],[ShiftCounter]]&gt;0, "Running", "Down")</f>
        <v>Running</v>
      </c>
    </row>
    <row r="1334" spans="1:5" x14ac:dyDescent="0.25">
      <c r="A1334" s="8">
        <v>44724</v>
      </c>
      <c r="B1334" t="s">
        <v>22</v>
      </c>
      <c r="C1334">
        <v>2422</v>
      </c>
      <c r="D1334" t="s">
        <v>6</v>
      </c>
      <c r="E1334" t="str">
        <f>IF(june[[#This Row],[ShiftCounter]]&gt;0, "Running", "Down")</f>
        <v>Running</v>
      </c>
    </row>
    <row r="1335" spans="1:5" x14ac:dyDescent="0.25">
      <c r="A1335" s="8">
        <v>44724</v>
      </c>
      <c r="B1335" t="s">
        <v>22</v>
      </c>
      <c r="C1335">
        <v>2353</v>
      </c>
      <c r="D1335" t="s">
        <v>7</v>
      </c>
      <c r="E1335" t="str">
        <f>IF(june[[#This Row],[ShiftCounter]]&gt;0, "Running", "Down")</f>
        <v>Running</v>
      </c>
    </row>
    <row r="1336" spans="1:5" x14ac:dyDescent="0.25">
      <c r="A1336" s="8">
        <v>44724</v>
      </c>
      <c r="B1336" t="s">
        <v>22</v>
      </c>
      <c r="C1336">
        <v>2157</v>
      </c>
      <c r="D1336" t="s">
        <v>8</v>
      </c>
      <c r="E1336" t="str">
        <f>IF(june[[#This Row],[ShiftCounter]]&gt;0, "Running", "Down")</f>
        <v>Running</v>
      </c>
    </row>
    <row r="1337" spans="1:5" x14ac:dyDescent="0.25">
      <c r="A1337" s="8">
        <v>44724</v>
      </c>
      <c r="B1337" t="s">
        <v>23</v>
      </c>
      <c r="C1337">
        <v>2345</v>
      </c>
      <c r="D1337" t="s">
        <v>6</v>
      </c>
      <c r="E1337" t="str">
        <f>IF(june[[#This Row],[ShiftCounter]]&gt;0, "Running", "Down")</f>
        <v>Running</v>
      </c>
    </row>
    <row r="1338" spans="1:5" x14ac:dyDescent="0.25">
      <c r="A1338" s="8">
        <v>44724</v>
      </c>
      <c r="B1338" t="s">
        <v>23</v>
      </c>
      <c r="C1338">
        <v>2374</v>
      </c>
      <c r="D1338" t="s">
        <v>7</v>
      </c>
      <c r="E1338" t="str">
        <f>IF(june[[#This Row],[ShiftCounter]]&gt;0, "Running", "Down")</f>
        <v>Running</v>
      </c>
    </row>
    <row r="1339" spans="1:5" x14ac:dyDescent="0.25">
      <c r="A1339" s="8">
        <v>44724</v>
      </c>
      <c r="B1339" t="s">
        <v>23</v>
      </c>
      <c r="C1339">
        <v>2187</v>
      </c>
      <c r="D1339" t="s">
        <v>8</v>
      </c>
      <c r="E1339" t="str">
        <f>IF(june[[#This Row],[ShiftCounter]]&gt;0, "Running", "Down")</f>
        <v>Running</v>
      </c>
    </row>
    <row r="1340" spans="1:5" x14ac:dyDescent="0.25">
      <c r="A1340" s="8">
        <v>44724</v>
      </c>
      <c r="B1340" t="s">
        <v>24</v>
      </c>
      <c r="C1340">
        <v>2116</v>
      </c>
      <c r="D1340" t="s">
        <v>6</v>
      </c>
      <c r="E1340" t="str">
        <f>IF(june[[#This Row],[ShiftCounter]]&gt;0, "Running", "Down")</f>
        <v>Running</v>
      </c>
    </row>
    <row r="1341" spans="1:5" x14ac:dyDescent="0.25">
      <c r="A1341" s="8">
        <v>44724</v>
      </c>
      <c r="B1341" t="s">
        <v>24</v>
      </c>
      <c r="C1341">
        <v>2048</v>
      </c>
      <c r="D1341" t="s">
        <v>7</v>
      </c>
      <c r="E1341" t="str">
        <f>IF(june[[#This Row],[ShiftCounter]]&gt;0, "Running", "Down")</f>
        <v>Running</v>
      </c>
    </row>
    <row r="1342" spans="1:5" x14ac:dyDescent="0.25">
      <c r="A1342" s="8">
        <v>44724</v>
      </c>
      <c r="B1342" t="s">
        <v>24</v>
      </c>
      <c r="C1342">
        <v>1860</v>
      </c>
      <c r="D1342" t="s">
        <v>8</v>
      </c>
      <c r="E1342" t="str">
        <f>IF(june[[#This Row],[ShiftCounter]]&gt;0, "Running", "Down")</f>
        <v>Running</v>
      </c>
    </row>
    <row r="1343" spans="1:5" x14ac:dyDescent="0.25">
      <c r="A1343" s="8">
        <v>44724</v>
      </c>
      <c r="B1343" t="s">
        <v>81</v>
      </c>
      <c r="C1343">
        <v>2299</v>
      </c>
      <c r="D1343" t="s">
        <v>6</v>
      </c>
      <c r="E1343" t="str">
        <f>IF(june[[#This Row],[ShiftCounter]]&gt;0, "Running", "Down")</f>
        <v>Running</v>
      </c>
    </row>
    <row r="1344" spans="1:5" x14ac:dyDescent="0.25">
      <c r="A1344" s="8">
        <v>44724</v>
      </c>
      <c r="B1344" t="s">
        <v>81</v>
      </c>
      <c r="C1344">
        <v>2144</v>
      </c>
      <c r="D1344" t="s">
        <v>7</v>
      </c>
      <c r="E1344" t="str">
        <f>IF(june[[#This Row],[ShiftCounter]]&gt;0, "Running", "Down")</f>
        <v>Running</v>
      </c>
    </row>
    <row r="1345" spans="1:5" x14ac:dyDescent="0.25">
      <c r="A1345" s="8">
        <v>44724</v>
      </c>
      <c r="B1345" t="s">
        <v>81</v>
      </c>
      <c r="C1345">
        <v>2105</v>
      </c>
      <c r="D1345" t="s">
        <v>8</v>
      </c>
      <c r="E1345" t="str">
        <f>IF(june[[#This Row],[ShiftCounter]]&gt;0, "Running", "Down")</f>
        <v>Running</v>
      </c>
    </row>
    <row r="1346" spans="1:5" x14ac:dyDescent="0.25">
      <c r="A1346" s="8">
        <v>44724</v>
      </c>
      <c r="B1346" t="s">
        <v>25</v>
      </c>
      <c r="C1346">
        <v>2290</v>
      </c>
      <c r="D1346" t="s">
        <v>6</v>
      </c>
      <c r="E1346" t="str">
        <f>IF(june[[#This Row],[ShiftCounter]]&gt;0, "Running", "Down")</f>
        <v>Running</v>
      </c>
    </row>
    <row r="1347" spans="1:5" x14ac:dyDescent="0.25">
      <c r="A1347" s="8">
        <v>44724</v>
      </c>
      <c r="B1347" t="s">
        <v>25</v>
      </c>
      <c r="C1347">
        <v>2072</v>
      </c>
      <c r="D1347" t="s">
        <v>7</v>
      </c>
      <c r="E1347" t="str">
        <f>IF(june[[#This Row],[ShiftCounter]]&gt;0, "Running", "Down")</f>
        <v>Running</v>
      </c>
    </row>
    <row r="1348" spans="1:5" x14ac:dyDescent="0.25">
      <c r="A1348" s="8">
        <v>44724</v>
      </c>
      <c r="B1348" t="s">
        <v>25</v>
      </c>
      <c r="C1348">
        <v>1978</v>
      </c>
      <c r="D1348" t="s">
        <v>8</v>
      </c>
      <c r="E1348" t="str">
        <f>IF(june[[#This Row],[ShiftCounter]]&gt;0, "Running", "Down")</f>
        <v>Running</v>
      </c>
    </row>
    <row r="1349" spans="1:5" x14ac:dyDescent="0.25">
      <c r="A1349" s="8">
        <v>44724</v>
      </c>
      <c r="B1349" t="s">
        <v>26</v>
      </c>
      <c r="C1349">
        <v>2054</v>
      </c>
      <c r="D1349" t="s">
        <v>6</v>
      </c>
      <c r="E1349" t="str">
        <f>IF(june[[#This Row],[ShiftCounter]]&gt;0, "Running", "Down")</f>
        <v>Running</v>
      </c>
    </row>
    <row r="1350" spans="1:5" x14ac:dyDescent="0.25">
      <c r="A1350" s="8">
        <v>44724</v>
      </c>
      <c r="B1350" t="s">
        <v>26</v>
      </c>
      <c r="C1350">
        <v>1969</v>
      </c>
      <c r="D1350" t="s">
        <v>7</v>
      </c>
      <c r="E1350" t="str">
        <f>IF(june[[#This Row],[ShiftCounter]]&gt;0, "Running", "Down")</f>
        <v>Running</v>
      </c>
    </row>
    <row r="1351" spans="1:5" x14ac:dyDescent="0.25">
      <c r="A1351" s="8">
        <v>44724</v>
      </c>
      <c r="B1351" t="s">
        <v>26</v>
      </c>
      <c r="C1351">
        <v>1803</v>
      </c>
      <c r="D1351" t="s">
        <v>8</v>
      </c>
      <c r="E1351" t="str">
        <f>IF(june[[#This Row],[ShiftCounter]]&gt;0, "Running", "Down")</f>
        <v>Running</v>
      </c>
    </row>
    <row r="1352" spans="1:5" x14ac:dyDescent="0.25">
      <c r="A1352" s="8">
        <v>44724</v>
      </c>
      <c r="B1352" t="s">
        <v>27</v>
      </c>
      <c r="C1352">
        <v>2293</v>
      </c>
      <c r="D1352" t="s">
        <v>6</v>
      </c>
      <c r="E1352" t="str">
        <f>IF(june[[#This Row],[ShiftCounter]]&gt;0, "Running", "Down")</f>
        <v>Running</v>
      </c>
    </row>
    <row r="1353" spans="1:5" x14ac:dyDescent="0.25">
      <c r="A1353" s="8">
        <v>44724</v>
      </c>
      <c r="B1353" t="s">
        <v>27</v>
      </c>
      <c r="C1353">
        <v>2192</v>
      </c>
      <c r="D1353" t="s">
        <v>7</v>
      </c>
      <c r="E1353" t="str">
        <f>IF(june[[#This Row],[ShiftCounter]]&gt;0, "Running", "Down")</f>
        <v>Running</v>
      </c>
    </row>
    <row r="1354" spans="1:5" x14ac:dyDescent="0.25">
      <c r="A1354" s="8">
        <v>44724</v>
      </c>
      <c r="B1354" t="s">
        <v>27</v>
      </c>
      <c r="C1354">
        <v>1926</v>
      </c>
      <c r="D1354" t="s">
        <v>8</v>
      </c>
      <c r="E1354" t="str">
        <f>IF(june[[#This Row],[ShiftCounter]]&gt;0, "Running", "Down")</f>
        <v>Running</v>
      </c>
    </row>
    <row r="1355" spans="1:5" x14ac:dyDescent="0.25">
      <c r="A1355" s="8">
        <v>44724</v>
      </c>
      <c r="B1355" t="s">
        <v>28</v>
      </c>
      <c r="C1355">
        <v>2182</v>
      </c>
      <c r="D1355" t="s">
        <v>6</v>
      </c>
      <c r="E1355" t="str">
        <f>IF(june[[#This Row],[ShiftCounter]]&gt;0, "Running", "Down")</f>
        <v>Running</v>
      </c>
    </row>
    <row r="1356" spans="1:5" x14ac:dyDescent="0.25">
      <c r="A1356" s="8">
        <v>44724</v>
      </c>
      <c r="B1356" t="s">
        <v>28</v>
      </c>
      <c r="C1356">
        <v>2193</v>
      </c>
      <c r="D1356" t="s">
        <v>7</v>
      </c>
      <c r="E1356" t="str">
        <f>IF(june[[#This Row],[ShiftCounter]]&gt;0, "Running", "Down")</f>
        <v>Running</v>
      </c>
    </row>
    <row r="1357" spans="1:5" x14ac:dyDescent="0.25">
      <c r="A1357" s="8">
        <v>44724</v>
      </c>
      <c r="B1357" t="s">
        <v>28</v>
      </c>
      <c r="C1357">
        <v>1944</v>
      </c>
      <c r="D1357" t="s">
        <v>8</v>
      </c>
      <c r="E1357" t="str">
        <f>IF(june[[#This Row],[ShiftCounter]]&gt;0, "Running", "Down")</f>
        <v>Running</v>
      </c>
    </row>
    <row r="1358" spans="1:5" x14ac:dyDescent="0.25">
      <c r="A1358" s="8">
        <v>44724</v>
      </c>
      <c r="B1358" t="s">
        <v>29</v>
      </c>
      <c r="C1358">
        <v>2198</v>
      </c>
      <c r="D1358" t="s">
        <v>6</v>
      </c>
      <c r="E1358" t="str">
        <f>IF(june[[#This Row],[ShiftCounter]]&gt;0, "Running", "Down")</f>
        <v>Running</v>
      </c>
    </row>
    <row r="1359" spans="1:5" x14ac:dyDescent="0.25">
      <c r="A1359" s="8">
        <v>44724</v>
      </c>
      <c r="B1359" t="s">
        <v>29</v>
      </c>
      <c r="C1359">
        <v>2182</v>
      </c>
      <c r="D1359" t="s">
        <v>7</v>
      </c>
      <c r="E1359" t="str">
        <f>IF(june[[#This Row],[ShiftCounter]]&gt;0, "Running", "Down")</f>
        <v>Running</v>
      </c>
    </row>
    <row r="1360" spans="1:5" x14ac:dyDescent="0.25">
      <c r="A1360" s="8">
        <v>44724</v>
      </c>
      <c r="B1360" t="s">
        <v>29</v>
      </c>
      <c r="C1360">
        <v>1903</v>
      </c>
      <c r="D1360" t="s">
        <v>8</v>
      </c>
      <c r="E1360" t="str">
        <f>IF(june[[#This Row],[ShiftCounter]]&gt;0, "Running", "Down")</f>
        <v>Running</v>
      </c>
    </row>
    <row r="1361" spans="1:5" x14ac:dyDescent="0.25">
      <c r="A1361" s="8">
        <v>44724</v>
      </c>
      <c r="B1361" t="s">
        <v>30</v>
      </c>
      <c r="C1361">
        <v>2265</v>
      </c>
      <c r="D1361" t="s">
        <v>6</v>
      </c>
      <c r="E1361" t="str">
        <f>IF(june[[#This Row],[ShiftCounter]]&gt;0, "Running", "Down")</f>
        <v>Running</v>
      </c>
    </row>
    <row r="1362" spans="1:5" x14ac:dyDescent="0.25">
      <c r="A1362" s="8">
        <v>44724</v>
      </c>
      <c r="B1362" t="s">
        <v>30</v>
      </c>
      <c r="C1362">
        <v>2254</v>
      </c>
      <c r="D1362" t="s">
        <v>7</v>
      </c>
      <c r="E1362" t="str">
        <f>IF(june[[#This Row],[ShiftCounter]]&gt;0, "Running", "Down")</f>
        <v>Running</v>
      </c>
    </row>
    <row r="1363" spans="1:5" x14ac:dyDescent="0.25">
      <c r="A1363" s="8">
        <v>44724</v>
      </c>
      <c r="B1363" t="s">
        <v>30</v>
      </c>
      <c r="C1363">
        <v>2002</v>
      </c>
      <c r="D1363" t="s">
        <v>8</v>
      </c>
      <c r="E1363" t="str">
        <f>IF(june[[#This Row],[ShiftCounter]]&gt;0, "Running", "Down")</f>
        <v>Running</v>
      </c>
    </row>
    <row r="1364" spans="1:5" x14ac:dyDescent="0.25">
      <c r="A1364" s="8">
        <v>44724</v>
      </c>
      <c r="B1364" t="s">
        <v>31</v>
      </c>
      <c r="C1364">
        <v>2197</v>
      </c>
      <c r="D1364" t="s">
        <v>6</v>
      </c>
      <c r="E1364" t="str">
        <f>IF(june[[#This Row],[ShiftCounter]]&gt;0, "Running", "Down")</f>
        <v>Running</v>
      </c>
    </row>
    <row r="1365" spans="1:5" x14ac:dyDescent="0.25">
      <c r="A1365" s="8">
        <v>44724</v>
      </c>
      <c r="B1365" t="s">
        <v>31</v>
      </c>
      <c r="C1365">
        <v>2262</v>
      </c>
      <c r="D1365" t="s">
        <v>7</v>
      </c>
      <c r="E1365" t="str">
        <f>IF(june[[#This Row],[ShiftCounter]]&gt;0, "Running", "Down")</f>
        <v>Running</v>
      </c>
    </row>
    <row r="1366" spans="1:5" x14ac:dyDescent="0.25">
      <c r="A1366" s="8">
        <v>44724</v>
      </c>
      <c r="B1366" t="s">
        <v>31</v>
      </c>
      <c r="C1366">
        <v>1958</v>
      </c>
      <c r="D1366" t="s">
        <v>8</v>
      </c>
      <c r="E1366" t="str">
        <f>IF(june[[#This Row],[ShiftCounter]]&gt;0, "Running", "Down")</f>
        <v>Running</v>
      </c>
    </row>
    <row r="1367" spans="1:5" x14ac:dyDescent="0.25">
      <c r="A1367" s="8">
        <v>44724</v>
      </c>
      <c r="B1367" t="s">
        <v>71</v>
      </c>
      <c r="C1367">
        <v>2218</v>
      </c>
      <c r="D1367" t="s">
        <v>6</v>
      </c>
      <c r="E1367" t="str">
        <f>IF(june[[#This Row],[ShiftCounter]]&gt;0, "Running", "Down")</f>
        <v>Running</v>
      </c>
    </row>
    <row r="1368" spans="1:5" x14ac:dyDescent="0.25">
      <c r="A1368" s="8">
        <v>44724</v>
      </c>
      <c r="B1368" t="s">
        <v>71</v>
      </c>
      <c r="C1368">
        <v>2186</v>
      </c>
      <c r="D1368" t="s">
        <v>7</v>
      </c>
      <c r="E1368" t="str">
        <f>IF(june[[#This Row],[ShiftCounter]]&gt;0, "Running", "Down")</f>
        <v>Running</v>
      </c>
    </row>
    <row r="1369" spans="1:5" x14ac:dyDescent="0.25">
      <c r="A1369" s="8">
        <v>44724</v>
      </c>
      <c r="B1369" t="s">
        <v>71</v>
      </c>
      <c r="C1369">
        <v>1237</v>
      </c>
      <c r="D1369" t="s">
        <v>8</v>
      </c>
      <c r="E1369" t="str">
        <f>IF(june[[#This Row],[ShiftCounter]]&gt;0, "Running", "Down")</f>
        <v>Running</v>
      </c>
    </row>
    <row r="1370" spans="1:5" x14ac:dyDescent="0.25">
      <c r="A1370" s="8">
        <v>44724</v>
      </c>
      <c r="B1370" t="s">
        <v>33</v>
      </c>
      <c r="C1370">
        <v>2525</v>
      </c>
      <c r="D1370" t="s">
        <v>6</v>
      </c>
      <c r="E1370" t="str">
        <f>IF(june[[#This Row],[ShiftCounter]]&gt;0, "Running", "Down")</f>
        <v>Running</v>
      </c>
    </row>
    <row r="1371" spans="1:5" x14ac:dyDescent="0.25">
      <c r="A1371" s="8">
        <v>44724</v>
      </c>
      <c r="B1371" t="s">
        <v>33</v>
      </c>
      <c r="C1371">
        <v>2385</v>
      </c>
      <c r="D1371" t="s">
        <v>7</v>
      </c>
      <c r="E1371" t="str">
        <f>IF(june[[#This Row],[ShiftCounter]]&gt;0, "Running", "Down")</f>
        <v>Running</v>
      </c>
    </row>
    <row r="1372" spans="1:5" x14ac:dyDescent="0.25">
      <c r="A1372" s="8">
        <v>44724</v>
      </c>
      <c r="B1372" t="s">
        <v>33</v>
      </c>
      <c r="C1372">
        <v>2253</v>
      </c>
      <c r="D1372" t="s">
        <v>8</v>
      </c>
      <c r="E1372" t="str">
        <f>IF(june[[#This Row],[ShiftCounter]]&gt;0, "Running", "Down")</f>
        <v>Running</v>
      </c>
    </row>
    <row r="1373" spans="1:5" x14ac:dyDescent="0.25">
      <c r="A1373" s="8">
        <v>44724</v>
      </c>
      <c r="B1373" t="s">
        <v>34</v>
      </c>
      <c r="C1373">
        <v>1806</v>
      </c>
      <c r="D1373" t="s">
        <v>6</v>
      </c>
      <c r="E1373" t="str">
        <f>IF(june[[#This Row],[ShiftCounter]]&gt;0, "Running", "Down")</f>
        <v>Running</v>
      </c>
    </row>
    <row r="1374" spans="1:5" x14ac:dyDescent="0.25">
      <c r="A1374" s="8">
        <v>44724</v>
      </c>
      <c r="B1374" t="s">
        <v>34</v>
      </c>
      <c r="C1374">
        <v>1926</v>
      </c>
      <c r="D1374" t="s">
        <v>7</v>
      </c>
      <c r="E1374" t="str">
        <f>IF(june[[#This Row],[ShiftCounter]]&gt;0, "Running", "Down")</f>
        <v>Running</v>
      </c>
    </row>
    <row r="1375" spans="1:5" x14ac:dyDescent="0.25">
      <c r="A1375" s="8">
        <v>44724</v>
      </c>
      <c r="B1375" t="s">
        <v>34</v>
      </c>
      <c r="C1375">
        <v>1868</v>
      </c>
      <c r="D1375" t="s">
        <v>8</v>
      </c>
      <c r="E1375" t="str">
        <f>IF(june[[#This Row],[ShiftCounter]]&gt;0, "Running", "Down")</f>
        <v>Running</v>
      </c>
    </row>
    <row r="1376" spans="1:5" x14ac:dyDescent="0.25">
      <c r="A1376" s="8">
        <v>44724</v>
      </c>
      <c r="B1376" t="s">
        <v>35</v>
      </c>
      <c r="C1376">
        <v>1963</v>
      </c>
      <c r="D1376" t="s">
        <v>6</v>
      </c>
      <c r="E1376" t="str">
        <f>IF(june[[#This Row],[ShiftCounter]]&gt;0, "Running", "Down")</f>
        <v>Running</v>
      </c>
    </row>
    <row r="1377" spans="1:5" x14ac:dyDescent="0.25">
      <c r="A1377" s="8">
        <v>44724</v>
      </c>
      <c r="B1377" t="s">
        <v>35</v>
      </c>
      <c r="C1377">
        <v>2104</v>
      </c>
      <c r="D1377" t="s">
        <v>7</v>
      </c>
      <c r="E1377" t="str">
        <f>IF(june[[#This Row],[ShiftCounter]]&gt;0, "Running", "Down")</f>
        <v>Running</v>
      </c>
    </row>
    <row r="1378" spans="1:5" x14ac:dyDescent="0.25">
      <c r="A1378" s="8">
        <v>44724</v>
      </c>
      <c r="B1378" t="s">
        <v>35</v>
      </c>
      <c r="C1378">
        <v>2009</v>
      </c>
      <c r="D1378" t="s">
        <v>8</v>
      </c>
      <c r="E1378" t="str">
        <f>IF(june[[#This Row],[ShiftCounter]]&gt;0, "Running", "Down")</f>
        <v>Running</v>
      </c>
    </row>
    <row r="1379" spans="1:5" x14ac:dyDescent="0.25">
      <c r="A1379" s="8">
        <v>44724</v>
      </c>
      <c r="B1379" t="s">
        <v>36</v>
      </c>
      <c r="C1379">
        <v>0</v>
      </c>
      <c r="D1379" t="s">
        <v>6</v>
      </c>
      <c r="E1379" t="str">
        <f>IF(june[[#This Row],[ShiftCounter]]&gt;0, "Running", "Down")</f>
        <v>Down</v>
      </c>
    </row>
    <row r="1380" spans="1:5" x14ac:dyDescent="0.25">
      <c r="A1380" s="8">
        <v>44724</v>
      </c>
      <c r="B1380" t="s">
        <v>36</v>
      </c>
      <c r="C1380">
        <v>1885</v>
      </c>
      <c r="D1380" t="s">
        <v>7</v>
      </c>
      <c r="E1380" t="str">
        <f>IF(june[[#This Row],[ShiftCounter]]&gt;0, "Running", "Down")</f>
        <v>Running</v>
      </c>
    </row>
    <row r="1381" spans="1:5" x14ac:dyDescent="0.25">
      <c r="A1381" s="8">
        <v>44724</v>
      </c>
      <c r="B1381" t="s">
        <v>36</v>
      </c>
      <c r="C1381">
        <v>2139</v>
      </c>
      <c r="D1381" t="s">
        <v>8</v>
      </c>
      <c r="E1381" t="str">
        <f>IF(june[[#This Row],[ShiftCounter]]&gt;0, "Running", "Down")</f>
        <v>Running</v>
      </c>
    </row>
    <row r="1382" spans="1:5" x14ac:dyDescent="0.25">
      <c r="A1382" s="8">
        <v>44724</v>
      </c>
      <c r="B1382" t="s">
        <v>37</v>
      </c>
      <c r="C1382">
        <v>2464</v>
      </c>
      <c r="D1382" t="s">
        <v>6</v>
      </c>
      <c r="E1382" t="str">
        <f>IF(june[[#This Row],[ShiftCounter]]&gt;0, "Running", "Down")</f>
        <v>Running</v>
      </c>
    </row>
    <row r="1383" spans="1:5" x14ac:dyDescent="0.25">
      <c r="A1383" s="8">
        <v>44724</v>
      </c>
      <c r="B1383" t="s">
        <v>37</v>
      </c>
      <c r="C1383">
        <v>2325</v>
      </c>
      <c r="D1383" t="s">
        <v>7</v>
      </c>
      <c r="E1383" t="str">
        <f>IF(june[[#This Row],[ShiftCounter]]&gt;0, "Running", "Down")</f>
        <v>Running</v>
      </c>
    </row>
    <row r="1384" spans="1:5" x14ac:dyDescent="0.25">
      <c r="A1384" s="8">
        <v>44724</v>
      </c>
      <c r="B1384" t="s">
        <v>37</v>
      </c>
      <c r="C1384">
        <v>2251</v>
      </c>
      <c r="D1384" t="s">
        <v>8</v>
      </c>
      <c r="E1384" t="str">
        <f>IF(june[[#This Row],[ShiftCounter]]&gt;0, "Running", "Down")</f>
        <v>Running</v>
      </c>
    </row>
    <row r="1385" spans="1:5" x14ac:dyDescent="0.25">
      <c r="A1385" s="8">
        <v>44725</v>
      </c>
      <c r="B1385" t="s">
        <v>39</v>
      </c>
      <c r="C1385">
        <v>2144</v>
      </c>
      <c r="D1385" t="s">
        <v>6</v>
      </c>
      <c r="E1385" t="str">
        <f>IF(june[[#This Row],[ShiftCounter]]&gt;0, "Running", "Down")</f>
        <v>Running</v>
      </c>
    </row>
    <row r="1386" spans="1:5" x14ac:dyDescent="0.25">
      <c r="A1386" s="8">
        <v>44725</v>
      </c>
      <c r="B1386" t="s">
        <v>39</v>
      </c>
      <c r="C1386">
        <v>2160</v>
      </c>
      <c r="D1386" t="s">
        <v>7</v>
      </c>
      <c r="E1386" t="str">
        <f>IF(june[[#This Row],[ShiftCounter]]&gt;0, "Running", "Down")</f>
        <v>Running</v>
      </c>
    </row>
    <row r="1387" spans="1:5" x14ac:dyDescent="0.25">
      <c r="A1387" s="8">
        <v>44725</v>
      </c>
      <c r="B1387" t="s">
        <v>39</v>
      </c>
      <c r="C1387">
        <v>2027</v>
      </c>
      <c r="D1387" t="s">
        <v>8</v>
      </c>
      <c r="E1387" t="str">
        <f>IF(june[[#This Row],[ShiftCounter]]&gt;0, "Running", "Down")</f>
        <v>Running</v>
      </c>
    </row>
    <row r="1388" spans="1:5" x14ac:dyDescent="0.25">
      <c r="A1388" s="8">
        <v>44725</v>
      </c>
      <c r="B1388" t="s">
        <v>158</v>
      </c>
      <c r="C1388">
        <v>2336</v>
      </c>
      <c r="D1388" t="s">
        <v>6</v>
      </c>
      <c r="E1388" t="str">
        <f>IF(june[[#This Row],[ShiftCounter]]&gt;0, "Running", "Down")</f>
        <v>Running</v>
      </c>
    </row>
    <row r="1389" spans="1:5" x14ac:dyDescent="0.25">
      <c r="A1389" s="8">
        <v>44725</v>
      </c>
      <c r="B1389" t="s">
        <v>158</v>
      </c>
      <c r="C1389">
        <v>2159</v>
      </c>
      <c r="D1389" t="s">
        <v>7</v>
      </c>
      <c r="E1389" t="str">
        <f>IF(june[[#This Row],[ShiftCounter]]&gt;0, "Running", "Down")</f>
        <v>Running</v>
      </c>
    </row>
    <row r="1390" spans="1:5" x14ac:dyDescent="0.25">
      <c r="A1390" s="8">
        <v>44725</v>
      </c>
      <c r="B1390" t="s">
        <v>158</v>
      </c>
      <c r="C1390">
        <v>2023</v>
      </c>
      <c r="D1390" t="s">
        <v>8</v>
      </c>
      <c r="E1390" t="str">
        <f>IF(june[[#This Row],[ShiftCounter]]&gt;0, "Running", "Down")</f>
        <v>Running</v>
      </c>
    </row>
    <row r="1391" spans="1:5" x14ac:dyDescent="0.25">
      <c r="A1391" s="8">
        <v>44725</v>
      </c>
      <c r="B1391" t="s">
        <v>40</v>
      </c>
      <c r="C1391">
        <v>2403</v>
      </c>
      <c r="D1391" t="s">
        <v>6</v>
      </c>
      <c r="E1391" t="str">
        <f>IF(june[[#This Row],[ShiftCounter]]&gt;0, "Running", "Down")</f>
        <v>Running</v>
      </c>
    </row>
    <row r="1392" spans="1:5" x14ac:dyDescent="0.25">
      <c r="A1392" s="8">
        <v>44725</v>
      </c>
      <c r="B1392" t="s">
        <v>40</v>
      </c>
      <c r="C1392">
        <v>2315</v>
      </c>
      <c r="D1392" t="s">
        <v>7</v>
      </c>
      <c r="E1392" t="str">
        <f>IF(june[[#This Row],[ShiftCounter]]&gt;0, "Running", "Down")</f>
        <v>Running</v>
      </c>
    </row>
    <row r="1393" spans="1:5" x14ac:dyDescent="0.25">
      <c r="A1393" s="8">
        <v>44725</v>
      </c>
      <c r="B1393" t="s">
        <v>40</v>
      </c>
      <c r="C1393">
        <v>2080</v>
      </c>
      <c r="D1393" t="s">
        <v>8</v>
      </c>
      <c r="E1393" t="str">
        <f>IF(june[[#This Row],[ShiftCounter]]&gt;0, "Running", "Down")</f>
        <v>Running</v>
      </c>
    </row>
    <row r="1394" spans="1:5" x14ac:dyDescent="0.25">
      <c r="A1394" s="8">
        <v>44725</v>
      </c>
      <c r="B1394" t="s">
        <v>41</v>
      </c>
      <c r="C1394">
        <v>2414</v>
      </c>
      <c r="D1394" t="s">
        <v>6</v>
      </c>
      <c r="E1394" t="str">
        <f>IF(june[[#This Row],[ShiftCounter]]&gt;0, "Running", "Down")</f>
        <v>Running</v>
      </c>
    </row>
    <row r="1395" spans="1:5" x14ac:dyDescent="0.25">
      <c r="A1395" s="8">
        <v>44725</v>
      </c>
      <c r="B1395" t="s">
        <v>41</v>
      </c>
      <c r="C1395">
        <v>2252</v>
      </c>
      <c r="D1395" t="s">
        <v>7</v>
      </c>
      <c r="E1395" t="str">
        <f>IF(june[[#This Row],[ShiftCounter]]&gt;0, "Running", "Down")</f>
        <v>Running</v>
      </c>
    </row>
    <row r="1396" spans="1:5" x14ac:dyDescent="0.25">
      <c r="A1396" s="8">
        <v>44725</v>
      </c>
      <c r="B1396" t="s">
        <v>41</v>
      </c>
      <c r="C1396">
        <v>2074</v>
      </c>
      <c r="D1396" t="s">
        <v>8</v>
      </c>
      <c r="E1396" t="str">
        <f>IF(june[[#This Row],[ShiftCounter]]&gt;0, "Running", "Down")</f>
        <v>Running</v>
      </c>
    </row>
    <row r="1397" spans="1:5" x14ac:dyDescent="0.25">
      <c r="A1397" s="8">
        <v>44725</v>
      </c>
      <c r="B1397" t="s">
        <v>5</v>
      </c>
      <c r="C1397">
        <v>2381</v>
      </c>
      <c r="D1397" t="s">
        <v>6</v>
      </c>
      <c r="E1397" t="str">
        <f>IF(june[[#This Row],[ShiftCounter]]&gt;0, "Running", "Down")</f>
        <v>Running</v>
      </c>
    </row>
    <row r="1398" spans="1:5" x14ac:dyDescent="0.25">
      <c r="A1398" s="8">
        <v>44725</v>
      </c>
      <c r="B1398" t="s">
        <v>5</v>
      </c>
      <c r="C1398">
        <v>2238</v>
      </c>
      <c r="D1398" t="s">
        <v>7</v>
      </c>
      <c r="E1398" t="str">
        <f>IF(june[[#This Row],[ShiftCounter]]&gt;0, "Running", "Down")</f>
        <v>Running</v>
      </c>
    </row>
    <row r="1399" spans="1:5" x14ac:dyDescent="0.25">
      <c r="A1399" s="8">
        <v>44725</v>
      </c>
      <c r="B1399" t="s">
        <v>5</v>
      </c>
      <c r="C1399">
        <v>2035</v>
      </c>
      <c r="D1399" t="s">
        <v>8</v>
      </c>
      <c r="E1399" t="str">
        <f>IF(june[[#This Row],[ShiftCounter]]&gt;0, "Running", "Down")</f>
        <v>Running</v>
      </c>
    </row>
    <row r="1400" spans="1:5" x14ac:dyDescent="0.25">
      <c r="A1400" s="8">
        <v>44725</v>
      </c>
      <c r="B1400" t="s">
        <v>9</v>
      </c>
      <c r="C1400">
        <v>2369</v>
      </c>
      <c r="D1400" t="s">
        <v>6</v>
      </c>
      <c r="E1400" t="str">
        <f>IF(june[[#This Row],[ShiftCounter]]&gt;0, "Running", "Down")</f>
        <v>Running</v>
      </c>
    </row>
    <row r="1401" spans="1:5" x14ac:dyDescent="0.25">
      <c r="A1401" s="8">
        <v>44725</v>
      </c>
      <c r="B1401" t="s">
        <v>9</v>
      </c>
      <c r="C1401">
        <v>2247</v>
      </c>
      <c r="D1401" t="s">
        <v>7</v>
      </c>
      <c r="E1401" t="str">
        <f>IF(june[[#This Row],[ShiftCounter]]&gt;0, "Running", "Down")</f>
        <v>Running</v>
      </c>
    </row>
    <row r="1402" spans="1:5" x14ac:dyDescent="0.25">
      <c r="A1402" s="8">
        <v>44725</v>
      </c>
      <c r="B1402" t="s">
        <v>9</v>
      </c>
      <c r="C1402">
        <v>2007</v>
      </c>
      <c r="D1402" t="s">
        <v>8</v>
      </c>
      <c r="E1402" t="str">
        <f>IF(june[[#This Row],[ShiftCounter]]&gt;0, "Running", "Down")</f>
        <v>Running</v>
      </c>
    </row>
    <row r="1403" spans="1:5" x14ac:dyDescent="0.25">
      <c r="A1403" s="8">
        <v>44725</v>
      </c>
      <c r="B1403" t="s">
        <v>10</v>
      </c>
      <c r="C1403">
        <v>2405</v>
      </c>
      <c r="D1403" t="s">
        <v>6</v>
      </c>
      <c r="E1403" t="str">
        <f>IF(june[[#This Row],[ShiftCounter]]&gt;0, "Running", "Down")</f>
        <v>Running</v>
      </c>
    </row>
    <row r="1404" spans="1:5" x14ac:dyDescent="0.25">
      <c r="A1404" s="8">
        <v>44725</v>
      </c>
      <c r="B1404" t="s">
        <v>10</v>
      </c>
      <c r="C1404">
        <v>2353</v>
      </c>
      <c r="D1404" t="s">
        <v>7</v>
      </c>
      <c r="E1404" t="str">
        <f>IF(june[[#This Row],[ShiftCounter]]&gt;0, "Running", "Down")</f>
        <v>Running</v>
      </c>
    </row>
    <row r="1405" spans="1:5" x14ac:dyDescent="0.25">
      <c r="A1405" s="8">
        <v>44725</v>
      </c>
      <c r="B1405" t="s">
        <v>10</v>
      </c>
      <c r="C1405">
        <v>2052</v>
      </c>
      <c r="D1405" t="s">
        <v>8</v>
      </c>
      <c r="E1405" t="str">
        <f>IF(june[[#This Row],[ShiftCounter]]&gt;0, "Running", "Down")</f>
        <v>Running</v>
      </c>
    </row>
    <row r="1406" spans="1:5" x14ac:dyDescent="0.25">
      <c r="A1406" s="8">
        <v>44725</v>
      </c>
      <c r="B1406" t="s">
        <v>11</v>
      </c>
      <c r="C1406">
        <v>2416</v>
      </c>
      <c r="D1406" t="s">
        <v>6</v>
      </c>
      <c r="E1406" t="str">
        <f>IF(june[[#This Row],[ShiftCounter]]&gt;0, "Running", "Down")</f>
        <v>Running</v>
      </c>
    </row>
    <row r="1407" spans="1:5" x14ac:dyDescent="0.25">
      <c r="A1407" s="8">
        <v>44725</v>
      </c>
      <c r="B1407" t="s">
        <v>11</v>
      </c>
      <c r="C1407">
        <v>2251</v>
      </c>
      <c r="D1407" t="s">
        <v>7</v>
      </c>
      <c r="E1407" t="str">
        <f>IF(june[[#This Row],[ShiftCounter]]&gt;0, "Running", "Down")</f>
        <v>Running</v>
      </c>
    </row>
    <row r="1408" spans="1:5" x14ac:dyDescent="0.25">
      <c r="A1408" s="8">
        <v>44725</v>
      </c>
      <c r="B1408" t="s">
        <v>11</v>
      </c>
      <c r="C1408">
        <v>2063</v>
      </c>
      <c r="D1408" t="s">
        <v>8</v>
      </c>
      <c r="E1408" t="str">
        <f>IF(june[[#This Row],[ShiftCounter]]&gt;0, "Running", "Down")</f>
        <v>Running</v>
      </c>
    </row>
    <row r="1409" spans="1:5" x14ac:dyDescent="0.25">
      <c r="A1409" s="8">
        <v>44725</v>
      </c>
      <c r="B1409" t="s">
        <v>12</v>
      </c>
      <c r="C1409">
        <v>2452</v>
      </c>
      <c r="D1409" t="s">
        <v>6</v>
      </c>
      <c r="E1409" t="str">
        <f>IF(june[[#This Row],[ShiftCounter]]&gt;0, "Running", "Down")</f>
        <v>Running</v>
      </c>
    </row>
    <row r="1410" spans="1:5" x14ac:dyDescent="0.25">
      <c r="A1410" s="8">
        <v>44725</v>
      </c>
      <c r="B1410" t="s">
        <v>12</v>
      </c>
      <c r="C1410">
        <v>2245</v>
      </c>
      <c r="D1410" t="s">
        <v>7</v>
      </c>
      <c r="E1410" t="str">
        <f>IF(june[[#This Row],[ShiftCounter]]&gt;0, "Running", "Down")</f>
        <v>Running</v>
      </c>
    </row>
    <row r="1411" spans="1:5" x14ac:dyDescent="0.25">
      <c r="A1411" s="8">
        <v>44725</v>
      </c>
      <c r="B1411" t="s">
        <v>12</v>
      </c>
      <c r="C1411">
        <v>2015</v>
      </c>
      <c r="D1411" t="s">
        <v>8</v>
      </c>
      <c r="E1411" t="str">
        <f>IF(june[[#This Row],[ShiftCounter]]&gt;0, "Running", "Down")</f>
        <v>Running</v>
      </c>
    </row>
    <row r="1412" spans="1:5" x14ac:dyDescent="0.25">
      <c r="A1412" s="8">
        <v>44725</v>
      </c>
      <c r="B1412" t="s">
        <v>13</v>
      </c>
      <c r="C1412">
        <v>2218</v>
      </c>
      <c r="D1412" t="s">
        <v>6</v>
      </c>
      <c r="E1412" t="str">
        <f>IF(june[[#This Row],[ShiftCounter]]&gt;0, "Running", "Down")</f>
        <v>Running</v>
      </c>
    </row>
    <row r="1413" spans="1:5" x14ac:dyDescent="0.25">
      <c r="A1413" s="8">
        <v>44725</v>
      </c>
      <c r="B1413" t="s">
        <v>13</v>
      </c>
      <c r="C1413">
        <v>2072</v>
      </c>
      <c r="D1413" t="s">
        <v>7</v>
      </c>
      <c r="E1413" t="str">
        <f>IF(june[[#This Row],[ShiftCounter]]&gt;0, "Running", "Down")</f>
        <v>Running</v>
      </c>
    </row>
    <row r="1414" spans="1:5" x14ac:dyDescent="0.25">
      <c r="A1414" s="8">
        <v>44725</v>
      </c>
      <c r="B1414" t="s">
        <v>13</v>
      </c>
      <c r="C1414">
        <v>2040</v>
      </c>
      <c r="D1414" t="s">
        <v>8</v>
      </c>
      <c r="E1414" t="str">
        <f>IF(june[[#This Row],[ShiftCounter]]&gt;0, "Running", "Down")</f>
        <v>Running</v>
      </c>
    </row>
    <row r="1415" spans="1:5" x14ac:dyDescent="0.25">
      <c r="A1415" s="8">
        <v>44725</v>
      </c>
      <c r="B1415" t="s">
        <v>114</v>
      </c>
      <c r="C1415">
        <v>2111</v>
      </c>
      <c r="D1415" t="s">
        <v>6</v>
      </c>
      <c r="E1415" t="str">
        <f>IF(june[[#This Row],[ShiftCounter]]&gt;0, "Running", "Down")</f>
        <v>Running</v>
      </c>
    </row>
    <row r="1416" spans="1:5" x14ac:dyDescent="0.25">
      <c r="A1416" s="8">
        <v>44725</v>
      </c>
      <c r="B1416" t="s">
        <v>114</v>
      </c>
      <c r="C1416">
        <v>2017</v>
      </c>
      <c r="D1416" t="s">
        <v>7</v>
      </c>
      <c r="E1416" t="str">
        <f>IF(june[[#This Row],[ShiftCounter]]&gt;0, "Running", "Down")</f>
        <v>Running</v>
      </c>
    </row>
    <row r="1417" spans="1:5" x14ac:dyDescent="0.25">
      <c r="A1417" s="8">
        <v>44725</v>
      </c>
      <c r="B1417" t="s">
        <v>114</v>
      </c>
      <c r="C1417">
        <v>1964</v>
      </c>
      <c r="D1417" t="s">
        <v>8</v>
      </c>
      <c r="E1417" t="str">
        <f>IF(june[[#This Row],[ShiftCounter]]&gt;0, "Running", "Down")</f>
        <v>Running</v>
      </c>
    </row>
    <row r="1418" spans="1:5" x14ac:dyDescent="0.25">
      <c r="A1418" s="8">
        <v>44725</v>
      </c>
      <c r="B1418" t="s">
        <v>14</v>
      </c>
      <c r="C1418">
        <v>2375</v>
      </c>
      <c r="D1418" t="s">
        <v>6</v>
      </c>
      <c r="E1418" t="str">
        <f>IF(june[[#This Row],[ShiftCounter]]&gt;0, "Running", "Down")</f>
        <v>Running</v>
      </c>
    </row>
    <row r="1419" spans="1:5" x14ac:dyDescent="0.25">
      <c r="A1419" s="8">
        <v>44725</v>
      </c>
      <c r="B1419" t="s">
        <v>14</v>
      </c>
      <c r="C1419">
        <v>2233</v>
      </c>
      <c r="D1419" t="s">
        <v>7</v>
      </c>
      <c r="E1419" t="str">
        <f>IF(june[[#This Row],[ShiftCounter]]&gt;0, "Running", "Down")</f>
        <v>Running</v>
      </c>
    </row>
    <row r="1420" spans="1:5" x14ac:dyDescent="0.25">
      <c r="A1420" s="8">
        <v>44725</v>
      </c>
      <c r="B1420" t="s">
        <v>14</v>
      </c>
      <c r="C1420">
        <v>2185</v>
      </c>
      <c r="D1420" t="s">
        <v>8</v>
      </c>
      <c r="E1420" t="str">
        <f>IF(june[[#This Row],[ShiftCounter]]&gt;0, "Running", "Down")</f>
        <v>Running</v>
      </c>
    </row>
    <row r="1421" spans="1:5" x14ac:dyDescent="0.25">
      <c r="A1421" s="8">
        <v>44725</v>
      </c>
      <c r="B1421" t="s">
        <v>15</v>
      </c>
      <c r="C1421">
        <v>2231</v>
      </c>
      <c r="D1421" t="s">
        <v>6</v>
      </c>
      <c r="E1421" t="str">
        <f>IF(june[[#This Row],[ShiftCounter]]&gt;0, "Running", "Down")</f>
        <v>Running</v>
      </c>
    </row>
    <row r="1422" spans="1:5" x14ac:dyDescent="0.25">
      <c r="A1422" s="8">
        <v>44725</v>
      </c>
      <c r="B1422" t="s">
        <v>15</v>
      </c>
      <c r="C1422">
        <v>1935</v>
      </c>
      <c r="D1422" t="s">
        <v>7</v>
      </c>
      <c r="E1422" t="str">
        <f>IF(june[[#This Row],[ShiftCounter]]&gt;0, "Running", "Down")</f>
        <v>Running</v>
      </c>
    </row>
    <row r="1423" spans="1:5" x14ac:dyDescent="0.25">
      <c r="A1423" s="8">
        <v>44725</v>
      </c>
      <c r="B1423" t="s">
        <v>15</v>
      </c>
      <c r="C1423">
        <v>1937</v>
      </c>
      <c r="D1423" t="s">
        <v>8</v>
      </c>
      <c r="E1423" t="str">
        <f>IF(june[[#This Row],[ShiftCounter]]&gt;0, "Running", "Down")</f>
        <v>Running</v>
      </c>
    </row>
    <row r="1424" spans="1:5" x14ac:dyDescent="0.25">
      <c r="A1424" s="8">
        <v>44725</v>
      </c>
      <c r="B1424" t="s">
        <v>16</v>
      </c>
      <c r="C1424">
        <v>2273</v>
      </c>
      <c r="D1424" t="s">
        <v>6</v>
      </c>
      <c r="E1424" t="str">
        <f>IF(june[[#This Row],[ShiftCounter]]&gt;0, "Running", "Down")</f>
        <v>Running</v>
      </c>
    </row>
    <row r="1425" spans="1:5" x14ac:dyDescent="0.25">
      <c r="A1425" s="8">
        <v>44725</v>
      </c>
      <c r="B1425" t="s">
        <v>16</v>
      </c>
      <c r="C1425">
        <v>2163</v>
      </c>
      <c r="D1425" t="s">
        <v>7</v>
      </c>
      <c r="E1425" t="str">
        <f>IF(june[[#This Row],[ShiftCounter]]&gt;0, "Running", "Down")</f>
        <v>Running</v>
      </c>
    </row>
    <row r="1426" spans="1:5" x14ac:dyDescent="0.25">
      <c r="A1426" s="8">
        <v>44725</v>
      </c>
      <c r="B1426" t="s">
        <v>16</v>
      </c>
      <c r="C1426">
        <v>2126</v>
      </c>
      <c r="D1426" t="s">
        <v>8</v>
      </c>
      <c r="E1426" t="str">
        <f>IF(june[[#This Row],[ShiftCounter]]&gt;0, "Running", "Down")</f>
        <v>Running</v>
      </c>
    </row>
    <row r="1427" spans="1:5" x14ac:dyDescent="0.25">
      <c r="A1427" s="8">
        <v>44725</v>
      </c>
      <c r="B1427" t="s">
        <v>17</v>
      </c>
      <c r="C1427">
        <v>2422</v>
      </c>
      <c r="D1427" t="s">
        <v>6</v>
      </c>
      <c r="E1427" t="str">
        <f>IF(june[[#This Row],[ShiftCounter]]&gt;0, "Running", "Down")</f>
        <v>Running</v>
      </c>
    </row>
    <row r="1428" spans="1:5" x14ac:dyDescent="0.25">
      <c r="A1428" s="8">
        <v>44725</v>
      </c>
      <c r="B1428" t="s">
        <v>17</v>
      </c>
      <c r="C1428">
        <v>2423</v>
      </c>
      <c r="D1428" t="s">
        <v>7</v>
      </c>
      <c r="E1428" t="str">
        <f>IF(june[[#This Row],[ShiftCounter]]&gt;0, "Running", "Down")</f>
        <v>Running</v>
      </c>
    </row>
    <row r="1429" spans="1:5" x14ac:dyDescent="0.25">
      <c r="A1429" s="8">
        <v>44725</v>
      </c>
      <c r="B1429" t="s">
        <v>17</v>
      </c>
      <c r="C1429">
        <v>2082</v>
      </c>
      <c r="D1429" t="s">
        <v>8</v>
      </c>
      <c r="E1429" t="str">
        <f>IF(june[[#This Row],[ShiftCounter]]&gt;0, "Running", "Down")</f>
        <v>Running</v>
      </c>
    </row>
    <row r="1430" spans="1:5" x14ac:dyDescent="0.25">
      <c r="A1430" s="8">
        <v>44725</v>
      </c>
      <c r="B1430" t="s">
        <v>19</v>
      </c>
      <c r="C1430">
        <v>1020</v>
      </c>
      <c r="D1430" t="s">
        <v>6</v>
      </c>
      <c r="E1430" t="str">
        <f>IF(june[[#This Row],[ShiftCounter]]&gt;0, "Running", "Down")</f>
        <v>Running</v>
      </c>
    </row>
    <row r="1431" spans="1:5" x14ac:dyDescent="0.25">
      <c r="A1431" s="8">
        <v>44725</v>
      </c>
      <c r="B1431" t="s">
        <v>19</v>
      </c>
      <c r="C1431">
        <v>1900</v>
      </c>
      <c r="D1431" t="s">
        <v>7</v>
      </c>
      <c r="E1431" t="str">
        <f>IF(june[[#This Row],[ShiftCounter]]&gt;0, "Running", "Down")</f>
        <v>Running</v>
      </c>
    </row>
    <row r="1432" spans="1:5" x14ac:dyDescent="0.25">
      <c r="A1432" s="8">
        <v>44725</v>
      </c>
      <c r="B1432" t="s">
        <v>19</v>
      </c>
      <c r="C1432">
        <v>1732</v>
      </c>
      <c r="D1432" t="s">
        <v>8</v>
      </c>
      <c r="E1432" t="str">
        <f>IF(june[[#This Row],[ShiftCounter]]&gt;0, "Running", "Down")</f>
        <v>Running</v>
      </c>
    </row>
    <row r="1433" spans="1:5" x14ac:dyDescent="0.25">
      <c r="A1433" s="8">
        <v>44725</v>
      </c>
      <c r="B1433" t="s">
        <v>18</v>
      </c>
      <c r="C1433">
        <v>2390</v>
      </c>
      <c r="D1433" t="s">
        <v>6</v>
      </c>
      <c r="E1433" t="str">
        <f>IF(june[[#This Row],[ShiftCounter]]&gt;0, "Running", "Down")</f>
        <v>Running</v>
      </c>
    </row>
    <row r="1434" spans="1:5" x14ac:dyDescent="0.25">
      <c r="A1434" s="8">
        <v>44725</v>
      </c>
      <c r="B1434" t="s">
        <v>18</v>
      </c>
      <c r="C1434">
        <v>2303</v>
      </c>
      <c r="D1434" t="s">
        <v>7</v>
      </c>
      <c r="E1434" t="str">
        <f>IF(june[[#This Row],[ShiftCounter]]&gt;0, "Running", "Down")</f>
        <v>Running</v>
      </c>
    </row>
    <row r="1435" spans="1:5" x14ac:dyDescent="0.25">
      <c r="A1435" s="8">
        <v>44725</v>
      </c>
      <c r="B1435" t="s">
        <v>18</v>
      </c>
      <c r="C1435">
        <v>2112</v>
      </c>
      <c r="D1435" t="s">
        <v>8</v>
      </c>
      <c r="E1435" t="str">
        <f>IF(june[[#This Row],[ShiftCounter]]&gt;0, "Running", "Down")</f>
        <v>Running</v>
      </c>
    </row>
    <row r="1436" spans="1:5" x14ac:dyDescent="0.25">
      <c r="A1436" s="8">
        <v>44725</v>
      </c>
      <c r="B1436" t="s">
        <v>42</v>
      </c>
      <c r="C1436">
        <v>2039</v>
      </c>
      <c r="D1436" t="s">
        <v>6</v>
      </c>
      <c r="E1436" t="str">
        <f>IF(june[[#This Row],[ShiftCounter]]&gt;0, "Running", "Down")</f>
        <v>Running</v>
      </c>
    </row>
    <row r="1437" spans="1:5" x14ac:dyDescent="0.25">
      <c r="A1437" s="8">
        <v>44725</v>
      </c>
      <c r="B1437" t="s">
        <v>42</v>
      </c>
      <c r="C1437">
        <v>2123</v>
      </c>
      <c r="D1437" t="s">
        <v>7</v>
      </c>
      <c r="E1437" t="str">
        <f>IF(june[[#This Row],[ShiftCounter]]&gt;0, "Running", "Down")</f>
        <v>Running</v>
      </c>
    </row>
    <row r="1438" spans="1:5" x14ac:dyDescent="0.25">
      <c r="A1438" s="8">
        <v>44725</v>
      </c>
      <c r="B1438" t="s">
        <v>42</v>
      </c>
      <c r="C1438">
        <v>2001</v>
      </c>
      <c r="D1438" t="s">
        <v>8</v>
      </c>
      <c r="E1438" t="str">
        <f>IF(june[[#This Row],[ShiftCounter]]&gt;0, "Running", "Down")</f>
        <v>Running</v>
      </c>
    </row>
    <row r="1439" spans="1:5" x14ac:dyDescent="0.25">
      <c r="A1439" s="8">
        <v>44725</v>
      </c>
      <c r="B1439" t="s">
        <v>38</v>
      </c>
      <c r="C1439">
        <v>2336</v>
      </c>
      <c r="D1439" t="s">
        <v>6</v>
      </c>
      <c r="E1439" t="str">
        <f>IF(june[[#This Row],[ShiftCounter]]&gt;0, "Running", "Down")</f>
        <v>Running</v>
      </c>
    </row>
    <row r="1440" spans="1:5" x14ac:dyDescent="0.25">
      <c r="A1440" s="8">
        <v>44725</v>
      </c>
      <c r="B1440" t="s">
        <v>38</v>
      </c>
      <c r="C1440">
        <v>2324</v>
      </c>
      <c r="D1440" t="s">
        <v>7</v>
      </c>
      <c r="E1440" t="str">
        <f>IF(june[[#This Row],[ShiftCounter]]&gt;0, "Running", "Down")</f>
        <v>Running</v>
      </c>
    </row>
    <row r="1441" spans="1:5" x14ac:dyDescent="0.25">
      <c r="A1441" s="8">
        <v>44725</v>
      </c>
      <c r="B1441" t="s">
        <v>38</v>
      </c>
      <c r="C1441">
        <v>2156</v>
      </c>
      <c r="D1441" t="s">
        <v>8</v>
      </c>
      <c r="E1441" t="str">
        <f>IF(june[[#This Row],[ShiftCounter]]&gt;0, "Running", "Down")</f>
        <v>Running</v>
      </c>
    </row>
    <row r="1442" spans="1:5" x14ac:dyDescent="0.25">
      <c r="A1442" s="8">
        <v>44725</v>
      </c>
      <c r="B1442" t="s">
        <v>20</v>
      </c>
      <c r="C1442">
        <v>2010</v>
      </c>
      <c r="D1442" t="s">
        <v>6</v>
      </c>
      <c r="E1442" t="str">
        <f>IF(june[[#This Row],[ShiftCounter]]&gt;0, "Running", "Down")</f>
        <v>Running</v>
      </c>
    </row>
    <row r="1443" spans="1:5" x14ac:dyDescent="0.25">
      <c r="A1443" s="8">
        <v>44725</v>
      </c>
      <c r="B1443" t="s">
        <v>20</v>
      </c>
      <c r="C1443">
        <v>1997</v>
      </c>
      <c r="D1443" t="s">
        <v>7</v>
      </c>
      <c r="E1443" t="str">
        <f>IF(june[[#This Row],[ShiftCounter]]&gt;0, "Running", "Down")</f>
        <v>Running</v>
      </c>
    </row>
    <row r="1444" spans="1:5" x14ac:dyDescent="0.25">
      <c r="A1444" s="8">
        <v>44725</v>
      </c>
      <c r="B1444" t="s">
        <v>20</v>
      </c>
      <c r="C1444">
        <v>1943</v>
      </c>
      <c r="D1444" t="s">
        <v>8</v>
      </c>
      <c r="E1444" t="str">
        <f>IF(june[[#This Row],[ShiftCounter]]&gt;0, "Running", "Down")</f>
        <v>Running</v>
      </c>
    </row>
    <row r="1445" spans="1:5" x14ac:dyDescent="0.25">
      <c r="A1445" s="8">
        <v>44725</v>
      </c>
      <c r="B1445" t="s">
        <v>21</v>
      </c>
      <c r="C1445">
        <v>2038</v>
      </c>
      <c r="D1445" t="s">
        <v>6</v>
      </c>
      <c r="E1445" t="str">
        <f>IF(june[[#This Row],[ShiftCounter]]&gt;0, "Running", "Down")</f>
        <v>Running</v>
      </c>
    </row>
    <row r="1446" spans="1:5" x14ac:dyDescent="0.25">
      <c r="A1446" s="8">
        <v>44725</v>
      </c>
      <c r="B1446" t="s">
        <v>21</v>
      </c>
      <c r="C1446">
        <v>2049</v>
      </c>
      <c r="D1446" t="s">
        <v>7</v>
      </c>
      <c r="E1446" t="str">
        <f>IF(june[[#This Row],[ShiftCounter]]&gt;0, "Running", "Down")</f>
        <v>Running</v>
      </c>
    </row>
    <row r="1447" spans="1:5" x14ac:dyDescent="0.25">
      <c r="A1447" s="8">
        <v>44725</v>
      </c>
      <c r="B1447" t="s">
        <v>21</v>
      </c>
      <c r="C1447">
        <v>1997</v>
      </c>
      <c r="D1447" t="s">
        <v>8</v>
      </c>
      <c r="E1447" t="str">
        <f>IF(june[[#This Row],[ShiftCounter]]&gt;0, "Running", "Down")</f>
        <v>Running</v>
      </c>
    </row>
    <row r="1448" spans="1:5" x14ac:dyDescent="0.25">
      <c r="A1448" s="8">
        <v>44725</v>
      </c>
      <c r="B1448" t="s">
        <v>22</v>
      </c>
      <c r="C1448">
        <v>2320</v>
      </c>
      <c r="D1448" t="s">
        <v>6</v>
      </c>
      <c r="E1448" t="str">
        <f>IF(june[[#This Row],[ShiftCounter]]&gt;0, "Running", "Down")</f>
        <v>Running</v>
      </c>
    </row>
    <row r="1449" spans="1:5" x14ac:dyDescent="0.25">
      <c r="A1449" s="8">
        <v>44725</v>
      </c>
      <c r="B1449" t="s">
        <v>22</v>
      </c>
      <c r="C1449">
        <v>2383</v>
      </c>
      <c r="D1449" t="s">
        <v>7</v>
      </c>
      <c r="E1449" t="str">
        <f>IF(june[[#This Row],[ShiftCounter]]&gt;0, "Running", "Down")</f>
        <v>Running</v>
      </c>
    </row>
    <row r="1450" spans="1:5" x14ac:dyDescent="0.25">
      <c r="A1450" s="8">
        <v>44725</v>
      </c>
      <c r="B1450" t="s">
        <v>22</v>
      </c>
      <c r="C1450">
        <v>2270</v>
      </c>
      <c r="D1450" t="s">
        <v>8</v>
      </c>
      <c r="E1450" t="str">
        <f>IF(june[[#This Row],[ShiftCounter]]&gt;0, "Running", "Down")</f>
        <v>Running</v>
      </c>
    </row>
    <row r="1451" spans="1:5" x14ac:dyDescent="0.25">
      <c r="A1451" s="8">
        <v>44725</v>
      </c>
      <c r="B1451" t="s">
        <v>23</v>
      </c>
      <c r="C1451">
        <v>2545</v>
      </c>
      <c r="D1451" t="s">
        <v>6</v>
      </c>
      <c r="E1451" t="str">
        <f>IF(june[[#This Row],[ShiftCounter]]&gt;0, "Running", "Down")</f>
        <v>Running</v>
      </c>
    </row>
    <row r="1452" spans="1:5" x14ac:dyDescent="0.25">
      <c r="A1452" s="8">
        <v>44725</v>
      </c>
      <c r="B1452" t="s">
        <v>23</v>
      </c>
      <c r="C1452">
        <v>2406</v>
      </c>
      <c r="D1452" t="s">
        <v>7</v>
      </c>
      <c r="E1452" t="str">
        <f>IF(june[[#This Row],[ShiftCounter]]&gt;0, "Running", "Down")</f>
        <v>Running</v>
      </c>
    </row>
    <row r="1453" spans="1:5" x14ac:dyDescent="0.25">
      <c r="A1453" s="8">
        <v>44725</v>
      </c>
      <c r="B1453" t="s">
        <v>23</v>
      </c>
      <c r="C1453">
        <v>2312</v>
      </c>
      <c r="D1453" t="s">
        <v>8</v>
      </c>
      <c r="E1453" t="str">
        <f>IF(june[[#This Row],[ShiftCounter]]&gt;0, "Running", "Down")</f>
        <v>Running</v>
      </c>
    </row>
    <row r="1454" spans="1:5" x14ac:dyDescent="0.25">
      <c r="A1454" s="8">
        <v>44725</v>
      </c>
      <c r="B1454" t="s">
        <v>24</v>
      </c>
      <c r="C1454">
        <v>1996</v>
      </c>
      <c r="D1454" t="s">
        <v>6</v>
      </c>
      <c r="E1454" t="str">
        <f>IF(june[[#This Row],[ShiftCounter]]&gt;0, "Running", "Down")</f>
        <v>Running</v>
      </c>
    </row>
    <row r="1455" spans="1:5" x14ac:dyDescent="0.25">
      <c r="A1455" s="8">
        <v>44725</v>
      </c>
      <c r="B1455" t="s">
        <v>24</v>
      </c>
      <c r="C1455">
        <v>2088</v>
      </c>
      <c r="D1455" t="s">
        <v>7</v>
      </c>
      <c r="E1455" t="str">
        <f>IF(june[[#This Row],[ShiftCounter]]&gt;0, "Running", "Down")</f>
        <v>Running</v>
      </c>
    </row>
    <row r="1456" spans="1:5" x14ac:dyDescent="0.25">
      <c r="A1456" s="8">
        <v>44725</v>
      </c>
      <c r="B1456" t="s">
        <v>24</v>
      </c>
      <c r="C1456">
        <v>2049</v>
      </c>
      <c r="D1456" t="s">
        <v>8</v>
      </c>
      <c r="E1456" t="str">
        <f>IF(june[[#This Row],[ShiftCounter]]&gt;0, "Running", "Down")</f>
        <v>Running</v>
      </c>
    </row>
    <row r="1457" spans="1:5" x14ac:dyDescent="0.25">
      <c r="A1457" s="8">
        <v>44725</v>
      </c>
      <c r="B1457" t="s">
        <v>81</v>
      </c>
      <c r="C1457">
        <v>2308</v>
      </c>
      <c r="D1457" t="s">
        <v>6</v>
      </c>
      <c r="E1457" t="str">
        <f>IF(june[[#This Row],[ShiftCounter]]&gt;0, "Running", "Down")</f>
        <v>Running</v>
      </c>
    </row>
    <row r="1458" spans="1:5" x14ac:dyDescent="0.25">
      <c r="A1458" s="8">
        <v>44725</v>
      </c>
      <c r="B1458" t="s">
        <v>81</v>
      </c>
      <c r="C1458">
        <v>2295</v>
      </c>
      <c r="D1458" t="s">
        <v>7</v>
      </c>
      <c r="E1458" t="str">
        <f>IF(june[[#This Row],[ShiftCounter]]&gt;0, "Running", "Down")</f>
        <v>Running</v>
      </c>
    </row>
    <row r="1459" spans="1:5" x14ac:dyDescent="0.25">
      <c r="A1459" s="8">
        <v>44725</v>
      </c>
      <c r="B1459" t="s">
        <v>81</v>
      </c>
      <c r="C1459">
        <v>2186</v>
      </c>
      <c r="D1459" t="s">
        <v>8</v>
      </c>
      <c r="E1459" t="str">
        <f>IF(june[[#This Row],[ShiftCounter]]&gt;0, "Running", "Down")</f>
        <v>Running</v>
      </c>
    </row>
    <row r="1460" spans="1:5" x14ac:dyDescent="0.25">
      <c r="A1460" s="8">
        <v>44725</v>
      </c>
      <c r="B1460" t="s">
        <v>25</v>
      </c>
      <c r="C1460">
        <v>2307</v>
      </c>
      <c r="D1460" t="s">
        <v>6</v>
      </c>
      <c r="E1460" t="str">
        <f>IF(june[[#This Row],[ShiftCounter]]&gt;0, "Running", "Down")</f>
        <v>Running</v>
      </c>
    </row>
    <row r="1461" spans="1:5" x14ac:dyDescent="0.25">
      <c r="A1461" s="8">
        <v>44725</v>
      </c>
      <c r="B1461" t="s">
        <v>25</v>
      </c>
      <c r="C1461">
        <v>2328</v>
      </c>
      <c r="D1461" t="s">
        <v>7</v>
      </c>
      <c r="E1461" t="str">
        <f>IF(june[[#This Row],[ShiftCounter]]&gt;0, "Running", "Down")</f>
        <v>Running</v>
      </c>
    </row>
    <row r="1462" spans="1:5" x14ac:dyDescent="0.25">
      <c r="A1462" s="8">
        <v>44725</v>
      </c>
      <c r="B1462" t="s">
        <v>25</v>
      </c>
      <c r="C1462">
        <v>2164</v>
      </c>
      <c r="D1462" t="s">
        <v>8</v>
      </c>
      <c r="E1462" t="str">
        <f>IF(june[[#This Row],[ShiftCounter]]&gt;0, "Running", "Down")</f>
        <v>Running</v>
      </c>
    </row>
    <row r="1463" spans="1:5" x14ac:dyDescent="0.25">
      <c r="A1463" s="8">
        <v>44725</v>
      </c>
      <c r="B1463" t="s">
        <v>26</v>
      </c>
      <c r="C1463">
        <v>1981</v>
      </c>
      <c r="D1463" t="s">
        <v>6</v>
      </c>
      <c r="E1463" t="str">
        <f>IF(june[[#This Row],[ShiftCounter]]&gt;0, "Running", "Down")</f>
        <v>Running</v>
      </c>
    </row>
    <row r="1464" spans="1:5" x14ac:dyDescent="0.25">
      <c r="A1464" s="8">
        <v>44725</v>
      </c>
      <c r="B1464" t="s">
        <v>26</v>
      </c>
      <c r="C1464">
        <v>2150</v>
      </c>
      <c r="D1464" t="s">
        <v>7</v>
      </c>
      <c r="E1464" t="str">
        <f>IF(june[[#This Row],[ShiftCounter]]&gt;0, "Running", "Down")</f>
        <v>Running</v>
      </c>
    </row>
    <row r="1465" spans="1:5" x14ac:dyDescent="0.25">
      <c r="A1465" s="8">
        <v>44725</v>
      </c>
      <c r="B1465" t="s">
        <v>26</v>
      </c>
      <c r="C1465">
        <v>1976</v>
      </c>
      <c r="D1465" t="s">
        <v>8</v>
      </c>
      <c r="E1465" t="str">
        <f>IF(june[[#This Row],[ShiftCounter]]&gt;0, "Running", "Down")</f>
        <v>Running</v>
      </c>
    </row>
    <row r="1466" spans="1:5" x14ac:dyDescent="0.25">
      <c r="A1466" s="8">
        <v>44725</v>
      </c>
      <c r="B1466" t="s">
        <v>27</v>
      </c>
      <c r="C1466">
        <v>2324</v>
      </c>
      <c r="D1466" t="s">
        <v>6</v>
      </c>
      <c r="E1466" t="str">
        <f>IF(june[[#This Row],[ShiftCounter]]&gt;0, "Running", "Down")</f>
        <v>Running</v>
      </c>
    </row>
    <row r="1467" spans="1:5" x14ac:dyDescent="0.25">
      <c r="A1467" s="8">
        <v>44725</v>
      </c>
      <c r="B1467" t="s">
        <v>27</v>
      </c>
      <c r="C1467">
        <v>2380</v>
      </c>
      <c r="D1467" t="s">
        <v>7</v>
      </c>
      <c r="E1467" t="str">
        <f>IF(june[[#This Row],[ShiftCounter]]&gt;0, "Running", "Down")</f>
        <v>Running</v>
      </c>
    </row>
    <row r="1468" spans="1:5" x14ac:dyDescent="0.25">
      <c r="A1468" s="8">
        <v>44725</v>
      </c>
      <c r="B1468" t="s">
        <v>27</v>
      </c>
      <c r="C1468">
        <v>2155</v>
      </c>
      <c r="D1468" t="s">
        <v>8</v>
      </c>
      <c r="E1468" t="str">
        <f>IF(june[[#This Row],[ShiftCounter]]&gt;0, "Running", "Down")</f>
        <v>Running</v>
      </c>
    </row>
    <row r="1469" spans="1:5" x14ac:dyDescent="0.25">
      <c r="A1469" s="8">
        <v>44725</v>
      </c>
      <c r="B1469" t="s">
        <v>28</v>
      </c>
      <c r="C1469">
        <v>2234</v>
      </c>
      <c r="D1469" t="s">
        <v>6</v>
      </c>
      <c r="E1469" t="str">
        <f>IF(june[[#This Row],[ShiftCounter]]&gt;0, "Running", "Down")</f>
        <v>Running</v>
      </c>
    </row>
    <row r="1470" spans="1:5" x14ac:dyDescent="0.25">
      <c r="A1470" s="8">
        <v>44725</v>
      </c>
      <c r="B1470" t="s">
        <v>28</v>
      </c>
      <c r="C1470">
        <v>2094</v>
      </c>
      <c r="D1470" t="s">
        <v>7</v>
      </c>
      <c r="E1470" t="str">
        <f>IF(june[[#This Row],[ShiftCounter]]&gt;0, "Running", "Down")</f>
        <v>Running</v>
      </c>
    </row>
    <row r="1471" spans="1:5" x14ac:dyDescent="0.25">
      <c r="A1471" s="8">
        <v>44725</v>
      </c>
      <c r="B1471" t="s">
        <v>28</v>
      </c>
      <c r="C1471">
        <v>2096</v>
      </c>
      <c r="D1471" t="s">
        <v>8</v>
      </c>
      <c r="E1471" t="str">
        <f>IF(june[[#This Row],[ShiftCounter]]&gt;0, "Running", "Down")</f>
        <v>Running</v>
      </c>
    </row>
    <row r="1472" spans="1:5" x14ac:dyDescent="0.25">
      <c r="A1472" s="8">
        <v>44725</v>
      </c>
      <c r="B1472" t="s">
        <v>29</v>
      </c>
      <c r="C1472">
        <v>2128</v>
      </c>
      <c r="D1472" t="s">
        <v>6</v>
      </c>
      <c r="E1472" t="str">
        <f>IF(june[[#This Row],[ShiftCounter]]&gt;0, "Running", "Down")</f>
        <v>Running</v>
      </c>
    </row>
    <row r="1473" spans="1:5" x14ac:dyDescent="0.25">
      <c r="A1473" s="8">
        <v>44725</v>
      </c>
      <c r="B1473" t="s">
        <v>29</v>
      </c>
      <c r="C1473">
        <v>1987</v>
      </c>
      <c r="D1473" t="s">
        <v>7</v>
      </c>
      <c r="E1473" t="str">
        <f>IF(june[[#This Row],[ShiftCounter]]&gt;0, "Running", "Down")</f>
        <v>Running</v>
      </c>
    </row>
    <row r="1474" spans="1:5" x14ac:dyDescent="0.25">
      <c r="A1474" s="8">
        <v>44725</v>
      </c>
      <c r="B1474" t="s">
        <v>29</v>
      </c>
      <c r="C1474">
        <v>2098</v>
      </c>
      <c r="D1474" t="s">
        <v>8</v>
      </c>
      <c r="E1474" t="str">
        <f>IF(june[[#This Row],[ShiftCounter]]&gt;0, "Running", "Down")</f>
        <v>Running</v>
      </c>
    </row>
    <row r="1475" spans="1:5" x14ac:dyDescent="0.25">
      <c r="A1475" s="8">
        <v>44725</v>
      </c>
      <c r="B1475" t="s">
        <v>30</v>
      </c>
      <c r="C1475">
        <v>2190</v>
      </c>
      <c r="D1475" t="s">
        <v>6</v>
      </c>
      <c r="E1475" t="str">
        <f>IF(june[[#This Row],[ShiftCounter]]&gt;0, "Running", "Down")</f>
        <v>Running</v>
      </c>
    </row>
    <row r="1476" spans="1:5" x14ac:dyDescent="0.25">
      <c r="A1476" s="8">
        <v>44725</v>
      </c>
      <c r="B1476" t="s">
        <v>30</v>
      </c>
      <c r="C1476">
        <v>2166</v>
      </c>
      <c r="D1476" t="s">
        <v>7</v>
      </c>
      <c r="E1476" t="str">
        <f>IF(june[[#This Row],[ShiftCounter]]&gt;0, "Running", "Down")</f>
        <v>Running</v>
      </c>
    </row>
    <row r="1477" spans="1:5" x14ac:dyDescent="0.25">
      <c r="A1477" s="8">
        <v>44725</v>
      </c>
      <c r="B1477" t="s">
        <v>30</v>
      </c>
      <c r="C1477">
        <v>2146</v>
      </c>
      <c r="D1477" t="s">
        <v>8</v>
      </c>
      <c r="E1477" t="str">
        <f>IF(june[[#This Row],[ShiftCounter]]&gt;0, "Running", "Down")</f>
        <v>Running</v>
      </c>
    </row>
    <row r="1478" spans="1:5" x14ac:dyDescent="0.25">
      <c r="A1478" s="8">
        <v>44725</v>
      </c>
      <c r="B1478" t="s">
        <v>31</v>
      </c>
      <c r="C1478">
        <v>2247</v>
      </c>
      <c r="D1478" t="s">
        <v>6</v>
      </c>
      <c r="E1478" t="str">
        <f>IF(june[[#This Row],[ShiftCounter]]&gt;0, "Running", "Down")</f>
        <v>Running</v>
      </c>
    </row>
    <row r="1479" spans="1:5" x14ac:dyDescent="0.25">
      <c r="A1479" s="8">
        <v>44725</v>
      </c>
      <c r="B1479" t="s">
        <v>31</v>
      </c>
      <c r="C1479">
        <v>2136</v>
      </c>
      <c r="D1479" t="s">
        <v>7</v>
      </c>
      <c r="E1479" t="str">
        <f>IF(june[[#This Row],[ShiftCounter]]&gt;0, "Running", "Down")</f>
        <v>Running</v>
      </c>
    </row>
    <row r="1480" spans="1:5" x14ac:dyDescent="0.25">
      <c r="A1480" s="8">
        <v>44725</v>
      </c>
      <c r="B1480" t="s">
        <v>31</v>
      </c>
      <c r="C1480">
        <v>2114</v>
      </c>
      <c r="D1480" t="s">
        <v>8</v>
      </c>
      <c r="E1480" t="str">
        <f>IF(june[[#This Row],[ShiftCounter]]&gt;0, "Running", "Down")</f>
        <v>Running</v>
      </c>
    </row>
    <row r="1481" spans="1:5" x14ac:dyDescent="0.25">
      <c r="A1481" s="8">
        <v>44725</v>
      </c>
      <c r="B1481" t="s">
        <v>32</v>
      </c>
      <c r="C1481">
        <v>423</v>
      </c>
      <c r="D1481" t="s">
        <v>6</v>
      </c>
      <c r="E1481" t="str">
        <f>IF(june[[#This Row],[ShiftCounter]]&gt;0, "Running", "Down")</f>
        <v>Running</v>
      </c>
    </row>
    <row r="1482" spans="1:5" x14ac:dyDescent="0.25">
      <c r="A1482" s="8">
        <v>44725</v>
      </c>
      <c r="B1482" t="s">
        <v>32</v>
      </c>
      <c r="C1482">
        <v>2334</v>
      </c>
      <c r="D1482" t="s">
        <v>7</v>
      </c>
      <c r="E1482" t="str">
        <f>IF(june[[#This Row],[ShiftCounter]]&gt;0, "Running", "Down")</f>
        <v>Running</v>
      </c>
    </row>
    <row r="1483" spans="1:5" x14ac:dyDescent="0.25">
      <c r="A1483" s="8">
        <v>44725</v>
      </c>
      <c r="B1483" t="s">
        <v>32</v>
      </c>
      <c r="C1483">
        <v>2398</v>
      </c>
      <c r="D1483" t="s">
        <v>8</v>
      </c>
      <c r="E1483" t="str">
        <f>IF(june[[#This Row],[ShiftCounter]]&gt;0, "Running", "Down")</f>
        <v>Running</v>
      </c>
    </row>
    <row r="1484" spans="1:5" x14ac:dyDescent="0.25">
      <c r="A1484" s="8">
        <v>44725</v>
      </c>
      <c r="B1484" t="s">
        <v>71</v>
      </c>
      <c r="C1484">
        <v>2170</v>
      </c>
      <c r="D1484" t="s">
        <v>6</v>
      </c>
      <c r="E1484" t="str">
        <f>IF(june[[#This Row],[ShiftCounter]]&gt;0, "Running", "Down")</f>
        <v>Running</v>
      </c>
    </row>
    <row r="1485" spans="1:5" x14ac:dyDescent="0.25">
      <c r="A1485" s="8">
        <v>44725</v>
      </c>
      <c r="B1485" t="s">
        <v>71</v>
      </c>
      <c r="C1485">
        <v>2049</v>
      </c>
      <c r="D1485" t="s">
        <v>7</v>
      </c>
      <c r="E1485" t="str">
        <f>IF(june[[#This Row],[ShiftCounter]]&gt;0, "Running", "Down")</f>
        <v>Running</v>
      </c>
    </row>
    <row r="1486" spans="1:5" x14ac:dyDescent="0.25">
      <c r="A1486" s="8">
        <v>44725</v>
      </c>
      <c r="B1486" t="s">
        <v>71</v>
      </c>
      <c r="C1486">
        <v>1998</v>
      </c>
      <c r="D1486" t="s">
        <v>8</v>
      </c>
      <c r="E1486" t="str">
        <f>IF(june[[#This Row],[ShiftCounter]]&gt;0, "Running", "Down")</f>
        <v>Running</v>
      </c>
    </row>
    <row r="1487" spans="1:5" x14ac:dyDescent="0.25">
      <c r="A1487" s="8">
        <v>44725</v>
      </c>
      <c r="B1487" t="s">
        <v>33</v>
      </c>
      <c r="C1487">
        <v>2530</v>
      </c>
      <c r="D1487" t="s">
        <v>6</v>
      </c>
      <c r="E1487" t="str">
        <f>IF(june[[#This Row],[ShiftCounter]]&gt;0, "Running", "Down")</f>
        <v>Running</v>
      </c>
    </row>
    <row r="1488" spans="1:5" x14ac:dyDescent="0.25">
      <c r="A1488" s="8">
        <v>44725</v>
      </c>
      <c r="B1488" t="s">
        <v>33</v>
      </c>
      <c r="C1488">
        <v>2388</v>
      </c>
      <c r="D1488" t="s">
        <v>7</v>
      </c>
      <c r="E1488" t="str">
        <f>IF(june[[#This Row],[ShiftCounter]]&gt;0, "Running", "Down")</f>
        <v>Running</v>
      </c>
    </row>
    <row r="1489" spans="1:5" x14ac:dyDescent="0.25">
      <c r="A1489" s="8">
        <v>44725</v>
      </c>
      <c r="B1489" t="s">
        <v>33</v>
      </c>
      <c r="C1489">
        <v>2330</v>
      </c>
      <c r="D1489" t="s">
        <v>8</v>
      </c>
      <c r="E1489" t="str">
        <f>IF(june[[#This Row],[ShiftCounter]]&gt;0, "Running", "Down")</f>
        <v>Running</v>
      </c>
    </row>
    <row r="1490" spans="1:5" x14ac:dyDescent="0.25">
      <c r="A1490" s="8">
        <v>44725</v>
      </c>
      <c r="B1490" t="s">
        <v>34</v>
      </c>
      <c r="C1490">
        <v>2073</v>
      </c>
      <c r="D1490" t="s">
        <v>6</v>
      </c>
      <c r="E1490" t="str">
        <f>IF(june[[#This Row],[ShiftCounter]]&gt;0, "Running", "Down")</f>
        <v>Running</v>
      </c>
    </row>
    <row r="1491" spans="1:5" x14ac:dyDescent="0.25">
      <c r="A1491" s="8">
        <v>44725</v>
      </c>
      <c r="B1491" t="s">
        <v>34</v>
      </c>
      <c r="C1491">
        <v>1854</v>
      </c>
      <c r="D1491" t="s">
        <v>7</v>
      </c>
      <c r="E1491" t="str">
        <f>IF(june[[#This Row],[ShiftCounter]]&gt;0, "Running", "Down")</f>
        <v>Running</v>
      </c>
    </row>
    <row r="1492" spans="1:5" x14ac:dyDescent="0.25">
      <c r="A1492" s="8">
        <v>44725</v>
      </c>
      <c r="B1492" t="s">
        <v>34</v>
      </c>
      <c r="C1492">
        <v>1896</v>
      </c>
      <c r="D1492" t="s">
        <v>8</v>
      </c>
      <c r="E1492" t="str">
        <f>IF(june[[#This Row],[ShiftCounter]]&gt;0, "Running", "Down")</f>
        <v>Running</v>
      </c>
    </row>
    <row r="1493" spans="1:5" x14ac:dyDescent="0.25">
      <c r="A1493" s="8">
        <v>44725</v>
      </c>
      <c r="B1493" t="s">
        <v>35</v>
      </c>
      <c r="C1493">
        <v>1962</v>
      </c>
      <c r="D1493" t="s">
        <v>6</v>
      </c>
      <c r="E1493" t="str">
        <f>IF(june[[#This Row],[ShiftCounter]]&gt;0, "Running", "Down")</f>
        <v>Running</v>
      </c>
    </row>
    <row r="1494" spans="1:5" x14ac:dyDescent="0.25">
      <c r="A1494" s="8">
        <v>44725</v>
      </c>
      <c r="B1494" t="s">
        <v>35</v>
      </c>
      <c r="C1494">
        <v>2129</v>
      </c>
      <c r="D1494" t="s">
        <v>7</v>
      </c>
      <c r="E1494" t="str">
        <f>IF(june[[#This Row],[ShiftCounter]]&gt;0, "Running", "Down")</f>
        <v>Running</v>
      </c>
    </row>
    <row r="1495" spans="1:5" x14ac:dyDescent="0.25">
      <c r="A1495" s="8">
        <v>44725</v>
      </c>
      <c r="B1495" t="s">
        <v>35</v>
      </c>
      <c r="C1495">
        <v>2072</v>
      </c>
      <c r="D1495" t="s">
        <v>8</v>
      </c>
      <c r="E1495" t="str">
        <f>IF(june[[#This Row],[ShiftCounter]]&gt;0, "Running", "Down")</f>
        <v>Running</v>
      </c>
    </row>
    <row r="1496" spans="1:5" x14ac:dyDescent="0.25">
      <c r="A1496" s="8">
        <v>44725</v>
      </c>
      <c r="B1496" t="s">
        <v>36</v>
      </c>
      <c r="C1496">
        <v>2481</v>
      </c>
      <c r="D1496" t="s">
        <v>6</v>
      </c>
      <c r="E1496" t="str">
        <f>IF(june[[#This Row],[ShiftCounter]]&gt;0, "Running", "Down")</f>
        <v>Running</v>
      </c>
    </row>
    <row r="1497" spans="1:5" x14ac:dyDescent="0.25">
      <c r="A1497" s="8">
        <v>44725</v>
      </c>
      <c r="B1497" t="s">
        <v>36</v>
      </c>
      <c r="C1497">
        <v>2316</v>
      </c>
      <c r="D1497" t="s">
        <v>7</v>
      </c>
      <c r="E1497" t="str">
        <f>IF(june[[#This Row],[ShiftCounter]]&gt;0, "Running", "Down")</f>
        <v>Running</v>
      </c>
    </row>
    <row r="1498" spans="1:5" x14ac:dyDescent="0.25">
      <c r="A1498" s="8">
        <v>44725</v>
      </c>
      <c r="B1498" t="s">
        <v>36</v>
      </c>
      <c r="C1498">
        <v>2270</v>
      </c>
      <c r="D1498" t="s">
        <v>8</v>
      </c>
      <c r="E1498" t="str">
        <f>IF(june[[#This Row],[ShiftCounter]]&gt;0, "Running", "Down")</f>
        <v>Running</v>
      </c>
    </row>
    <row r="1499" spans="1:5" x14ac:dyDescent="0.25">
      <c r="A1499" s="8">
        <v>44725</v>
      </c>
      <c r="B1499" t="s">
        <v>37</v>
      </c>
      <c r="C1499">
        <v>2510</v>
      </c>
      <c r="D1499" t="s">
        <v>6</v>
      </c>
      <c r="E1499" t="str">
        <f>IF(june[[#This Row],[ShiftCounter]]&gt;0, "Running", "Down")</f>
        <v>Running</v>
      </c>
    </row>
    <row r="1500" spans="1:5" x14ac:dyDescent="0.25">
      <c r="A1500" s="8">
        <v>44725</v>
      </c>
      <c r="B1500" t="s">
        <v>37</v>
      </c>
      <c r="C1500">
        <v>2250</v>
      </c>
      <c r="D1500" t="s">
        <v>7</v>
      </c>
      <c r="E1500" t="str">
        <f>IF(june[[#This Row],[ShiftCounter]]&gt;0, "Running", "Down")</f>
        <v>Running</v>
      </c>
    </row>
    <row r="1501" spans="1:5" x14ac:dyDescent="0.25">
      <c r="A1501" s="8">
        <v>44725</v>
      </c>
      <c r="B1501" t="s">
        <v>37</v>
      </c>
      <c r="C1501">
        <v>2280</v>
      </c>
      <c r="D1501" t="s">
        <v>8</v>
      </c>
      <c r="E1501" t="str">
        <f>IF(june[[#This Row],[ShiftCounter]]&gt;0, "Running", "Down")</f>
        <v>Running</v>
      </c>
    </row>
    <row r="1502" spans="1:5" x14ac:dyDescent="0.25">
      <c r="A1502" s="8">
        <v>44726</v>
      </c>
      <c r="B1502" t="s">
        <v>158</v>
      </c>
      <c r="C1502">
        <v>2316</v>
      </c>
      <c r="D1502" t="s">
        <v>6</v>
      </c>
      <c r="E1502" t="str">
        <f>IF(june[[#This Row],[ShiftCounter]]&gt;0, "Running", "Down")</f>
        <v>Running</v>
      </c>
    </row>
    <row r="1503" spans="1:5" x14ac:dyDescent="0.25">
      <c r="A1503" s="8">
        <v>44726</v>
      </c>
      <c r="B1503" t="s">
        <v>158</v>
      </c>
      <c r="C1503">
        <v>2173</v>
      </c>
      <c r="D1503" t="s">
        <v>7</v>
      </c>
      <c r="E1503" t="str">
        <f>IF(june[[#This Row],[ShiftCounter]]&gt;0, "Running", "Down")</f>
        <v>Running</v>
      </c>
    </row>
    <row r="1504" spans="1:5" x14ac:dyDescent="0.25">
      <c r="A1504" s="8">
        <v>44726</v>
      </c>
      <c r="B1504" t="s">
        <v>158</v>
      </c>
      <c r="C1504">
        <v>2078</v>
      </c>
      <c r="D1504" t="s">
        <v>8</v>
      </c>
      <c r="E1504" t="str">
        <f>IF(june[[#This Row],[ShiftCounter]]&gt;0, "Running", "Down")</f>
        <v>Running</v>
      </c>
    </row>
    <row r="1505" spans="1:5" x14ac:dyDescent="0.25">
      <c r="A1505" s="8">
        <v>44726</v>
      </c>
      <c r="B1505" t="s">
        <v>40</v>
      </c>
      <c r="C1505">
        <v>2275</v>
      </c>
      <c r="D1505" t="s">
        <v>6</v>
      </c>
      <c r="E1505" t="str">
        <f>IF(june[[#This Row],[ShiftCounter]]&gt;0, "Running", "Down")</f>
        <v>Running</v>
      </c>
    </row>
    <row r="1506" spans="1:5" x14ac:dyDescent="0.25">
      <c r="A1506" s="8">
        <v>44726</v>
      </c>
      <c r="B1506" t="s">
        <v>40</v>
      </c>
      <c r="C1506">
        <v>2232</v>
      </c>
      <c r="D1506" t="s">
        <v>7</v>
      </c>
      <c r="E1506" t="str">
        <f>IF(june[[#This Row],[ShiftCounter]]&gt;0, "Running", "Down")</f>
        <v>Running</v>
      </c>
    </row>
    <row r="1507" spans="1:5" x14ac:dyDescent="0.25">
      <c r="A1507" s="8">
        <v>44726</v>
      </c>
      <c r="B1507" t="s">
        <v>40</v>
      </c>
      <c r="C1507">
        <v>2149</v>
      </c>
      <c r="D1507" t="s">
        <v>8</v>
      </c>
      <c r="E1507" t="str">
        <f>IF(june[[#This Row],[ShiftCounter]]&gt;0, "Running", "Down")</f>
        <v>Running</v>
      </c>
    </row>
    <row r="1508" spans="1:5" x14ac:dyDescent="0.25">
      <c r="A1508" s="8">
        <v>44726</v>
      </c>
      <c r="B1508" t="s">
        <v>39</v>
      </c>
      <c r="C1508">
        <v>2336</v>
      </c>
      <c r="D1508" t="s">
        <v>6</v>
      </c>
      <c r="E1508" t="str">
        <f>IF(june[[#This Row],[ShiftCounter]]&gt;0, "Running", "Down")</f>
        <v>Running</v>
      </c>
    </row>
    <row r="1509" spans="1:5" x14ac:dyDescent="0.25">
      <c r="A1509" s="8">
        <v>44726</v>
      </c>
      <c r="B1509" t="s">
        <v>39</v>
      </c>
      <c r="C1509">
        <v>2172</v>
      </c>
      <c r="D1509" t="s">
        <v>7</v>
      </c>
      <c r="E1509" t="str">
        <f>IF(june[[#This Row],[ShiftCounter]]&gt;0, "Running", "Down")</f>
        <v>Running</v>
      </c>
    </row>
    <row r="1510" spans="1:5" x14ac:dyDescent="0.25">
      <c r="A1510" s="8">
        <v>44726</v>
      </c>
      <c r="B1510" t="s">
        <v>39</v>
      </c>
      <c r="C1510">
        <v>2051</v>
      </c>
      <c r="D1510" t="s">
        <v>8</v>
      </c>
      <c r="E1510" t="str">
        <f>IF(june[[#This Row],[ShiftCounter]]&gt;0, "Running", "Down")</f>
        <v>Running</v>
      </c>
    </row>
    <row r="1511" spans="1:5" x14ac:dyDescent="0.25">
      <c r="A1511" s="8">
        <v>44726</v>
      </c>
      <c r="B1511" t="s">
        <v>41</v>
      </c>
      <c r="C1511">
        <v>2432</v>
      </c>
      <c r="D1511" t="s">
        <v>6</v>
      </c>
      <c r="E1511" t="str">
        <f>IF(june[[#This Row],[ShiftCounter]]&gt;0, "Running", "Down")</f>
        <v>Running</v>
      </c>
    </row>
    <row r="1512" spans="1:5" x14ac:dyDescent="0.25">
      <c r="A1512" s="8">
        <v>44726</v>
      </c>
      <c r="B1512" t="s">
        <v>41</v>
      </c>
      <c r="C1512">
        <v>2232</v>
      </c>
      <c r="D1512" t="s">
        <v>7</v>
      </c>
      <c r="E1512" t="str">
        <f>IF(june[[#This Row],[ShiftCounter]]&gt;0, "Running", "Down")</f>
        <v>Running</v>
      </c>
    </row>
    <row r="1513" spans="1:5" x14ac:dyDescent="0.25">
      <c r="A1513" s="8">
        <v>44726</v>
      </c>
      <c r="B1513" t="s">
        <v>41</v>
      </c>
      <c r="C1513">
        <v>2135</v>
      </c>
      <c r="D1513" t="s">
        <v>8</v>
      </c>
      <c r="E1513" t="str">
        <f>IF(june[[#This Row],[ShiftCounter]]&gt;0, "Running", "Down")</f>
        <v>Running</v>
      </c>
    </row>
    <row r="1514" spans="1:5" x14ac:dyDescent="0.25">
      <c r="A1514" s="8">
        <v>44726</v>
      </c>
      <c r="B1514" t="s">
        <v>9</v>
      </c>
      <c r="C1514">
        <v>1024</v>
      </c>
      <c r="D1514" t="s">
        <v>6</v>
      </c>
      <c r="E1514" t="str">
        <f>IF(june[[#This Row],[ShiftCounter]]&gt;0, "Running", "Down")</f>
        <v>Running</v>
      </c>
    </row>
    <row r="1515" spans="1:5" x14ac:dyDescent="0.25">
      <c r="A1515" s="8">
        <v>44726</v>
      </c>
      <c r="B1515" t="s">
        <v>9</v>
      </c>
      <c r="C1515">
        <v>2269</v>
      </c>
      <c r="D1515" t="s">
        <v>7</v>
      </c>
      <c r="E1515" t="str">
        <f>IF(june[[#This Row],[ShiftCounter]]&gt;0, "Running", "Down")</f>
        <v>Running</v>
      </c>
    </row>
    <row r="1516" spans="1:5" x14ac:dyDescent="0.25">
      <c r="A1516" s="8">
        <v>44726</v>
      </c>
      <c r="B1516" t="s">
        <v>9</v>
      </c>
      <c r="C1516">
        <v>2027</v>
      </c>
      <c r="D1516" t="s">
        <v>8</v>
      </c>
      <c r="E1516" t="str">
        <f>IF(june[[#This Row],[ShiftCounter]]&gt;0, "Running", "Down")</f>
        <v>Running</v>
      </c>
    </row>
    <row r="1517" spans="1:5" x14ac:dyDescent="0.25">
      <c r="A1517" s="8">
        <v>44726</v>
      </c>
      <c r="B1517" t="s">
        <v>11</v>
      </c>
      <c r="C1517">
        <v>2366</v>
      </c>
      <c r="D1517" t="s">
        <v>6</v>
      </c>
      <c r="E1517" t="str">
        <f>IF(june[[#This Row],[ShiftCounter]]&gt;0, "Running", "Down")</f>
        <v>Running</v>
      </c>
    </row>
    <row r="1518" spans="1:5" x14ac:dyDescent="0.25">
      <c r="A1518" s="8">
        <v>44726</v>
      </c>
      <c r="B1518" t="s">
        <v>11</v>
      </c>
      <c r="C1518">
        <v>2250</v>
      </c>
      <c r="D1518" t="s">
        <v>7</v>
      </c>
      <c r="E1518" t="str">
        <f>IF(june[[#This Row],[ShiftCounter]]&gt;0, "Running", "Down")</f>
        <v>Running</v>
      </c>
    </row>
    <row r="1519" spans="1:5" x14ac:dyDescent="0.25">
      <c r="A1519" s="8">
        <v>44726</v>
      </c>
      <c r="B1519" t="s">
        <v>11</v>
      </c>
      <c r="C1519">
        <v>2142</v>
      </c>
      <c r="D1519" t="s">
        <v>8</v>
      </c>
      <c r="E1519" t="str">
        <f>IF(june[[#This Row],[ShiftCounter]]&gt;0, "Running", "Down")</f>
        <v>Running</v>
      </c>
    </row>
    <row r="1520" spans="1:5" x14ac:dyDescent="0.25">
      <c r="A1520" s="8">
        <v>44726</v>
      </c>
      <c r="B1520" t="s">
        <v>10</v>
      </c>
      <c r="C1520">
        <v>2410</v>
      </c>
      <c r="D1520" t="s">
        <v>6</v>
      </c>
      <c r="E1520" t="str">
        <f>IF(june[[#This Row],[ShiftCounter]]&gt;0, "Running", "Down")</f>
        <v>Running</v>
      </c>
    </row>
    <row r="1521" spans="1:5" x14ac:dyDescent="0.25">
      <c r="A1521" s="8">
        <v>44726</v>
      </c>
      <c r="B1521" t="s">
        <v>10</v>
      </c>
      <c r="C1521">
        <v>2218</v>
      </c>
      <c r="D1521" t="s">
        <v>7</v>
      </c>
      <c r="E1521" t="str">
        <f>IF(june[[#This Row],[ShiftCounter]]&gt;0, "Running", "Down")</f>
        <v>Running</v>
      </c>
    </row>
    <row r="1522" spans="1:5" x14ac:dyDescent="0.25">
      <c r="A1522" s="8">
        <v>44726</v>
      </c>
      <c r="B1522" t="s">
        <v>10</v>
      </c>
      <c r="C1522">
        <v>2111</v>
      </c>
      <c r="D1522" t="s">
        <v>8</v>
      </c>
      <c r="E1522" t="str">
        <f>IF(june[[#This Row],[ShiftCounter]]&gt;0, "Running", "Down")</f>
        <v>Running</v>
      </c>
    </row>
    <row r="1523" spans="1:5" x14ac:dyDescent="0.25">
      <c r="A1523" s="8">
        <v>44726</v>
      </c>
      <c r="B1523" t="s">
        <v>12</v>
      </c>
      <c r="C1523">
        <v>2407</v>
      </c>
      <c r="D1523" t="s">
        <v>6</v>
      </c>
      <c r="E1523" t="str">
        <f>IF(june[[#This Row],[ShiftCounter]]&gt;0, "Running", "Down")</f>
        <v>Running</v>
      </c>
    </row>
    <row r="1524" spans="1:5" x14ac:dyDescent="0.25">
      <c r="A1524" s="8">
        <v>44726</v>
      </c>
      <c r="B1524" t="s">
        <v>12</v>
      </c>
      <c r="C1524">
        <v>2082</v>
      </c>
      <c r="D1524" t="s">
        <v>7</v>
      </c>
      <c r="E1524" t="str">
        <f>IF(june[[#This Row],[ShiftCounter]]&gt;0, "Running", "Down")</f>
        <v>Running</v>
      </c>
    </row>
    <row r="1525" spans="1:5" x14ac:dyDescent="0.25">
      <c r="A1525" s="8">
        <v>44726</v>
      </c>
      <c r="B1525" t="s">
        <v>12</v>
      </c>
      <c r="C1525">
        <v>2016</v>
      </c>
      <c r="D1525" t="s">
        <v>8</v>
      </c>
      <c r="E1525" t="str">
        <f>IF(june[[#This Row],[ShiftCounter]]&gt;0, "Running", "Down")</f>
        <v>Running</v>
      </c>
    </row>
    <row r="1526" spans="1:5" x14ac:dyDescent="0.25">
      <c r="A1526" s="8">
        <v>44726</v>
      </c>
      <c r="B1526" t="s">
        <v>13</v>
      </c>
      <c r="C1526">
        <v>2241</v>
      </c>
      <c r="D1526" t="s">
        <v>6</v>
      </c>
      <c r="E1526" t="str">
        <f>IF(june[[#This Row],[ShiftCounter]]&gt;0, "Running", "Down")</f>
        <v>Running</v>
      </c>
    </row>
    <row r="1527" spans="1:5" x14ac:dyDescent="0.25">
      <c r="A1527" s="8">
        <v>44726</v>
      </c>
      <c r="B1527" t="s">
        <v>13</v>
      </c>
      <c r="C1527">
        <v>2055</v>
      </c>
      <c r="D1527" t="s">
        <v>7</v>
      </c>
      <c r="E1527" t="str">
        <f>IF(june[[#This Row],[ShiftCounter]]&gt;0, "Running", "Down")</f>
        <v>Running</v>
      </c>
    </row>
    <row r="1528" spans="1:5" x14ac:dyDescent="0.25">
      <c r="A1528" s="8">
        <v>44726</v>
      </c>
      <c r="B1528" t="s">
        <v>13</v>
      </c>
      <c r="C1528">
        <v>2052</v>
      </c>
      <c r="D1528" t="s">
        <v>8</v>
      </c>
      <c r="E1528" t="str">
        <f>IF(june[[#This Row],[ShiftCounter]]&gt;0, "Running", "Down")</f>
        <v>Running</v>
      </c>
    </row>
    <row r="1529" spans="1:5" x14ac:dyDescent="0.25">
      <c r="A1529" s="8">
        <v>44726</v>
      </c>
      <c r="B1529" t="s">
        <v>114</v>
      </c>
      <c r="C1529">
        <v>2083</v>
      </c>
      <c r="D1529" t="s">
        <v>6</v>
      </c>
      <c r="E1529" t="str">
        <f>IF(june[[#This Row],[ShiftCounter]]&gt;0, "Running", "Down")</f>
        <v>Running</v>
      </c>
    </row>
    <row r="1530" spans="1:5" x14ac:dyDescent="0.25">
      <c r="A1530" s="8">
        <v>44726</v>
      </c>
      <c r="B1530" t="s">
        <v>114</v>
      </c>
      <c r="C1530">
        <v>2075</v>
      </c>
      <c r="D1530" t="s">
        <v>7</v>
      </c>
      <c r="E1530" t="str">
        <f>IF(june[[#This Row],[ShiftCounter]]&gt;0, "Running", "Down")</f>
        <v>Running</v>
      </c>
    </row>
    <row r="1531" spans="1:5" x14ac:dyDescent="0.25">
      <c r="A1531" s="8">
        <v>44726</v>
      </c>
      <c r="B1531" t="s">
        <v>114</v>
      </c>
      <c r="C1531">
        <v>1975</v>
      </c>
      <c r="D1531" t="s">
        <v>8</v>
      </c>
      <c r="E1531" t="str">
        <f>IF(june[[#This Row],[ShiftCounter]]&gt;0, "Running", "Down")</f>
        <v>Running</v>
      </c>
    </row>
    <row r="1532" spans="1:5" x14ac:dyDescent="0.25">
      <c r="A1532" s="8">
        <v>44726</v>
      </c>
      <c r="B1532" t="s">
        <v>14</v>
      </c>
      <c r="C1532">
        <v>2250</v>
      </c>
      <c r="D1532" t="s">
        <v>6</v>
      </c>
      <c r="E1532" t="str">
        <f>IF(june[[#This Row],[ShiftCounter]]&gt;0, "Running", "Down")</f>
        <v>Running</v>
      </c>
    </row>
    <row r="1533" spans="1:5" x14ac:dyDescent="0.25">
      <c r="A1533" s="8">
        <v>44726</v>
      </c>
      <c r="B1533" t="s">
        <v>14</v>
      </c>
      <c r="C1533">
        <v>2186</v>
      </c>
      <c r="D1533" t="s">
        <v>7</v>
      </c>
      <c r="E1533" t="str">
        <f>IF(june[[#This Row],[ShiftCounter]]&gt;0, "Running", "Down")</f>
        <v>Running</v>
      </c>
    </row>
    <row r="1534" spans="1:5" x14ac:dyDescent="0.25">
      <c r="A1534" s="8">
        <v>44726</v>
      </c>
      <c r="B1534" t="s">
        <v>14</v>
      </c>
      <c r="C1534">
        <v>2195</v>
      </c>
      <c r="D1534" t="s">
        <v>8</v>
      </c>
      <c r="E1534" t="str">
        <f>IF(june[[#This Row],[ShiftCounter]]&gt;0, "Running", "Down")</f>
        <v>Running</v>
      </c>
    </row>
    <row r="1535" spans="1:5" x14ac:dyDescent="0.25">
      <c r="A1535" s="8">
        <v>44726</v>
      </c>
      <c r="B1535" t="s">
        <v>15</v>
      </c>
      <c r="C1535">
        <v>2295</v>
      </c>
      <c r="D1535" t="s">
        <v>6</v>
      </c>
      <c r="E1535" t="str">
        <f>IF(june[[#This Row],[ShiftCounter]]&gt;0, "Running", "Down")</f>
        <v>Running</v>
      </c>
    </row>
    <row r="1536" spans="1:5" x14ac:dyDescent="0.25">
      <c r="A1536" s="8">
        <v>44726</v>
      </c>
      <c r="B1536" t="s">
        <v>15</v>
      </c>
      <c r="C1536">
        <v>2253</v>
      </c>
      <c r="D1536" t="s">
        <v>7</v>
      </c>
      <c r="E1536" t="str">
        <f>IF(june[[#This Row],[ShiftCounter]]&gt;0, "Running", "Down")</f>
        <v>Running</v>
      </c>
    </row>
    <row r="1537" spans="1:5" x14ac:dyDescent="0.25">
      <c r="A1537" s="8">
        <v>44726</v>
      </c>
      <c r="B1537" t="s">
        <v>15</v>
      </c>
      <c r="C1537">
        <v>1944</v>
      </c>
      <c r="D1537" t="s">
        <v>8</v>
      </c>
      <c r="E1537" t="str">
        <f>IF(june[[#This Row],[ShiftCounter]]&gt;0, "Running", "Down")</f>
        <v>Running</v>
      </c>
    </row>
    <row r="1538" spans="1:5" x14ac:dyDescent="0.25">
      <c r="A1538" s="8">
        <v>44726</v>
      </c>
      <c r="B1538" t="s">
        <v>16</v>
      </c>
      <c r="C1538">
        <v>2217</v>
      </c>
      <c r="D1538" t="s">
        <v>6</v>
      </c>
      <c r="E1538" t="str">
        <f>IF(june[[#This Row],[ShiftCounter]]&gt;0, "Running", "Down")</f>
        <v>Running</v>
      </c>
    </row>
    <row r="1539" spans="1:5" x14ac:dyDescent="0.25">
      <c r="A1539" s="8">
        <v>44726</v>
      </c>
      <c r="B1539" t="s">
        <v>16</v>
      </c>
      <c r="C1539">
        <v>2210</v>
      </c>
      <c r="D1539" t="s">
        <v>7</v>
      </c>
      <c r="E1539" t="str">
        <f>IF(june[[#This Row],[ShiftCounter]]&gt;0, "Running", "Down")</f>
        <v>Running</v>
      </c>
    </row>
    <row r="1540" spans="1:5" x14ac:dyDescent="0.25">
      <c r="A1540" s="8">
        <v>44726</v>
      </c>
      <c r="B1540" t="s">
        <v>16</v>
      </c>
      <c r="C1540">
        <v>2054</v>
      </c>
      <c r="D1540" t="s">
        <v>8</v>
      </c>
      <c r="E1540" t="str">
        <f>IF(june[[#This Row],[ShiftCounter]]&gt;0, "Running", "Down")</f>
        <v>Running</v>
      </c>
    </row>
    <row r="1541" spans="1:5" x14ac:dyDescent="0.25">
      <c r="A1541" s="8">
        <v>44726</v>
      </c>
      <c r="B1541" t="s">
        <v>17</v>
      </c>
      <c r="C1541">
        <v>2495</v>
      </c>
      <c r="D1541" t="s">
        <v>6</v>
      </c>
      <c r="E1541" t="str">
        <f>IF(june[[#This Row],[ShiftCounter]]&gt;0, "Running", "Down")</f>
        <v>Running</v>
      </c>
    </row>
    <row r="1542" spans="1:5" x14ac:dyDescent="0.25">
      <c r="A1542" s="8">
        <v>44726</v>
      </c>
      <c r="B1542" t="s">
        <v>17</v>
      </c>
      <c r="C1542">
        <v>2289</v>
      </c>
      <c r="D1542" t="s">
        <v>7</v>
      </c>
      <c r="E1542" t="str">
        <f>IF(june[[#This Row],[ShiftCounter]]&gt;0, "Running", "Down")</f>
        <v>Running</v>
      </c>
    </row>
    <row r="1543" spans="1:5" x14ac:dyDescent="0.25">
      <c r="A1543" s="8">
        <v>44726</v>
      </c>
      <c r="B1543" t="s">
        <v>17</v>
      </c>
      <c r="C1543">
        <v>2303</v>
      </c>
      <c r="D1543" t="s">
        <v>8</v>
      </c>
      <c r="E1543" t="str">
        <f>IF(june[[#This Row],[ShiftCounter]]&gt;0, "Running", "Down")</f>
        <v>Running</v>
      </c>
    </row>
    <row r="1544" spans="1:5" x14ac:dyDescent="0.25">
      <c r="A1544" s="8">
        <v>44726</v>
      </c>
      <c r="B1544" t="s">
        <v>19</v>
      </c>
      <c r="C1544">
        <v>2021</v>
      </c>
      <c r="D1544" t="s">
        <v>6</v>
      </c>
      <c r="E1544" t="str">
        <f>IF(june[[#This Row],[ShiftCounter]]&gt;0, "Running", "Down")</f>
        <v>Running</v>
      </c>
    </row>
    <row r="1545" spans="1:5" x14ac:dyDescent="0.25">
      <c r="A1545" s="8">
        <v>44726</v>
      </c>
      <c r="B1545" t="s">
        <v>19</v>
      </c>
      <c r="C1545">
        <v>1825</v>
      </c>
      <c r="D1545" t="s">
        <v>7</v>
      </c>
      <c r="E1545" t="str">
        <f>IF(june[[#This Row],[ShiftCounter]]&gt;0, "Running", "Down")</f>
        <v>Running</v>
      </c>
    </row>
    <row r="1546" spans="1:5" x14ac:dyDescent="0.25">
      <c r="A1546" s="8">
        <v>44726</v>
      </c>
      <c r="B1546" t="s">
        <v>19</v>
      </c>
      <c r="C1546">
        <v>1873</v>
      </c>
      <c r="D1546" t="s">
        <v>8</v>
      </c>
      <c r="E1546" t="str">
        <f>IF(june[[#This Row],[ShiftCounter]]&gt;0, "Running", "Down")</f>
        <v>Running</v>
      </c>
    </row>
    <row r="1547" spans="1:5" x14ac:dyDescent="0.25">
      <c r="A1547" s="8">
        <v>44726</v>
      </c>
      <c r="B1547" t="s">
        <v>18</v>
      </c>
      <c r="C1547">
        <v>2414</v>
      </c>
      <c r="D1547" t="s">
        <v>6</v>
      </c>
      <c r="E1547" t="str">
        <f>IF(june[[#This Row],[ShiftCounter]]&gt;0, "Running", "Down")</f>
        <v>Running</v>
      </c>
    </row>
    <row r="1548" spans="1:5" x14ac:dyDescent="0.25">
      <c r="A1548" s="8">
        <v>44726</v>
      </c>
      <c r="B1548" t="s">
        <v>18</v>
      </c>
      <c r="C1548">
        <v>2384</v>
      </c>
      <c r="D1548" t="s">
        <v>7</v>
      </c>
      <c r="E1548" t="str">
        <f>IF(june[[#This Row],[ShiftCounter]]&gt;0, "Running", "Down")</f>
        <v>Running</v>
      </c>
    </row>
    <row r="1549" spans="1:5" x14ac:dyDescent="0.25">
      <c r="A1549" s="8">
        <v>44726</v>
      </c>
      <c r="B1549" t="s">
        <v>18</v>
      </c>
      <c r="C1549">
        <v>2286</v>
      </c>
      <c r="D1549" t="s">
        <v>8</v>
      </c>
      <c r="E1549" t="str">
        <f>IF(june[[#This Row],[ShiftCounter]]&gt;0, "Running", "Down")</f>
        <v>Running</v>
      </c>
    </row>
    <row r="1550" spans="1:5" x14ac:dyDescent="0.25">
      <c r="A1550" s="8">
        <v>44726</v>
      </c>
      <c r="B1550" t="s">
        <v>42</v>
      </c>
      <c r="C1550">
        <v>2180</v>
      </c>
      <c r="D1550" t="s">
        <v>6</v>
      </c>
      <c r="E1550" t="str">
        <f>IF(june[[#This Row],[ShiftCounter]]&gt;0, "Running", "Down")</f>
        <v>Running</v>
      </c>
    </row>
    <row r="1551" spans="1:5" x14ac:dyDescent="0.25">
      <c r="A1551" s="8">
        <v>44726</v>
      </c>
      <c r="B1551" t="s">
        <v>42</v>
      </c>
      <c r="C1551">
        <v>2219</v>
      </c>
      <c r="D1551" t="s">
        <v>7</v>
      </c>
      <c r="E1551" t="str">
        <f>IF(june[[#This Row],[ShiftCounter]]&gt;0, "Running", "Down")</f>
        <v>Running</v>
      </c>
    </row>
    <row r="1552" spans="1:5" x14ac:dyDescent="0.25">
      <c r="A1552" s="8">
        <v>44726</v>
      </c>
      <c r="B1552" t="s">
        <v>42</v>
      </c>
      <c r="C1552">
        <v>2051</v>
      </c>
      <c r="D1552" t="s">
        <v>8</v>
      </c>
      <c r="E1552" t="str">
        <f>IF(june[[#This Row],[ShiftCounter]]&gt;0, "Running", "Down")</f>
        <v>Running</v>
      </c>
    </row>
    <row r="1553" spans="1:5" x14ac:dyDescent="0.25">
      <c r="A1553" s="8">
        <v>44726</v>
      </c>
      <c r="B1553" t="s">
        <v>38</v>
      </c>
      <c r="C1553">
        <v>2370</v>
      </c>
      <c r="D1553" t="s">
        <v>6</v>
      </c>
      <c r="E1553" t="str">
        <f>IF(june[[#This Row],[ShiftCounter]]&gt;0, "Running", "Down")</f>
        <v>Running</v>
      </c>
    </row>
    <row r="1554" spans="1:5" x14ac:dyDescent="0.25">
      <c r="A1554" s="8">
        <v>44726</v>
      </c>
      <c r="B1554" t="s">
        <v>38</v>
      </c>
      <c r="C1554">
        <v>2401</v>
      </c>
      <c r="D1554" t="s">
        <v>7</v>
      </c>
      <c r="E1554" t="str">
        <f>IF(june[[#This Row],[ShiftCounter]]&gt;0, "Running", "Down")</f>
        <v>Running</v>
      </c>
    </row>
    <row r="1555" spans="1:5" x14ac:dyDescent="0.25">
      <c r="A1555" s="8">
        <v>44726</v>
      </c>
      <c r="B1555" t="s">
        <v>38</v>
      </c>
      <c r="C1555">
        <v>2250</v>
      </c>
      <c r="D1555" t="s">
        <v>8</v>
      </c>
      <c r="E1555" t="str">
        <f>IF(june[[#This Row],[ShiftCounter]]&gt;0, "Running", "Down")</f>
        <v>Running</v>
      </c>
    </row>
    <row r="1556" spans="1:5" x14ac:dyDescent="0.25">
      <c r="A1556" s="8">
        <v>44726</v>
      </c>
      <c r="B1556" t="s">
        <v>20</v>
      </c>
      <c r="C1556">
        <v>2019</v>
      </c>
      <c r="D1556" t="s">
        <v>6</v>
      </c>
      <c r="E1556" t="str">
        <f>IF(june[[#This Row],[ShiftCounter]]&gt;0, "Running", "Down")</f>
        <v>Running</v>
      </c>
    </row>
    <row r="1557" spans="1:5" x14ac:dyDescent="0.25">
      <c r="A1557" s="8">
        <v>44726</v>
      </c>
      <c r="B1557" t="s">
        <v>20</v>
      </c>
      <c r="C1557">
        <v>2068</v>
      </c>
      <c r="D1557" t="s">
        <v>7</v>
      </c>
      <c r="E1557" t="str">
        <f>IF(june[[#This Row],[ShiftCounter]]&gt;0, "Running", "Down")</f>
        <v>Running</v>
      </c>
    </row>
    <row r="1558" spans="1:5" x14ac:dyDescent="0.25">
      <c r="A1558" s="8">
        <v>44726</v>
      </c>
      <c r="B1558" t="s">
        <v>20</v>
      </c>
      <c r="C1558">
        <v>1945</v>
      </c>
      <c r="D1558" t="s">
        <v>8</v>
      </c>
      <c r="E1558" t="str">
        <f>IF(june[[#This Row],[ShiftCounter]]&gt;0, "Running", "Down")</f>
        <v>Running</v>
      </c>
    </row>
    <row r="1559" spans="1:5" x14ac:dyDescent="0.25">
      <c r="A1559" s="8">
        <v>44726</v>
      </c>
      <c r="B1559" t="s">
        <v>21</v>
      </c>
      <c r="C1559">
        <v>2028</v>
      </c>
      <c r="D1559" t="s">
        <v>6</v>
      </c>
      <c r="E1559" t="str">
        <f>IF(june[[#This Row],[ShiftCounter]]&gt;0, "Running", "Down")</f>
        <v>Running</v>
      </c>
    </row>
    <row r="1560" spans="1:5" x14ac:dyDescent="0.25">
      <c r="A1560" s="8">
        <v>44726</v>
      </c>
      <c r="B1560" t="s">
        <v>21</v>
      </c>
      <c r="C1560">
        <v>2103</v>
      </c>
      <c r="D1560" t="s">
        <v>7</v>
      </c>
      <c r="E1560" t="str">
        <f>IF(june[[#This Row],[ShiftCounter]]&gt;0, "Running", "Down")</f>
        <v>Running</v>
      </c>
    </row>
    <row r="1561" spans="1:5" x14ac:dyDescent="0.25">
      <c r="A1561" s="8">
        <v>44726</v>
      </c>
      <c r="B1561" t="s">
        <v>21</v>
      </c>
      <c r="C1561">
        <v>1980</v>
      </c>
      <c r="D1561" t="s">
        <v>8</v>
      </c>
      <c r="E1561" t="str">
        <f>IF(june[[#This Row],[ShiftCounter]]&gt;0, "Running", "Down")</f>
        <v>Running</v>
      </c>
    </row>
    <row r="1562" spans="1:5" x14ac:dyDescent="0.25">
      <c r="A1562" s="8">
        <v>44726</v>
      </c>
      <c r="B1562" t="s">
        <v>22</v>
      </c>
      <c r="C1562">
        <v>1689</v>
      </c>
      <c r="D1562" t="s">
        <v>6</v>
      </c>
      <c r="E1562" t="str">
        <f>IF(june[[#This Row],[ShiftCounter]]&gt;0, "Running", "Down")</f>
        <v>Running</v>
      </c>
    </row>
    <row r="1563" spans="1:5" x14ac:dyDescent="0.25">
      <c r="A1563" s="8">
        <v>44726</v>
      </c>
      <c r="B1563" t="s">
        <v>22</v>
      </c>
      <c r="C1563">
        <v>2435</v>
      </c>
      <c r="D1563" t="s">
        <v>7</v>
      </c>
      <c r="E1563" t="str">
        <f>IF(june[[#This Row],[ShiftCounter]]&gt;0, "Running", "Down")</f>
        <v>Running</v>
      </c>
    </row>
    <row r="1564" spans="1:5" x14ac:dyDescent="0.25">
      <c r="A1564" s="8">
        <v>44726</v>
      </c>
      <c r="B1564" t="s">
        <v>22</v>
      </c>
      <c r="C1564">
        <v>2309</v>
      </c>
      <c r="D1564" t="s">
        <v>8</v>
      </c>
      <c r="E1564" t="str">
        <f>IF(june[[#This Row],[ShiftCounter]]&gt;0, "Running", "Down")</f>
        <v>Running</v>
      </c>
    </row>
    <row r="1565" spans="1:5" x14ac:dyDescent="0.25">
      <c r="A1565" s="8">
        <v>44726</v>
      </c>
      <c r="B1565" t="s">
        <v>23</v>
      </c>
      <c r="C1565">
        <v>1861</v>
      </c>
      <c r="D1565" t="s">
        <v>6</v>
      </c>
      <c r="E1565" t="str">
        <f>IF(june[[#This Row],[ShiftCounter]]&gt;0, "Running", "Down")</f>
        <v>Running</v>
      </c>
    </row>
    <row r="1566" spans="1:5" x14ac:dyDescent="0.25">
      <c r="A1566" s="8">
        <v>44726</v>
      </c>
      <c r="B1566" t="s">
        <v>23</v>
      </c>
      <c r="C1566">
        <v>2304</v>
      </c>
      <c r="D1566" t="s">
        <v>7</v>
      </c>
      <c r="E1566" t="str">
        <f>IF(june[[#This Row],[ShiftCounter]]&gt;0, "Running", "Down")</f>
        <v>Running</v>
      </c>
    </row>
    <row r="1567" spans="1:5" x14ac:dyDescent="0.25">
      <c r="A1567" s="8">
        <v>44726</v>
      </c>
      <c r="B1567" t="s">
        <v>23</v>
      </c>
      <c r="C1567">
        <v>2358</v>
      </c>
      <c r="D1567" t="s">
        <v>8</v>
      </c>
      <c r="E1567" t="str">
        <f>IF(june[[#This Row],[ShiftCounter]]&gt;0, "Running", "Down")</f>
        <v>Running</v>
      </c>
    </row>
    <row r="1568" spans="1:5" x14ac:dyDescent="0.25">
      <c r="A1568" s="8">
        <v>44726</v>
      </c>
      <c r="B1568" t="s">
        <v>24</v>
      </c>
      <c r="C1568">
        <v>1989</v>
      </c>
      <c r="D1568" t="s">
        <v>6</v>
      </c>
      <c r="E1568" t="str">
        <f>IF(june[[#This Row],[ShiftCounter]]&gt;0, "Running", "Down")</f>
        <v>Running</v>
      </c>
    </row>
    <row r="1569" spans="1:5" x14ac:dyDescent="0.25">
      <c r="A1569" s="8">
        <v>44726</v>
      </c>
      <c r="B1569" t="s">
        <v>24</v>
      </c>
      <c r="C1569">
        <v>2069</v>
      </c>
      <c r="D1569" t="s">
        <v>7</v>
      </c>
      <c r="E1569" t="str">
        <f>IF(june[[#This Row],[ShiftCounter]]&gt;0, "Running", "Down")</f>
        <v>Running</v>
      </c>
    </row>
    <row r="1570" spans="1:5" x14ac:dyDescent="0.25">
      <c r="A1570" s="8">
        <v>44726</v>
      </c>
      <c r="B1570" t="s">
        <v>24</v>
      </c>
      <c r="C1570">
        <v>1946</v>
      </c>
      <c r="D1570" t="s">
        <v>8</v>
      </c>
      <c r="E1570" t="str">
        <f>IF(june[[#This Row],[ShiftCounter]]&gt;0, "Running", "Down")</f>
        <v>Running</v>
      </c>
    </row>
    <row r="1571" spans="1:5" x14ac:dyDescent="0.25">
      <c r="A1571" s="8">
        <v>44726</v>
      </c>
      <c r="B1571" t="s">
        <v>25</v>
      </c>
      <c r="C1571">
        <v>2232</v>
      </c>
      <c r="D1571" t="s">
        <v>6</v>
      </c>
      <c r="E1571" t="str">
        <f>IF(june[[#This Row],[ShiftCounter]]&gt;0, "Running", "Down")</f>
        <v>Running</v>
      </c>
    </row>
    <row r="1572" spans="1:5" x14ac:dyDescent="0.25">
      <c r="A1572" s="8">
        <v>44726</v>
      </c>
      <c r="B1572" t="s">
        <v>25</v>
      </c>
      <c r="C1572">
        <v>2178</v>
      </c>
      <c r="D1572" t="s">
        <v>7</v>
      </c>
      <c r="E1572" t="str">
        <f>IF(june[[#This Row],[ShiftCounter]]&gt;0, "Running", "Down")</f>
        <v>Running</v>
      </c>
    </row>
    <row r="1573" spans="1:5" x14ac:dyDescent="0.25">
      <c r="A1573" s="8">
        <v>44726</v>
      </c>
      <c r="B1573" t="s">
        <v>25</v>
      </c>
      <c r="C1573">
        <v>2184</v>
      </c>
      <c r="D1573" t="s">
        <v>8</v>
      </c>
      <c r="E1573" t="str">
        <f>IF(june[[#This Row],[ShiftCounter]]&gt;0, "Running", "Down")</f>
        <v>Running</v>
      </c>
    </row>
    <row r="1574" spans="1:5" x14ac:dyDescent="0.25">
      <c r="A1574" s="8">
        <v>44726</v>
      </c>
      <c r="B1574" t="s">
        <v>26</v>
      </c>
      <c r="C1574">
        <v>2045</v>
      </c>
      <c r="D1574" t="s">
        <v>6</v>
      </c>
      <c r="E1574" t="str">
        <f>IF(june[[#This Row],[ShiftCounter]]&gt;0, "Running", "Down")</f>
        <v>Running</v>
      </c>
    </row>
    <row r="1575" spans="1:5" x14ac:dyDescent="0.25">
      <c r="A1575" s="8">
        <v>44726</v>
      </c>
      <c r="B1575" t="s">
        <v>26</v>
      </c>
      <c r="C1575">
        <v>2018</v>
      </c>
      <c r="D1575" t="s">
        <v>7</v>
      </c>
      <c r="E1575" t="str">
        <f>IF(june[[#This Row],[ShiftCounter]]&gt;0, "Running", "Down")</f>
        <v>Running</v>
      </c>
    </row>
    <row r="1576" spans="1:5" x14ac:dyDescent="0.25">
      <c r="A1576" s="8">
        <v>44726</v>
      </c>
      <c r="B1576" t="s">
        <v>26</v>
      </c>
      <c r="C1576">
        <v>2005</v>
      </c>
      <c r="D1576" t="s">
        <v>8</v>
      </c>
      <c r="E1576" t="str">
        <f>IF(june[[#This Row],[ShiftCounter]]&gt;0, "Running", "Down")</f>
        <v>Running</v>
      </c>
    </row>
    <row r="1577" spans="1:5" x14ac:dyDescent="0.25">
      <c r="A1577" s="8">
        <v>44726</v>
      </c>
      <c r="B1577" t="s">
        <v>28</v>
      </c>
      <c r="C1577">
        <v>2194</v>
      </c>
      <c r="D1577" t="s">
        <v>6</v>
      </c>
      <c r="E1577" t="str">
        <f>IF(june[[#This Row],[ShiftCounter]]&gt;0, "Running", "Down")</f>
        <v>Running</v>
      </c>
    </row>
    <row r="1578" spans="1:5" x14ac:dyDescent="0.25">
      <c r="A1578" s="8">
        <v>44726</v>
      </c>
      <c r="B1578" t="s">
        <v>28</v>
      </c>
      <c r="C1578">
        <v>2229</v>
      </c>
      <c r="D1578" t="s">
        <v>7</v>
      </c>
      <c r="E1578" t="str">
        <f>IF(june[[#This Row],[ShiftCounter]]&gt;0, "Running", "Down")</f>
        <v>Running</v>
      </c>
    </row>
    <row r="1579" spans="1:5" x14ac:dyDescent="0.25">
      <c r="A1579" s="8">
        <v>44726</v>
      </c>
      <c r="B1579" t="s">
        <v>28</v>
      </c>
      <c r="C1579">
        <v>2160</v>
      </c>
      <c r="D1579" t="s">
        <v>8</v>
      </c>
      <c r="E1579" t="str">
        <f>IF(june[[#This Row],[ShiftCounter]]&gt;0, "Running", "Down")</f>
        <v>Running</v>
      </c>
    </row>
    <row r="1580" spans="1:5" x14ac:dyDescent="0.25">
      <c r="A1580" s="8">
        <v>44726</v>
      </c>
      <c r="B1580" t="s">
        <v>27</v>
      </c>
      <c r="C1580">
        <v>2186</v>
      </c>
      <c r="D1580" t="s">
        <v>6</v>
      </c>
      <c r="E1580" t="str">
        <f>IF(june[[#This Row],[ShiftCounter]]&gt;0, "Running", "Down")</f>
        <v>Running</v>
      </c>
    </row>
    <row r="1581" spans="1:5" x14ac:dyDescent="0.25">
      <c r="A1581" s="8">
        <v>44726</v>
      </c>
      <c r="B1581" t="s">
        <v>27</v>
      </c>
      <c r="C1581">
        <v>2174</v>
      </c>
      <c r="D1581" t="s">
        <v>7</v>
      </c>
      <c r="E1581" t="str">
        <f>IF(june[[#This Row],[ShiftCounter]]&gt;0, "Running", "Down")</f>
        <v>Running</v>
      </c>
    </row>
    <row r="1582" spans="1:5" x14ac:dyDescent="0.25">
      <c r="A1582" s="8">
        <v>44726</v>
      </c>
      <c r="B1582" t="s">
        <v>27</v>
      </c>
      <c r="C1582">
        <v>2223</v>
      </c>
      <c r="D1582" t="s">
        <v>8</v>
      </c>
      <c r="E1582" t="str">
        <f>IF(june[[#This Row],[ShiftCounter]]&gt;0, "Running", "Down")</f>
        <v>Running</v>
      </c>
    </row>
    <row r="1583" spans="1:5" x14ac:dyDescent="0.25">
      <c r="A1583" s="8">
        <v>44726</v>
      </c>
      <c r="B1583" t="s">
        <v>30</v>
      </c>
      <c r="C1583">
        <v>2240</v>
      </c>
      <c r="D1583" t="s">
        <v>6</v>
      </c>
      <c r="E1583" t="str">
        <f>IF(june[[#This Row],[ShiftCounter]]&gt;0, "Running", "Down")</f>
        <v>Running</v>
      </c>
    </row>
    <row r="1584" spans="1:5" x14ac:dyDescent="0.25">
      <c r="A1584" s="8">
        <v>44726</v>
      </c>
      <c r="B1584" t="s">
        <v>30</v>
      </c>
      <c r="C1584">
        <v>2319</v>
      </c>
      <c r="D1584" t="s">
        <v>7</v>
      </c>
      <c r="E1584" t="str">
        <f>IF(june[[#This Row],[ShiftCounter]]&gt;0, "Running", "Down")</f>
        <v>Running</v>
      </c>
    </row>
    <row r="1585" spans="1:5" x14ac:dyDescent="0.25">
      <c r="A1585" s="8">
        <v>44726</v>
      </c>
      <c r="B1585" t="s">
        <v>30</v>
      </c>
      <c r="C1585">
        <v>2207</v>
      </c>
      <c r="D1585" t="s">
        <v>8</v>
      </c>
      <c r="E1585" t="str">
        <f>IF(june[[#This Row],[ShiftCounter]]&gt;0, "Running", "Down")</f>
        <v>Running</v>
      </c>
    </row>
    <row r="1586" spans="1:5" x14ac:dyDescent="0.25">
      <c r="A1586" s="8">
        <v>44726</v>
      </c>
      <c r="B1586" t="s">
        <v>29</v>
      </c>
      <c r="C1586">
        <v>2033</v>
      </c>
      <c r="D1586" t="s">
        <v>6</v>
      </c>
      <c r="E1586" t="str">
        <f>IF(june[[#This Row],[ShiftCounter]]&gt;0, "Running", "Down")</f>
        <v>Running</v>
      </c>
    </row>
    <row r="1587" spans="1:5" x14ac:dyDescent="0.25">
      <c r="A1587" s="8">
        <v>44726</v>
      </c>
      <c r="B1587" t="s">
        <v>29</v>
      </c>
      <c r="C1587">
        <v>2232</v>
      </c>
      <c r="D1587" t="s">
        <v>7</v>
      </c>
      <c r="E1587" t="str">
        <f>IF(june[[#This Row],[ShiftCounter]]&gt;0, "Running", "Down")</f>
        <v>Running</v>
      </c>
    </row>
    <row r="1588" spans="1:5" x14ac:dyDescent="0.25">
      <c r="A1588" s="8">
        <v>44726</v>
      </c>
      <c r="B1588" t="s">
        <v>29</v>
      </c>
      <c r="C1588">
        <v>2144</v>
      </c>
      <c r="D1588" t="s">
        <v>8</v>
      </c>
      <c r="E1588" t="str">
        <f>IF(june[[#This Row],[ShiftCounter]]&gt;0, "Running", "Down")</f>
        <v>Running</v>
      </c>
    </row>
    <row r="1589" spans="1:5" x14ac:dyDescent="0.25">
      <c r="A1589" s="8">
        <v>44726</v>
      </c>
      <c r="B1589" t="s">
        <v>32</v>
      </c>
      <c r="C1589">
        <v>2520</v>
      </c>
      <c r="D1589" t="s">
        <v>6</v>
      </c>
      <c r="E1589" t="str">
        <f>IF(june[[#This Row],[ShiftCounter]]&gt;0, "Running", "Down")</f>
        <v>Running</v>
      </c>
    </row>
    <row r="1590" spans="1:5" x14ac:dyDescent="0.25">
      <c r="A1590" s="8">
        <v>44726</v>
      </c>
      <c r="B1590" t="s">
        <v>32</v>
      </c>
      <c r="C1590">
        <v>2612</v>
      </c>
      <c r="D1590" t="s">
        <v>7</v>
      </c>
      <c r="E1590" t="str">
        <f>IF(june[[#This Row],[ShiftCounter]]&gt;0, "Running", "Down")</f>
        <v>Running</v>
      </c>
    </row>
    <row r="1591" spans="1:5" x14ac:dyDescent="0.25">
      <c r="A1591" s="8">
        <v>44726</v>
      </c>
      <c r="B1591" t="s">
        <v>32</v>
      </c>
      <c r="C1591">
        <v>2476</v>
      </c>
      <c r="D1591" t="s">
        <v>8</v>
      </c>
      <c r="E1591" t="str">
        <f>IF(june[[#This Row],[ShiftCounter]]&gt;0, "Running", "Down")</f>
        <v>Running</v>
      </c>
    </row>
    <row r="1592" spans="1:5" x14ac:dyDescent="0.25">
      <c r="A1592" s="8">
        <v>44726</v>
      </c>
      <c r="B1592" t="s">
        <v>31</v>
      </c>
      <c r="C1592">
        <v>2189</v>
      </c>
      <c r="D1592" t="s">
        <v>6</v>
      </c>
      <c r="E1592" t="str">
        <f>IF(june[[#This Row],[ShiftCounter]]&gt;0, "Running", "Down")</f>
        <v>Running</v>
      </c>
    </row>
    <row r="1593" spans="1:5" x14ac:dyDescent="0.25">
      <c r="A1593" s="8">
        <v>44726</v>
      </c>
      <c r="B1593" t="s">
        <v>31</v>
      </c>
      <c r="C1593">
        <v>2231</v>
      </c>
      <c r="D1593" t="s">
        <v>7</v>
      </c>
      <c r="E1593" t="str">
        <f>IF(june[[#This Row],[ShiftCounter]]&gt;0, "Running", "Down")</f>
        <v>Running</v>
      </c>
    </row>
    <row r="1594" spans="1:5" x14ac:dyDescent="0.25">
      <c r="A1594" s="8">
        <v>44726</v>
      </c>
      <c r="B1594" t="s">
        <v>31</v>
      </c>
      <c r="C1594">
        <v>2165</v>
      </c>
      <c r="D1594" t="s">
        <v>8</v>
      </c>
      <c r="E1594" t="str">
        <f>IF(june[[#This Row],[ShiftCounter]]&gt;0, "Running", "Down")</f>
        <v>Running</v>
      </c>
    </row>
    <row r="1595" spans="1:5" x14ac:dyDescent="0.25">
      <c r="A1595" s="8">
        <v>44726</v>
      </c>
      <c r="B1595" t="s">
        <v>71</v>
      </c>
      <c r="C1595">
        <v>2082</v>
      </c>
      <c r="D1595" t="s">
        <v>6</v>
      </c>
      <c r="E1595" t="str">
        <f>IF(june[[#This Row],[ShiftCounter]]&gt;0, "Running", "Down")</f>
        <v>Running</v>
      </c>
    </row>
    <row r="1596" spans="1:5" x14ac:dyDescent="0.25">
      <c r="A1596" s="8">
        <v>44726</v>
      </c>
      <c r="B1596" t="s">
        <v>71</v>
      </c>
      <c r="C1596">
        <v>2262</v>
      </c>
      <c r="D1596" t="s">
        <v>7</v>
      </c>
      <c r="E1596" t="str">
        <f>IF(june[[#This Row],[ShiftCounter]]&gt;0, "Running", "Down")</f>
        <v>Running</v>
      </c>
    </row>
    <row r="1597" spans="1:5" x14ac:dyDescent="0.25">
      <c r="A1597" s="8">
        <v>44726</v>
      </c>
      <c r="B1597" t="s">
        <v>71</v>
      </c>
      <c r="C1597">
        <v>2066</v>
      </c>
      <c r="D1597" t="s">
        <v>8</v>
      </c>
      <c r="E1597" t="str">
        <f>IF(june[[#This Row],[ShiftCounter]]&gt;0, "Running", "Down")</f>
        <v>Running</v>
      </c>
    </row>
    <row r="1598" spans="1:5" x14ac:dyDescent="0.25">
      <c r="A1598" s="8">
        <v>44726</v>
      </c>
      <c r="B1598" t="s">
        <v>33</v>
      </c>
      <c r="C1598">
        <v>2565</v>
      </c>
      <c r="D1598" t="s">
        <v>6</v>
      </c>
      <c r="E1598" t="str">
        <f>IF(june[[#This Row],[ShiftCounter]]&gt;0, "Running", "Down")</f>
        <v>Running</v>
      </c>
    </row>
    <row r="1599" spans="1:5" x14ac:dyDescent="0.25">
      <c r="A1599" s="8">
        <v>44726</v>
      </c>
      <c r="B1599" t="s">
        <v>33</v>
      </c>
      <c r="C1599">
        <v>2382</v>
      </c>
      <c r="D1599" t="s">
        <v>7</v>
      </c>
      <c r="E1599" t="str">
        <f>IF(june[[#This Row],[ShiftCounter]]&gt;0, "Running", "Down")</f>
        <v>Running</v>
      </c>
    </row>
    <row r="1600" spans="1:5" x14ac:dyDescent="0.25">
      <c r="A1600" s="8">
        <v>44726</v>
      </c>
      <c r="B1600" t="s">
        <v>33</v>
      </c>
      <c r="C1600">
        <v>2411</v>
      </c>
      <c r="D1600" t="s">
        <v>8</v>
      </c>
      <c r="E1600" t="str">
        <f>IF(june[[#This Row],[ShiftCounter]]&gt;0, "Running", "Down")</f>
        <v>Running</v>
      </c>
    </row>
    <row r="1601" spans="1:5" x14ac:dyDescent="0.25">
      <c r="A1601" s="8">
        <v>44726</v>
      </c>
      <c r="B1601" t="s">
        <v>34</v>
      </c>
      <c r="C1601">
        <v>2107</v>
      </c>
      <c r="D1601" t="s">
        <v>6</v>
      </c>
      <c r="E1601" t="str">
        <f>IF(june[[#This Row],[ShiftCounter]]&gt;0, "Running", "Down")</f>
        <v>Running</v>
      </c>
    </row>
    <row r="1602" spans="1:5" x14ac:dyDescent="0.25">
      <c r="A1602" s="8">
        <v>44726</v>
      </c>
      <c r="B1602" t="s">
        <v>34</v>
      </c>
      <c r="C1602">
        <v>1888</v>
      </c>
      <c r="D1602" t="s">
        <v>7</v>
      </c>
      <c r="E1602" t="str">
        <f>IF(june[[#This Row],[ShiftCounter]]&gt;0, "Running", "Down")</f>
        <v>Running</v>
      </c>
    </row>
    <row r="1603" spans="1:5" x14ac:dyDescent="0.25">
      <c r="A1603" s="8">
        <v>44726</v>
      </c>
      <c r="B1603" t="s">
        <v>34</v>
      </c>
      <c r="C1603">
        <v>1952</v>
      </c>
      <c r="D1603" t="s">
        <v>8</v>
      </c>
      <c r="E1603" t="str">
        <f>IF(june[[#This Row],[ShiftCounter]]&gt;0, "Running", "Down")</f>
        <v>Running</v>
      </c>
    </row>
    <row r="1604" spans="1:5" x14ac:dyDescent="0.25">
      <c r="A1604" s="8">
        <v>44726</v>
      </c>
      <c r="B1604" t="s">
        <v>35</v>
      </c>
      <c r="C1604">
        <v>2236</v>
      </c>
      <c r="D1604" t="s">
        <v>6</v>
      </c>
      <c r="E1604" t="str">
        <f>IF(june[[#This Row],[ShiftCounter]]&gt;0, "Running", "Down")</f>
        <v>Running</v>
      </c>
    </row>
    <row r="1605" spans="1:5" x14ac:dyDescent="0.25">
      <c r="A1605" s="8">
        <v>44726</v>
      </c>
      <c r="B1605" t="s">
        <v>35</v>
      </c>
      <c r="C1605">
        <v>1498</v>
      </c>
      <c r="D1605" t="s">
        <v>7</v>
      </c>
      <c r="E1605" t="str">
        <f>IF(june[[#This Row],[ShiftCounter]]&gt;0, "Running", "Down")</f>
        <v>Running</v>
      </c>
    </row>
    <row r="1606" spans="1:5" x14ac:dyDescent="0.25">
      <c r="A1606" s="8">
        <v>44726</v>
      </c>
      <c r="B1606" t="s">
        <v>35</v>
      </c>
      <c r="C1606">
        <v>0</v>
      </c>
      <c r="D1606" t="s">
        <v>8</v>
      </c>
      <c r="E1606" t="str">
        <f>IF(june[[#This Row],[ShiftCounter]]&gt;0, "Running", "Down")</f>
        <v>Down</v>
      </c>
    </row>
    <row r="1607" spans="1:5" x14ac:dyDescent="0.25">
      <c r="A1607" s="8">
        <v>44726</v>
      </c>
      <c r="B1607" t="s">
        <v>36</v>
      </c>
      <c r="C1607">
        <v>2518</v>
      </c>
      <c r="D1607" t="s">
        <v>6</v>
      </c>
      <c r="E1607" t="str">
        <f>IF(june[[#This Row],[ShiftCounter]]&gt;0, "Running", "Down")</f>
        <v>Running</v>
      </c>
    </row>
    <row r="1608" spans="1:5" x14ac:dyDescent="0.25">
      <c r="A1608" s="8">
        <v>44726</v>
      </c>
      <c r="B1608" t="s">
        <v>36</v>
      </c>
      <c r="C1608">
        <v>2307</v>
      </c>
      <c r="D1608" t="s">
        <v>7</v>
      </c>
      <c r="E1608" t="str">
        <f>IF(june[[#This Row],[ShiftCounter]]&gt;0, "Running", "Down")</f>
        <v>Running</v>
      </c>
    </row>
    <row r="1609" spans="1:5" x14ac:dyDescent="0.25">
      <c r="A1609" s="8">
        <v>44726</v>
      </c>
      <c r="B1609" t="s">
        <v>36</v>
      </c>
      <c r="C1609">
        <v>392</v>
      </c>
      <c r="D1609" t="s">
        <v>8</v>
      </c>
      <c r="E1609" t="str">
        <f>IF(june[[#This Row],[ShiftCounter]]&gt;0, "Running", "Down")</f>
        <v>Running</v>
      </c>
    </row>
    <row r="1610" spans="1:5" x14ac:dyDescent="0.25">
      <c r="A1610" s="8">
        <v>44726</v>
      </c>
      <c r="B1610" t="s">
        <v>37</v>
      </c>
      <c r="C1610">
        <v>2540</v>
      </c>
      <c r="D1610" t="s">
        <v>6</v>
      </c>
      <c r="E1610" t="str">
        <f>IF(june[[#This Row],[ShiftCounter]]&gt;0, "Running", "Down")</f>
        <v>Running</v>
      </c>
    </row>
    <row r="1611" spans="1:5" x14ac:dyDescent="0.25">
      <c r="A1611" s="8">
        <v>44726</v>
      </c>
      <c r="B1611" t="s">
        <v>37</v>
      </c>
      <c r="C1611">
        <v>2220</v>
      </c>
      <c r="D1611" t="s">
        <v>7</v>
      </c>
      <c r="E1611" t="str">
        <f>IF(june[[#This Row],[ShiftCounter]]&gt;0, "Running", "Down")</f>
        <v>Running</v>
      </c>
    </row>
    <row r="1612" spans="1:5" x14ac:dyDescent="0.25">
      <c r="A1612" s="8">
        <v>44726</v>
      </c>
      <c r="B1612" t="s">
        <v>37</v>
      </c>
      <c r="C1612">
        <v>2123</v>
      </c>
      <c r="D1612" t="s">
        <v>8</v>
      </c>
      <c r="E1612" t="str">
        <f>IF(june[[#This Row],[ShiftCounter]]&gt;0, "Running", "Down")</f>
        <v>Running</v>
      </c>
    </row>
    <row r="1613" spans="1:5" x14ac:dyDescent="0.25">
      <c r="A1613" s="8">
        <v>44727</v>
      </c>
      <c r="B1613" t="s">
        <v>158</v>
      </c>
      <c r="C1613">
        <v>2256</v>
      </c>
      <c r="D1613" t="s">
        <v>6</v>
      </c>
      <c r="E1613" t="str">
        <f>IF(june[[#This Row],[ShiftCounter]]&gt;0, "Running", "Down")</f>
        <v>Running</v>
      </c>
    </row>
    <row r="1614" spans="1:5" x14ac:dyDescent="0.25">
      <c r="A1614" s="8">
        <v>44727</v>
      </c>
      <c r="B1614" t="s">
        <v>158</v>
      </c>
      <c r="C1614">
        <v>2293</v>
      </c>
      <c r="D1614" t="s">
        <v>7</v>
      </c>
      <c r="E1614" t="str">
        <f>IF(june[[#This Row],[ShiftCounter]]&gt;0, "Running", "Down")</f>
        <v>Running</v>
      </c>
    </row>
    <row r="1615" spans="1:5" x14ac:dyDescent="0.25">
      <c r="A1615" s="8">
        <v>44727</v>
      </c>
      <c r="B1615" t="s">
        <v>158</v>
      </c>
      <c r="C1615">
        <v>2100</v>
      </c>
      <c r="D1615" t="s">
        <v>8</v>
      </c>
      <c r="E1615" t="str">
        <f>IF(june[[#This Row],[ShiftCounter]]&gt;0, "Running", "Down")</f>
        <v>Running</v>
      </c>
    </row>
    <row r="1616" spans="1:5" x14ac:dyDescent="0.25">
      <c r="A1616" s="8">
        <v>44727</v>
      </c>
      <c r="B1616" t="s">
        <v>40</v>
      </c>
      <c r="C1616">
        <v>2279</v>
      </c>
      <c r="D1616" t="s">
        <v>6</v>
      </c>
      <c r="E1616" t="str">
        <f>IF(june[[#This Row],[ShiftCounter]]&gt;0, "Running", "Down")</f>
        <v>Running</v>
      </c>
    </row>
    <row r="1617" spans="1:5" x14ac:dyDescent="0.25">
      <c r="A1617" s="8">
        <v>44727</v>
      </c>
      <c r="B1617" t="s">
        <v>40</v>
      </c>
      <c r="C1617">
        <v>2351</v>
      </c>
      <c r="D1617" t="s">
        <v>7</v>
      </c>
      <c r="E1617" t="str">
        <f>IF(june[[#This Row],[ShiftCounter]]&gt;0, "Running", "Down")</f>
        <v>Running</v>
      </c>
    </row>
    <row r="1618" spans="1:5" x14ac:dyDescent="0.25">
      <c r="A1618" s="8">
        <v>44727</v>
      </c>
      <c r="B1618" t="s">
        <v>40</v>
      </c>
      <c r="C1618">
        <v>2148</v>
      </c>
      <c r="D1618" t="s">
        <v>8</v>
      </c>
      <c r="E1618" t="str">
        <f>IF(june[[#This Row],[ShiftCounter]]&gt;0, "Running", "Down")</f>
        <v>Running</v>
      </c>
    </row>
    <row r="1619" spans="1:5" x14ac:dyDescent="0.25">
      <c r="A1619" s="8">
        <v>44727</v>
      </c>
      <c r="B1619" t="s">
        <v>39</v>
      </c>
      <c r="C1619">
        <v>2147</v>
      </c>
      <c r="D1619" t="s">
        <v>6</v>
      </c>
      <c r="E1619" t="str">
        <f>IF(june[[#This Row],[ShiftCounter]]&gt;0, "Running", "Down")</f>
        <v>Running</v>
      </c>
    </row>
    <row r="1620" spans="1:5" x14ac:dyDescent="0.25">
      <c r="A1620" s="8">
        <v>44727</v>
      </c>
      <c r="B1620" t="s">
        <v>39</v>
      </c>
      <c r="C1620">
        <v>2160</v>
      </c>
      <c r="D1620" t="s">
        <v>7</v>
      </c>
      <c r="E1620" t="str">
        <f>IF(june[[#This Row],[ShiftCounter]]&gt;0, "Running", "Down")</f>
        <v>Running</v>
      </c>
    </row>
    <row r="1621" spans="1:5" x14ac:dyDescent="0.25">
      <c r="A1621" s="8">
        <v>44727</v>
      </c>
      <c r="B1621" t="s">
        <v>39</v>
      </c>
      <c r="C1621">
        <v>2134</v>
      </c>
      <c r="D1621" t="s">
        <v>8</v>
      </c>
      <c r="E1621" t="str">
        <f>IF(june[[#This Row],[ShiftCounter]]&gt;0, "Running", "Down")</f>
        <v>Running</v>
      </c>
    </row>
    <row r="1622" spans="1:5" x14ac:dyDescent="0.25">
      <c r="A1622" s="8">
        <v>44727</v>
      </c>
      <c r="B1622" t="s">
        <v>41</v>
      </c>
      <c r="C1622">
        <v>2369</v>
      </c>
      <c r="D1622" t="s">
        <v>6</v>
      </c>
      <c r="E1622" t="str">
        <f>IF(june[[#This Row],[ShiftCounter]]&gt;0, "Running", "Down")</f>
        <v>Running</v>
      </c>
    </row>
    <row r="1623" spans="1:5" x14ac:dyDescent="0.25">
      <c r="A1623" s="8">
        <v>44727</v>
      </c>
      <c r="B1623" t="s">
        <v>41</v>
      </c>
      <c r="C1623">
        <v>2360</v>
      </c>
      <c r="D1623" t="s">
        <v>7</v>
      </c>
      <c r="E1623" t="str">
        <f>IF(june[[#This Row],[ShiftCounter]]&gt;0, "Running", "Down")</f>
        <v>Running</v>
      </c>
    </row>
    <row r="1624" spans="1:5" x14ac:dyDescent="0.25">
      <c r="A1624" s="8">
        <v>44727</v>
      </c>
      <c r="B1624" t="s">
        <v>41</v>
      </c>
      <c r="C1624">
        <v>2140</v>
      </c>
      <c r="D1624" t="s">
        <v>8</v>
      </c>
      <c r="E1624" t="str">
        <f>IF(june[[#This Row],[ShiftCounter]]&gt;0, "Running", "Down")</f>
        <v>Running</v>
      </c>
    </row>
    <row r="1625" spans="1:5" x14ac:dyDescent="0.25">
      <c r="A1625" s="8">
        <v>44727</v>
      </c>
      <c r="B1625" t="s">
        <v>9</v>
      </c>
      <c r="C1625">
        <v>2252</v>
      </c>
      <c r="D1625" t="s">
        <v>6</v>
      </c>
      <c r="E1625" t="str">
        <f>IF(june[[#This Row],[ShiftCounter]]&gt;0, "Running", "Down")</f>
        <v>Running</v>
      </c>
    </row>
    <row r="1626" spans="1:5" x14ac:dyDescent="0.25">
      <c r="A1626" s="8">
        <v>44727</v>
      </c>
      <c r="B1626" t="s">
        <v>9</v>
      </c>
      <c r="C1626">
        <v>2272</v>
      </c>
      <c r="D1626" t="s">
        <v>7</v>
      </c>
      <c r="E1626" t="str">
        <f>IF(june[[#This Row],[ShiftCounter]]&gt;0, "Running", "Down")</f>
        <v>Running</v>
      </c>
    </row>
    <row r="1627" spans="1:5" x14ac:dyDescent="0.25">
      <c r="A1627" s="8">
        <v>44727</v>
      </c>
      <c r="B1627" t="s">
        <v>9</v>
      </c>
      <c r="C1627">
        <v>2073</v>
      </c>
      <c r="D1627" t="s">
        <v>8</v>
      </c>
      <c r="E1627" t="str">
        <f>IF(june[[#This Row],[ShiftCounter]]&gt;0, "Running", "Down")</f>
        <v>Running</v>
      </c>
    </row>
    <row r="1628" spans="1:5" x14ac:dyDescent="0.25">
      <c r="A1628" s="8">
        <v>44727</v>
      </c>
      <c r="B1628" t="s">
        <v>10</v>
      </c>
      <c r="C1628">
        <v>2239</v>
      </c>
      <c r="D1628" t="s">
        <v>6</v>
      </c>
      <c r="E1628" t="str">
        <f>IF(june[[#This Row],[ShiftCounter]]&gt;0, "Running", "Down")</f>
        <v>Running</v>
      </c>
    </row>
    <row r="1629" spans="1:5" x14ac:dyDescent="0.25">
      <c r="A1629" s="8">
        <v>44727</v>
      </c>
      <c r="B1629" t="s">
        <v>10</v>
      </c>
      <c r="C1629">
        <v>2225</v>
      </c>
      <c r="D1629" t="s">
        <v>7</v>
      </c>
      <c r="E1629" t="str">
        <f>IF(june[[#This Row],[ShiftCounter]]&gt;0, "Running", "Down")</f>
        <v>Running</v>
      </c>
    </row>
    <row r="1630" spans="1:5" x14ac:dyDescent="0.25">
      <c r="A1630" s="8">
        <v>44727</v>
      </c>
      <c r="B1630" t="s">
        <v>10</v>
      </c>
      <c r="C1630">
        <v>2235</v>
      </c>
      <c r="D1630" t="s">
        <v>8</v>
      </c>
      <c r="E1630" t="str">
        <f>IF(june[[#This Row],[ShiftCounter]]&gt;0, "Running", "Down")</f>
        <v>Running</v>
      </c>
    </row>
    <row r="1631" spans="1:5" x14ac:dyDescent="0.25">
      <c r="A1631" s="8">
        <v>44727</v>
      </c>
      <c r="B1631" t="s">
        <v>11</v>
      </c>
      <c r="C1631">
        <v>2255</v>
      </c>
      <c r="D1631" t="s">
        <v>6</v>
      </c>
      <c r="E1631" t="str">
        <f>IF(june[[#This Row],[ShiftCounter]]&gt;0, "Running", "Down")</f>
        <v>Running</v>
      </c>
    </row>
    <row r="1632" spans="1:5" x14ac:dyDescent="0.25">
      <c r="A1632" s="8">
        <v>44727</v>
      </c>
      <c r="B1632" t="s">
        <v>11</v>
      </c>
      <c r="C1632">
        <v>2241</v>
      </c>
      <c r="D1632" t="s">
        <v>7</v>
      </c>
      <c r="E1632" t="str">
        <f>IF(june[[#This Row],[ShiftCounter]]&gt;0, "Running", "Down")</f>
        <v>Running</v>
      </c>
    </row>
    <row r="1633" spans="1:5" x14ac:dyDescent="0.25">
      <c r="A1633" s="8">
        <v>44727</v>
      </c>
      <c r="B1633" t="s">
        <v>11</v>
      </c>
      <c r="C1633">
        <v>2252</v>
      </c>
      <c r="D1633" t="s">
        <v>8</v>
      </c>
      <c r="E1633" t="str">
        <f>IF(june[[#This Row],[ShiftCounter]]&gt;0, "Running", "Down")</f>
        <v>Running</v>
      </c>
    </row>
    <row r="1634" spans="1:5" x14ac:dyDescent="0.25">
      <c r="A1634" s="8">
        <v>44727</v>
      </c>
      <c r="B1634" t="s">
        <v>12</v>
      </c>
      <c r="C1634">
        <v>2203</v>
      </c>
      <c r="D1634" t="s">
        <v>6</v>
      </c>
      <c r="E1634" t="str">
        <f>IF(june[[#This Row],[ShiftCounter]]&gt;0, "Running", "Down")</f>
        <v>Running</v>
      </c>
    </row>
    <row r="1635" spans="1:5" x14ac:dyDescent="0.25">
      <c r="A1635" s="8">
        <v>44727</v>
      </c>
      <c r="B1635" t="s">
        <v>12</v>
      </c>
      <c r="C1635">
        <v>1973</v>
      </c>
      <c r="D1635" t="s">
        <v>7</v>
      </c>
      <c r="E1635" t="str">
        <f>IF(june[[#This Row],[ShiftCounter]]&gt;0, "Running", "Down")</f>
        <v>Running</v>
      </c>
    </row>
    <row r="1636" spans="1:5" x14ac:dyDescent="0.25">
      <c r="A1636" s="8">
        <v>44727</v>
      </c>
      <c r="B1636" t="s">
        <v>12</v>
      </c>
      <c r="C1636">
        <v>2201</v>
      </c>
      <c r="D1636" t="s">
        <v>8</v>
      </c>
      <c r="E1636" t="str">
        <f>IF(june[[#This Row],[ShiftCounter]]&gt;0, "Running", "Down")</f>
        <v>Running</v>
      </c>
    </row>
    <row r="1637" spans="1:5" x14ac:dyDescent="0.25">
      <c r="A1637" s="8">
        <v>44727</v>
      </c>
      <c r="B1637" t="s">
        <v>13</v>
      </c>
      <c r="C1637">
        <v>2190</v>
      </c>
      <c r="D1637" t="s">
        <v>6</v>
      </c>
      <c r="E1637" t="str">
        <f>IF(june[[#This Row],[ShiftCounter]]&gt;0, "Running", "Down")</f>
        <v>Running</v>
      </c>
    </row>
    <row r="1638" spans="1:5" x14ac:dyDescent="0.25">
      <c r="A1638" s="8">
        <v>44727</v>
      </c>
      <c r="B1638" t="s">
        <v>13</v>
      </c>
      <c r="C1638">
        <v>2148</v>
      </c>
      <c r="D1638" t="s">
        <v>7</v>
      </c>
      <c r="E1638" t="str">
        <f>IF(june[[#This Row],[ShiftCounter]]&gt;0, "Running", "Down")</f>
        <v>Running</v>
      </c>
    </row>
    <row r="1639" spans="1:5" x14ac:dyDescent="0.25">
      <c r="A1639" s="8">
        <v>44727</v>
      </c>
      <c r="B1639" t="s">
        <v>13</v>
      </c>
      <c r="C1639">
        <v>2049</v>
      </c>
      <c r="D1639" t="s">
        <v>8</v>
      </c>
      <c r="E1639" t="str">
        <f>IF(june[[#This Row],[ShiftCounter]]&gt;0, "Running", "Down")</f>
        <v>Running</v>
      </c>
    </row>
    <row r="1640" spans="1:5" x14ac:dyDescent="0.25">
      <c r="A1640" s="8">
        <v>44727</v>
      </c>
      <c r="B1640" t="s">
        <v>114</v>
      </c>
      <c r="C1640">
        <v>1974</v>
      </c>
      <c r="D1640" t="s">
        <v>6</v>
      </c>
      <c r="E1640" t="str">
        <f>IF(june[[#This Row],[ShiftCounter]]&gt;0, "Running", "Down")</f>
        <v>Running</v>
      </c>
    </row>
    <row r="1641" spans="1:5" x14ac:dyDescent="0.25">
      <c r="A1641" s="8">
        <v>44727</v>
      </c>
      <c r="B1641" t="s">
        <v>114</v>
      </c>
      <c r="C1641">
        <v>1962</v>
      </c>
      <c r="D1641" t="s">
        <v>7</v>
      </c>
      <c r="E1641" t="str">
        <f>IF(june[[#This Row],[ShiftCounter]]&gt;0, "Running", "Down")</f>
        <v>Running</v>
      </c>
    </row>
    <row r="1642" spans="1:5" x14ac:dyDescent="0.25">
      <c r="A1642" s="8">
        <v>44727</v>
      </c>
      <c r="B1642" t="s">
        <v>114</v>
      </c>
      <c r="C1642">
        <v>1971</v>
      </c>
      <c r="D1642" t="s">
        <v>8</v>
      </c>
      <c r="E1642" t="str">
        <f>IF(june[[#This Row],[ShiftCounter]]&gt;0, "Running", "Down")</f>
        <v>Running</v>
      </c>
    </row>
    <row r="1643" spans="1:5" x14ac:dyDescent="0.25">
      <c r="A1643" s="8">
        <v>44727</v>
      </c>
      <c r="B1643" t="s">
        <v>14</v>
      </c>
      <c r="C1643">
        <v>2113</v>
      </c>
      <c r="D1643" t="s">
        <v>6</v>
      </c>
      <c r="E1643" t="str">
        <f>IF(june[[#This Row],[ShiftCounter]]&gt;0, "Running", "Down")</f>
        <v>Running</v>
      </c>
    </row>
    <row r="1644" spans="1:5" x14ac:dyDescent="0.25">
      <c r="A1644" s="8">
        <v>44727</v>
      </c>
      <c r="B1644" t="s">
        <v>14</v>
      </c>
      <c r="C1644">
        <v>2096</v>
      </c>
      <c r="D1644" t="s">
        <v>7</v>
      </c>
      <c r="E1644" t="str">
        <f>IF(june[[#This Row],[ShiftCounter]]&gt;0, "Running", "Down")</f>
        <v>Running</v>
      </c>
    </row>
    <row r="1645" spans="1:5" x14ac:dyDescent="0.25">
      <c r="A1645" s="8">
        <v>44727</v>
      </c>
      <c r="B1645" t="s">
        <v>14</v>
      </c>
      <c r="C1645">
        <v>2111</v>
      </c>
      <c r="D1645" t="s">
        <v>8</v>
      </c>
      <c r="E1645" t="str">
        <f>IF(june[[#This Row],[ShiftCounter]]&gt;0, "Running", "Down")</f>
        <v>Running</v>
      </c>
    </row>
    <row r="1646" spans="1:5" x14ac:dyDescent="0.25">
      <c r="A1646" s="8">
        <v>44727</v>
      </c>
      <c r="B1646" t="s">
        <v>15</v>
      </c>
      <c r="C1646">
        <v>2275</v>
      </c>
      <c r="D1646" t="s">
        <v>6</v>
      </c>
      <c r="E1646" t="str">
        <f>IF(june[[#This Row],[ShiftCounter]]&gt;0, "Running", "Down")</f>
        <v>Running</v>
      </c>
    </row>
    <row r="1647" spans="1:5" x14ac:dyDescent="0.25">
      <c r="A1647" s="8">
        <v>44727</v>
      </c>
      <c r="B1647" t="s">
        <v>15</v>
      </c>
      <c r="C1647">
        <v>2278</v>
      </c>
      <c r="D1647" t="s">
        <v>7</v>
      </c>
      <c r="E1647" t="str">
        <f>IF(june[[#This Row],[ShiftCounter]]&gt;0, "Running", "Down")</f>
        <v>Running</v>
      </c>
    </row>
    <row r="1648" spans="1:5" x14ac:dyDescent="0.25">
      <c r="A1648" s="8">
        <v>44727</v>
      </c>
      <c r="B1648" t="s">
        <v>15</v>
      </c>
      <c r="C1648">
        <v>1976</v>
      </c>
      <c r="D1648" t="s">
        <v>8</v>
      </c>
      <c r="E1648" t="str">
        <f>IF(june[[#This Row],[ShiftCounter]]&gt;0, "Running", "Down")</f>
        <v>Running</v>
      </c>
    </row>
    <row r="1649" spans="1:5" x14ac:dyDescent="0.25">
      <c r="A1649" s="8">
        <v>44727</v>
      </c>
      <c r="B1649" t="s">
        <v>16</v>
      </c>
      <c r="C1649">
        <v>2051</v>
      </c>
      <c r="D1649" t="s">
        <v>6</v>
      </c>
      <c r="E1649" t="str">
        <f>IF(june[[#This Row],[ShiftCounter]]&gt;0, "Running", "Down")</f>
        <v>Running</v>
      </c>
    </row>
    <row r="1650" spans="1:5" x14ac:dyDescent="0.25">
      <c r="A1650" s="8">
        <v>44727</v>
      </c>
      <c r="B1650" t="s">
        <v>16</v>
      </c>
      <c r="C1650">
        <v>2123</v>
      </c>
      <c r="D1650" t="s">
        <v>7</v>
      </c>
      <c r="E1650" t="str">
        <f>IF(june[[#This Row],[ShiftCounter]]&gt;0, "Running", "Down")</f>
        <v>Running</v>
      </c>
    </row>
    <row r="1651" spans="1:5" x14ac:dyDescent="0.25">
      <c r="A1651" s="8">
        <v>44727</v>
      </c>
      <c r="B1651" t="s">
        <v>16</v>
      </c>
      <c r="C1651">
        <v>2133</v>
      </c>
      <c r="D1651" t="s">
        <v>8</v>
      </c>
      <c r="E1651" t="str">
        <f>IF(june[[#This Row],[ShiftCounter]]&gt;0, "Running", "Down")</f>
        <v>Running</v>
      </c>
    </row>
    <row r="1652" spans="1:5" x14ac:dyDescent="0.25">
      <c r="A1652" s="8">
        <v>44727</v>
      </c>
      <c r="B1652" t="s">
        <v>17</v>
      </c>
      <c r="C1652">
        <v>2282</v>
      </c>
      <c r="D1652" t="s">
        <v>6</v>
      </c>
      <c r="E1652" t="str">
        <f>IF(june[[#This Row],[ShiftCounter]]&gt;0, "Running", "Down")</f>
        <v>Running</v>
      </c>
    </row>
    <row r="1653" spans="1:5" x14ac:dyDescent="0.25">
      <c r="A1653" s="8">
        <v>44727</v>
      </c>
      <c r="B1653" t="s">
        <v>17</v>
      </c>
      <c r="C1653">
        <v>2256</v>
      </c>
      <c r="D1653" t="s">
        <v>7</v>
      </c>
      <c r="E1653" t="str">
        <f>IF(june[[#This Row],[ShiftCounter]]&gt;0, "Running", "Down")</f>
        <v>Running</v>
      </c>
    </row>
    <row r="1654" spans="1:5" x14ac:dyDescent="0.25">
      <c r="A1654" s="8">
        <v>44727</v>
      </c>
      <c r="B1654" t="s">
        <v>17</v>
      </c>
      <c r="C1654">
        <v>2281</v>
      </c>
      <c r="D1654" t="s">
        <v>8</v>
      </c>
      <c r="E1654" t="str">
        <f>IF(june[[#This Row],[ShiftCounter]]&gt;0, "Running", "Down")</f>
        <v>Running</v>
      </c>
    </row>
    <row r="1655" spans="1:5" x14ac:dyDescent="0.25">
      <c r="A1655" s="8">
        <v>44727</v>
      </c>
      <c r="B1655" t="s">
        <v>18</v>
      </c>
      <c r="C1655">
        <v>2307</v>
      </c>
      <c r="D1655" t="s">
        <v>6</v>
      </c>
      <c r="E1655" t="str">
        <f>IF(june[[#This Row],[ShiftCounter]]&gt;0, "Running", "Down")</f>
        <v>Running</v>
      </c>
    </row>
    <row r="1656" spans="1:5" x14ac:dyDescent="0.25">
      <c r="A1656" s="8">
        <v>44727</v>
      </c>
      <c r="B1656" t="s">
        <v>18</v>
      </c>
      <c r="C1656">
        <v>2255</v>
      </c>
      <c r="D1656" t="s">
        <v>7</v>
      </c>
      <c r="E1656" t="str">
        <f>IF(june[[#This Row],[ShiftCounter]]&gt;0, "Running", "Down")</f>
        <v>Running</v>
      </c>
    </row>
    <row r="1657" spans="1:5" x14ac:dyDescent="0.25">
      <c r="A1657" s="8">
        <v>44727</v>
      </c>
      <c r="B1657" t="s">
        <v>18</v>
      </c>
      <c r="C1657">
        <v>2304</v>
      </c>
      <c r="D1657" t="s">
        <v>8</v>
      </c>
      <c r="E1657" t="str">
        <f>IF(june[[#This Row],[ShiftCounter]]&gt;0, "Running", "Down")</f>
        <v>Running</v>
      </c>
    </row>
    <row r="1658" spans="1:5" x14ac:dyDescent="0.25">
      <c r="A1658" s="8">
        <v>44727</v>
      </c>
      <c r="B1658" t="s">
        <v>19</v>
      </c>
      <c r="C1658">
        <v>1859</v>
      </c>
      <c r="D1658" t="s">
        <v>6</v>
      </c>
      <c r="E1658" t="str">
        <f>IF(june[[#This Row],[ShiftCounter]]&gt;0, "Running", "Down")</f>
        <v>Running</v>
      </c>
    </row>
    <row r="1659" spans="1:5" x14ac:dyDescent="0.25">
      <c r="A1659" s="8">
        <v>44727</v>
      </c>
      <c r="B1659" t="s">
        <v>19</v>
      </c>
      <c r="C1659">
        <v>1704</v>
      </c>
      <c r="D1659" t="s">
        <v>7</v>
      </c>
      <c r="E1659" t="str">
        <f>IF(june[[#This Row],[ShiftCounter]]&gt;0, "Running", "Down")</f>
        <v>Running</v>
      </c>
    </row>
    <row r="1660" spans="1:5" x14ac:dyDescent="0.25">
      <c r="A1660" s="8">
        <v>44727</v>
      </c>
      <c r="B1660" t="s">
        <v>19</v>
      </c>
      <c r="C1660">
        <v>1919</v>
      </c>
      <c r="D1660" t="s">
        <v>8</v>
      </c>
      <c r="E1660" t="str">
        <f>IF(june[[#This Row],[ShiftCounter]]&gt;0, "Running", "Down")</f>
        <v>Running</v>
      </c>
    </row>
    <row r="1661" spans="1:5" x14ac:dyDescent="0.25">
      <c r="A1661" s="8">
        <v>44727</v>
      </c>
      <c r="B1661" t="s">
        <v>42</v>
      </c>
      <c r="C1661">
        <v>2006</v>
      </c>
      <c r="D1661" t="s">
        <v>6</v>
      </c>
      <c r="E1661" t="str">
        <f>IF(june[[#This Row],[ShiftCounter]]&gt;0, "Running", "Down")</f>
        <v>Running</v>
      </c>
    </row>
    <row r="1662" spans="1:5" x14ac:dyDescent="0.25">
      <c r="A1662" s="8">
        <v>44727</v>
      </c>
      <c r="B1662" t="s">
        <v>42</v>
      </c>
      <c r="C1662">
        <v>2165</v>
      </c>
      <c r="D1662" t="s">
        <v>7</v>
      </c>
      <c r="E1662" t="str">
        <f>IF(june[[#This Row],[ShiftCounter]]&gt;0, "Running", "Down")</f>
        <v>Running</v>
      </c>
    </row>
    <row r="1663" spans="1:5" x14ac:dyDescent="0.25">
      <c r="A1663" s="8">
        <v>44727</v>
      </c>
      <c r="B1663" t="s">
        <v>42</v>
      </c>
      <c r="C1663">
        <v>2016</v>
      </c>
      <c r="D1663" t="s">
        <v>8</v>
      </c>
      <c r="E1663" t="str">
        <f>IF(june[[#This Row],[ShiftCounter]]&gt;0, "Running", "Down")</f>
        <v>Running</v>
      </c>
    </row>
    <row r="1664" spans="1:5" x14ac:dyDescent="0.25">
      <c r="A1664" s="8">
        <v>44727</v>
      </c>
      <c r="B1664" t="s">
        <v>38</v>
      </c>
      <c r="C1664">
        <v>2128</v>
      </c>
      <c r="D1664" t="s">
        <v>6</v>
      </c>
      <c r="E1664" t="str">
        <f>IF(june[[#This Row],[ShiftCounter]]&gt;0, "Running", "Down")</f>
        <v>Running</v>
      </c>
    </row>
    <row r="1665" spans="1:5" x14ac:dyDescent="0.25">
      <c r="A1665" s="8">
        <v>44727</v>
      </c>
      <c r="B1665" t="s">
        <v>38</v>
      </c>
      <c r="C1665">
        <v>2249</v>
      </c>
      <c r="D1665" t="s">
        <v>7</v>
      </c>
      <c r="E1665" t="str">
        <f>IF(june[[#This Row],[ShiftCounter]]&gt;0, "Running", "Down")</f>
        <v>Running</v>
      </c>
    </row>
    <row r="1666" spans="1:5" x14ac:dyDescent="0.25">
      <c r="A1666" s="8">
        <v>44727</v>
      </c>
      <c r="B1666" t="s">
        <v>38</v>
      </c>
      <c r="C1666">
        <v>2238</v>
      </c>
      <c r="D1666" t="s">
        <v>8</v>
      </c>
      <c r="E1666" t="str">
        <f>IF(june[[#This Row],[ShiftCounter]]&gt;0, "Running", "Down")</f>
        <v>Running</v>
      </c>
    </row>
    <row r="1667" spans="1:5" x14ac:dyDescent="0.25">
      <c r="A1667" s="8">
        <v>44727</v>
      </c>
      <c r="B1667" t="s">
        <v>20</v>
      </c>
      <c r="C1667">
        <v>1937</v>
      </c>
      <c r="D1667" t="s">
        <v>6</v>
      </c>
      <c r="E1667" t="str">
        <f>IF(june[[#This Row],[ShiftCounter]]&gt;0, "Running", "Down")</f>
        <v>Running</v>
      </c>
    </row>
    <row r="1668" spans="1:5" x14ac:dyDescent="0.25">
      <c r="A1668" s="8">
        <v>44727</v>
      </c>
      <c r="B1668" t="s">
        <v>20</v>
      </c>
      <c r="C1668">
        <v>2117</v>
      </c>
      <c r="D1668" t="s">
        <v>7</v>
      </c>
      <c r="E1668" t="str">
        <f>IF(june[[#This Row],[ShiftCounter]]&gt;0, "Running", "Down")</f>
        <v>Running</v>
      </c>
    </row>
    <row r="1669" spans="1:5" x14ac:dyDescent="0.25">
      <c r="A1669" s="8">
        <v>44727</v>
      </c>
      <c r="B1669" t="s">
        <v>20</v>
      </c>
      <c r="C1669">
        <v>2020</v>
      </c>
      <c r="D1669" t="s">
        <v>8</v>
      </c>
      <c r="E1669" t="str">
        <f>IF(june[[#This Row],[ShiftCounter]]&gt;0, "Running", "Down")</f>
        <v>Running</v>
      </c>
    </row>
    <row r="1670" spans="1:5" x14ac:dyDescent="0.25">
      <c r="A1670" s="8">
        <v>44727</v>
      </c>
      <c r="B1670" t="s">
        <v>21</v>
      </c>
      <c r="C1670">
        <v>1565</v>
      </c>
      <c r="D1670" t="s">
        <v>6</v>
      </c>
      <c r="E1670" t="str">
        <f>IF(june[[#This Row],[ShiftCounter]]&gt;0, "Running", "Down")</f>
        <v>Running</v>
      </c>
    </row>
    <row r="1671" spans="1:5" x14ac:dyDescent="0.25">
      <c r="A1671" s="8">
        <v>44727</v>
      </c>
      <c r="B1671" t="s">
        <v>21</v>
      </c>
      <c r="C1671">
        <v>1974</v>
      </c>
      <c r="D1671" t="s">
        <v>7</v>
      </c>
      <c r="E1671" t="str">
        <f>IF(june[[#This Row],[ShiftCounter]]&gt;0, "Running", "Down")</f>
        <v>Running</v>
      </c>
    </row>
    <row r="1672" spans="1:5" x14ac:dyDescent="0.25">
      <c r="A1672" s="8">
        <v>44727</v>
      </c>
      <c r="B1672" t="s">
        <v>21</v>
      </c>
      <c r="C1672">
        <v>1875</v>
      </c>
      <c r="D1672" t="s">
        <v>8</v>
      </c>
      <c r="E1672" t="str">
        <f>IF(june[[#This Row],[ShiftCounter]]&gt;0, "Running", "Down")</f>
        <v>Running</v>
      </c>
    </row>
    <row r="1673" spans="1:5" x14ac:dyDescent="0.25">
      <c r="A1673" s="8">
        <v>44727</v>
      </c>
      <c r="B1673" t="s">
        <v>22</v>
      </c>
      <c r="C1673">
        <v>2440</v>
      </c>
      <c r="D1673" t="s">
        <v>6</v>
      </c>
      <c r="E1673" t="str">
        <f>IF(june[[#This Row],[ShiftCounter]]&gt;0, "Running", "Down")</f>
        <v>Running</v>
      </c>
    </row>
    <row r="1674" spans="1:5" x14ac:dyDescent="0.25">
      <c r="A1674" s="8">
        <v>44727</v>
      </c>
      <c r="B1674" t="s">
        <v>22</v>
      </c>
      <c r="C1674">
        <v>2348</v>
      </c>
      <c r="D1674" t="s">
        <v>7</v>
      </c>
      <c r="E1674" t="str">
        <f>IF(june[[#This Row],[ShiftCounter]]&gt;0, "Running", "Down")</f>
        <v>Running</v>
      </c>
    </row>
    <row r="1675" spans="1:5" x14ac:dyDescent="0.25">
      <c r="A1675" s="8">
        <v>44727</v>
      </c>
      <c r="B1675" t="s">
        <v>22</v>
      </c>
      <c r="C1675">
        <v>2225</v>
      </c>
      <c r="D1675" t="s">
        <v>8</v>
      </c>
      <c r="E1675" t="str">
        <f>IF(june[[#This Row],[ShiftCounter]]&gt;0, "Running", "Down")</f>
        <v>Running</v>
      </c>
    </row>
    <row r="1676" spans="1:5" x14ac:dyDescent="0.25">
      <c r="A1676" s="8">
        <v>44727</v>
      </c>
      <c r="B1676" t="s">
        <v>23</v>
      </c>
      <c r="C1676">
        <v>2353</v>
      </c>
      <c r="D1676" t="s">
        <v>6</v>
      </c>
      <c r="E1676" t="str">
        <f>IF(june[[#This Row],[ShiftCounter]]&gt;0, "Running", "Down")</f>
        <v>Running</v>
      </c>
    </row>
    <row r="1677" spans="1:5" x14ac:dyDescent="0.25">
      <c r="A1677" s="8">
        <v>44727</v>
      </c>
      <c r="B1677" t="s">
        <v>23</v>
      </c>
      <c r="C1677">
        <v>2238</v>
      </c>
      <c r="D1677" t="s">
        <v>7</v>
      </c>
      <c r="E1677" t="str">
        <f>IF(june[[#This Row],[ShiftCounter]]&gt;0, "Running", "Down")</f>
        <v>Running</v>
      </c>
    </row>
    <row r="1678" spans="1:5" x14ac:dyDescent="0.25">
      <c r="A1678" s="8">
        <v>44727</v>
      </c>
      <c r="B1678" t="s">
        <v>23</v>
      </c>
      <c r="C1678">
        <v>2351</v>
      </c>
      <c r="D1678" t="s">
        <v>8</v>
      </c>
      <c r="E1678" t="str">
        <f>IF(june[[#This Row],[ShiftCounter]]&gt;0, "Running", "Down")</f>
        <v>Running</v>
      </c>
    </row>
    <row r="1679" spans="1:5" x14ac:dyDescent="0.25">
      <c r="A1679" s="8">
        <v>44727</v>
      </c>
      <c r="B1679" t="s">
        <v>24</v>
      </c>
      <c r="C1679">
        <v>2011</v>
      </c>
      <c r="D1679" t="s">
        <v>6</v>
      </c>
      <c r="E1679" t="str">
        <f>IF(june[[#This Row],[ShiftCounter]]&gt;0, "Running", "Down")</f>
        <v>Running</v>
      </c>
    </row>
    <row r="1680" spans="1:5" x14ac:dyDescent="0.25">
      <c r="A1680" s="8">
        <v>44727</v>
      </c>
      <c r="B1680" t="s">
        <v>24</v>
      </c>
      <c r="C1680">
        <v>2019</v>
      </c>
      <c r="D1680" t="s">
        <v>7</v>
      </c>
      <c r="E1680" t="str">
        <f>IF(june[[#This Row],[ShiftCounter]]&gt;0, "Running", "Down")</f>
        <v>Running</v>
      </c>
    </row>
    <row r="1681" spans="1:5" x14ac:dyDescent="0.25">
      <c r="A1681" s="8">
        <v>44727</v>
      </c>
      <c r="B1681" t="s">
        <v>24</v>
      </c>
      <c r="C1681">
        <v>1956</v>
      </c>
      <c r="D1681" t="s">
        <v>8</v>
      </c>
      <c r="E1681" t="str">
        <f>IF(june[[#This Row],[ShiftCounter]]&gt;0, "Running", "Down")</f>
        <v>Running</v>
      </c>
    </row>
    <row r="1682" spans="1:5" x14ac:dyDescent="0.25">
      <c r="A1682" s="8">
        <v>44727</v>
      </c>
      <c r="B1682" t="s">
        <v>25</v>
      </c>
      <c r="C1682">
        <v>2154</v>
      </c>
      <c r="D1682" t="s">
        <v>6</v>
      </c>
      <c r="E1682" t="str">
        <f>IF(june[[#This Row],[ShiftCounter]]&gt;0, "Running", "Down")</f>
        <v>Running</v>
      </c>
    </row>
    <row r="1683" spans="1:5" x14ac:dyDescent="0.25">
      <c r="A1683" s="8">
        <v>44727</v>
      </c>
      <c r="B1683" t="s">
        <v>25</v>
      </c>
      <c r="C1683">
        <v>2136</v>
      </c>
      <c r="D1683" t="s">
        <v>7</v>
      </c>
      <c r="E1683" t="str">
        <f>IF(june[[#This Row],[ShiftCounter]]&gt;0, "Running", "Down")</f>
        <v>Running</v>
      </c>
    </row>
    <row r="1684" spans="1:5" x14ac:dyDescent="0.25">
      <c r="A1684" s="8">
        <v>44727</v>
      </c>
      <c r="B1684" t="s">
        <v>25</v>
      </c>
      <c r="C1684">
        <v>2129</v>
      </c>
      <c r="D1684" t="s">
        <v>8</v>
      </c>
      <c r="E1684" t="str">
        <f>IF(june[[#This Row],[ShiftCounter]]&gt;0, "Running", "Down")</f>
        <v>Running</v>
      </c>
    </row>
    <row r="1685" spans="1:5" x14ac:dyDescent="0.25">
      <c r="A1685" s="8">
        <v>44727</v>
      </c>
      <c r="B1685" t="s">
        <v>80</v>
      </c>
      <c r="C1685">
        <v>1721</v>
      </c>
      <c r="D1685" t="s">
        <v>6</v>
      </c>
      <c r="E1685" t="str">
        <f>IF(june[[#This Row],[ShiftCounter]]&gt;0, "Running", "Down")</f>
        <v>Running</v>
      </c>
    </row>
    <row r="1686" spans="1:5" x14ac:dyDescent="0.25">
      <c r="A1686" s="8">
        <v>44727</v>
      </c>
      <c r="B1686" t="s">
        <v>80</v>
      </c>
      <c r="C1686">
        <v>1911</v>
      </c>
      <c r="D1686" t="s">
        <v>7</v>
      </c>
      <c r="E1686" t="str">
        <f>IF(june[[#This Row],[ShiftCounter]]&gt;0, "Running", "Down")</f>
        <v>Running</v>
      </c>
    </row>
    <row r="1687" spans="1:5" x14ac:dyDescent="0.25">
      <c r="A1687" s="8">
        <v>44727</v>
      </c>
      <c r="B1687" t="s">
        <v>80</v>
      </c>
      <c r="C1687">
        <v>1850</v>
      </c>
      <c r="D1687" t="s">
        <v>8</v>
      </c>
      <c r="E1687" t="str">
        <f>IF(june[[#This Row],[ShiftCounter]]&gt;0, "Running", "Down")</f>
        <v>Running</v>
      </c>
    </row>
    <row r="1688" spans="1:5" x14ac:dyDescent="0.25">
      <c r="A1688" s="8">
        <v>44727</v>
      </c>
      <c r="B1688" t="s">
        <v>26</v>
      </c>
      <c r="C1688">
        <v>1880</v>
      </c>
      <c r="D1688" t="s">
        <v>6</v>
      </c>
      <c r="E1688" t="str">
        <f>IF(june[[#This Row],[ShiftCounter]]&gt;0, "Running", "Down")</f>
        <v>Running</v>
      </c>
    </row>
    <row r="1689" spans="1:5" x14ac:dyDescent="0.25">
      <c r="A1689" s="8">
        <v>44727</v>
      </c>
      <c r="B1689" t="s">
        <v>26</v>
      </c>
      <c r="C1689">
        <v>1975</v>
      </c>
      <c r="D1689" t="s">
        <v>7</v>
      </c>
      <c r="E1689" t="str">
        <f>IF(june[[#This Row],[ShiftCounter]]&gt;0, "Running", "Down")</f>
        <v>Running</v>
      </c>
    </row>
    <row r="1690" spans="1:5" x14ac:dyDescent="0.25">
      <c r="A1690" s="8">
        <v>44727</v>
      </c>
      <c r="B1690" t="s">
        <v>26</v>
      </c>
      <c r="C1690">
        <v>1960</v>
      </c>
      <c r="D1690" t="s">
        <v>8</v>
      </c>
      <c r="E1690" t="str">
        <f>IF(june[[#This Row],[ShiftCounter]]&gt;0, "Running", "Down")</f>
        <v>Running</v>
      </c>
    </row>
    <row r="1691" spans="1:5" x14ac:dyDescent="0.25">
      <c r="A1691" s="8">
        <v>44727</v>
      </c>
      <c r="B1691" t="s">
        <v>27</v>
      </c>
      <c r="C1691">
        <v>1167</v>
      </c>
      <c r="D1691" t="s">
        <v>6</v>
      </c>
      <c r="E1691" t="str">
        <f>IF(june[[#This Row],[ShiftCounter]]&gt;0, "Running", "Down")</f>
        <v>Running</v>
      </c>
    </row>
    <row r="1692" spans="1:5" x14ac:dyDescent="0.25">
      <c r="A1692" s="8">
        <v>44727</v>
      </c>
      <c r="B1692" t="s">
        <v>27</v>
      </c>
      <c r="C1692">
        <v>2110</v>
      </c>
      <c r="D1692" t="s">
        <v>7</v>
      </c>
      <c r="E1692" t="str">
        <f>IF(june[[#This Row],[ShiftCounter]]&gt;0, "Running", "Down")</f>
        <v>Running</v>
      </c>
    </row>
    <row r="1693" spans="1:5" x14ac:dyDescent="0.25">
      <c r="A1693" s="8">
        <v>44727</v>
      </c>
      <c r="B1693" t="s">
        <v>27</v>
      </c>
      <c r="C1693">
        <v>2128</v>
      </c>
      <c r="D1693" t="s">
        <v>8</v>
      </c>
      <c r="E1693" t="str">
        <f>IF(june[[#This Row],[ShiftCounter]]&gt;0, "Running", "Down")</f>
        <v>Running</v>
      </c>
    </row>
    <row r="1694" spans="1:5" x14ac:dyDescent="0.25">
      <c r="A1694" s="8">
        <v>44727</v>
      </c>
      <c r="B1694" t="s">
        <v>28</v>
      </c>
      <c r="C1694">
        <v>1852</v>
      </c>
      <c r="D1694" t="s">
        <v>6</v>
      </c>
      <c r="E1694" t="str">
        <f>IF(june[[#This Row],[ShiftCounter]]&gt;0, "Running", "Down")</f>
        <v>Running</v>
      </c>
    </row>
    <row r="1695" spans="1:5" x14ac:dyDescent="0.25">
      <c r="A1695" s="8">
        <v>44727</v>
      </c>
      <c r="B1695" t="s">
        <v>28</v>
      </c>
      <c r="C1695">
        <v>2192</v>
      </c>
      <c r="D1695" t="s">
        <v>7</v>
      </c>
      <c r="E1695" t="str">
        <f>IF(june[[#This Row],[ShiftCounter]]&gt;0, "Running", "Down")</f>
        <v>Running</v>
      </c>
    </row>
    <row r="1696" spans="1:5" x14ac:dyDescent="0.25">
      <c r="A1696" s="8">
        <v>44727</v>
      </c>
      <c r="B1696" t="s">
        <v>28</v>
      </c>
      <c r="C1696">
        <v>2121</v>
      </c>
      <c r="D1696" t="s">
        <v>8</v>
      </c>
      <c r="E1696" t="str">
        <f>IF(june[[#This Row],[ShiftCounter]]&gt;0, "Running", "Down")</f>
        <v>Running</v>
      </c>
    </row>
    <row r="1697" spans="1:5" x14ac:dyDescent="0.25">
      <c r="A1697" s="8">
        <v>44727</v>
      </c>
      <c r="B1697" t="s">
        <v>29</v>
      </c>
      <c r="C1697">
        <v>2112</v>
      </c>
      <c r="D1697" t="s">
        <v>6</v>
      </c>
      <c r="E1697" t="str">
        <f>IF(june[[#This Row],[ShiftCounter]]&gt;0, "Running", "Down")</f>
        <v>Running</v>
      </c>
    </row>
    <row r="1698" spans="1:5" x14ac:dyDescent="0.25">
      <c r="A1698" s="8">
        <v>44727</v>
      </c>
      <c r="B1698" t="s">
        <v>29</v>
      </c>
      <c r="C1698">
        <v>2109</v>
      </c>
      <c r="D1698" t="s">
        <v>7</v>
      </c>
      <c r="E1698" t="str">
        <f>IF(june[[#This Row],[ShiftCounter]]&gt;0, "Running", "Down")</f>
        <v>Running</v>
      </c>
    </row>
    <row r="1699" spans="1:5" x14ac:dyDescent="0.25">
      <c r="A1699" s="8">
        <v>44727</v>
      </c>
      <c r="B1699" t="s">
        <v>29</v>
      </c>
      <c r="C1699">
        <v>2111</v>
      </c>
      <c r="D1699" t="s">
        <v>8</v>
      </c>
      <c r="E1699" t="str">
        <f>IF(june[[#This Row],[ShiftCounter]]&gt;0, "Running", "Down")</f>
        <v>Running</v>
      </c>
    </row>
    <row r="1700" spans="1:5" x14ac:dyDescent="0.25">
      <c r="A1700" s="8">
        <v>44727</v>
      </c>
      <c r="B1700" t="s">
        <v>30</v>
      </c>
      <c r="C1700">
        <v>1839</v>
      </c>
      <c r="D1700" t="s">
        <v>6</v>
      </c>
      <c r="E1700" t="str">
        <f>IF(june[[#This Row],[ShiftCounter]]&gt;0, "Running", "Down")</f>
        <v>Running</v>
      </c>
    </row>
    <row r="1701" spans="1:5" x14ac:dyDescent="0.25">
      <c r="A1701" s="8">
        <v>44727</v>
      </c>
      <c r="B1701" t="s">
        <v>30</v>
      </c>
      <c r="C1701">
        <v>2140</v>
      </c>
      <c r="D1701" t="s">
        <v>7</v>
      </c>
      <c r="E1701" t="str">
        <f>IF(june[[#This Row],[ShiftCounter]]&gt;0, "Running", "Down")</f>
        <v>Running</v>
      </c>
    </row>
    <row r="1702" spans="1:5" x14ac:dyDescent="0.25">
      <c r="A1702" s="8">
        <v>44727</v>
      </c>
      <c r="B1702" t="s">
        <v>30</v>
      </c>
      <c r="C1702">
        <v>2207</v>
      </c>
      <c r="D1702" t="s">
        <v>8</v>
      </c>
      <c r="E1702" t="str">
        <f>IF(june[[#This Row],[ShiftCounter]]&gt;0, "Running", "Down")</f>
        <v>Running</v>
      </c>
    </row>
    <row r="1703" spans="1:5" x14ac:dyDescent="0.25">
      <c r="A1703" s="8">
        <v>44727</v>
      </c>
      <c r="B1703" t="s">
        <v>31</v>
      </c>
      <c r="C1703">
        <v>1973</v>
      </c>
      <c r="D1703" t="s">
        <v>6</v>
      </c>
      <c r="E1703" t="str">
        <f>IF(june[[#This Row],[ShiftCounter]]&gt;0, "Running", "Down")</f>
        <v>Running</v>
      </c>
    </row>
    <row r="1704" spans="1:5" x14ac:dyDescent="0.25">
      <c r="A1704" s="8">
        <v>44727</v>
      </c>
      <c r="B1704" t="s">
        <v>31</v>
      </c>
      <c r="C1704">
        <v>2021</v>
      </c>
      <c r="D1704" t="s">
        <v>7</v>
      </c>
      <c r="E1704" t="str">
        <f>IF(june[[#This Row],[ShiftCounter]]&gt;0, "Running", "Down")</f>
        <v>Running</v>
      </c>
    </row>
    <row r="1705" spans="1:5" x14ac:dyDescent="0.25">
      <c r="A1705" s="8">
        <v>44727</v>
      </c>
      <c r="B1705" t="s">
        <v>31</v>
      </c>
      <c r="C1705">
        <v>2135</v>
      </c>
      <c r="D1705" t="s">
        <v>8</v>
      </c>
      <c r="E1705" t="str">
        <f>IF(june[[#This Row],[ShiftCounter]]&gt;0, "Running", "Down")</f>
        <v>Running</v>
      </c>
    </row>
    <row r="1706" spans="1:5" x14ac:dyDescent="0.25">
      <c r="A1706" s="8">
        <v>44727</v>
      </c>
      <c r="B1706" t="s">
        <v>32</v>
      </c>
      <c r="C1706">
        <v>2451</v>
      </c>
      <c r="D1706" t="s">
        <v>6</v>
      </c>
      <c r="E1706" t="str">
        <f>IF(june[[#This Row],[ShiftCounter]]&gt;0, "Running", "Down")</f>
        <v>Running</v>
      </c>
    </row>
    <row r="1707" spans="1:5" x14ac:dyDescent="0.25">
      <c r="A1707" s="8">
        <v>44727</v>
      </c>
      <c r="B1707" t="s">
        <v>32</v>
      </c>
      <c r="C1707">
        <v>2403</v>
      </c>
      <c r="D1707" t="s">
        <v>7</v>
      </c>
      <c r="E1707" t="str">
        <f>IF(june[[#This Row],[ShiftCounter]]&gt;0, "Running", "Down")</f>
        <v>Running</v>
      </c>
    </row>
    <row r="1708" spans="1:5" x14ac:dyDescent="0.25">
      <c r="A1708" s="8">
        <v>44727</v>
      </c>
      <c r="B1708" t="s">
        <v>32</v>
      </c>
      <c r="C1708">
        <v>2479</v>
      </c>
      <c r="D1708" t="s">
        <v>8</v>
      </c>
      <c r="E1708" t="str">
        <f>IF(june[[#This Row],[ShiftCounter]]&gt;0, "Running", "Down")</f>
        <v>Running</v>
      </c>
    </row>
    <row r="1709" spans="1:5" x14ac:dyDescent="0.25">
      <c r="A1709" s="8">
        <v>44727</v>
      </c>
      <c r="B1709" t="s">
        <v>71</v>
      </c>
      <c r="C1709">
        <v>1990</v>
      </c>
      <c r="D1709" t="s">
        <v>6</v>
      </c>
      <c r="E1709" t="str">
        <f>IF(june[[#This Row],[ShiftCounter]]&gt;0, "Running", "Down")</f>
        <v>Running</v>
      </c>
    </row>
    <row r="1710" spans="1:5" x14ac:dyDescent="0.25">
      <c r="A1710" s="8">
        <v>44727</v>
      </c>
      <c r="B1710" t="s">
        <v>71</v>
      </c>
      <c r="C1710">
        <v>2048</v>
      </c>
      <c r="D1710" t="s">
        <v>7</v>
      </c>
      <c r="E1710" t="str">
        <f>IF(june[[#This Row],[ShiftCounter]]&gt;0, "Running", "Down")</f>
        <v>Running</v>
      </c>
    </row>
    <row r="1711" spans="1:5" x14ac:dyDescent="0.25">
      <c r="A1711" s="8">
        <v>44727</v>
      </c>
      <c r="B1711" t="s">
        <v>71</v>
      </c>
      <c r="C1711">
        <v>2091</v>
      </c>
      <c r="D1711" t="s">
        <v>8</v>
      </c>
      <c r="E1711" t="str">
        <f>IF(june[[#This Row],[ShiftCounter]]&gt;0, "Running", "Down")</f>
        <v>Running</v>
      </c>
    </row>
    <row r="1712" spans="1:5" x14ac:dyDescent="0.25">
      <c r="A1712" s="8">
        <v>44727</v>
      </c>
      <c r="B1712" t="s">
        <v>33</v>
      </c>
      <c r="C1712">
        <v>2386</v>
      </c>
      <c r="D1712" t="s">
        <v>6</v>
      </c>
      <c r="E1712" t="str">
        <f>IF(june[[#This Row],[ShiftCounter]]&gt;0, "Running", "Down")</f>
        <v>Running</v>
      </c>
    </row>
    <row r="1713" spans="1:5" x14ac:dyDescent="0.25">
      <c r="A1713" s="8">
        <v>44727</v>
      </c>
      <c r="B1713" t="s">
        <v>33</v>
      </c>
      <c r="C1713">
        <v>2340</v>
      </c>
      <c r="D1713" t="s">
        <v>7</v>
      </c>
      <c r="E1713" t="str">
        <f>IF(june[[#This Row],[ShiftCounter]]&gt;0, "Running", "Down")</f>
        <v>Running</v>
      </c>
    </row>
    <row r="1714" spans="1:5" x14ac:dyDescent="0.25">
      <c r="A1714" s="8">
        <v>44727</v>
      </c>
      <c r="B1714" t="s">
        <v>33</v>
      </c>
      <c r="C1714">
        <v>2415</v>
      </c>
      <c r="D1714" t="s">
        <v>8</v>
      </c>
      <c r="E1714" t="str">
        <f>IF(june[[#This Row],[ShiftCounter]]&gt;0, "Running", "Down")</f>
        <v>Running</v>
      </c>
    </row>
    <row r="1715" spans="1:5" x14ac:dyDescent="0.25">
      <c r="A1715" s="8">
        <v>44727</v>
      </c>
      <c r="B1715" t="s">
        <v>34</v>
      </c>
      <c r="C1715">
        <v>1896</v>
      </c>
      <c r="D1715" t="s">
        <v>6</v>
      </c>
      <c r="E1715" t="str">
        <f>IF(june[[#This Row],[ShiftCounter]]&gt;0, "Running", "Down")</f>
        <v>Running</v>
      </c>
    </row>
    <row r="1716" spans="1:5" x14ac:dyDescent="0.25">
      <c r="A1716" s="8">
        <v>44727</v>
      </c>
      <c r="B1716" t="s">
        <v>34</v>
      </c>
      <c r="C1716">
        <v>1849</v>
      </c>
      <c r="D1716" t="s">
        <v>7</v>
      </c>
      <c r="E1716" t="str">
        <f>IF(june[[#This Row],[ShiftCounter]]&gt;0, "Running", "Down")</f>
        <v>Running</v>
      </c>
    </row>
    <row r="1717" spans="1:5" x14ac:dyDescent="0.25">
      <c r="A1717" s="8">
        <v>44727</v>
      </c>
      <c r="B1717" t="s">
        <v>34</v>
      </c>
      <c r="C1717">
        <v>1965</v>
      </c>
      <c r="D1717" t="s">
        <v>8</v>
      </c>
      <c r="E1717" t="str">
        <f>IF(june[[#This Row],[ShiftCounter]]&gt;0, "Running", "Down")</f>
        <v>Running</v>
      </c>
    </row>
    <row r="1718" spans="1:5" x14ac:dyDescent="0.25">
      <c r="A1718" s="8">
        <v>44727</v>
      </c>
      <c r="B1718" t="s">
        <v>36</v>
      </c>
      <c r="C1718">
        <v>1592</v>
      </c>
      <c r="D1718" t="s">
        <v>6</v>
      </c>
      <c r="E1718" t="str">
        <f>IF(june[[#This Row],[ShiftCounter]]&gt;0, "Running", "Down")</f>
        <v>Running</v>
      </c>
    </row>
    <row r="1719" spans="1:5" x14ac:dyDescent="0.25">
      <c r="A1719" s="8">
        <v>44727</v>
      </c>
      <c r="B1719" t="s">
        <v>36</v>
      </c>
      <c r="C1719">
        <v>2294</v>
      </c>
      <c r="D1719" t="s">
        <v>7</v>
      </c>
      <c r="E1719" t="str">
        <f>IF(june[[#This Row],[ShiftCounter]]&gt;0, "Running", "Down")</f>
        <v>Running</v>
      </c>
    </row>
    <row r="1720" spans="1:5" x14ac:dyDescent="0.25">
      <c r="A1720" s="8">
        <v>44727</v>
      </c>
      <c r="B1720" t="s">
        <v>36</v>
      </c>
      <c r="C1720">
        <v>2273</v>
      </c>
      <c r="D1720" t="s">
        <v>8</v>
      </c>
      <c r="E1720" t="str">
        <f>IF(june[[#This Row],[ShiftCounter]]&gt;0, "Running", "Down")</f>
        <v>Running</v>
      </c>
    </row>
    <row r="1721" spans="1:5" x14ac:dyDescent="0.25">
      <c r="A1721" s="8">
        <v>44727</v>
      </c>
      <c r="B1721" t="s">
        <v>37</v>
      </c>
      <c r="C1721">
        <v>2540</v>
      </c>
      <c r="D1721" t="s">
        <v>6</v>
      </c>
      <c r="E1721" t="str">
        <f>IF(june[[#This Row],[ShiftCounter]]&gt;0, "Running", "Down")</f>
        <v>Running</v>
      </c>
    </row>
    <row r="1722" spans="1:5" x14ac:dyDescent="0.25">
      <c r="A1722" s="8">
        <v>44727</v>
      </c>
      <c r="B1722" t="s">
        <v>37</v>
      </c>
      <c r="C1722">
        <v>2317</v>
      </c>
      <c r="D1722" t="s">
        <v>7</v>
      </c>
      <c r="E1722" t="str">
        <f>IF(june[[#This Row],[ShiftCounter]]&gt;0, "Running", "Down")</f>
        <v>Running</v>
      </c>
    </row>
    <row r="1723" spans="1:5" x14ac:dyDescent="0.25">
      <c r="A1723" s="8">
        <v>44727</v>
      </c>
      <c r="B1723" t="s">
        <v>37</v>
      </c>
      <c r="C1723">
        <v>2255</v>
      </c>
      <c r="D1723" t="s">
        <v>8</v>
      </c>
      <c r="E1723" t="str">
        <f>IF(june[[#This Row],[ShiftCounter]]&gt;0, "Running", "Down")</f>
        <v>Running</v>
      </c>
    </row>
    <row r="1724" spans="1:5" x14ac:dyDescent="0.25">
      <c r="A1724" s="8">
        <v>44728</v>
      </c>
      <c r="B1724" t="s">
        <v>158</v>
      </c>
      <c r="C1724">
        <v>2274</v>
      </c>
      <c r="D1724" t="s">
        <v>6</v>
      </c>
      <c r="E1724" t="str">
        <f>IF(june[[#This Row],[ShiftCounter]]&gt;0, "Running", "Down")</f>
        <v>Running</v>
      </c>
    </row>
    <row r="1725" spans="1:5" x14ac:dyDescent="0.25">
      <c r="A1725" s="8">
        <v>44728</v>
      </c>
      <c r="B1725" t="s">
        <v>158</v>
      </c>
      <c r="C1725">
        <v>2230</v>
      </c>
      <c r="D1725" t="s">
        <v>7</v>
      </c>
      <c r="E1725" t="str">
        <f>IF(june[[#This Row],[ShiftCounter]]&gt;0, "Running", "Down")</f>
        <v>Running</v>
      </c>
    </row>
    <row r="1726" spans="1:5" x14ac:dyDescent="0.25">
      <c r="A1726" s="8">
        <v>44728</v>
      </c>
      <c r="B1726" t="s">
        <v>158</v>
      </c>
      <c r="C1726">
        <v>2053</v>
      </c>
      <c r="D1726" t="s">
        <v>8</v>
      </c>
      <c r="E1726" t="str">
        <f>IF(june[[#This Row],[ShiftCounter]]&gt;0, "Running", "Down")</f>
        <v>Running</v>
      </c>
    </row>
    <row r="1727" spans="1:5" x14ac:dyDescent="0.25">
      <c r="A1727" s="8">
        <v>44728</v>
      </c>
      <c r="B1727" t="s">
        <v>40</v>
      </c>
      <c r="C1727">
        <v>2318</v>
      </c>
      <c r="D1727" t="s">
        <v>6</v>
      </c>
      <c r="E1727" t="str">
        <f>IF(june[[#This Row],[ShiftCounter]]&gt;0, "Running", "Down")</f>
        <v>Running</v>
      </c>
    </row>
    <row r="1728" spans="1:5" x14ac:dyDescent="0.25">
      <c r="A1728" s="8">
        <v>44728</v>
      </c>
      <c r="B1728" t="s">
        <v>40</v>
      </c>
      <c r="C1728">
        <v>2270</v>
      </c>
      <c r="D1728" t="s">
        <v>7</v>
      </c>
      <c r="E1728" t="str">
        <f>IF(june[[#This Row],[ShiftCounter]]&gt;0, "Running", "Down")</f>
        <v>Running</v>
      </c>
    </row>
    <row r="1729" spans="1:5" x14ac:dyDescent="0.25">
      <c r="A1729" s="8">
        <v>44728</v>
      </c>
      <c r="B1729" t="s">
        <v>40</v>
      </c>
      <c r="C1729">
        <v>2100</v>
      </c>
      <c r="D1729" t="s">
        <v>8</v>
      </c>
      <c r="E1729" t="str">
        <f>IF(june[[#This Row],[ShiftCounter]]&gt;0, "Running", "Down")</f>
        <v>Running</v>
      </c>
    </row>
    <row r="1730" spans="1:5" x14ac:dyDescent="0.25">
      <c r="A1730" s="8">
        <v>44728</v>
      </c>
      <c r="B1730" t="s">
        <v>39</v>
      </c>
      <c r="C1730">
        <v>2093</v>
      </c>
      <c r="D1730" t="s">
        <v>6</v>
      </c>
      <c r="E1730" t="str">
        <f>IF(june[[#This Row],[ShiftCounter]]&gt;0, "Running", "Down")</f>
        <v>Running</v>
      </c>
    </row>
    <row r="1731" spans="1:5" x14ac:dyDescent="0.25">
      <c r="A1731" s="8">
        <v>44728</v>
      </c>
      <c r="B1731" t="s">
        <v>39</v>
      </c>
      <c r="C1731">
        <v>2255</v>
      </c>
      <c r="D1731" t="s">
        <v>7</v>
      </c>
      <c r="E1731" t="str">
        <f>IF(june[[#This Row],[ShiftCounter]]&gt;0, "Running", "Down")</f>
        <v>Running</v>
      </c>
    </row>
    <row r="1732" spans="1:5" x14ac:dyDescent="0.25">
      <c r="A1732" s="8">
        <v>44728</v>
      </c>
      <c r="B1732" t="s">
        <v>39</v>
      </c>
      <c r="C1732">
        <v>2039</v>
      </c>
      <c r="D1732" t="s">
        <v>8</v>
      </c>
      <c r="E1732" t="str">
        <f>IF(june[[#This Row],[ShiftCounter]]&gt;0, "Running", "Down")</f>
        <v>Running</v>
      </c>
    </row>
    <row r="1733" spans="1:5" x14ac:dyDescent="0.25">
      <c r="A1733" s="8">
        <v>44728</v>
      </c>
      <c r="B1733" t="s">
        <v>41</v>
      </c>
      <c r="C1733">
        <v>2380</v>
      </c>
      <c r="D1733" t="s">
        <v>6</v>
      </c>
      <c r="E1733" t="str">
        <f>IF(june[[#This Row],[ShiftCounter]]&gt;0, "Running", "Down")</f>
        <v>Running</v>
      </c>
    </row>
    <row r="1734" spans="1:5" x14ac:dyDescent="0.25">
      <c r="A1734" s="8">
        <v>44728</v>
      </c>
      <c r="B1734" t="s">
        <v>41</v>
      </c>
      <c r="C1734">
        <v>2344</v>
      </c>
      <c r="D1734" t="s">
        <v>7</v>
      </c>
      <c r="E1734" t="str">
        <f>IF(june[[#This Row],[ShiftCounter]]&gt;0, "Running", "Down")</f>
        <v>Running</v>
      </c>
    </row>
    <row r="1735" spans="1:5" x14ac:dyDescent="0.25">
      <c r="A1735" s="8">
        <v>44728</v>
      </c>
      <c r="B1735" t="s">
        <v>41</v>
      </c>
      <c r="C1735">
        <v>2080</v>
      </c>
      <c r="D1735" t="s">
        <v>8</v>
      </c>
      <c r="E1735" t="str">
        <f>IF(june[[#This Row],[ShiftCounter]]&gt;0, "Running", "Down")</f>
        <v>Running</v>
      </c>
    </row>
    <row r="1736" spans="1:5" x14ac:dyDescent="0.25">
      <c r="A1736" s="8">
        <v>44728</v>
      </c>
      <c r="B1736" t="s">
        <v>5</v>
      </c>
      <c r="C1736">
        <v>1970</v>
      </c>
      <c r="D1736" t="s">
        <v>6</v>
      </c>
      <c r="E1736" t="str">
        <f>IF(june[[#This Row],[ShiftCounter]]&gt;0, "Running", "Down")</f>
        <v>Running</v>
      </c>
    </row>
    <row r="1737" spans="1:5" x14ac:dyDescent="0.25">
      <c r="A1737" s="8">
        <v>44728</v>
      </c>
      <c r="B1737" t="s">
        <v>5</v>
      </c>
      <c r="C1737">
        <v>2286</v>
      </c>
      <c r="D1737" t="s">
        <v>7</v>
      </c>
      <c r="E1737" t="str">
        <f>IF(june[[#This Row],[ShiftCounter]]&gt;0, "Running", "Down")</f>
        <v>Running</v>
      </c>
    </row>
    <row r="1738" spans="1:5" x14ac:dyDescent="0.25">
      <c r="A1738" s="8">
        <v>44728</v>
      </c>
      <c r="B1738" t="s">
        <v>5</v>
      </c>
      <c r="C1738">
        <v>2064</v>
      </c>
      <c r="D1738" t="s">
        <v>8</v>
      </c>
      <c r="E1738" t="str">
        <f>IF(june[[#This Row],[ShiftCounter]]&gt;0, "Running", "Down")</f>
        <v>Running</v>
      </c>
    </row>
    <row r="1739" spans="1:5" x14ac:dyDescent="0.25">
      <c r="A1739" s="8">
        <v>44728</v>
      </c>
      <c r="B1739" t="s">
        <v>9</v>
      </c>
      <c r="C1739">
        <v>2093</v>
      </c>
      <c r="D1739" t="s">
        <v>6</v>
      </c>
      <c r="E1739" t="str">
        <f>IF(june[[#This Row],[ShiftCounter]]&gt;0, "Running", "Down")</f>
        <v>Running</v>
      </c>
    </row>
    <row r="1740" spans="1:5" x14ac:dyDescent="0.25">
      <c r="A1740" s="8">
        <v>44728</v>
      </c>
      <c r="B1740" t="s">
        <v>9</v>
      </c>
      <c r="C1740">
        <v>2223</v>
      </c>
      <c r="D1740" t="s">
        <v>7</v>
      </c>
      <c r="E1740" t="str">
        <f>IF(june[[#This Row],[ShiftCounter]]&gt;0, "Running", "Down")</f>
        <v>Running</v>
      </c>
    </row>
    <row r="1741" spans="1:5" x14ac:dyDescent="0.25">
      <c r="A1741" s="8">
        <v>44728</v>
      </c>
      <c r="B1741" t="s">
        <v>9</v>
      </c>
      <c r="C1741">
        <v>1987</v>
      </c>
      <c r="D1741" t="s">
        <v>8</v>
      </c>
      <c r="E1741" t="str">
        <f>IF(june[[#This Row],[ShiftCounter]]&gt;0, "Running", "Down")</f>
        <v>Running</v>
      </c>
    </row>
    <row r="1742" spans="1:5" x14ac:dyDescent="0.25">
      <c r="A1742" s="8">
        <v>44728</v>
      </c>
      <c r="B1742" t="s">
        <v>10</v>
      </c>
      <c r="C1742">
        <v>2064</v>
      </c>
      <c r="D1742" t="s">
        <v>6</v>
      </c>
      <c r="E1742" t="str">
        <f>IF(june[[#This Row],[ShiftCounter]]&gt;0, "Running", "Down")</f>
        <v>Running</v>
      </c>
    </row>
    <row r="1743" spans="1:5" x14ac:dyDescent="0.25">
      <c r="A1743" s="8">
        <v>44728</v>
      </c>
      <c r="B1743" t="s">
        <v>10</v>
      </c>
      <c r="C1743">
        <v>2314</v>
      </c>
      <c r="D1743" t="s">
        <v>7</v>
      </c>
      <c r="E1743" t="str">
        <f>IF(june[[#This Row],[ShiftCounter]]&gt;0, "Running", "Down")</f>
        <v>Running</v>
      </c>
    </row>
    <row r="1744" spans="1:5" x14ac:dyDescent="0.25">
      <c r="A1744" s="8">
        <v>44728</v>
      </c>
      <c r="B1744" t="s">
        <v>10</v>
      </c>
      <c r="C1744">
        <v>2071</v>
      </c>
      <c r="D1744" t="s">
        <v>8</v>
      </c>
      <c r="E1744" t="str">
        <f>IF(june[[#This Row],[ShiftCounter]]&gt;0, "Running", "Down")</f>
        <v>Running</v>
      </c>
    </row>
    <row r="1745" spans="1:5" x14ac:dyDescent="0.25">
      <c r="A1745" s="8">
        <v>44728</v>
      </c>
      <c r="B1745" t="s">
        <v>11</v>
      </c>
      <c r="C1745">
        <v>2377</v>
      </c>
      <c r="D1745" t="s">
        <v>6</v>
      </c>
      <c r="E1745" t="str">
        <f>IF(june[[#This Row],[ShiftCounter]]&gt;0, "Running", "Down")</f>
        <v>Running</v>
      </c>
    </row>
    <row r="1746" spans="1:5" x14ac:dyDescent="0.25">
      <c r="A1746" s="8">
        <v>44728</v>
      </c>
      <c r="B1746" t="s">
        <v>11</v>
      </c>
      <c r="C1746">
        <v>2308</v>
      </c>
      <c r="D1746" t="s">
        <v>7</v>
      </c>
      <c r="E1746" t="str">
        <f>IF(june[[#This Row],[ShiftCounter]]&gt;0, "Running", "Down")</f>
        <v>Running</v>
      </c>
    </row>
    <row r="1747" spans="1:5" x14ac:dyDescent="0.25">
      <c r="A1747" s="8">
        <v>44728</v>
      </c>
      <c r="B1747" t="s">
        <v>11</v>
      </c>
      <c r="C1747">
        <v>2079</v>
      </c>
      <c r="D1747" t="s">
        <v>8</v>
      </c>
      <c r="E1747" t="str">
        <f>IF(june[[#This Row],[ShiftCounter]]&gt;0, "Running", "Down")</f>
        <v>Running</v>
      </c>
    </row>
    <row r="1748" spans="1:5" x14ac:dyDescent="0.25">
      <c r="A1748" s="8">
        <v>44728</v>
      </c>
      <c r="B1748" t="s">
        <v>12</v>
      </c>
      <c r="C1748">
        <v>2371</v>
      </c>
      <c r="D1748" t="s">
        <v>6</v>
      </c>
      <c r="E1748" t="str">
        <f>IF(june[[#This Row],[ShiftCounter]]&gt;0, "Running", "Down")</f>
        <v>Running</v>
      </c>
    </row>
    <row r="1749" spans="1:5" x14ac:dyDescent="0.25">
      <c r="A1749" s="8">
        <v>44728</v>
      </c>
      <c r="B1749" t="s">
        <v>12</v>
      </c>
      <c r="C1749">
        <v>2266</v>
      </c>
      <c r="D1749" t="s">
        <v>7</v>
      </c>
      <c r="E1749" t="str">
        <f>IF(june[[#This Row],[ShiftCounter]]&gt;0, "Running", "Down")</f>
        <v>Running</v>
      </c>
    </row>
    <row r="1750" spans="1:5" x14ac:dyDescent="0.25">
      <c r="A1750" s="8">
        <v>44728</v>
      </c>
      <c r="B1750" t="s">
        <v>12</v>
      </c>
      <c r="C1750">
        <v>2037</v>
      </c>
      <c r="D1750" t="s">
        <v>8</v>
      </c>
      <c r="E1750" t="str">
        <f>IF(june[[#This Row],[ShiftCounter]]&gt;0, "Running", "Down")</f>
        <v>Running</v>
      </c>
    </row>
    <row r="1751" spans="1:5" x14ac:dyDescent="0.25">
      <c r="A1751" s="8">
        <v>44728</v>
      </c>
      <c r="B1751" t="s">
        <v>13</v>
      </c>
      <c r="C1751">
        <v>2235</v>
      </c>
      <c r="D1751" t="s">
        <v>6</v>
      </c>
      <c r="E1751" t="str">
        <f>IF(june[[#This Row],[ShiftCounter]]&gt;0, "Running", "Down")</f>
        <v>Running</v>
      </c>
    </row>
    <row r="1752" spans="1:5" x14ac:dyDescent="0.25">
      <c r="A1752" s="8">
        <v>44728</v>
      </c>
      <c r="B1752" t="s">
        <v>13</v>
      </c>
      <c r="C1752">
        <v>2188</v>
      </c>
      <c r="D1752" t="s">
        <v>7</v>
      </c>
      <c r="E1752" t="str">
        <f>IF(june[[#This Row],[ShiftCounter]]&gt;0, "Running", "Down")</f>
        <v>Running</v>
      </c>
    </row>
    <row r="1753" spans="1:5" x14ac:dyDescent="0.25">
      <c r="A1753" s="8">
        <v>44728</v>
      </c>
      <c r="B1753" t="s">
        <v>13</v>
      </c>
      <c r="C1753">
        <v>1923</v>
      </c>
      <c r="D1753" t="s">
        <v>8</v>
      </c>
      <c r="E1753" t="str">
        <f>IF(june[[#This Row],[ShiftCounter]]&gt;0, "Running", "Down")</f>
        <v>Running</v>
      </c>
    </row>
    <row r="1754" spans="1:5" x14ac:dyDescent="0.25">
      <c r="A1754" s="8">
        <v>44728</v>
      </c>
      <c r="B1754" t="s">
        <v>114</v>
      </c>
      <c r="C1754">
        <v>2079</v>
      </c>
      <c r="D1754" t="s">
        <v>6</v>
      </c>
      <c r="E1754" t="str">
        <f>IF(june[[#This Row],[ShiftCounter]]&gt;0, "Running", "Down")</f>
        <v>Running</v>
      </c>
    </row>
    <row r="1755" spans="1:5" x14ac:dyDescent="0.25">
      <c r="A1755" s="8">
        <v>44728</v>
      </c>
      <c r="B1755" t="s">
        <v>114</v>
      </c>
      <c r="C1755">
        <v>2113</v>
      </c>
      <c r="D1755" t="s">
        <v>7</v>
      </c>
      <c r="E1755" t="str">
        <f>IF(june[[#This Row],[ShiftCounter]]&gt;0, "Running", "Down")</f>
        <v>Running</v>
      </c>
    </row>
    <row r="1756" spans="1:5" x14ac:dyDescent="0.25">
      <c r="A1756" s="8">
        <v>44728</v>
      </c>
      <c r="B1756" t="s">
        <v>114</v>
      </c>
      <c r="C1756">
        <v>1855</v>
      </c>
      <c r="D1756" t="s">
        <v>8</v>
      </c>
      <c r="E1756" t="str">
        <f>IF(june[[#This Row],[ShiftCounter]]&gt;0, "Running", "Down")</f>
        <v>Running</v>
      </c>
    </row>
    <row r="1757" spans="1:5" x14ac:dyDescent="0.25">
      <c r="A1757" s="8">
        <v>44728</v>
      </c>
      <c r="B1757" t="s">
        <v>14</v>
      </c>
      <c r="C1757">
        <v>2005</v>
      </c>
      <c r="D1757" t="s">
        <v>6</v>
      </c>
      <c r="E1757" t="str">
        <f>IF(june[[#This Row],[ShiftCounter]]&gt;0, "Running", "Down")</f>
        <v>Running</v>
      </c>
    </row>
    <row r="1758" spans="1:5" x14ac:dyDescent="0.25">
      <c r="A1758" s="8">
        <v>44728</v>
      </c>
      <c r="B1758" t="s">
        <v>14</v>
      </c>
      <c r="C1758">
        <v>1231</v>
      </c>
      <c r="D1758" t="s">
        <v>7</v>
      </c>
      <c r="E1758" t="str">
        <f>IF(june[[#This Row],[ShiftCounter]]&gt;0, "Running", "Down")</f>
        <v>Running</v>
      </c>
    </row>
    <row r="1759" spans="1:5" x14ac:dyDescent="0.25">
      <c r="A1759" s="8">
        <v>44728</v>
      </c>
      <c r="B1759" t="s">
        <v>14</v>
      </c>
      <c r="C1759">
        <v>0</v>
      </c>
      <c r="D1759" t="s">
        <v>8</v>
      </c>
      <c r="E1759" t="str">
        <f>IF(june[[#This Row],[ShiftCounter]]&gt;0, "Running", "Down")</f>
        <v>Down</v>
      </c>
    </row>
    <row r="1760" spans="1:5" x14ac:dyDescent="0.25">
      <c r="A1760" s="8">
        <v>44728</v>
      </c>
      <c r="B1760" t="s">
        <v>15</v>
      </c>
      <c r="C1760">
        <v>2341</v>
      </c>
      <c r="D1760" t="s">
        <v>6</v>
      </c>
      <c r="E1760" t="str">
        <f>IF(june[[#This Row],[ShiftCounter]]&gt;0, "Running", "Down")</f>
        <v>Running</v>
      </c>
    </row>
    <row r="1761" spans="1:5" x14ac:dyDescent="0.25">
      <c r="A1761" s="8">
        <v>44728</v>
      </c>
      <c r="B1761" t="s">
        <v>15</v>
      </c>
      <c r="C1761">
        <v>2303</v>
      </c>
      <c r="D1761" t="s">
        <v>7</v>
      </c>
      <c r="E1761" t="str">
        <f>IF(june[[#This Row],[ShiftCounter]]&gt;0, "Running", "Down")</f>
        <v>Running</v>
      </c>
    </row>
    <row r="1762" spans="1:5" x14ac:dyDescent="0.25">
      <c r="A1762" s="8">
        <v>44728</v>
      </c>
      <c r="B1762" t="s">
        <v>15</v>
      </c>
      <c r="C1762">
        <v>2030</v>
      </c>
      <c r="D1762" t="s">
        <v>8</v>
      </c>
      <c r="E1762" t="str">
        <f>IF(june[[#This Row],[ShiftCounter]]&gt;0, "Running", "Down")</f>
        <v>Running</v>
      </c>
    </row>
    <row r="1763" spans="1:5" x14ac:dyDescent="0.25">
      <c r="A1763" s="8">
        <v>44728</v>
      </c>
      <c r="B1763" t="s">
        <v>16</v>
      </c>
      <c r="C1763">
        <v>2115</v>
      </c>
      <c r="D1763" t="s">
        <v>6</v>
      </c>
      <c r="E1763" t="str">
        <f>IF(june[[#This Row],[ShiftCounter]]&gt;0, "Running", "Down")</f>
        <v>Running</v>
      </c>
    </row>
    <row r="1764" spans="1:5" x14ac:dyDescent="0.25">
      <c r="A1764" s="8">
        <v>44728</v>
      </c>
      <c r="B1764" t="s">
        <v>16</v>
      </c>
      <c r="C1764">
        <v>2253</v>
      </c>
      <c r="D1764" t="s">
        <v>7</v>
      </c>
      <c r="E1764" t="str">
        <f>IF(june[[#This Row],[ShiftCounter]]&gt;0, "Running", "Down")</f>
        <v>Running</v>
      </c>
    </row>
    <row r="1765" spans="1:5" x14ac:dyDescent="0.25">
      <c r="A1765" s="8">
        <v>44728</v>
      </c>
      <c r="B1765" t="s">
        <v>16</v>
      </c>
      <c r="C1765">
        <v>2000</v>
      </c>
      <c r="D1765" t="s">
        <v>8</v>
      </c>
      <c r="E1765" t="str">
        <f>IF(june[[#This Row],[ShiftCounter]]&gt;0, "Running", "Down")</f>
        <v>Running</v>
      </c>
    </row>
    <row r="1766" spans="1:5" x14ac:dyDescent="0.25">
      <c r="A1766" s="8">
        <v>44728</v>
      </c>
      <c r="B1766" t="s">
        <v>17</v>
      </c>
      <c r="C1766">
        <v>2242</v>
      </c>
      <c r="D1766" t="s">
        <v>6</v>
      </c>
      <c r="E1766" t="str">
        <f>IF(june[[#This Row],[ShiftCounter]]&gt;0, "Running", "Down")</f>
        <v>Running</v>
      </c>
    </row>
    <row r="1767" spans="1:5" x14ac:dyDescent="0.25">
      <c r="A1767" s="8">
        <v>44728</v>
      </c>
      <c r="B1767" t="s">
        <v>17</v>
      </c>
      <c r="C1767">
        <v>2334</v>
      </c>
      <c r="D1767" t="s">
        <v>7</v>
      </c>
      <c r="E1767" t="str">
        <f>IF(june[[#This Row],[ShiftCounter]]&gt;0, "Running", "Down")</f>
        <v>Running</v>
      </c>
    </row>
    <row r="1768" spans="1:5" x14ac:dyDescent="0.25">
      <c r="A1768" s="8">
        <v>44728</v>
      </c>
      <c r="B1768" t="s">
        <v>17</v>
      </c>
      <c r="C1768">
        <v>2076</v>
      </c>
      <c r="D1768" t="s">
        <v>8</v>
      </c>
      <c r="E1768" t="str">
        <f>IF(june[[#This Row],[ShiftCounter]]&gt;0, "Running", "Down")</f>
        <v>Running</v>
      </c>
    </row>
    <row r="1769" spans="1:5" x14ac:dyDescent="0.25">
      <c r="A1769" s="8">
        <v>44728</v>
      </c>
      <c r="B1769" t="s">
        <v>18</v>
      </c>
      <c r="C1769">
        <v>2416</v>
      </c>
      <c r="D1769" t="s">
        <v>6</v>
      </c>
      <c r="E1769" t="str">
        <f>IF(june[[#This Row],[ShiftCounter]]&gt;0, "Running", "Down")</f>
        <v>Running</v>
      </c>
    </row>
    <row r="1770" spans="1:5" x14ac:dyDescent="0.25">
      <c r="A1770" s="8">
        <v>44728</v>
      </c>
      <c r="B1770" t="s">
        <v>18</v>
      </c>
      <c r="C1770">
        <v>2331</v>
      </c>
      <c r="D1770" t="s">
        <v>7</v>
      </c>
      <c r="E1770" t="str">
        <f>IF(june[[#This Row],[ShiftCounter]]&gt;0, "Running", "Down")</f>
        <v>Running</v>
      </c>
    </row>
    <row r="1771" spans="1:5" x14ac:dyDescent="0.25">
      <c r="A1771" s="8">
        <v>44728</v>
      </c>
      <c r="B1771" t="s">
        <v>18</v>
      </c>
      <c r="C1771">
        <v>2035</v>
      </c>
      <c r="D1771" t="s">
        <v>8</v>
      </c>
      <c r="E1771" t="str">
        <f>IF(june[[#This Row],[ShiftCounter]]&gt;0, "Running", "Down")</f>
        <v>Running</v>
      </c>
    </row>
    <row r="1772" spans="1:5" x14ac:dyDescent="0.25">
      <c r="A1772" s="8">
        <v>44728</v>
      </c>
      <c r="B1772" t="s">
        <v>19</v>
      </c>
      <c r="C1772">
        <v>1946</v>
      </c>
      <c r="D1772" t="s">
        <v>6</v>
      </c>
      <c r="E1772" t="str">
        <f>IF(june[[#This Row],[ShiftCounter]]&gt;0, "Running", "Down")</f>
        <v>Running</v>
      </c>
    </row>
    <row r="1773" spans="1:5" x14ac:dyDescent="0.25">
      <c r="A1773" s="8">
        <v>44728</v>
      </c>
      <c r="B1773" t="s">
        <v>19</v>
      </c>
      <c r="C1773">
        <v>2015</v>
      </c>
      <c r="D1773" t="s">
        <v>7</v>
      </c>
      <c r="E1773" t="str">
        <f>IF(june[[#This Row],[ShiftCounter]]&gt;0, "Running", "Down")</f>
        <v>Running</v>
      </c>
    </row>
    <row r="1774" spans="1:5" x14ac:dyDescent="0.25">
      <c r="A1774" s="8">
        <v>44728</v>
      </c>
      <c r="B1774" t="s">
        <v>19</v>
      </c>
      <c r="C1774">
        <v>1683</v>
      </c>
      <c r="D1774" t="s">
        <v>8</v>
      </c>
      <c r="E1774" t="str">
        <f>IF(june[[#This Row],[ShiftCounter]]&gt;0, "Running", "Down")</f>
        <v>Running</v>
      </c>
    </row>
    <row r="1775" spans="1:5" x14ac:dyDescent="0.25">
      <c r="A1775" s="8">
        <v>44728</v>
      </c>
      <c r="B1775" t="s">
        <v>42</v>
      </c>
      <c r="C1775">
        <v>2094</v>
      </c>
      <c r="D1775" t="s">
        <v>6</v>
      </c>
      <c r="E1775" t="str">
        <f>IF(june[[#This Row],[ShiftCounter]]&gt;0, "Running", "Down")</f>
        <v>Running</v>
      </c>
    </row>
    <row r="1776" spans="1:5" x14ac:dyDescent="0.25">
      <c r="A1776" s="8">
        <v>44728</v>
      </c>
      <c r="B1776" t="s">
        <v>42</v>
      </c>
      <c r="C1776">
        <v>2214</v>
      </c>
      <c r="D1776" t="s">
        <v>7</v>
      </c>
      <c r="E1776" t="str">
        <f>IF(june[[#This Row],[ShiftCounter]]&gt;0, "Running", "Down")</f>
        <v>Running</v>
      </c>
    </row>
    <row r="1777" spans="1:5" x14ac:dyDescent="0.25">
      <c r="A1777" s="8">
        <v>44728</v>
      </c>
      <c r="B1777" t="s">
        <v>42</v>
      </c>
      <c r="C1777">
        <v>1836</v>
      </c>
      <c r="D1777" t="s">
        <v>8</v>
      </c>
      <c r="E1777" t="str">
        <f>IF(june[[#This Row],[ShiftCounter]]&gt;0, "Running", "Down")</f>
        <v>Running</v>
      </c>
    </row>
    <row r="1778" spans="1:5" x14ac:dyDescent="0.25">
      <c r="A1778" s="8">
        <v>44728</v>
      </c>
      <c r="B1778" t="s">
        <v>20</v>
      </c>
      <c r="C1778">
        <v>2048</v>
      </c>
      <c r="D1778" t="s">
        <v>6</v>
      </c>
      <c r="E1778" t="str">
        <f>IF(june[[#This Row],[ShiftCounter]]&gt;0, "Running", "Down")</f>
        <v>Running</v>
      </c>
    </row>
    <row r="1779" spans="1:5" x14ac:dyDescent="0.25">
      <c r="A1779" s="8">
        <v>44728</v>
      </c>
      <c r="B1779" t="s">
        <v>20</v>
      </c>
      <c r="C1779">
        <v>2073</v>
      </c>
      <c r="D1779" t="s">
        <v>7</v>
      </c>
      <c r="E1779" t="str">
        <f>IF(june[[#This Row],[ShiftCounter]]&gt;0, "Running", "Down")</f>
        <v>Running</v>
      </c>
    </row>
    <row r="1780" spans="1:5" x14ac:dyDescent="0.25">
      <c r="A1780" s="8">
        <v>44728</v>
      </c>
      <c r="B1780" t="s">
        <v>20</v>
      </c>
      <c r="C1780">
        <v>1720</v>
      </c>
      <c r="D1780" t="s">
        <v>8</v>
      </c>
      <c r="E1780" t="str">
        <f>IF(june[[#This Row],[ShiftCounter]]&gt;0, "Running", "Down")</f>
        <v>Running</v>
      </c>
    </row>
    <row r="1781" spans="1:5" x14ac:dyDescent="0.25">
      <c r="A1781" s="8">
        <v>44728</v>
      </c>
      <c r="B1781" t="s">
        <v>21</v>
      </c>
      <c r="C1781">
        <v>1890</v>
      </c>
      <c r="D1781" t="s">
        <v>6</v>
      </c>
      <c r="E1781" t="str">
        <f>IF(june[[#This Row],[ShiftCounter]]&gt;0, "Running", "Down")</f>
        <v>Running</v>
      </c>
    </row>
    <row r="1782" spans="1:5" x14ac:dyDescent="0.25">
      <c r="A1782" s="8">
        <v>44728</v>
      </c>
      <c r="B1782" t="s">
        <v>21</v>
      </c>
      <c r="C1782">
        <v>2045</v>
      </c>
      <c r="D1782" t="s">
        <v>7</v>
      </c>
      <c r="E1782" t="str">
        <f>IF(june[[#This Row],[ShiftCounter]]&gt;0, "Running", "Down")</f>
        <v>Running</v>
      </c>
    </row>
    <row r="1783" spans="1:5" x14ac:dyDescent="0.25">
      <c r="A1783" s="8">
        <v>44728</v>
      </c>
      <c r="B1783" t="s">
        <v>21</v>
      </c>
      <c r="C1783">
        <v>1836</v>
      </c>
      <c r="D1783" t="s">
        <v>8</v>
      </c>
      <c r="E1783" t="str">
        <f>IF(june[[#This Row],[ShiftCounter]]&gt;0, "Running", "Down")</f>
        <v>Running</v>
      </c>
    </row>
    <row r="1784" spans="1:5" x14ac:dyDescent="0.25">
      <c r="A1784" s="8">
        <v>44728</v>
      </c>
      <c r="B1784" t="s">
        <v>22</v>
      </c>
      <c r="C1784">
        <v>2115</v>
      </c>
      <c r="D1784" t="s">
        <v>6</v>
      </c>
      <c r="E1784" t="str">
        <f>IF(june[[#This Row],[ShiftCounter]]&gt;0, "Running", "Down")</f>
        <v>Running</v>
      </c>
    </row>
    <row r="1785" spans="1:5" x14ac:dyDescent="0.25">
      <c r="A1785" s="8">
        <v>44728</v>
      </c>
      <c r="B1785" t="s">
        <v>22</v>
      </c>
      <c r="C1785">
        <v>2511</v>
      </c>
      <c r="D1785" t="s">
        <v>7</v>
      </c>
      <c r="E1785" t="str">
        <f>IF(june[[#This Row],[ShiftCounter]]&gt;0, "Running", "Down")</f>
        <v>Running</v>
      </c>
    </row>
    <row r="1786" spans="1:5" x14ac:dyDescent="0.25">
      <c r="A1786" s="8">
        <v>44728</v>
      </c>
      <c r="B1786" t="s">
        <v>22</v>
      </c>
      <c r="C1786">
        <v>2190</v>
      </c>
      <c r="D1786" t="s">
        <v>8</v>
      </c>
      <c r="E1786" t="str">
        <f>IF(june[[#This Row],[ShiftCounter]]&gt;0, "Running", "Down")</f>
        <v>Running</v>
      </c>
    </row>
    <row r="1787" spans="1:5" x14ac:dyDescent="0.25">
      <c r="A1787" s="8">
        <v>44728</v>
      </c>
      <c r="B1787" t="s">
        <v>23</v>
      </c>
      <c r="C1787">
        <v>2048</v>
      </c>
      <c r="D1787" t="s">
        <v>6</v>
      </c>
      <c r="E1787" t="str">
        <f>IF(june[[#This Row],[ShiftCounter]]&gt;0, "Running", "Down")</f>
        <v>Running</v>
      </c>
    </row>
    <row r="1788" spans="1:5" x14ac:dyDescent="0.25">
      <c r="A1788" s="8">
        <v>44728</v>
      </c>
      <c r="B1788" t="s">
        <v>23</v>
      </c>
      <c r="C1788">
        <v>2683</v>
      </c>
      <c r="D1788" t="s">
        <v>7</v>
      </c>
      <c r="E1788" t="str">
        <f>IF(june[[#This Row],[ShiftCounter]]&gt;0, "Running", "Down")</f>
        <v>Running</v>
      </c>
    </row>
    <row r="1789" spans="1:5" x14ac:dyDescent="0.25">
      <c r="A1789" s="8">
        <v>44728</v>
      </c>
      <c r="B1789" t="s">
        <v>23</v>
      </c>
      <c r="C1789">
        <v>2293</v>
      </c>
      <c r="D1789" t="s">
        <v>8</v>
      </c>
      <c r="E1789" t="str">
        <f>IF(june[[#This Row],[ShiftCounter]]&gt;0, "Running", "Down")</f>
        <v>Running</v>
      </c>
    </row>
    <row r="1790" spans="1:5" x14ac:dyDescent="0.25">
      <c r="A1790" s="8">
        <v>44728</v>
      </c>
      <c r="B1790" t="s">
        <v>24</v>
      </c>
      <c r="C1790">
        <v>1958</v>
      </c>
      <c r="D1790" t="s">
        <v>6</v>
      </c>
      <c r="E1790" t="str">
        <f>IF(june[[#This Row],[ShiftCounter]]&gt;0, "Running", "Down")</f>
        <v>Running</v>
      </c>
    </row>
    <row r="1791" spans="1:5" x14ac:dyDescent="0.25">
      <c r="A1791" s="8">
        <v>44728</v>
      </c>
      <c r="B1791" t="s">
        <v>24</v>
      </c>
      <c r="C1791">
        <v>2177</v>
      </c>
      <c r="D1791" t="s">
        <v>7</v>
      </c>
      <c r="E1791" t="str">
        <f>IF(june[[#This Row],[ShiftCounter]]&gt;0, "Running", "Down")</f>
        <v>Running</v>
      </c>
    </row>
    <row r="1792" spans="1:5" x14ac:dyDescent="0.25">
      <c r="A1792" s="8">
        <v>44728</v>
      </c>
      <c r="B1792" t="s">
        <v>24</v>
      </c>
      <c r="C1792">
        <v>1974</v>
      </c>
      <c r="D1792" t="s">
        <v>8</v>
      </c>
      <c r="E1792" t="str">
        <f>IF(june[[#This Row],[ShiftCounter]]&gt;0, "Running", "Down")</f>
        <v>Running</v>
      </c>
    </row>
    <row r="1793" spans="1:5" x14ac:dyDescent="0.25">
      <c r="A1793" s="8">
        <v>44728</v>
      </c>
      <c r="B1793" t="s">
        <v>25</v>
      </c>
      <c r="C1793">
        <v>1965</v>
      </c>
      <c r="D1793" t="s">
        <v>6</v>
      </c>
      <c r="E1793" t="str">
        <f>IF(june[[#This Row],[ShiftCounter]]&gt;0, "Running", "Down")</f>
        <v>Running</v>
      </c>
    </row>
    <row r="1794" spans="1:5" x14ac:dyDescent="0.25">
      <c r="A1794" s="8">
        <v>44728</v>
      </c>
      <c r="B1794" t="s">
        <v>25</v>
      </c>
      <c r="C1794">
        <v>2305</v>
      </c>
      <c r="D1794" t="s">
        <v>7</v>
      </c>
      <c r="E1794" t="str">
        <f>IF(june[[#This Row],[ShiftCounter]]&gt;0, "Running", "Down")</f>
        <v>Running</v>
      </c>
    </row>
    <row r="1795" spans="1:5" x14ac:dyDescent="0.25">
      <c r="A1795" s="8">
        <v>44728</v>
      </c>
      <c r="B1795" t="s">
        <v>25</v>
      </c>
      <c r="C1795">
        <v>2107</v>
      </c>
      <c r="D1795" t="s">
        <v>8</v>
      </c>
      <c r="E1795" t="str">
        <f>IF(june[[#This Row],[ShiftCounter]]&gt;0, "Running", "Down")</f>
        <v>Running</v>
      </c>
    </row>
    <row r="1796" spans="1:5" x14ac:dyDescent="0.25">
      <c r="A1796" s="8">
        <v>44728</v>
      </c>
      <c r="B1796" t="s">
        <v>80</v>
      </c>
      <c r="C1796">
        <v>1712</v>
      </c>
      <c r="D1796" t="s">
        <v>6</v>
      </c>
      <c r="E1796" t="str">
        <f>IF(june[[#This Row],[ShiftCounter]]&gt;0, "Running", "Down")</f>
        <v>Running</v>
      </c>
    </row>
    <row r="1797" spans="1:5" x14ac:dyDescent="0.25">
      <c r="A1797" s="8">
        <v>44728</v>
      </c>
      <c r="B1797" t="s">
        <v>80</v>
      </c>
      <c r="C1797">
        <v>1898</v>
      </c>
      <c r="D1797" t="s">
        <v>7</v>
      </c>
      <c r="E1797" t="str">
        <f>IF(june[[#This Row],[ShiftCounter]]&gt;0, "Running", "Down")</f>
        <v>Running</v>
      </c>
    </row>
    <row r="1798" spans="1:5" x14ac:dyDescent="0.25">
      <c r="A1798" s="8">
        <v>44728</v>
      </c>
      <c r="B1798" t="s">
        <v>80</v>
      </c>
      <c r="C1798">
        <v>0</v>
      </c>
      <c r="D1798" t="s">
        <v>8</v>
      </c>
      <c r="E1798" t="str">
        <f>IF(june[[#This Row],[ShiftCounter]]&gt;0, "Running", "Down")</f>
        <v>Down</v>
      </c>
    </row>
    <row r="1799" spans="1:5" x14ac:dyDescent="0.25">
      <c r="A1799" s="8">
        <v>44728</v>
      </c>
      <c r="B1799" t="s">
        <v>26</v>
      </c>
      <c r="C1799">
        <v>1955</v>
      </c>
      <c r="D1799" t="s">
        <v>6</v>
      </c>
      <c r="E1799" t="str">
        <f>IF(june[[#This Row],[ShiftCounter]]&gt;0, "Running", "Down")</f>
        <v>Running</v>
      </c>
    </row>
    <row r="1800" spans="1:5" x14ac:dyDescent="0.25">
      <c r="A1800" s="8">
        <v>44728</v>
      </c>
      <c r="B1800" t="s">
        <v>26</v>
      </c>
      <c r="C1800">
        <v>2112</v>
      </c>
      <c r="D1800" t="s">
        <v>7</v>
      </c>
      <c r="E1800" t="str">
        <f>IF(june[[#This Row],[ShiftCounter]]&gt;0, "Running", "Down")</f>
        <v>Running</v>
      </c>
    </row>
    <row r="1801" spans="1:5" x14ac:dyDescent="0.25">
      <c r="A1801" s="8">
        <v>44728</v>
      </c>
      <c r="B1801" t="s">
        <v>26</v>
      </c>
      <c r="C1801">
        <v>1821</v>
      </c>
      <c r="D1801" t="s">
        <v>8</v>
      </c>
      <c r="E1801" t="str">
        <f>IF(june[[#This Row],[ShiftCounter]]&gt;0, "Running", "Down")</f>
        <v>Running</v>
      </c>
    </row>
    <row r="1802" spans="1:5" x14ac:dyDescent="0.25">
      <c r="A1802" s="8">
        <v>44728</v>
      </c>
      <c r="B1802" t="s">
        <v>27</v>
      </c>
      <c r="C1802">
        <v>1184</v>
      </c>
      <c r="D1802" t="s">
        <v>6</v>
      </c>
      <c r="E1802" t="str">
        <f>IF(june[[#This Row],[ShiftCounter]]&gt;0, "Running", "Down")</f>
        <v>Running</v>
      </c>
    </row>
    <row r="1803" spans="1:5" x14ac:dyDescent="0.25">
      <c r="A1803" s="8">
        <v>44728</v>
      </c>
      <c r="B1803" t="s">
        <v>27</v>
      </c>
      <c r="C1803">
        <v>2166</v>
      </c>
      <c r="D1803" t="s">
        <v>7</v>
      </c>
      <c r="E1803" t="str">
        <f>IF(june[[#This Row],[ShiftCounter]]&gt;0, "Running", "Down")</f>
        <v>Running</v>
      </c>
    </row>
    <row r="1804" spans="1:5" x14ac:dyDescent="0.25">
      <c r="A1804" s="8">
        <v>44728</v>
      </c>
      <c r="B1804" t="s">
        <v>27</v>
      </c>
      <c r="C1804">
        <v>2287</v>
      </c>
      <c r="D1804" t="s">
        <v>8</v>
      </c>
      <c r="E1804" t="str">
        <f>IF(june[[#This Row],[ShiftCounter]]&gt;0, "Running", "Down")</f>
        <v>Running</v>
      </c>
    </row>
    <row r="1805" spans="1:5" x14ac:dyDescent="0.25">
      <c r="A1805" s="8">
        <v>44728</v>
      </c>
      <c r="B1805" t="s">
        <v>28</v>
      </c>
      <c r="C1805">
        <v>2110</v>
      </c>
      <c r="D1805" t="s">
        <v>6</v>
      </c>
      <c r="E1805" t="str">
        <f>IF(june[[#This Row],[ShiftCounter]]&gt;0, "Running", "Down")</f>
        <v>Running</v>
      </c>
    </row>
    <row r="1806" spans="1:5" x14ac:dyDescent="0.25">
      <c r="A1806" s="8">
        <v>44728</v>
      </c>
      <c r="B1806" t="s">
        <v>28</v>
      </c>
      <c r="C1806">
        <v>2220</v>
      </c>
      <c r="D1806" t="s">
        <v>7</v>
      </c>
      <c r="E1806" t="str">
        <f>IF(june[[#This Row],[ShiftCounter]]&gt;0, "Running", "Down")</f>
        <v>Running</v>
      </c>
    </row>
    <row r="1807" spans="1:5" x14ac:dyDescent="0.25">
      <c r="A1807" s="8">
        <v>44728</v>
      </c>
      <c r="B1807" t="s">
        <v>28</v>
      </c>
      <c r="C1807">
        <v>1945</v>
      </c>
      <c r="D1807" t="s">
        <v>8</v>
      </c>
      <c r="E1807" t="str">
        <f>IF(june[[#This Row],[ShiftCounter]]&gt;0, "Running", "Down")</f>
        <v>Running</v>
      </c>
    </row>
    <row r="1808" spans="1:5" x14ac:dyDescent="0.25">
      <c r="A1808" s="8">
        <v>44728</v>
      </c>
      <c r="B1808" t="s">
        <v>29</v>
      </c>
      <c r="C1808">
        <v>1850</v>
      </c>
      <c r="D1808" t="s">
        <v>6</v>
      </c>
      <c r="E1808" t="str">
        <f>IF(june[[#This Row],[ShiftCounter]]&gt;0, "Running", "Down")</f>
        <v>Running</v>
      </c>
    </row>
    <row r="1809" spans="1:5" x14ac:dyDescent="0.25">
      <c r="A1809" s="8">
        <v>44728</v>
      </c>
      <c r="B1809" t="s">
        <v>29</v>
      </c>
      <c r="C1809">
        <v>2198</v>
      </c>
      <c r="D1809" t="s">
        <v>7</v>
      </c>
      <c r="E1809" t="str">
        <f>IF(june[[#This Row],[ShiftCounter]]&gt;0, "Running", "Down")</f>
        <v>Running</v>
      </c>
    </row>
    <row r="1810" spans="1:5" x14ac:dyDescent="0.25">
      <c r="A1810" s="8">
        <v>44728</v>
      </c>
      <c r="B1810" t="s">
        <v>29</v>
      </c>
      <c r="C1810">
        <v>1936</v>
      </c>
      <c r="D1810" t="s">
        <v>8</v>
      </c>
      <c r="E1810" t="str">
        <f>IF(june[[#This Row],[ShiftCounter]]&gt;0, "Running", "Down")</f>
        <v>Running</v>
      </c>
    </row>
    <row r="1811" spans="1:5" x14ac:dyDescent="0.25">
      <c r="A1811" s="8">
        <v>44728</v>
      </c>
      <c r="B1811" t="s">
        <v>30</v>
      </c>
      <c r="C1811">
        <v>1807</v>
      </c>
      <c r="D1811" t="s">
        <v>6</v>
      </c>
      <c r="E1811" t="str">
        <f>IF(june[[#This Row],[ShiftCounter]]&gt;0, "Running", "Down")</f>
        <v>Running</v>
      </c>
    </row>
    <row r="1812" spans="1:5" x14ac:dyDescent="0.25">
      <c r="A1812" s="8">
        <v>44728</v>
      </c>
      <c r="B1812" t="s">
        <v>30</v>
      </c>
      <c r="C1812">
        <v>2298</v>
      </c>
      <c r="D1812" t="s">
        <v>7</v>
      </c>
      <c r="E1812" t="str">
        <f>IF(june[[#This Row],[ShiftCounter]]&gt;0, "Running", "Down")</f>
        <v>Running</v>
      </c>
    </row>
    <row r="1813" spans="1:5" x14ac:dyDescent="0.25">
      <c r="A1813" s="8">
        <v>44728</v>
      </c>
      <c r="B1813" t="s">
        <v>30</v>
      </c>
      <c r="C1813">
        <v>1943</v>
      </c>
      <c r="D1813" t="s">
        <v>8</v>
      </c>
      <c r="E1813" t="str">
        <f>IF(june[[#This Row],[ShiftCounter]]&gt;0, "Running", "Down")</f>
        <v>Running</v>
      </c>
    </row>
    <row r="1814" spans="1:5" x14ac:dyDescent="0.25">
      <c r="A1814" s="8">
        <v>44728</v>
      </c>
      <c r="B1814" t="s">
        <v>31</v>
      </c>
      <c r="C1814">
        <v>1902</v>
      </c>
      <c r="D1814" t="s">
        <v>6</v>
      </c>
      <c r="E1814" t="str">
        <f>IF(june[[#This Row],[ShiftCounter]]&gt;0, "Running", "Down")</f>
        <v>Running</v>
      </c>
    </row>
    <row r="1815" spans="1:5" x14ac:dyDescent="0.25">
      <c r="A1815" s="8">
        <v>44728</v>
      </c>
      <c r="B1815" t="s">
        <v>31</v>
      </c>
      <c r="C1815">
        <v>2025</v>
      </c>
      <c r="D1815" t="s">
        <v>7</v>
      </c>
      <c r="E1815" t="str">
        <f>IF(june[[#This Row],[ShiftCounter]]&gt;0, "Running", "Down")</f>
        <v>Running</v>
      </c>
    </row>
    <row r="1816" spans="1:5" x14ac:dyDescent="0.25">
      <c r="A1816" s="8">
        <v>44728</v>
      </c>
      <c r="B1816" t="s">
        <v>31</v>
      </c>
      <c r="C1816">
        <v>1802</v>
      </c>
      <c r="D1816" t="s">
        <v>8</v>
      </c>
      <c r="E1816" t="str">
        <f>IF(june[[#This Row],[ShiftCounter]]&gt;0, "Running", "Down")</f>
        <v>Running</v>
      </c>
    </row>
    <row r="1817" spans="1:5" x14ac:dyDescent="0.25">
      <c r="A1817" s="8">
        <v>44728</v>
      </c>
      <c r="B1817" t="s">
        <v>32</v>
      </c>
      <c r="C1817">
        <v>2529</v>
      </c>
      <c r="D1817" t="s">
        <v>6</v>
      </c>
      <c r="E1817" t="str">
        <f>IF(june[[#This Row],[ShiftCounter]]&gt;0, "Running", "Down")</f>
        <v>Running</v>
      </c>
    </row>
    <row r="1818" spans="1:5" x14ac:dyDescent="0.25">
      <c r="A1818" s="8">
        <v>44728</v>
      </c>
      <c r="B1818" t="s">
        <v>32</v>
      </c>
      <c r="C1818">
        <v>2450</v>
      </c>
      <c r="D1818" t="s">
        <v>7</v>
      </c>
      <c r="E1818" t="str">
        <f>IF(june[[#This Row],[ShiftCounter]]&gt;0, "Running", "Down")</f>
        <v>Running</v>
      </c>
    </row>
    <row r="1819" spans="1:5" x14ac:dyDescent="0.25">
      <c r="A1819" s="8">
        <v>44728</v>
      </c>
      <c r="B1819" t="s">
        <v>32</v>
      </c>
      <c r="C1819">
        <v>2210</v>
      </c>
      <c r="D1819" t="s">
        <v>8</v>
      </c>
      <c r="E1819" t="str">
        <f>IF(june[[#This Row],[ShiftCounter]]&gt;0, "Running", "Down")</f>
        <v>Running</v>
      </c>
    </row>
    <row r="1820" spans="1:5" x14ac:dyDescent="0.25">
      <c r="A1820" s="8">
        <v>44728</v>
      </c>
      <c r="B1820" t="s">
        <v>71</v>
      </c>
      <c r="C1820">
        <v>1981</v>
      </c>
      <c r="D1820" t="s">
        <v>6</v>
      </c>
      <c r="E1820" t="str">
        <f>IF(june[[#This Row],[ShiftCounter]]&gt;0, "Running", "Down")</f>
        <v>Running</v>
      </c>
    </row>
    <row r="1821" spans="1:5" x14ac:dyDescent="0.25">
      <c r="A1821" s="8">
        <v>44728</v>
      </c>
      <c r="B1821" t="s">
        <v>71</v>
      </c>
      <c r="C1821">
        <v>2098</v>
      </c>
      <c r="D1821" t="s">
        <v>7</v>
      </c>
      <c r="E1821" t="str">
        <f>IF(june[[#This Row],[ShiftCounter]]&gt;0, "Running", "Down")</f>
        <v>Running</v>
      </c>
    </row>
    <row r="1822" spans="1:5" x14ac:dyDescent="0.25">
      <c r="A1822" s="8">
        <v>44728</v>
      </c>
      <c r="B1822" t="s">
        <v>71</v>
      </c>
      <c r="C1822">
        <v>1841</v>
      </c>
      <c r="D1822" t="s">
        <v>8</v>
      </c>
      <c r="E1822" t="str">
        <f>IF(june[[#This Row],[ShiftCounter]]&gt;0, "Running", "Down")</f>
        <v>Running</v>
      </c>
    </row>
    <row r="1823" spans="1:5" x14ac:dyDescent="0.25">
      <c r="A1823" s="8">
        <v>44728</v>
      </c>
      <c r="B1823" t="s">
        <v>33</v>
      </c>
      <c r="C1823">
        <v>2441</v>
      </c>
      <c r="D1823" t="s">
        <v>6</v>
      </c>
      <c r="E1823" t="str">
        <f>IF(june[[#This Row],[ShiftCounter]]&gt;0, "Running", "Down")</f>
        <v>Running</v>
      </c>
    </row>
    <row r="1824" spans="1:5" x14ac:dyDescent="0.25">
      <c r="A1824" s="8">
        <v>44728</v>
      </c>
      <c r="B1824" t="s">
        <v>33</v>
      </c>
      <c r="C1824">
        <v>2349</v>
      </c>
      <c r="D1824" t="s">
        <v>7</v>
      </c>
      <c r="E1824" t="str">
        <f>IF(june[[#This Row],[ShiftCounter]]&gt;0, "Running", "Down")</f>
        <v>Running</v>
      </c>
    </row>
    <row r="1825" spans="1:5" x14ac:dyDescent="0.25">
      <c r="A1825" s="8">
        <v>44728</v>
      </c>
      <c r="B1825" t="s">
        <v>33</v>
      </c>
      <c r="C1825">
        <v>2155</v>
      </c>
      <c r="D1825" t="s">
        <v>8</v>
      </c>
      <c r="E1825" t="str">
        <f>IF(june[[#This Row],[ShiftCounter]]&gt;0, "Running", "Down")</f>
        <v>Running</v>
      </c>
    </row>
    <row r="1826" spans="1:5" x14ac:dyDescent="0.25">
      <c r="A1826" s="8">
        <v>44728</v>
      </c>
      <c r="B1826" t="s">
        <v>34</v>
      </c>
      <c r="C1826">
        <v>1920</v>
      </c>
      <c r="D1826" t="s">
        <v>6</v>
      </c>
      <c r="E1826" t="str">
        <f>IF(june[[#This Row],[ShiftCounter]]&gt;0, "Running", "Down")</f>
        <v>Running</v>
      </c>
    </row>
    <row r="1827" spans="1:5" x14ac:dyDescent="0.25">
      <c r="A1827" s="8">
        <v>44728</v>
      </c>
      <c r="B1827" t="s">
        <v>34</v>
      </c>
      <c r="C1827">
        <v>1935</v>
      </c>
      <c r="D1827" t="s">
        <v>7</v>
      </c>
      <c r="E1827" t="str">
        <f>IF(june[[#This Row],[ShiftCounter]]&gt;0, "Running", "Down")</f>
        <v>Running</v>
      </c>
    </row>
    <row r="1828" spans="1:5" x14ac:dyDescent="0.25">
      <c r="A1828" s="8">
        <v>44728</v>
      </c>
      <c r="B1828" t="s">
        <v>34</v>
      </c>
      <c r="C1828">
        <v>1780</v>
      </c>
      <c r="D1828" t="s">
        <v>8</v>
      </c>
      <c r="E1828" t="str">
        <f>IF(june[[#This Row],[ShiftCounter]]&gt;0, "Running", "Down")</f>
        <v>Running</v>
      </c>
    </row>
    <row r="1829" spans="1:5" x14ac:dyDescent="0.25">
      <c r="A1829" s="8">
        <v>44728</v>
      </c>
      <c r="B1829" t="s">
        <v>36</v>
      </c>
      <c r="C1829">
        <v>2264</v>
      </c>
      <c r="D1829" t="s">
        <v>6</v>
      </c>
      <c r="E1829" t="str">
        <f>IF(june[[#This Row],[ShiftCounter]]&gt;0, "Running", "Down")</f>
        <v>Running</v>
      </c>
    </row>
    <row r="1830" spans="1:5" x14ac:dyDescent="0.25">
      <c r="A1830" s="8">
        <v>44728</v>
      </c>
      <c r="B1830" t="s">
        <v>36</v>
      </c>
      <c r="C1830">
        <v>2082</v>
      </c>
      <c r="D1830" t="s">
        <v>7</v>
      </c>
      <c r="E1830" t="str">
        <f>IF(june[[#This Row],[ShiftCounter]]&gt;0, "Running", "Down")</f>
        <v>Running</v>
      </c>
    </row>
    <row r="1831" spans="1:5" x14ac:dyDescent="0.25">
      <c r="A1831" s="8">
        <v>44728</v>
      </c>
      <c r="B1831" t="s">
        <v>36</v>
      </c>
      <c r="C1831">
        <v>2125</v>
      </c>
      <c r="D1831" t="s">
        <v>8</v>
      </c>
      <c r="E1831" t="str">
        <f>IF(june[[#This Row],[ShiftCounter]]&gt;0, "Running", "Down")</f>
        <v>Running</v>
      </c>
    </row>
    <row r="1832" spans="1:5" x14ac:dyDescent="0.25">
      <c r="A1832" s="8">
        <v>44728</v>
      </c>
      <c r="B1832" t="s">
        <v>37</v>
      </c>
      <c r="C1832">
        <v>2354</v>
      </c>
      <c r="D1832" t="s">
        <v>6</v>
      </c>
      <c r="E1832" t="str">
        <f>IF(june[[#This Row],[ShiftCounter]]&gt;0, "Running", "Down")</f>
        <v>Running</v>
      </c>
    </row>
    <row r="1833" spans="1:5" x14ac:dyDescent="0.25">
      <c r="A1833" s="8">
        <v>44728</v>
      </c>
      <c r="B1833" t="s">
        <v>37</v>
      </c>
      <c r="C1833">
        <v>1879</v>
      </c>
      <c r="D1833" t="s">
        <v>7</v>
      </c>
      <c r="E1833" t="str">
        <f>IF(june[[#This Row],[ShiftCounter]]&gt;0, "Running", "Down")</f>
        <v>Running</v>
      </c>
    </row>
    <row r="1834" spans="1:5" x14ac:dyDescent="0.25">
      <c r="A1834" s="8">
        <v>44728</v>
      </c>
      <c r="B1834" t="s">
        <v>37</v>
      </c>
      <c r="C1834">
        <v>2152</v>
      </c>
      <c r="D1834" t="s">
        <v>8</v>
      </c>
      <c r="E1834" t="str">
        <f>IF(june[[#This Row],[ShiftCounter]]&gt;0, "Running", "Down")</f>
        <v>Running</v>
      </c>
    </row>
    <row r="1835" spans="1:5" x14ac:dyDescent="0.25">
      <c r="A1835" s="8">
        <v>44729</v>
      </c>
      <c r="B1835" t="s">
        <v>158</v>
      </c>
      <c r="C1835">
        <v>2247</v>
      </c>
      <c r="D1835" t="s">
        <v>6</v>
      </c>
      <c r="E1835" t="str">
        <f>IF(june[[#This Row],[ShiftCounter]]&gt;0, "Running", "Down")</f>
        <v>Running</v>
      </c>
    </row>
    <row r="1836" spans="1:5" x14ac:dyDescent="0.25">
      <c r="A1836" s="8">
        <v>44729</v>
      </c>
      <c r="B1836" t="s">
        <v>158</v>
      </c>
      <c r="C1836">
        <v>2221</v>
      </c>
      <c r="D1836" t="s">
        <v>7</v>
      </c>
      <c r="E1836" t="str">
        <f>IF(june[[#This Row],[ShiftCounter]]&gt;0, "Running", "Down")</f>
        <v>Running</v>
      </c>
    </row>
    <row r="1837" spans="1:5" x14ac:dyDescent="0.25">
      <c r="A1837" s="8">
        <v>44729</v>
      </c>
      <c r="B1837" t="s">
        <v>158</v>
      </c>
      <c r="C1837">
        <v>1857</v>
      </c>
      <c r="D1837" t="s">
        <v>8</v>
      </c>
      <c r="E1837" t="str">
        <f>IF(june[[#This Row],[ShiftCounter]]&gt;0, "Running", "Down")</f>
        <v>Running</v>
      </c>
    </row>
    <row r="1838" spans="1:5" x14ac:dyDescent="0.25">
      <c r="A1838" s="8">
        <v>44729</v>
      </c>
      <c r="B1838" t="s">
        <v>40</v>
      </c>
      <c r="C1838">
        <v>2150</v>
      </c>
      <c r="D1838" t="s">
        <v>6</v>
      </c>
      <c r="E1838" t="str">
        <f>IF(june[[#This Row],[ShiftCounter]]&gt;0, "Running", "Down")</f>
        <v>Running</v>
      </c>
    </row>
    <row r="1839" spans="1:5" x14ac:dyDescent="0.25">
      <c r="A1839" s="8">
        <v>44729</v>
      </c>
      <c r="B1839" t="s">
        <v>40</v>
      </c>
      <c r="C1839">
        <v>2271</v>
      </c>
      <c r="D1839" t="s">
        <v>7</v>
      </c>
      <c r="E1839" t="str">
        <f>IF(june[[#This Row],[ShiftCounter]]&gt;0, "Running", "Down")</f>
        <v>Running</v>
      </c>
    </row>
    <row r="1840" spans="1:5" x14ac:dyDescent="0.25">
      <c r="A1840" s="8">
        <v>44729</v>
      </c>
      <c r="B1840" t="s">
        <v>40</v>
      </c>
      <c r="C1840">
        <v>1886</v>
      </c>
      <c r="D1840" t="s">
        <v>8</v>
      </c>
      <c r="E1840" t="str">
        <f>IF(june[[#This Row],[ShiftCounter]]&gt;0, "Running", "Down")</f>
        <v>Running</v>
      </c>
    </row>
    <row r="1841" spans="1:5" x14ac:dyDescent="0.25">
      <c r="A1841" s="8">
        <v>44729</v>
      </c>
      <c r="B1841" t="s">
        <v>39</v>
      </c>
      <c r="C1841">
        <v>2115</v>
      </c>
      <c r="D1841" t="s">
        <v>6</v>
      </c>
      <c r="E1841" t="str">
        <f>IF(june[[#This Row],[ShiftCounter]]&gt;0, "Running", "Down")</f>
        <v>Running</v>
      </c>
    </row>
    <row r="1842" spans="1:5" x14ac:dyDescent="0.25">
      <c r="A1842" s="8">
        <v>44729</v>
      </c>
      <c r="B1842" t="s">
        <v>39</v>
      </c>
      <c r="C1842">
        <v>2313</v>
      </c>
      <c r="D1842" t="s">
        <v>7</v>
      </c>
      <c r="E1842" t="str">
        <f>IF(june[[#This Row],[ShiftCounter]]&gt;0, "Running", "Down")</f>
        <v>Running</v>
      </c>
    </row>
    <row r="1843" spans="1:5" x14ac:dyDescent="0.25">
      <c r="A1843" s="8">
        <v>44729</v>
      </c>
      <c r="B1843" t="s">
        <v>39</v>
      </c>
      <c r="C1843">
        <v>1848</v>
      </c>
      <c r="D1843" t="s">
        <v>8</v>
      </c>
      <c r="E1843" t="str">
        <f>IF(june[[#This Row],[ShiftCounter]]&gt;0, "Running", "Down")</f>
        <v>Running</v>
      </c>
    </row>
    <row r="1844" spans="1:5" x14ac:dyDescent="0.25">
      <c r="A1844" s="8">
        <v>44729</v>
      </c>
      <c r="B1844" t="s">
        <v>41</v>
      </c>
      <c r="C1844">
        <v>2426</v>
      </c>
      <c r="D1844" t="s">
        <v>6</v>
      </c>
      <c r="E1844" t="str">
        <f>IF(june[[#This Row],[ShiftCounter]]&gt;0, "Running", "Down")</f>
        <v>Running</v>
      </c>
    </row>
    <row r="1845" spans="1:5" x14ac:dyDescent="0.25">
      <c r="A1845" s="8">
        <v>44729</v>
      </c>
      <c r="B1845" t="s">
        <v>41</v>
      </c>
      <c r="C1845">
        <v>2283</v>
      </c>
      <c r="D1845" t="s">
        <v>7</v>
      </c>
      <c r="E1845" t="str">
        <f>IF(june[[#This Row],[ShiftCounter]]&gt;0, "Running", "Down")</f>
        <v>Running</v>
      </c>
    </row>
    <row r="1846" spans="1:5" x14ac:dyDescent="0.25">
      <c r="A1846" s="8">
        <v>44729</v>
      </c>
      <c r="B1846" t="s">
        <v>41</v>
      </c>
      <c r="C1846">
        <v>1929</v>
      </c>
      <c r="D1846" t="s">
        <v>8</v>
      </c>
      <c r="E1846" t="str">
        <f>IF(june[[#This Row],[ShiftCounter]]&gt;0, "Running", "Down")</f>
        <v>Running</v>
      </c>
    </row>
    <row r="1847" spans="1:5" x14ac:dyDescent="0.25">
      <c r="A1847" s="8">
        <v>44729</v>
      </c>
      <c r="B1847" t="s">
        <v>5</v>
      </c>
      <c r="C1847">
        <v>2211</v>
      </c>
      <c r="D1847" t="s">
        <v>6</v>
      </c>
      <c r="E1847" t="str">
        <f>IF(june[[#This Row],[ShiftCounter]]&gt;0, "Running", "Down")</f>
        <v>Running</v>
      </c>
    </row>
    <row r="1848" spans="1:5" x14ac:dyDescent="0.25">
      <c r="A1848" s="8">
        <v>44729</v>
      </c>
      <c r="B1848" t="s">
        <v>5</v>
      </c>
      <c r="C1848">
        <v>2271</v>
      </c>
      <c r="D1848" t="s">
        <v>7</v>
      </c>
      <c r="E1848" t="str">
        <f>IF(june[[#This Row],[ShiftCounter]]&gt;0, "Running", "Down")</f>
        <v>Running</v>
      </c>
    </row>
    <row r="1849" spans="1:5" x14ac:dyDescent="0.25">
      <c r="A1849" s="8">
        <v>44729</v>
      </c>
      <c r="B1849" t="s">
        <v>5</v>
      </c>
      <c r="C1849">
        <v>2212</v>
      </c>
      <c r="D1849" t="s">
        <v>8</v>
      </c>
      <c r="E1849" t="str">
        <f>IF(june[[#This Row],[ShiftCounter]]&gt;0, "Running", "Down")</f>
        <v>Running</v>
      </c>
    </row>
    <row r="1850" spans="1:5" x14ac:dyDescent="0.25">
      <c r="A1850" s="8">
        <v>44729</v>
      </c>
      <c r="B1850" t="s">
        <v>9</v>
      </c>
      <c r="C1850">
        <v>2367</v>
      </c>
      <c r="D1850" t="s">
        <v>6</v>
      </c>
      <c r="E1850" t="str">
        <f>IF(june[[#This Row],[ShiftCounter]]&gt;0, "Running", "Down")</f>
        <v>Running</v>
      </c>
    </row>
    <row r="1851" spans="1:5" x14ac:dyDescent="0.25">
      <c r="A1851" s="8">
        <v>44729</v>
      </c>
      <c r="B1851" t="s">
        <v>9</v>
      </c>
      <c r="C1851">
        <v>2211</v>
      </c>
      <c r="D1851" t="s">
        <v>7</v>
      </c>
      <c r="E1851" t="str">
        <f>IF(june[[#This Row],[ShiftCounter]]&gt;0, "Running", "Down")</f>
        <v>Running</v>
      </c>
    </row>
    <row r="1852" spans="1:5" x14ac:dyDescent="0.25">
      <c r="A1852" s="8">
        <v>44729</v>
      </c>
      <c r="B1852" t="s">
        <v>9</v>
      </c>
      <c r="C1852">
        <v>1793</v>
      </c>
      <c r="D1852" t="s">
        <v>8</v>
      </c>
      <c r="E1852" t="str">
        <f>IF(june[[#This Row],[ShiftCounter]]&gt;0, "Running", "Down")</f>
        <v>Running</v>
      </c>
    </row>
    <row r="1853" spans="1:5" x14ac:dyDescent="0.25">
      <c r="A1853" s="8">
        <v>44729</v>
      </c>
      <c r="B1853" t="s">
        <v>10</v>
      </c>
      <c r="C1853">
        <v>2231</v>
      </c>
      <c r="D1853" t="s">
        <v>6</v>
      </c>
      <c r="E1853" t="str">
        <f>IF(june[[#This Row],[ShiftCounter]]&gt;0, "Running", "Down")</f>
        <v>Running</v>
      </c>
    </row>
    <row r="1854" spans="1:5" x14ac:dyDescent="0.25">
      <c r="A1854" s="8">
        <v>44729</v>
      </c>
      <c r="B1854" t="s">
        <v>10</v>
      </c>
      <c r="C1854">
        <v>2238</v>
      </c>
      <c r="D1854" t="s">
        <v>7</v>
      </c>
      <c r="E1854" t="str">
        <f>IF(june[[#This Row],[ShiftCounter]]&gt;0, "Running", "Down")</f>
        <v>Running</v>
      </c>
    </row>
    <row r="1855" spans="1:5" x14ac:dyDescent="0.25">
      <c r="A1855" s="8">
        <v>44729</v>
      </c>
      <c r="B1855" t="s">
        <v>10</v>
      </c>
      <c r="C1855">
        <v>2224</v>
      </c>
      <c r="D1855" t="s">
        <v>8</v>
      </c>
      <c r="E1855" t="str">
        <f>IF(june[[#This Row],[ShiftCounter]]&gt;0, "Running", "Down")</f>
        <v>Running</v>
      </c>
    </row>
    <row r="1856" spans="1:5" x14ac:dyDescent="0.25">
      <c r="A1856" s="8">
        <v>44729</v>
      </c>
      <c r="B1856" t="s">
        <v>11</v>
      </c>
      <c r="C1856">
        <v>2244</v>
      </c>
      <c r="D1856" t="s">
        <v>6</v>
      </c>
      <c r="E1856" t="str">
        <f>IF(june[[#This Row],[ShiftCounter]]&gt;0, "Running", "Down")</f>
        <v>Running</v>
      </c>
    </row>
    <row r="1857" spans="1:5" x14ac:dyDescent="0.25">
      <c r="A1857" s="8">
        <v>44729</v>
      </c>
      <c r="B1857" t="s">
        <v>11</v>
      </c>
      <c r="C1857">
        <v>2252</v>
      </c>
      <c r="D1857" t="s">
        <v>7</v>
      </c>
      <c r="E1857" t="str">
        <f>IF(june[[#This Row],[ShiftCounter]]&gt;0, "Running", "Down")</f>
        <v>Running</v>
      </c>
    </row>
    <row r="1858" spans="1:5" x14ac:dyDescent="0.25">
      <c r="A1858" s="8">
        <v>44729</v>
      </c>
      <c r="B1858" t="s">
        <v>11</v>
      </c>
      <c r="C1858">
        <v>2223</v>
      </c>
      <c r="D1858" t="s">
        <v>8</v>
      </c>
      <c r="E1858" t="str">
        <f>IF(june[[#This Row],[ShiftCounter]]&gt;0, "Running", "Down")</f>
        <v>Running</v>
      </c>
    </row>
    <row r="1859" spans="1:5" x14ac:dyDescent="0.25">
      <c r="A1859" s="8">
        <v>44729</v>
      </c>
      <c r="B1859" t="s">
        <v>12</v>
      </c>
      <c r="C1859">
        <v>2194</v>
      </c>
      <c r="D1859" t="s">
        <v>6</v>
      </c>
      <c r="E1859" t="str">
        <f>IF(june[[#This Row],[ShiftCounter]]&gt;0, "Running", "Down")</f>
        <v>Running</v>
      </c>
    </row>
    <row r="1860" spans="1:5" x14ac:dyDescent="0.25">
      <c r="A1860" s="8">
        <v>44729</v>
      </c>
      <c r="B1860" t="s">
        <v>12</v>
      </c>
      <c r="C1860">
        <v>2200</v>
      </c>
      <c r="D1860" t="s">
        <v>7</v>
      </c>
      <c r="E1860" t="str">
        <f>IF(june[[#This Row],[ShiftCounter]]&gt;0, "Running", "Down")</f>
        <v>Running</v>
      </c>
    </row>
    <row r="1861" spans="1:5" x14ac:dyDescent="0.25">
      <c r="A1861" s="8">
        <v>44729</v>
      </c>
      <c r="B1861" t="s">
        <v>12</v>
      </c>
      <c r="C1861">
        <v>2194</v>
      </c>
      <c r="D1861" t="s">
        <v>8</v>
      </c>
      <c r="E1861" t="str">
        <f>IF(june[[#This Row],[ShiftCounter]]&gt;0, "Running", "Down")</f>
        <v>Running</v>
      </c>
    </row>
    <row r="1862" spans="1:5" x14ac:dyDescent="0.25">
      <c r="A1862" s="8">
        <v>44729</v>
      </c>
      <c r="B1862" t="s">
        <v>13</v>
      </c>
      <c r="C1862">
        <v>2217</v>
      </c>
      <c r="D1862" t="s">
        <v>6</v>
      </c>
      <c r="E1862" t="str">
        <f>IF(june[[#This Row],[ShiftCounter]]&gt;0, "Running", "Down")</f>
        <v>Running</v>
      </c>
    </row>
    <row r="1863" spans="1:5" x14ac:dyDescent="0.25">
      <c r="A1863" s="8">
        <v>44729</v>
      </c>
      <c r="B1863" t="s">
        <v>13</v>
      </c>
      <c r="C1863">
        <v>2016</v>
      </c>
      <c r="D1863" t="s">
        <v>7</v>
      </c>
      <c r="E1863" t="str">
        <f>IF(june[[#This Row],[ShiftCounter]]&gt;0, "Running", "Down")</f>
        <v>Running</v>
      </c>
    </row>
    <row r="1864" spans="1:5" x14ac:dyDescent="0.25">
      <c r="A1864" s="8">
        <v>44729</v>
      </c>
      <c r="B1864" t="s">
        <v>13</v>
      </c>
      <c r="C1864">
        <v>1901</v>
      </c>
      <c r="D1864" t="s">
        <v>8</v>
      </c>
      <c r="E1864" t="str">
        <f>IF(june[[#This Row],[ShiftCounter]]&gt;0, "Running", "Down")</f>
        <v>Running</v>
      </c>
    </row>
    <row r="1865" spans="1:5" x14ac:dyDescent="0.25">
      <c r="A1865" s="8">
        <v>44729</v>
      </c>
      <c r="B1865" t="s">
        <v>114</v>
      </c>
      <c r="C1865">
        <v>1967</v>
      </c>
      <c r="D1865" t="s">
        <v>6</v>
      </c>
      <c r="E1865" t="str">
        <f>IF(june[[#This Row],[ShiftCounter]]&gt;0, "Running", "Down")</f>
        <v>Running</v>
      </c>
    </row>
    <row r="1866" spans="1:5" x14ac:dyDescent="0.25">
      <c r="A1866" s="8">
        <v>44729</v>
      </c>
      <c r="B1866" t="s">
        <v>114</v>
      </c>
      <c r="C1866">
        <v>1970</v>
      </c>
      <c r="D1866" t="s">
        <v>7</v>
      </c>
      <c r="E1866" t="str">
        <f>IF(june[[#This Row],[ShiftCounter]]&gt;0, "Running", "Down")</f>
        <v>Running</v>
      </c>
    </row>
    <row r="1867" spans="1:5" x14ac:dyDescent="0.25">
      <c r="A1867" s="8">
        <v>44729</v>
      </c>
      <c r="B1867" t="s">
        <v>114</v>
      </c>
      <c r="C1867">
        <v>1967</v>
      </c>
      <c r="D1867" t="s">
        <v>8</v>
      </c>
      <c r="E1867" t="str">
        <f>IF(june[[#This Row],[ShiftCounter]]&gt;0, "Running", "Down")</f>
        <v>Running</v>
      </c>
    </row>
    <row r="1868" spans="1:5" x14ac:dyDescent="0.25">
      <c r="A1868" s="8">
        <v>44729</v>
      </c>
      <c r="B1868" t="s">
        <v>14</v>
      </c>
      <c r="C1868">
        <v>0</v>
      </c>
      <c r="D1868" t="s">
        <v>6</v>
      </c>
      <c r="E1868" t="str">
        <f>IF(june[[#This Row],[ShiftCounter]]&gt;0, "Running", "Down")</f>
        <v>Down</v>
      </c>
    </row>
    <row r="1869" spans="1:5" x14ac:dyDescent="0.25">
      <c r="A1869" s="8">
        <v>44729</v>
      </c>
      <c r="B1869" t="s">
        <v>14</v>
      </c>
      <c r="C1869">
        <v>2177</v>
      </c>
      <c r="D1869" t="s">
        <v>7</v>
      </c>
      <c r="E1869" t="str">
        <f>IF(june[[#This Row],[ShiftCounter]]&gt;0, "Running", "Down")</f>
        <v>Running</v>
      </c>
    </row>
    <row r="1870" spans="1:5" x14ac:dyDescent="0.25">
      <c r="A1870" s="8">
        <v>44729</v>
      </c>
      <c r="B1870" t="s">
        <v>14</v>
      </c>
      <c r="C1870">
        <v>1960</v>
      </c>
      <c r="D1870" t="s">
        <v>8</v>
      </c>
      <c r="E1870" t="str">
        <f>IF(june[[#This Row],[ShiftCounter]]&gt;0, "Running", "Down")</f>
        <v>Running</v>
      </c>
    </row>
    <row r="1871" spans="1:5" x14ac:dyDescent="0.25">
      <c r="A1871" s="8">
        <v>44729</v>
      </c>
      <c r="B1871" t="s">
        <v>15</v>
      </c>
      <c r="C1871">
        <v>2350</v>
      </c>
      <c r="D1871" t="s">
        <v>6</v>
      </c>
      <c r="E1871" t="str">
        <f>IF(june[[#This Row],[ShiftCounter]]&gt;0, "Running", "Down")</f>
        <v>Running</v>
      </c>
    </row>
    <row r="1872" spans="1:5" x14ac:dyDescent="0.25">
      <c r="A1872" s="8">
        <v>44729</v>
      </c>
      <c r="B1872" t="s">
        <v>15</v>
      </c>
      <c r="C1872">
        <v>2146</v>
      </c>
      <c r="D1872" t="s">
        <v>7</v>
      </c>
      <c r="E1872" t="str">
        <f>IF(june[[#This Row],[ShiftCounter]]&gt;0, "Running", "Down")</f>
        <v>Running</v>
      </c>
    </row>
    <row r="1873" spans="1:5" x14ac:dyDescent="0.25">
      <c r="A1873" s="8">
        <v>44729</v>
      </c>
      <c r="B1873" t="s">
        <v>15</v>
      </c>
      <c r="C1873">
        <v>2002</v>
      </c>
      <c r="D1873" t="s">
        <v>8</v>
      </c>
      <c r="E1873" t="str">
        <f>IF(june[[#This Row],[ShiftCounter]]&gt;0, "Running", "Down")</f>
        <v>Running</v>
      </c>
    </row>
    <row r="1874" spans="1:5" x14ac:dyDescent="0.25">
      <c r="A1874" s="8">
        <v>44729</v>
      </c>
      <c r="B1874" t="s">
        <v>16</v>
      </c>
      <c r="C1874">
        <v>2051</v>
      </c>
      <c r="D1874" t="s">
        <v>6</v>
      </c>
      <c r="E1874" t="str">
        <f>IF(june[[#This Row],[ShiftCounter]]&gt;0, "Running", "Down")</f>
        <v>Running</v>
      </c>
    </row>
    <row r="1875" spans="1:5" x14ac:dyDescent="0.25">
      <c r="A1875" s="8">
        <v>44729</v>
      </c>
      <c r="B1875" t="s">
        <v>16</v>
      </c>
      <c r="C1875">
        <v>2116</v>
      </c>
      <c r="D1875" t="s">
        <v>7</v>
      </c>
      <c r="E1875" t="str">
        <f>IF(june[[#This Row],[ShiftCounter]]&gt;0, "Running", "Down")</f>
        <v>Running</v>
      </c>
    </row>
    <row r="1876" spans="1:5" x14ac:dyDescent="0.25">
      <c r="A1876" s="8">
        <v>44729</v>
      </c>
      <c r="B1876" t="s">
        <v>16</v>
      </c>
      <c r="C1876">
        <v>1951</v>
      </c>
      <c r="D1876" t="s">
        <v>8</v>
      </c>
      <c r="E1876" t="str">
        <f>IF(june[[#This Row],[ShiftCounter]]&gt;0, "Running", "Down")</f>
        <v>Running</v>
      </c>
    </row>
    <row r="1877" spans="1:5" x14ac:dyDescent="0.25">
      <c r="A1877" s="8">
        <v>44729</v>
      </c>
      <c r="B1877" t="s">
        <v>17</v>
      </c>
      <c r="C1877">
        <v>2108</v>
      </c>
      <c r="D1877" t="s">
        <v>6</v>
      </c>
      <c r="E1877" t="str">
        <f>IF(june[[#This Row],[ShiftCounter]]&gt;0, "Running", "Down")</f>
        <v>Running</v>
      </c>
    </row>
    <row r="1878" spans="1:5" x14ac:dyDescent="0.25">
      <c r="A1878" s="8">
        <v>44729</v>
      </c>
      <c r="B1878" t="s">
        <v>17</v>
      </c>
      <c r="C1878">
        <v>2260</v>
      </c>
      <c r="D1878" t="s">
        <v>7</v>
      </c>
      <c r="E1878" t="str">
        <f>IF(june[[#This Row],[ShiftCounter]]&gt;0, "Running", "Down")</f>
        <v>Running</v>
      </c>
    </row>
    <row r="1879" spans="1:5" x14ac:dyDescent="0.25">
      <c r="A1879" s="8">
        <v>44729</v>
      </c>
      <c r="B1879" t="s">
        <v>17</v>
      </c>
      <c r="C1879">
        <v>2097</v>
      </c>
      <c r="D1879" t="s">
        <v>8</v>
      </c>
      <c r="E1879" t="str">
        <f>IF(june[[#This Row],[ShiftCounter]]&gt;0, "Running", "Down")</f>
        <v>Running</v>
      </c>
    </row>
    <row r="1880" spans="1:5" x14ac:dyDescent="0.25">
      <c r="A1880" s="8">
        <v>44729</v>
      </c>
      <c r="B1880" t="s">
        <v>19</v>
      </c>
      <c r="C1880">
        <v>1934</v>
      </c>
      <c r="D1880" t="s">
        <v>6</v>
      </c>
      <c r="E1880" t="str">
        <f>IF(june[[#This Row],[ShiftCounter]]&gt;0, "Running", "Down")</f>
        <v>Running</v>
      </c>
    </row>
    <row r="1881" spans="1:5" x14ac:dyDescent="0.25">
      <c r="A1881" s="8">
        <v>44729</v>
      </c>
      <c r="B1881" t="s">
        <v>19</v>
      </c>
      <c r="C1881">
        <v>1912</v>
      </c>
      <c r="D1881" t="s">
        <v>7</v>
      </c>
      <c r="E1881" t="str">
        <f>IF(june[[#This Row],[ShiftCounter]]&gt;0, "Running", "Down")</f>
        <v>Running</v>
      </c>
    </row>
    <row r="1882" spans="1:5" x14ac:dyDescent="0.25">
      <c r="A1882" s="8">
        <v>44729</v>
      </c>
      <c r="B1882" t="s">
        <v>19</v>
      </c>
      <c r="C1882">
        <v>1852</v>
      </c>
      <c r="D1882" t="s">
        <v>8</v>
      </c>
      <c r="E1882" t="str">
        <f>IF(june[[#This Row],[ShiftCounter]]&gt;0, "Running", "Down")</f>
        <v>Running</v>
      </c>
    </row>
    <row r="1883" spans="1:5" x14ac:dyDescent="0.25">
      <c r="A1883" s="8">
        <v>44729</v>
      </c>
      <c r="B1883" t="s">
        <v>18</v>
      </c>
      <c r="C1883">
        <v>2055</v>
      </c>
      <c r="D1883" t="s">
        <v>6</v>
      </c>
      <c r="E1883" t="str">
        <f>IF(june[[#This Row],[ShiftCounter]]&gt;0, "Running", "Down")</f>
        <v>Running</v>
      </c>
    </row>
    <row r="1884" spans="1:5" x14ac:dyDescent="0.25">
      <c r="A1884" s="8">
        <v>44729</v>
      </c>
      <c r="B1884" t="s">
        <v>18</v>
      </c>
      <c r="C1884">
        <v>212</v>
      </c>
      <c r="D1884" t="s">
        <v>7</v>
      </c>
      <c r="E1884" t="str">
        <f>IF(june[[#This Row],[ShiftCounter]]&gt;0, "Running", "Down")</f>
        <v>Running</v>
      </c>
    </row>
    <row r="1885" spans="1:5" x14ac:dyDescent="0.25">
      <c r="A1885" s="8">
        <v>44729</v>
      </c>
      <c r="B1885" t="s">
        <v>18</v>
      </c>
      <c r="C1885">
        <v>2144</v>
      </c>
      <c r="D1885" t="s">
        <v>8</v>
      </c>
      <c r="E1885" t="str">
        <f>IF(june[[#This Row],[ShiftCounter]]&gt;0, "Running", "Down")</f>
        <v>Running</v>
      </c>
    </row>
    <row r="1886" spans="1:5" x14ac:dyDescent="0.25">
      <c r="A1886" s="8">
        <v>44729</v>
      </c>
      <c r="B1886" t="s">
        <v>42</v>
      </c>
      <c r="C1886">
        <v>834</v>
      </c>
      <c r="D1886" t="s">
        <v>6</v>
      </c>
      <c r="E1886" t="str">
        <f>IF(june[[#This Row],[ShiftCounter]]&gt;0, "Running", "Down")</f>
        <v>Running</v>
      </c>
    </row>
    <row r="1887" spans="1:5" x14ac:dyDescent="0.25">
      <c r="A1887" s="8">
        <v>44729</v>
      </c>
      <c r="B1887" t="s">
        <v>42</v>
      </c>
      <c r="C1887">
        <v>0</v>
      </c>
      <c r="D1887" t="s">
        <v>7</v>
      </c>
      <c r="E1887" t="str">
        <f>IF(june[[#This Row],[ShiftCounter]]&gt;0, "Running", "Down")</f>
        <v>Down</v>
      </c>
    </row>
    <row r="1888" spans="1:5" x14ac:dyDescent="0.25">
      <c r="A1888" s="8">
        <v>44729</v>
      </c>
      <c r="B1888" t="s">
        <v>42</v>
      </c>
      <c r="C1888">
        <v>0</v>
      </c>
      <c r="D1888" t="s">
        <v>8</v>
      </c>
      <c r="E1888" t="str">
        <f>IF(june[[#This Row],[ShiftCounter]]&gt;0, "Running", "Down")</f>
        <v>Down</v>
      </c>
    </row>
    <row r="1889" spans="1:5" x14ac:dyDescent="0.25">
      <c r="A1889" s="8">
        <v>44729</v>
      </c>
      <c r="B1889" t="s">
        <v>38</v>
      </c>
      <c r="C1889">
        <v>0</v>
      </c>
      <c r="D1889" t="s">
        <v>6</v>
      </c>
      <c r="E1889" t="str">
        <f>IF(june[[#This Row],[ShiftCounter]]&gt;0, "Running", "Down")</f>
        <v>Down</v>
      </c>
    </row>
    <row r="1890" spans="1:5" x14ac:dyDescent="0.25">
      <c r="A1890" s="8">
        <v>44729</v>
      </c>
      <c r="B1890" t="s">
        <v>38</v>
      </c>
      <c r="C1890">
        <v>2232</v>
      </c>
      <c r="D1890" t="s">
        <v>7</v>
      </c>
      <c r="E1890" t="str">
        <f>IF(june[[#This Row],[ShiftCounter]]&gt;0, "Running", "Down")</f>
        <v>Running</v>
      </c>
    </row>
    <row r="1891" spans="1:5" x14ac:dyDescent="0.25">
      <c r="A1891" s="8">
        <v>44729</v>
      </c>
      <c r="B1891" t="s">
        <v>38</v>
      </c>
      <c r="C1891">
        <v>2117</v>
      </c>
      <c r="D1891" t="s">
        <v>8</v>
      </c>
      <c r="E1891" t="str">
        <f>IF(june[[#This Row],[ShiftCounter]]&gt;0, "Running", "Down")</f>
        <v>Running</v>
      </c>
    </row>
    <row r="1892" spans="1:5" x14ac:dyDescent="0.25">
      <c r="A1892" s="8">
        <v>44729</v>
      </c>
      <c r="B1892" t="s">
        <v>20</v>
      </c>
      <c r="C1892">
        <v>2106</v>
      </c>
      <c r="D1892" t="s">
        <v>6</v>
      </c>
      <c r="E1892" t="str">
        <f>IF(june[[#This Row],[ShiftCounter]]&gt;0, "Running", "Down")</f>
        <v>Running</v>
      </c>
    </row>
    <row r="1893" spans="1:5" x14ac:dyDescent="0.25">
      <c r="A1893" s="8">
        <v>44729</v>
      </c>
      <c r="B1893" t="s">
        <v>20</v>
      </c>
      <c r="C1893">
        <v>2118</v>
      </c>
      <c r="D1893" t="s">
        <v>7</v>
      </c>
      <c r="E1893" t="str">
        <f>IF(june[[#This Row],[ShiftCounter]]&gt;0, "Running", "Down")</f>
        <v>Running</v>
      </c>
    </row>
    <row r="1894" spans="1:5" x14ac:dyDescent="0.25">
      <c r="A1894" s="8">
        <v>44729</v>
      </c>
      <c r="B1894" t="s">
        <v>20</v>
      </c>
      <c r="C1894">
        <v>1781</v>
      </c>
      <c r="D1894" t="s">
        <v>8</v>
      </c>
      <c r="E1894" t="str">
        <f>IF(june[[#This Row],[ShiftCounter]]&gt;0, "Running", "Down")</f>
        <v>Running</v>
      </c>
    </row>
    <row r="1895" spans="1:5" x14ac:dyDescent="0.25">
      <c r="A1895" s="8">
        <v>44729</v>
      </c>
      <c r="B1895" t="s">
        <v>21</v>
      </c>
      <c r="C1895">
        <v>1908</v>
      </c>
      <c r="D1895" t="s">
        <v>6</v>
      </c>
      <c r="E1895" t="str">
        <f>IF(june[[#This Row],[ShiftCounter]]&gt;0, "Running", "Down")</f>
        <v>Running</v>
      </c>
    </row>
    <row r="1896" spans="1:5" x14ac:dyDescent="0.25">
      <c r="A1896" s="8">
        <v>44729</v>
      </c>
      <c r="B1896" t="s">
        <v>21</v>
      </c>
      <c r="C1896">
        <v>2173</v>
      </c>
      <c r="D1896" t="s">
        <v>7</v>
      </c>
      <c r="E1896" t="str">
        <f>IF(june[[#This Row],[ShiftCounter]]&gt;0, "Running", "Down")</f>
        <v>Running</v>
      </c>
    </row>
    <row r="1897" spans="1:5" x14ac:dyDescent="0.25">
      <c r="A1897" s="8">
        <v>44729</v>
      </c>
      <c r="B1897" t="s">
        <v>21</v>
      </c>
      <c r="C1897">
        <v>1824</v>
      </c>
      <c r="D1897" t="s">
        <v>8</v>
      </c>
      <c r="E1897" t="str">
        <f>IF(june[[#This Row],[ShiftCounter]]&gt;0, "Running", "Down")</f>
        <v>Running</v>
      </c>
    </row>
    <row r="1898" spans="1:5" x14ac:dyDescent="0.25">
      <c r="A1898" s="8">
        <v>44729</v>
      </c>
      <c r="B1898" t="s">
        <v>22</v>
      </c>
      <c r="C1898">
        <v>2439</v>
      </c>
      <c r="D1898" t="s">
        <v>6</v>
      </c>
      <c r="E1898" t="str">
        <f>IF(june[[#This Row],[ShiftCounter]]&gt;0, "Running", "Down")</f>
        <v>Running</v>
      </c>
    </row>
    <row r="1899" spans="1:5" x14ac:dyDescent="0.25">
      <c r="A1899" s="8">
        <v>44729</v>
      </c>
      <c r="B1899" t="s">
        <v>22</v>
      </c>
      <c r="C1899">
        <v>2530</v>
      </c>
      <c r="D1899" t="s">
        <v>7</v>
      </c>
      <c r="E1899" t="str">
        <f>IF(june[[#This Row],[ShiftCounter]]&gt;0, "Running", "Down")</f>
        <v>Running</v>
      </c>
    </row>
    <row r="1900" spans="1:5" x14ac:dyDescent="0.25">
      <c r="A1900" s="8">
        <v>44729</v>
      </c>
      <c r="B1900" t="s">
        <v>22</v>
      </c>
      <c r="C1900">
        <v>2213</v>
      </c>
      <c r="D1900" t="s">
        <v>8</v>
      </c>
      <c r="E1900" t="str">
        <f>IF(june[[#This Row],[ShiftCounter]]&gt;0, "Running", "Down")</f>
        <v>Running</v>
      </c>
    </row>
    <row r="1901" spans="1:5" x14ac:dyDescent="0.25">
      <c r="A1901" s="8">
        <v>44729</v>
      </c>
      <c r="B1901" t="s">
        <v>23</v>
      </c>
      <c r="C1901">
        <v>2347</v>
      </c>
      <c r="D1901" t="s">
        <v>6</v>
      </c>
      <c r="E1901" t="str">
        <f>IF(june[[#This Row],[ShiftCounter]]&gt;0, "Running", "Down")</f>
        <v>Running</v>
      </c>
    </row>
    <row r="1902" spans="1:5" x14ac:dyDescent="0.25">
      <c r="A1902" s="8">
        <v>44729</v>
      </c>
      <c r="B1902" t="s">
        <v>23</v>
      </c>
      <c r="C1902">
        <v>2455</v>
      </c>
      <c r="D1902" t="s">
        <v>7</v>
      </c>
      <c r="E1902" t="str">
        <f>IF(june[[#This Row],[ShiftCounter]]&gt;0, "Running", "Down")</f>
        <v>Running</v>
      </c>
    </row>
    <row r="1903" spans="1:5" x14ac:dyDescent="0.25">
      <c r="A1903" s="8">
        <v>44729</v>
      </c>
      <c r="B1903" t="s">
        <v>23</v>
      </c>
      <c r="C1903">
        <v>2403</v>
      </c>
      <c r="D1903" t="s">
        <v>8</v>
      </c>
      <c r="E1903" t="str">
        <f>IF(june[[#This Row],[ShiftCounter]]&gt;0, "Running", "Down")</f>
        <v>Running</v>
      </c>
    </row>
    <row r="1904" spans="1:5" x14ac:dyDescent="0.25">
      <c r="A1904" s="8">
        <v>44729</v>
      </c>
      <c r="B1904" t="s">
        <v>24</v>
      </c>
      <c r="C1904">
        <v>1936</v>
      </c>
      <c r="D1904" t="s">
        <v>6</v>
      </c>
      <c r="E1904" t="str">
        <f>IF(june[[#This Row],[ShiftCounter]]&gt;0, "Running", "Down")</f>
        <v>Running</v>
      </c>
    </row>
    <row r="1905" spans="1:5" x14ac:dyDescent="0.25">
      <c r="A1905" s="8">
        <v>44729</v>
      </c>
      <c r="B1905" t="s">
        <v>24</v>
      </c>
      <c r="C1905">
        <v>2213</v>
      </c>
      <c r="D1905" t="s">
        <v>7</v>
      </c>
      <c r="E1905" t="str">
        <f>IF(june[[#This Row],[ShiftCounter]]&gt;0, "Running", "Down")</f>
        <v>Running</v>
      </c>
    </row>
    <row r="1906" spans="1:5" x14ac:dyDescent="0.25">
      <c r="A1906" s="8">
        <v>44729</v>
      </c>
      <c r="B1906" t="s">
        <v>24</v>
      </c>
      <c r="C1906">
        <v>1806</v>
      </c>
      <c r="D1906" t="s">
        <v>8</v>
      </c>
      <c r="E1906" t="str">
        <f>IF(june[[#This Row],[ShiftCounter]]&gt;0, "Running", "Down")</f>
        <v>Running</v>
      </c>
    </row>
    <row r="1907" spans="1:5" x14ac:dyDescent="0.25">
      <c r="A1907" s="8">
        <v>44729</v>
      </c>
      <c r="B1907" t="s">
        <v>25</v>
      </c>
      <c r="C1907">
        <v>1946</v>
      </c>
      <c r="D1907" t="s">
        <v>6</v>
      </c>
      <c r="E1907" t="str">
        <f>IF(june[[#This Row],[ShiftCounter]]&gt;0, "Running", "Down")</f>
        <v>Running</v>
      </c>
    </row>
    <row r="1908" spans="1:5" x14ac:dyDescent="0.25">
      <c r="A1908" s="8">
        <v>44729</v>
      </c>
      <c r="B1908" t="s">
        <v>25</v>
      </c>
      <c r="C1908">
        <v>2134</v>
      </c>
      <c r="D1908" t="s">
        <v>7</v>
      </c>
      <c r="E1908" t="str">
        <f>IF(june[[#This Row],[ShiftCounter]]&gt;0, "Running", "Down")</f>
        <v>Running</v>
      </c>
    </row>
    <row r="1909" spans="1:5" x14ac:dyDescent="0.25">
      <c r="A1909" s="8">
        <v>44729</v>
      </c>
      <c r="B1909" t="s">
        <v>25</v>
      </c>
      <c r="C1909">
        <v>2186</v>
      </c>
      <c r="D1909" t="s">
        <v>8</v>
      </c>
      <c r="E1909" t="str">
        <f>IF(june[[#This Row],[ShiftCounter]]&gt;0, "Running", "Down")</f>
        <v>Running</v>
      </c>
    </row>
    <row r="1910" spans="1:5" x14ac:dyDescent="0.25">
      <c r="A1910" s="8">
        <v>44729</v>
      </c>
      <c r="B1910" t="s">
        <v>80</v>
      </c>
      <c r="C1910">
        <v>1135</v>
      </c>
      <c r="D1910" t="s">
        <v>6</v>
      </c>
      <c r="E1910" t="str">
        <f>IF(june[[#This Row],[ShiftCounter]]&gt;0, "Running", "Down")</f>
        <v>Running</v>
      </c>
    </row>
    <row r="1911" spans="1:5" x14ac:dyDescent="0.25">
      <c r="A1911" s="8">
        <v>44729</v>
      </c>
      <c r="B1911" t="s">
        <v>80</v>
      </c>
      <c r="C1911">
        <v>1783</v>
      </c>
      <c r="D1911" t="s">
        <v>7</v>
      </c>
      <c r="E1911" t="str">
        <f>IF(june[[#This Row],[ShiftCounter]]&gt;0, "Running", "Down")</f>
        <v>Running</v>
      </c>
    </row>
    <row r="1912" spans="1:5" x14ac:dyDescent="0.25">
      <c r="A1912" s="8">
        <v>44729</v>
      </c>
      <c r="B1912" t="s">
        <v>80</v>
      </c>
      <c r="C1912">
        <v>1755</v>
      </c>
      <c r="D1912" t="s">
        <v>8</v>
      </c>
      <c r="E1912" t="str">
        <f>IF(june[[#This Row],[ShiftCounter]]&gt;0, "Running", "Down")</f>
        <v>Running</v>
      </c>
    </row>
    <row r="1913" spans="1:5" x14ac:dyDescent="0.25">
      <c r="A1913" s="8">
        <v>44729</v>
      </c>
      <c r="B1913" t="s">
        <v>26</v>
      </c>
      <c r="C1913">
        <v>1940</v>
      </c>
      <c r="D1913" t="s">
        <v>6</v>
      </c>
      <c r="E1913" t="str">
        <f>IF(june[[#This Row],[ShiftCounter]]&gt;0, "Running", "Down")</f>
        <v>Running</v>
      </c>
    </row>
    <row r="1914" spans="1:5" x14ac:dyDescent="0.25">
      <c r="A1914" s="8">
        <v>44729</v>
      </c>
      <c r="B1914" t="s">
        <v>26</v>
      </c>
      <c r="C1914">
        <v>1954</v>
      </c>
      <c r="D1914" t="s">
        <v>7</v>
      </c>
      <c r="E1914" t="str">
        <f>IF(june[[#This Row],[ShiftCounter]]&gt;0, "Running", "Down")</f>
        <v>Running</v>
      </c>
    </row>
    <row r="1915" spans="1:5" x14ac:dyDescent="0.25">
      <c r="A1915" s="8">
        <v>44729</v>
      </c>
      <c r="B1915" t="s">
        <v>26</v>
      </c>
      <c r="C1915">
        <v>1896</v>
      </c>
      <c r="D1915" t="s">
        <v>8</v>
      </c>
      <c r="E1915" t="str">
        <f>IF(june[[#This Row],[ShiftCounter]]&gt;0, "Running", "Down")</f>
        <v>Running</v>
      </c>
    </row>
    <row r="1916" spans="1:5" x14ac:dyDescent="0.25">
      <c r="A1916" s="8">
        <v>44729</v>
      </c>
      <c r="B1916" t="s">
        <v>27</v>
      </c>
      <c r="C1916">
        <v>0</v>
      </c>
      <c r="D1916" t="s">
        <v>6</v>
      </c>
      <c r="E1916" t="str">
        <f>IF(june[[#This Row],[ShiftCounter]]&gt;0, "Running", "Down")</f>
        <v>Down</v>
      </c>
    </row>
    <row r="1917" spans="1:5" x14ac:dyDescent="0.25">
      <c r="A1917" s="8">
        <v>44729</v>
      </c>
      <c r="B1917" t="s">
        <v>27</v>
      </c>
      <c r="C1917">
        <v>2122</v>
      </c>
      <c r="D1917" t="s">
        <v>7</v>
      </c>
      <c r="E1917" t="str">
        <f>IF(june[[#This Row],[ShiftCounter]]&gt;0, "Running", "Down")</f>
        <v>Running</v>
      </c>
    </row>
    <row r="1918" spans="1:5" x14ac:dyDescent="0.25">
      <c r="A1918" s="8">
        <v>44729</v>
      </c>
      <c r="B1918" t="s">
        <v>27</v>
      </c>
      <c r="C1918">
        <v>2454</v>
      </c>
      <c r="D1918" t="s">
        <v>8</v>
      </c>
      <c r="E1918" t="str">
        <f>IF(june[[#This Row],[ShiftCounter]]&gt;0, "Running", "Down")</f>
        <v>Running</v>
      </c>
    </row>
    <row r="1919" spans="1:5" x14ac:dyDescent="0.25">
      <c r="A1919" s="8">
        <v>44729</v>
      </c>
      <c r="B1919" t="s">
        <v>28</v>
      </c>
      <c r="C1919">
        <v>2297</v>
      </c>
      <c r="D1919" t="s">
        <v>6</v>
      </c>
      <c r="E1919" t="str">
        <f>IF(june[[#This Row],[ShiftCounter]]&gt;0, "Running", "Down")</f>
        <v>Running</v>
      </c>
    </row>
    <row r="1920" spans="1:5" x14ac:dyDescent="0.25">
      <c r="A1920" s="8">
        <v>44729</v>
      </c>
      <c r="B1920" t="s">
        <v>28</v>
      </c>
      <c r="C1920">
        <v>2357</v>
      </c>
      <c r="D1920" t="s">
        <v>7</v>
      </c>
      <c r="E1920" t="str">
        <f>IF(june[[#This Row],[ShiftCounter]]&gt;0, "Running", "Down")</f>
        <v>Running</v>
      </c>
    </row>
    <row r="1921" spans="1:5" x14ac:dyDescent="0.25">
      <c r="A1921" s="8">
        <v>44729</v>
      </c>
      <c r="B1921" t="s">
        <v>28</v>
      </c>
      <c r="C1921">
        <v>2042</v>
      </c>
      <c r="D1921" t="s">
        <v>8</v>
      </c>
      <c r="E1921" t="str">
        <f>IF(june[[#This Row],[ShiftCounter]]&gt;0, "Running", "Down")</f>
        <v>Running</v>
      </c>
    </row>
    <row r="1922" spans="1:5" x14ac:dyDescent="0.25">
      <c r="A1922" s="8">
        <v>44729</v>
      </c>
      <c r="B1922" t="s">
        <v>29</v>
      </c>
      <c r="C1922">
        <v>2106</v>
      </c>
      <c r="D1922" t="s">
        <v>6</v>
      </c>
      <c r="E1922" t="str">
        <f>IF(june[[#This Row],[ShiftCounter]]&gt;0, "Running", "Down")</f>
        <v>Running</v>
      </c>
    </row>
    <row r="1923" spans="1:5" x14ac:dyDescent="0.25">
      <c r="A1923" s="8">
        <v>44729</v>
      </c>
      <c r="B1923" t="s">
        <v>29</v>
      </c>
      <c r="C1923">
        <v>2104</v>
      </c>
      <c r="D1923" t="s">
        <v>7</v>
      </c>
      <c r="E1923" t="str">
        <f>IF(june[[#This Row],[ShiftCounter]]&gt;0, "Running", "Down")</f>
        <v>Running</v>
      </c>
    </row>
    <row r="1924" spans="1:5" x14ac:dyDescent="0.25">
      <c r="A1924" s="8">
        <v>44729</v>
      </c>
      <c r="B1924" t="s">
        <v>29</v>
      </c>
      <c r="C1924">
        <v>2132</v>
      </c>
      <c r="D1924" t="s">
        <v>8</v>
      </c>
      <c r="E1924" t="str">
        <f>IF(june[[#This Row],[ShiftCounter]]&gt;0, "Running", "Down")</f>
        <v>Running</v>
      </c>
    </row>
    <row r="1925" spans="1:5" x14ac:dyDescent="0.25">
      <c r="A1925" s="8">
        <v>44729</v>
      </c>
      <c r="B1925" t="s">
        <v>30</v>
      </c>
      <c r="C1925">
        <v>1884</v>
      </c>
      <c r="D1925" t="s">
        <v>6</v>
      </c>
      <c r="E1925" t="str">
        <f>IF(june[[#This Row],[ShiftCounter]]&gt;0, "Running", "Down")</f>
        <v>Running</v>
      </c>
    </row>
    <row r="1926" spans="1:5" x14ac:dyDescent="0.25">
      <c r="A1926" s="8">
        <v>44729</v>
      </c>
      <c r="B1926" t="s">
        <v>30</v>
      </c>
      <c r="C1926">
        <v>2415</v>
      </c>
      <c r="D1926" t="s">
        <v>7</v>
      </c>
      <c r="E1926" t="str">
        <f>IF(june[[#This Row],[ShiftCounter]]&gt;0, "Running", "Down")</f>
        <v>Running</v>
      </c>
    </row>
    <row r="1927" spans="1:5" x14ac:dyDescent="0.25">
      <c r="A1927" s="8">
        <v>44729</v>
      </c>
      <c r="B1927" t="s">
        <v>30</v>
      </c>
      <c r="C1927">
        <v>2129</v>
      </c>
      <c r="D1927" t="s">
        <v>8</v>
      </c>
      <c r="E1927" t="str">
        <f>IF(june[[#This Row],[ShiftCounter]]&gt;0, "Running", "Down")</f>
        <v>Running</v>
      </c>
    </row>
    <row r="1928" spans="1:5" x14ac:dyDescent="0.25">
      <c r="A1928" s="8">
        <v>44729</v>
      </c>
      <c r="B1928" t="s">
        <v>31</v>
      </c>
      <c r="C1928">
        <v>2043</v>
      </c>
      <c r="D1928" t="s">
        <v>6</v>
      </c>
      <c r="E1928" t="str">
        <f>IF(june[[#This Row],[ShiftCounter]]&gt;0, "Running", "Down")</f>
        <v>Running</v>
      </c>
    </row>
    <row r="1929" spans="1:5" x14ac:dyDescent="0.25">
      <c r="A1929" s="8">
        <v>44729</v>
      </c>
      <c r="B1929" t="s">
        <v>31</v>
      </c>
      <c r="C1929">
        <v>2116</v>
      </c>
      <c r="D1929" t="s">
        <v>7</v>
      </c>
      <c r="E1929" t="str">
        <f>IF(june[[#This Row],[ShiftCounter]]&gt;0, "Running", "Down")</f>
        <v>Running</v>
      </c>
    </row>
    <row r="1930" spans="1:5" x14ac:dyDescent="0.25">
      <c r="A1930" s="8">
        <v>44729</v>
      </c>
      <c r="B1930" t="s">
        <v>31</v>
      </c>
      <c r="C1930">
        <v>1939</v>
      </c>
      <c r="D1930" t="s">
        <v>8</v>
      </c>
      <c r="E1930" t="str">
        <f>IF(june[[#This Row],[ShiftCounter]]&gt;0, "Running", "Down")</f>
        <v>Running</v>
      </c>
    </row>
    <row r="1931" spans="1:5" x14ac:dyDescent="0.25">
      <c r="A1931" s="8">
        <v>44729</v>
      </c>
      <c r="B1931" t="s">
        <v>32</v>
      </c>
      <c r="C1931">
        <v>2439</v>
      </c>
      <c r="D1931" t="s">
        <v>6</v>
      </c>
      <c r="E1931" t="str">
        <f>IF(june[[#This Row],[ShiftCounter]]&gt;0, "Running", "Down")</f>
        <v>Running</v>
      </c>
    </row>
    <row r="1932" spans="1:5" x14ac:dyDescent="0.25">
      <c r="A1932" s="8">
        <v>44729</v>
      </c>
      <c r="B1932" t="s">
        <v>32</v>
      </c>
      <c r="C1932">
        <v>2407</v>
      </c>
      <c r="D1932" t="s">
        <v>7</v>
      </c>
      <c r="E1932" t="str">
        <f>IF(june[[#This Row],[ShiftCounter]]&gt;0, "Running", "Down")</f>
        <v>Running</v>
      </c>
    </row>
    <row r="1933" spans="1:5" x14ac:dyDescent="0.25">
      <c r="A1933" s="8">
        <v>44729</v>
      </c>
      <c r="B1933" t="s">
        <v>32</v>
      </c>
      <c r="C1933">
        <v>2463</v>
      </c>
      <c r="D1933" t="s">
        <v>8</v>
      </c>
      <c r="E1933" t="str">
        <f>IF(june[[#This Row],[ShiftCounter]]&gt;0, "Running", "Down")</f>
        <v>Running</v>
      </c>
    </row>
    <row r="1934" spans="1:5" x14ac:dyDescent="0.25">
      <c r="A1934" s="8">
        <v>44729</v>
      </c>
      <c r="B1934" t="s">
        <v>71</v>
      </c>
      <c r="C1934">
        <v>2135</v>
      </c>
      <c r="D1934" t="s">
        <v>6</v>
      </c>
      <c r="E1934" t="str">
        <f>IF(june[[#This Row],[ShiftCounter]]&gt;0, "Running", "Down")</f>
        <v>Running</v>
      </c>
    </row>
    <row r="1935" spans="1:5" x14ac:dyDescent="0.25">
      <c r="A1935" s="8">
        <v>44729</v>
      </c>
      <c r="B1935" t="s">
        <v>71</v>
      </c>
      <c r="C1935">
        <v>2178</v>
      </c>
      <c r="D1935" t="s">
        <v>7</v>
      </c>
      <c r="E1935" t="str">
        <f>IF(june[[#This Row],[ShiftCounter]]&gt;0, "Running", "Down")</f>
        <v>Running</v>
      </c>
    </row>
    <row r="1936" spans="1:5" x14ac:dyDescent="0.25">
      <c r="A1936" s="8">
        <v>44729</v>
      </c>
      <c r="B1936" t="s">
        <v>71</v>
      </c>
      <c r="C1936">
        <v>2100</v>
      </c>
      <c r="D1936" t="s">
        <v>8</v>
      </c>
      <c r="E1936" t="str">
        <f>IF(june[[#This Row],[ShiftCounter]]&gt;0, "Running", "Down")</f>
        <v>Running</v>
      </c>
    </row>
    <row r="1937" spans="1:5" x14ac:dyDescent="0.25">
      <c r="A1937" s="8">
        <v>44729</v>
      </c>
      <c r="B1937" t="s">
        <v>33</v>
      </c>
      <c r="C1937">
        <v>2370</v>
      </c>
      <c r="D1937" t="s">
        <v>6</v>
      </c>
      <c r="E1937" t="str">
        <f>IF(june[[#This Row],[ShiftCounter]]&gt;0, "Running", "Down")</f>
        <v>Running</v>
      </c>
    </row>
    <row r="1938" spans="1:5" x14ac:dyDescent="0.25">
      <c r="A1938" s="8">
        <v>44729</v>
      </c>
      <c r="B1938" t="s">
        <v>33</v>
      </c>
      <c r="C1938">
        <v>2336</v>
      </c>
      <c r="D1938" t="s">
        <v>7</v>
      </c>
      <c r="E1938" t="str">
        <f>IF(june[[#This Row],[ShiftCounter]]&gt;0, "Running", "Down")</f>
        <v>Running</v>
      </c>
    </row>
    <row r="1939" spans="1:5" x14ac:dyDescent="0.25">
      <c r="A1939" s="8">
        <v>44729</v>
      </c>
      <c r="B1939" t="s">
        <v>33</v>
      </c>
      <c r="C1939">
        <v>2363</v>
      </c>
      <c r="D1939" t="s">
        <v>8</v>
      </c>
      <c r="E1939" t="str">
        <f>IF(june[[#This Row],[ShiftCounter]]&gt;0, "Running", "Down")</f>
        <v>Running</v>
      </c>
    </row>
    <row r="1940" spans="1:5" x14ac:dyDescent="0.25">
      <c r="A1940" s="8">
        <v>44729</v>
      </c>
      <c r="B1940" t="s">
        <v>34</v>
      </c>
      <c r="C1940">
        <v>1936</v>
      </c>
      <c r="D1940" t="s">
        <v>6</v>
      </c>
      <c r="E1940" t="str">
        <f>IF(june[[#This Row],[ShiftCounter]]&gt;0, "Running", "Down")</f>
        <v>Running</v>
      </c>
    </row>
    <row r="1941" spans="1:5" x14ac:dyDescent="0.25">
      <c r="A1941" s="8">
        <v>44729</v>
      </c>
      <c r="B1941" t="s">
        <v>34</v>
      </c>
      <c r="C1941">
        <v>1966</v>
      </c>
      <c r="D1941" t="s">
        <v>7</v>
      </c>
      <c r="E1941" t="str">
        <f>IF(june[[#This Row],[ShiftCounter]]&gt;0, "Running", "Down")</f>
        <v>Running</v>
      </c>
    </row>
    <row r="1942" spans="1:5" x14ac:dyDescent="0.25">
      <c r="A1942" s="8">
        <v>44729</v>
      </c>
      <c r="B1942" t="s">
        <v>34</v>
      </c>
      <c r="C1942">
        <v>1957</v>
      </c>
      <c r="D1942" t="s">
        <v>8</v>
      </c>
      <c r="E1942" t="str">
        <f>IF(june[[#This Row],[ShiftCounter]]&gt;0, "Running", "Down")</f>
        <v>Running</v>
      </c>
    </row>
    <row r="1943" spans="1:5" x14ac:dyDescent="0.25">
      <c r="A1943" s="8">
        <v>44729</v>
      </c>
      <c r="B1943" t="s">
        <v>36</v>
      </c>
      <c r="C1943">
        <v>0</v>
      </c>
      <c r="D1943" t="s">
        <v>6</v>
      </c>
      <c r="E1943" t="str">
        <f>IF(june[[#This Row],[ShiftCounter]]&gt;0, "Running", "Down")</f>
        <v>Down</v>
      </c>
    </row>
    <row r="1944" spans="1:5" x14ac:dyDescent="0.25">
      <c r="A1944" s="8">
        <v>44729</v>
      </c>
      <c r="B1944" t="s">
        <v>36</v>
      </c>
      <c r="C1944">
        <v>0</v>
      </c>
      <c r="D1944" t="s">
        <v>7</v>
      </c>
      <c r="E1944" t="str">
        <f>IF(june[[#This Row],[ShiftCounter]]&gt;0, "Running", "Down")</f>
        <v>Down</v>
      </c>
    </row>
    <row r="1945" spans="1:5" x14ac:dyDescent="0.25">
      <c r="A1945" s="8">
        <v>44729</v>
      </c>
      <c r="B1945" t="s">
        <v>36</v>
      </c>
      <c r="C1945">
        <v>0</v>
      </c>
      <c r="D1945" t="s">
        <v>8</v>
      </c>
      <c r="E1945" t="str">
        <f>IF(june[[#This Row],[ShiftCounter]]&gt;0, "Running", "Down")</f>
        <v>Down</v>
      </c>
    </row>
    <row r="1946" spans="1:5" x14ac:dyDescent="0.25">
      <c r="A1946" s="8">
        <v>44729</v>
      </c>
      <c r="B1946" t="s">
        <v>37</v>
      </c>
      <c r="C1946">
        <v>2456</v>
      </c>
      <c r="D1946" t="s">
        <v>6</v>
      </c>
      <c r="E1946" t="str">
        <f>IF(june[[#This Row],[ShiftCounter]]&gt;0, "Running", "Down")</f>
        <v>Running</v>
      </c>
    </row>
    <row r="1947" spans="1:5" x14ac:dyDescent="0.25">
      <c r="A1947" s="8">
        <v>44729</v>
      </c>
      <c r="B1947" t="s">
        <v>37</v>
      </c>
      <c r="C1947">
        <v>2361</v>
      </c>
      <c r="D1947" t="s">
        <v>7</v>
      </c>
      <c r="E1947" t="str">
        <f>IF(june[[#This Row],[ShiftCounter]]&gt;0, "Running", "Down")</f>
        <v>Running</v>
      </c>
    </row>
    <row r="1948" spans="1:5" x14ac:dyDescent="0.25">
      <c r="A1948" s="8">
        <v>44729</v>
      </c>
      <c r="B1948" t="s">
        <v>37</v>
      </c>
      <c r="C1948">
        <v>2300</v>
      </c>
      <c r="D1948" t="s">
        <v>8</v>
      </c>
      <c r="E1948" t="str">
        <f>IF(june[[#This Row],[ShiftCounter]]&gt;0, "Running", "Down")</f>
        <v>Running</v>
      </c>
    </row>
    <row r="1949" spans="1:5" x14ac:dyDescent="0.25">
      <c r="A1949" s="8">
        <v>44729</v>
      </c>
      <c r="B1949" t="s">
        <v>54</v>
      </c>
      <c r="C1949">
        <v>0</v>
      </c>
      <c r="D1949" t="s">
        <v>6</v>
      </c>
      <c r="E1949" t="str">
        <f>IF(june[[#This Row],[ShiftCounter]]&gt;0, "Running", "Down")</f>
        <v>Down</v>
      </c>
    </row>
    <row r="1950" spans="1:5" x14ac:dyDescent="0.25">
      <c r="A1950" s="8">
        <v>44729</v>
      </c>
      <c r="B1950" t="s">
        <v>54</v>
      </c>
      <c r="C1950">
        <v>0</v>
      </c>
      <c r="D1950" t="s">
        <v>7</v>
      </c>
      <c r="E1950" t="str">
        <f>IF(june[[#This Row],[ShiftCounter]]&gt;0, "Running", "Down")</f>
        <v>Down</v>
      </c>
    </row>
    <row r="1951" spans="1:5" x14ac:dyDescent="0.25">
      <c r="A1951" s="8">
        <v>44729</v>
      </c>
      <c r="B1951" t="s">
        <v>54</v>
      </c>
      <c r="C1951">
        <v>1746</v>
      </c>
      <c r="D1951" t="s">
        <v>8</v>
      </c>
      <c r="E1951" t="str">
        <f>IF(june[[#This Row],[ShiftCounter]]&gt;0, "Running", "Down")</f>
        <v>Running</v>
      </c>
    </row>
    <row r="1952" spans="1:5" x14ac:dyDescent="0.25">
      <c r="A1952" s="8">
        <v>44730</v>
      </c>
      <c r="B1952" t="s">
        <v>158</v>
      </c>
      <c r="C1952">
        <v>2412</v>
      </c>
      <c r="D1952" t="s">
        <v>6</v>
      </c>
      <c r="E1952" t="str">
        <f>IF(june[[#This Row],[ShiftCounter]]&gt;0, "Running", "Down")</f>
        <v>Running</v>
      </c>
    </row>
    <row r="1953" spans="1:5" x14ac:dyDescent="0.25">
      <c r="A1953" s="8">
        <v>44730</v>
      </c>
      <c r="B1953" t="s">
        <v>158</v>
      </c>
      <c r="C1953">
        <v>2119</v>
      </c>
      <c r="D1953" t="s">
        <v>7</v>
      </c>
      <c r="E1953" t="str">
        <f>IF(june[[#This Row],[ShiftCounter]]&gt;0, "Running", "Down")</f>
        <v>Running</v>
      </c>
    </row>
    <row r="1954" spans="1:5" x14ac:dyDescent="0.25">
      <c r="A1954" s="8">
        <v>44730</v>
      </c>
      <c r="B1954" t="s">
        <v>158</v>
      </c>
      <c r="C1954">
        <v>2037</v>
      </c>
      <c r="D1954" t="s">
        <v>8</v>
      </c>
      <c r="E1954" t="str">
        <f>IF(june[[#This Row],[ShiftCounter]]&gt;0, "Running", "Down")</f>
        <v>Running</v>
      </c>
    </row>
    <row r="1955" spans="1:5" x14ac:dyDescent="0.25">
      <c r="A1955" s="8">
        <v>44730</v>
      </c>
      <c r="B1955" t="s">
        <v>40</v>
      </c>
      <c r="C1955">
        <v>2458</v>
      </c>
      <c r="D1955" t="s">
        <v>6</v>
      </c>
      <c r="E1955" t="str">
        <f>IF(june[[#This Row],[ShiftCounter]]&gt;0, "Running", "Down")</f>
        <v>Running</v>
      </c>
    </row>
    <row r="1956" spans="1:5" x14ac:dyDescent="0.25">
      <c r="A1956" s="8">
        <v>44730</v>
      </c>
      <c r="B1956" t="s">
        <v>40</v>
      </c>
      <c r="C1956">
        <v>2226</v>
      </c>
      <c r="D1956" t="s">
        <v>7</v>
      </c>
      <c r="E1956" t="str">
        <f>IF(june[[#This Row],[ShiftCounter]]&gt;0, "Running", "Down")</f>
        <v>Running</v>
      </c>
    </row>
    <row r="1957" spans="1:5" x14ac:dyDescent="0.25">
      <c r="A1957" s="8">
        <v>44730</v>
      </c>
      <c r="B1957" t="s">
        <v>40</v>
      </c>
      <c r="C1957">
        <v>2092</v>
      </c>
      <c r="D1957" t="s">
        <v>8</v>
      </c>
      <c r="E1957" t="str">
        <f>IF(june[[#This Row],[ShiftCounter]]&gt;0, "Running", "Down")</f>
        <v>Running</v>
      </c>
    </row>
    <row r="1958" spans="1:5" x14ac:dyDescent="0.25">
      <c r="A1958" s="8">
        <v>44730</v>
      </c>
      <c r="B1958" t="s">
        <v>39</v>
      </c>
      <c r="C1958">
        <v>2145</v>
      </c>
      <c r="D1958" t="s">
        <v>6</v>
      </c>
      <c r="E1958" t="str">
        <f>IF(june[[#This Row],[ShiftCounter]]&gt;0, "Running", "Down")</f>
        <v>Running</v>
      </c>
    </row>
    <row r="1959" spans="1:5" x14ac:dyDescent="0.25">
      <c r="A1959" s="8">
        <v>44730</v>
      </c>
      <c r="B1959" t="s">
        <v>39</v>
      </c>
      <c r="C1959">
        <v>2180</v>
      </c>
      <c r="D1959" t="s">
        <v>7</v>
      </c>
      <c r="E1959" t="str">
        <f>IF(june[[#This Row],[ShiftCounter]]&gt;0, "Running", "Down")</f>
        <v>Running</v>
      </c>
    </row>
    <row r="1960" spans="1:5" x14ac:dyDescent="0.25">
      <c r="A1960" s="8">
        <v>44730</v>
      </c>
      <c r="B1960" t="s">
        <v>39</v>
      </c>
      <c r="C1960">
        <v>2163</v>
      </c>
      <c r="D1960" t="s">
        <v>8</v>
      </c>
      <c r="E1960" t="str">
        <f>IF(june[[#This Row],[ShiftCounter]]&gt;0, "Running", "Down")</f>
        <v>Running</v>
      </c>
    </row>
    <row r="1961" spans="1:5" x14ac:dyDescent="0.25">
      <c r="A1961" s="8">
        <v>44730</v>
      </c>
      <c r="B1961" t="s">
        <v>41</v>
      </c>
      <c r="C1961">
        <v>2524</v>
      </c>
      <c r="D1961" t="s">
        <v>6</v>
      </c>
      <c r="E1961" t="str">
        <f>IF(june[[#This Row],[ShiftCounter]]&gt;0, "Running", "Down")</f>
        <v>Running</v>
      </c>
    </row>
    <row r="1962" spans="1:5" x14ac:dyDescent="0.25">
      <c r="A1962" s="8">
        <v>44730</v>
      </c>
      <c r="B1962" t="s">
        <v>41</v>
      </c>
      <c r="C1962">
        <v>2252</v>
      </c>
      <c r="D1962" t="s">
        <v>7</v>
      </c>
      <c r="E1962" t="str">
        <f>IF(june[[#This Row],[ShiftCounter]]&gt;0, "Running", "Down")</f>
        <v>Running</v>
      </c>
    </row>
    <row r="1963" spans="1:5" x14ac:dyDescent="0.25">
      <c r="A1963" s="8">
        <v>44730</v>
      </c>
      <c r="B1963" t="s">
        <v>41</v>
      </c>
      <c r="C1963">
        <v>2113</v>
      </c>
      <c r="D1963" t="s">
        <v>8</v>
      </c>
      <c r="E1963" t="str">
        <f>IF(june[[#This Row],[ShiftCounter]]&gt;0, "Running", "Down")</f>
        <v>Running</v>
      </c>
    </row>
    <row r="1964" spans="1:5" x14ac:dyDescent="0.25">
      <c r="A1964" s="8">
        <v>44730</v>
      </c>
      <c r="B1964" t="s">
        <v>5</v>
      </c>
      <c r="C1964">
        <v>1616</v>
      </c>
      <c r="D1964" t="s">
        <v>6</v>
      </c>
      <c r="E1964" t="str">
        <f>IF(june[[#This Row],[ShiftCounter]]&gt;0, "Running", "Down")</f>
        <v>Running</v>
      </c>
    </row>
    <row r="1965" spans="1:5" x14ac:dyDescent="0.25">
      <c r="A1965" s="8">
        <v>44730</v>
      </c>
      <c r="B1965" t="s">
        <v>5</v>
      </c>
      <c r="C1965">
        <v>1225</v>
      </c>
      <c r="D1965" t="s">
        <v>7</v>
      </c>
      <c r="E1965" t="str">
        <f>IF(june[[#This Row],[ShiftCounter]]&gt;0, "Running", "Down")</f>
        <v>Running</v>
      </c>
    </row>
    <row r="1966" spans="1:5" x14ac:dyDescent="0.25">
      <c r="A1966" s="8">
        <v>44730</v>
      </c>
      <c r="B1966" t="s">
        <v>5</v>
      </c>
      <c r="C1966">
        <v>2061</v>
      </c>
      <c r="D1966" t="s">
        <v>8</v>
      </c>
      <c r="E1966" t="str">
        <f>IF(june[[#This Row],[ShiftCounter]]&gt;0, "Running", "Down")</f>
        <v>Running</v>
      </c>
    </row>
    <row r="1967" spans="1:5" x14ac:dyDescent="0.25">
      <c r="A1967" s="8">
        <v>44730</v>
      </c>
      <c r="B1967" t="s">
        <v>9</v>
      </c>
      <c r="C1967">
        <v>2469</v>
      </c>
      <c r="D1967" t="s">
        <v>6</v>
      </c>
      <c r="E1967" t="str">
        <f>IF(june[[#This Row],[ShiftCounter]]&gt;0, "Running", "Down")</f>
        <v>Running</v>
      </c>
    </row>
    <row r="1968" spans="1:5" x14ac:dyDescent="0.25">
      <c r="A1968" s="8">
        <v>44730</v>
      </c>
      <c r="B1968" t="s">
        <v>9</v>
      </c>
      <c r="C1968">
        <v>2200</v>
      </c>
      <c r="D1968" t="s">
        <v>7</v>
      </c>
      <c r="E1968" t="str">
        <f>IF(june[[#This Row],[ShiftCounter]]&gt;0, "Running", "Down")</f>
        <v>Running</v>
      </c>
    </row>
    <row r="1969" spans="1:5" x14ac:dyDescent="0.25">
      <c r="A1969" s="8">
        <v>44730</v>
      </c>
      <c r="B1969" t="s">
        <v>9</v>
      </c>
      <c r="C1969">
        <v>2063</v>
      </c>
      <c r="D1969" t="s">
        <v>8</v>
      </c>
      <c r="E1969" t="str">
        <f>IF(june[[#This Row],[ShiftCounter]]&gt;0, "Running", "Down")</f>
        <v>Running</v>
      </c>
    </row>
    <row r="1970" spans="1:5" x14ac:dyDescent="0.25">
      <c r="A1970" s="8">
        <v>44730</v>
      </c>
      <c r="B1970" t="s">
        <v>10</v>
      </c>
      <c r="C1970">
        <v>2133</v>
      </c>
      <c r="D1970" t="s">
        <v>6</v>
      </c>
      <c r="E1970" t="str">
        <f>IF(june[[#This Row],[ShiftCounter]]&gt;0, "Running", "Down")</f>
        <v>Running</v>
      </c>
    </row>
    <row r="1971" spans="1:5" x14ac:dyDescent="0.25">
      <c r="A1971" s="8">
        <v>44730</v>
      </c>
      <c r="B1971" t="s">
        <v>10</v>
      </c>
      <c r="C1971">
        <v>2237</v>
      </c>
      <c r="D1971" t="s">
        <v>7</v>
      </c>
      <c r="E1971" t="str">
        <f>IF(june[[#This Row],[ShiftCounter]]&gt;0, "Running", "Down")</f>
        <v>Running</v>
      </c>
    </row>
    <row r="1972" spans="1:5" x14ac:dyDescent="0.25">
      <c r="A1972" s="8">
        <v>44730</v>
      </c>
      <c r="B1972" t="s">
        <v>10</v>
      </c>
      <c r="C1972">
        <v>2198</v>
      </c>
      <c r="D1972" t="s">
        <v>8</v>
      </c>
      <c r="E1972" t="str">
        <f>IF(june[[#This Row],[ShiftCounter]]&gt;0, "Running", "Down")</f>
        <v>Running</v>
      </c>
    </row>
    <row r="1973" spans="1:5" x14ac:dyDescent="0.25">
      <c r="A1973" s="8">
        <v>44730</v>
      </c>
      <c r="B1973" t="s">
        <v>11</v>
      </c>
      <c r="C1973">
        <v>2231</v>
      </c>
      <c r="D1973" t="s">
        <v>6</v>
      </c>
      <c r="E1973" t="str">
        <f>IF(june[[#This Row],[ShiftCounter]]&gt;0, "Running", "Down")</f>
        <v>Running</v>
      </c>
    </row>
    <row r="1974" spans="1:5" x14ac:dyDescent="0.25">
      <c r="A1974" s="8">
        <v>44730</v>
      </c>
      <c r="B1974" t="s">
        <v>11</v>
      </c>
      <c r="C1974">
        <v>2243</v>
      </c>
      <c r="D1974" t="s">
        <v>7</v>
      </c>
      <c r="E1974" t="str">
        <f>IF(june[[#This Row],[ShiftCounter]]&gt;0, "Running", "Down")</f>
        <v>Running</v>
      </c>
    </row>
    <row r="1975" spans="1:5" x14ac:dyDescent="0.25">
      <c r="A1975" s="8">
        <v>44730</v>
      </c>
      <c r="B1975" t="s">
        <v>11</v>
      </c>
      <c r="C1975">
        <v>2248</v>
      </c>
      <c r="D1975" t="s">
        <v>8</v>
      </c>
      <c r="E1975" t="str">
        <f>IF(june[[#This Row],[ShiftCounter]]&gt;0, "Running", "Down")</f>
        <v>Running</v>
      </c>
    </row>
    <row r="1976" spans="1:5" x14ac:dyDescent="0.25">
      <c r="A1976" s="8">
        <v>44730</v>
      </c>
      <c r="B1976" t="s">
        <v>12</v>
      </c>
      <c r="C1976">
        <v>2209</v>
      </c>
      <c r="D1976" t="s">
        <v>6</v>
      </c>
      <c r="E1976" t="str">
        <f>IF(june[[#This Row],[ShiftCounter]]&gt;0, "Running", "Down")</f>
        <v>Running</v>
      </c>
    </row>
    <row r="1977" spans="1:5" x14ac:dyDescent="0.25">
      <c r="A1977" s="8">
        <v>44730</v>
      </c>
      <c r="B1977" t="s">
        <v>12</v>
      </c>
      <c r="C1977">
        <v>2198</v>
      </c>
      <c r="D1977" t="s">
        <v>7</v>
      </c>
      <c r="E1977" t="str">
        <f>IF(june[[#This Row],[ShiftCounter]]&gt;0, "Running", "Down")</f>
        <v>Running</v>
      </c>
    </row>
    <row r="1978" spans="1:5" x14ac:dyDescent="0.25">
      <c r="A1978" s="8">
        <v>44730</v>
      </c>
      <c r="B1978" t="s">
        <v>12</v>
      </c>
      <c r="C1978">
        <v>2196</v>
      </c>
      <c r="D1978" t="s">
        <v>8</v>
      </c>
      <c r="E1978" t="str">
        <f>IF(june[[#This Row],[ShiftCounter]]&gt;0, "Running", "Down")</f>
        <v>Running</v>
      </c>
    </row>
    <row r="1979" spans="1:5" x14ac:dyDescent="0.25">
      <c r="A1979" s="8">
        <v>44730</v>
      </c>
      <c r="B1979" t="s">
        <v>13</v>
      </c>
      <c r="C1979">
        <v>2017</v>
      </c>
      <c r="D1979" t="s">
        <v>6</v>
      </c>
      <c r="E1979" t="str">
        <f>IF(june[[#This Row],[ShiftCounter]]&gt;0, "Running", "Down")</f>
        <v>Running</v>
      </c>
    </row>
    <row r="1980" spans="1:5" x14ac:dyDescent="0.25">
      <c r="A1980" s="8">
        <v>44730</v>
      </c>
      <c r="B1980" t="s">
        <v>13</v>
      </c>
      <c r="C1980">
        <v>2111</v>
      </c>
      <c r="D1980" t="s">
        <v>7</v>
      </c>
      <c r="E1980" t="str">
        <f>IF(june[[#This Row],[ShiftCounter]]&gt;0, "Running", "Down")</f>
        <v>Running</v>
      </c>
    </row>
    <row r="1981" spans="1:5" x14ac:dyDescent="0.25">
      <c r="A1981" s="8">
        <v>44730</v>
      </c>
      <c r="B1981" t="s">
        <v>13</v>
      </c>
      <c r="C1981">
        <v>2197</v>
      </c>
      <c r="D1981" t="s">
        <v>8</v>
      </c>
      <c r="E1981" t="str">
        <f>IF(june[[#This Row],[ShiftCounter]]&gt;0, "Running", "Down")</f>
        <v>Running</v>
      </c>
    </row>
    <row r="1982" spans="1:5" x14ac:dyDescent="0.25">
      <c r="A1982" s="8">
        <v>44730</v>
      </c>
      <c r="B1982" t="s">
        <v>114</v>
      </c>
      <c r="C1982">
        <v>1978</v>
      </c>
      <c r="D1982" t="s">
        <v>6</v>
      </c>
      <c r="E1982" t="str">
        <f>IF(june[[#This Row],[ShiftCounter]]&gt;0, "Running", "Down")</f>
        <v>Running</v>
      </c>
    </row>
    <row r="1983" spans="1:5" x14ac:dyDescent="0.25">
      <c r="A1983" s="8">
        <v>44730</v>
      </c>
      <c r="B1983" t="s">
        <v>114</v>
      </c>
      <c r="C1983">
        <v>1977</v>
      </c>
      <c r="D1983" t="s">
        <v>7</v>
      </c>
      <c r="E1983" t="str">
        <f>IF(june[[#This Row],[ShiftCounter]]&gt;0, "Running", "Down")</f>
        <v>Running</v>
      </c>
    </row>
    <row r="1984" spans="1:5" x14ac:dyDescent="0.25">
      <c r="A1984" s="8">
        <v>44730</v>
      </c>
      <c r="B1984" t="s">
        <v>114</v>
      </c>
      <c r="C1984">
        <v>1969</v>
      </c>
      <c r="D1984" t="s">
        <v>8</v>
      </c>
      <c r="E1984" t="str">
        <f>IF(june[[#This Row],[ShiftCounter]]&gt;0, "Running", "Down")</f>
        <v>Running</v>
      </c>
    </row>
    <row r="1985" spans="1:5" x14ac:dyDescent="0.25">
      <c r="A1985" s="8">
        <v>44730</v>
      </c>
      <c r="B1985" t="s">
        <v>14</v>
      </c>
      <c r="C1985">
        <v>2122</v>
      </c>
      <c r="D1985" t="s">
        <v>6</v>
      </c>
      <c r="E1985" t="str">
        <f>IF(june[[#This Row],[ShiftCounter]]&gt;0, "Running", "Down")</f>
        <v>Running</v>
      </c>
    </row>
    <row r="1986" spans="1:5" x14ac:dyDescent="0.25">
      <c r="A1986" s="8">
        <v>44730</v>
      </c>
      <c r="B1986" t="s">
        <v>14</v>
      </c>
      <c r="C1986">
        <v>2115</v>
      </c>
      <c r="D1986" t="s">
        <v>7</v>
      </c>
      <c r="E1986" t="str">
        <f>IF(june[[#This Row],[ShiftCounter]]&gt;0, "Running", "Down")</f>
        <v>Running</v>
      </c>
    </row>
    <row r="1987" spans="1:5" x14ac:dyDescent="0.25">
      <c r="A1987" s="8">
        <v>44730</v>
      </c>
      <c r="B1987" t="s">
        <v>14</v>
      </c>
      <c r="C1987">
        <v>2116</v>
      </c>
      <c r="D1987" t="s">
        <v>8</v>
      </c>
      <c r="E1987" t="str">
        <f>IF(june[[#This Row],[ShiftCounter]]&gt;0, "Running", "Down")</f>
        <v>Running</v>
      </c>
    </row>
    <row r="1988" spans="1:5" x14ac:dyDescent="0.25">
      <c r="A1988" s="8">
        <v>44730</v>
      </c>
      <c r="B1988" t="s">
        <v>15</v>
      </c>
      <c r="C1988">
        <v>2324</v>
      </c>
      <c r="D1988" t="s">
        <v>6</v>
      </c>
      <c r="E1988" t="str">
        <f>IF(june[[#This Row],[ShiftCounter]]&gt;0, "Running", "Down")</f>
        <v>Running</v>
      </c>
    </row>
    <row r="1989" spans="1:5" x14ac:dyDescent="0.25">
      <c r="A1989" s="8">
        <v>44730</v>
      </c>
      <c r="B1989" t="s">
        <v>15</v>
      </c>
      <c r="C1989">
        <v>2236</v>
      </c>
      <c r="D1989" t="s">
        <v>7</v>
      </c>
      <c r="E1989" t="str">
        <f>IF(june[[#This Row],[ShiftCounter]]&gt;0, "Running", "Down")</f>
        <v>Running</v>
      </c>
    </row>
    <row r="1990" spans="1:5" x14ac:dyDescent="0.25">
      <c r="A1990" s="8">
        <v>44730</v>
      </c>
      <c r="B1990" t="s">
        <v>15</v>
      </c>
      <c r="C1990">
        <v>1934</v>
      </c>
      <c r="D1990" t="s">
        <v>8</v>
      </c>
      <c r="E1990" t="str">
        <f>IF(june[[#This Row],[ShiftCounter]]&gt;0, "Running", "Down")</f>
        <v>Running</v>
      </c>
    </row>
    <row r="1991" spans="1:5" x14ac:dyDescent="0.25">
      <c r="A1991" s="8">
        <v>44730</v>
      </c>
      <c r="B1991" t="s">
        <v>16</v>
      </c>
      <c r="C1991">
        <v>2055</v>
      </c>
      <c r="D1991" t="s">
        <v>6</v>
      </c>
      <c r="E1991" t="str">
        <f>IF(june[[#This Row],[ShiftCounter]]&gt;0, "Running", "Down")</f>
        <v>Running</v>
      </c>
    </row>
    <row r="1992" spans="1:5" x14ac:dyDescent="0.25">
      <c r="A1992" s="8">
        <v>44730</v>
      </c>
      <c r="B1992" t="s">
        <v>16</v>
      </c>
      <c r="C1992">
        <v>2162</v>
      </c>
      <c r="D1992" t="s">
        <v>7</v>
      </c>
      <c r="E1992" t="str">
        <f>IF(june[[#This Row],[ShiftCounter]]&gt;0, "Running", "Down")</f>
        <v>Running</v>
      </c>
    </row>
    <row r="1993" spans="1:5" x14ac:dyDescent="0.25">
      <c r="A1993" s="8">
        <v>44730</v>
      </c>
      <c r="B1993" t="s">
        <v>16</v>
      </c>
      <c r="C1993">
        <v>2107</v>
      </c>
      <c r="D1993" t="s">
        <v>8</v>
      </c>
      <c r="E1993" t="str">
        <f>IF(june[[#This Row],[ShiftCounter]]&gt;0, "Running", "Down")</f>
        <v>Running</v>
      </c>
    </row>
    <row r="1994" spans="1:5" x14ac:dyDescent="0.25">
      <c r="A1994" s="8">
        <v>44730</v>
      </c>
      <c r="B1994" t="s">
        <v>17</v>
      </c>
      <c r="C1994">
        <v>2289</v>
      </c>
      <c r="D1994" t="s">
        <v>6</v>
      </c>
      <c r="E1994" t="str">
        <f>IF(june[[#This Row],[ShiftCounter]]&gt;0, "Running", "Down")</f>
        <v>Running</v>
      </c>
    </row>
    <row r="1995" spans="1:5" x14ac:dyDescent="0.25">
      <c r="A1995" s="8">
        <v>44730</v>
      </c>
      <c r="B1995" t="s">
        <v>17</v>
      </c>
      <c r="C1995">
        <v>2309</v>
      </c>
      <c r="D1995" t="s">
        <v>7</v>
      </c>
      <c r="E1995" t="str">
        <f>IF(june[[#This Row],[ShiftCounter]]&gt;0, "Running", "Down")</f>
        <v>Running</v>
      </c>
    </row>
    <row r="1996" spans="1:5" x14ac:dyDescent="0.25">
      <c r="A1996" s="8">
        <v>44730</v>
      </c>
      <c r="B1996" t="s">
        <v>17</v>
      </c>
      <c r="C1996">
        <v>2277</v>
      </c>
      <c r="D1996" t="s">
        <v>8</v>
      </c>
      <c r="E1996" t="str">
        <f>IF(june[[#This Row],[ShiftCounter]]&gt;0, "Running", "Down")</f>
        <v>Running</v>
      </c>
    </row>
    <row r="1997" spans="1:5" x14ac:dyDescent="0.25">
      <c r="A1997" s="8">
        <v>44730</v>
      </c>
      <c r="B1997" t="s">
        <v>19</v>
      </c>
      <c r="C1997">
        <v>1872</v>
      </c>
      <c r="D1997" t="s">
        <v>6</v>
      </c>
      <c r="E1997" t="str">
        <f>IF(june[[#This Row],[ShiftCounter]]&gt;0, "Running", "Down")</f>
        <v>Running</v>
      </c>
    </row>
    <row r="1998" spans="1:5" x14ac:dyDescent="0.25">
      <c r="A1998" s="8">
        <v>44730</v>
      </c>
      <c r="B1998" t="s">
        <v>19</v>
      </c>
      <c r="C1998">
        <v>1933</v>
      </c>
      <c r="D1998" t="s">
        <v>7</v>
      </c>
      <c r="E1998" t="str">
        <f>IF(june[[#This Row],[ShiftCounter]]&gt;0, "Running", "Down")</f>
        <v>Running</v>
      </c>
    </row>
    <row r="1999" spans="1:5" x14ac:dyDescent="0.25">
      <c r="A1999" s="8">
        <v>44730</v>
      </c>
      <c r="B1999" t="s">
        <v>19</v>
      </c>
      <c r="C1999">
        <v>1913</v>
      </c>
      <c r="D1999" t="s">
        <v>8</v>
      </c>
      <c r="E1999" t="str">
        <f>IF(june[[#This Row],[ShiftCounter]]&gt;0, "Running", "Down")</f>
        <v>Running</v>
      </c>
    </row>
    <row r="2000" spans="1:5" x14ac:dyDescent="0.25">
      <c r="A2000" s="8">
        <v>44730</v>
      </c>
      <c r="B2000" t="s">
        <v>18</v>
      </c>
      <c r="C2000">
        <v>2246</v>
      </c>
      <c r="D2000" t="s">
        <v>6</v>
      </c>
      <c r="E2000" t="str">
        <f>IF(june[[#This Row],[ShiftCounter]]&gt;0, "Running", "Down")</f>
        <v>Running</v>
      </c>
    </row>
    <row r="2001" spans="1:5" x14ac:dyDescent="0.25">
      <c r="A2001" s="8">
        <v>44730</v>
      </c>
      <c r="B2001" t="s">
        <v>18</v>
      </c>
      <c r="C2001">
        <v>2030</v>
      </c>
      <c r="D2001" t="s">
        <v>7</v>
      </c>
      <c r="E2001" t="str">
        <f>IF(june[[#This Row],[ShiftCounter]]&gt;0, "Running", "Down")</f>
        <v>Running</v>
      </c>
    </row>
    <row r="2002" spans="1:5" x14ac:dyDescent="0.25">
      <c r="A2002" s="8">
        <v>44730</v>
      </c>
      <c r="B2002" t="s">
        <v>18</v>
      </c>
      <c r="C2002">
        <v>2291</v>
      </c>
      <c r="D2002" t="s">
        <v>8</v>
      </c>
      <c r="E2002" t="str">
        <f>IF(june[[#This Row],[ShiftCounter]]&gt;0, "Running", "Down")</f>
        <v>Running</v>
      </c>
    </row>
    <row r="2003" spans="1:5" x14ac:dyDescent="0.25">
      <c r="A2003" s="8">
        <v>44730</v>
      </c>
      <c r="B2003" t="s">
        <v>38</v>
      </c>
      <c r="C2003">
        <v>2260</v>
      </c>
      <c r="D2003" t="s">
        <v>6</v>
      </c>
      <c r="E2003" t="str">
        <f>IF(june[[#This Row],[ShiftCounter]]&gt;0, "Running", "Down")</f>
        <v>Running</v>
      </c>
    </row>
    <row r="2004" spans="1:5" x14ac:dyDescent="0.25">
      <c r="A2004" s="8">
        <v>44730</v>
      </c>
      <c r="B2004" t="s">
        <v>38</v>
      </c>
      <c r="C2004">
        <v>2125</v>
      </c>
      <c r="D2004" t="s">
        <v>7</v>
      </c>
      <c r="E2004" t="str">
        <f>IF(june[[#This Row],[ShiftCounter]]&gt;0, "Running", "Down")</f>
        <v>Running</v>
      </c>
    </row>
    <row r="2005" spans="1:5" x14ac:dyDescent="0.25">
      <c r="A2005" s="8">
        <v>44730</v>
      </c>
      <c r="B2005" t="s">
        <v>38</v>
      </c>
      <c r="C2005">
        <v>2249</v>
      </c>
      <c r="D2005" t="s">
        <v>8</v>
      </c>
      <c r="E2005" t="str">
        <f>IF(june[[#This Row],[ShiftCounter]]&gt;0, "Running", "Down")</f>
        <v>Running</v>
      </c>
    </row>
    <row r="2006" spans="1:5" x14ac:dyDescent="0.25">
      <c r="A2006" s="8">
        <v>44730</v>
      </c>
      <c r="B2006" t="s">
        <v>20</v>
      </c>
      <c r="C2006">
        <v>1883</v>
      </c>
      <c r="D2006" t="s">
        <v>6</v>
      </c>
      <c r="E2006" t="str">
        <f>IF(june[[#This Row],[ShiftCounter]]&gt;0, "Running", "Down")</f>
        <v>Running</v>
      </c>
    </row>
    <row r="2007" spans="1:5" x14ac:dyDescent="0.25">
      <c r="A2007" s="8">
        <v>44730</v>
      </c>
      <c r="B2007" t="s">
        <v>20</v>
      </c>
      <c r="C2007">
        <v>1860</v>
      </c>
      <c r="D2007" t="s">
        <v>7</v>
      </c>
      <c r="E2007" t="str">
        <f>IF(june[[#This Row],[ShiftCounter]]&gt;0, "Running", "Down")</f>
        <v>Running</v>
      </c>
    </row>
    <row r="2008" spans="1:5" x14ac:dyDescent="0.25">
      <c r="A2008" s="8">
        <v>44730</v>
      </c>
      <c r="B2008" t="s">
        <v>20</v>
      </c>
      <c r="C2008">
        <v>1910</v>
      </c>
      <c r="D2008" t="s">
        <v>8</v>
      </c>
      <c r="E2008" t="str">
        <f>IF(june[[#This Row],[ShiftCounter]]&gt;0, "Running", "Down")</f>
        <v>Running</v>
      </c>
    </row>
    <row r="2009" spans="1:5" x14ac:dyDescent="0.25">
      <c r="A2009" s="8">
        <v>44730</v>
      </c>
      <c r="B2009" t="s">
        <v>21</v>
      </c>
      <c r="C2009">
        <v>1380</v>
      </c>
      <c r="D2009" t="s">
        <v>6</v>
      </c>
      <c r="E2009" t="str">
        <f>IF(june[[#This Row],[ShiftCounter]]&gt;0, "Running", "Down")</f>
        <v>Running</v>
      </c>
    </row>
    <row r="2010" spans="1:5" x14ac:dyDescent="0.25">
      <c r="A2010" s="8">
        <v>44730</v>
      </c>
      <c r="B2010" t="s">
        <v>21</v>
      </c>
      <c r="C2010">
        <v>2043</v>
      </c>
      <c r="D2010" t="s">
        <v>7</v>
      </c>
      <c r="E2010" t="str">
        <f>IF(june[[#This Row],[ShiftCounter]]&gt;0, "Running", "Down")</f>
        <v>Running</v>
      </c>
    </row>
    <row r="2011" spans="1:5" x14ac:dyDescent="0.25">
      <c r="A2011" s="8">
        <v>44730</v>
      </c>
      <c r="B2011" t="s">
        <v>21</v>
      </c>
      <c r="C2011">
        <v>1901</v>
      </c>
      <c r="D2011" t="s">
        <v>8</v>
      </c>
      <c r="E2011" t="str">
        <f>IF(june[[#This Row],[ShiftCounter]]&gt;0, "Running", "Down")</f>
        <v>Running</v>
      </c>
    </row>
    <row r="2012" spans="1:5" x14ac:dyDescent="0.25">
      <c r="A2012" s="8">
        <v>44730</v>
      </c>
      <c r="B2012" t="s">
        <v>22</v>
      </c>
      <c r="C2012">
        <v>2504</v>
      </c>
      <c r="D2012" t="s">
        <v>6</v>
      </c>
      <c r="E2012" t="str">
        <f>IF(june[[#This Row],[ShiftCounter]]&gt;0, "Running", "Down")</f>
        <v>Running</v>
      </c>
    </row>
    <row r="2013" spans="1:5" x14ac:dyDescent="0.25">
      <c r="A2013" s="8">
        <v>44730</v>
      </c>
      <c r="B2013" t="s">
        <v>22</v>
      </c>
      <c r="C2013">
        <v>2353</v>
      </c>
      <c r="D2013" t="s">
        <v>7</v>
      </c>
      <c r="E2013" t="str">
        <f>IF(june[[#This Row],[ShiftCounter]]&gt;0, "Running", "Down")</f>
        <v>Running</v>
      </c>
    </row>
    <row r="2014" spans="1:5" x14ac:dyDescent="0.25">
      <c r="A2014" s="8">
        <v>44730</v>
      </c>
      <c r="B2014" t="s">
        <v>22</v>
      </c>
      <c r="C2014">
        <v>2174</v>
      </c>
      <c r="D2014" t="s">
        <v>8</v>
      </c>
      <c r="E2014" t="str">
        <f>IF(june[[#This Row],[ShiftCounter]]&gt;0, "Running", "Down")</f>
        <v>Running</v>
      </c>
    </row>
    <row r="2015" spans="1:5" x14ac:dyDescent="0.25">
      <c r="A2015" s="8">
        <v>44730</v>
      </c>
      <c r="B2015" t="s">
        <v>23</v>
      </c>
      <c r="C2015">
        <v>2352</v>
      </c>
      <c r="D2015" t="s">
        <v>6</v>
      </c>
      <c r="E2015" t="str">
        <f>IF(june[[#This Row],[ShiftCounter]]&gt;0, "Running", "Down")</f>
        <v>Running</v>
      </c>
    </row>
    <row r="2016" spans="1:5" x14ac:dyDescent="0.25">
      <c r="A2016" s="8">
        <v>44730</v>
      </c>
      <c r="B2016" t="s">
        <v>23</v>
      </c>
      <c r="C2016">
        <v>2318</v>
      </c>
      <c r="D2016" t="s">
        <v>7</v>
      </c>
      <c r="E2016" t="str">
        <f>IF(june[[#This Row],[ShiftCounter]]&gt;0, "Running", "Down")</f>
        <v>Running</v>
      </c>
    </row>
    <row r="2017" spans="1:5" x14ac:dyDescent="0.25">
      <c r="A2017" s="8">
        <v>44730</v>
      </c>
      <c r="B2017" t="s">
        <v>23</v>
      </c>
      <c r="C2017">
        <v>2371</v>
      </c>
      <c r="D2017" t="s">
        <v>8</v>
      </c>
      <c r="E2017" t="str">
        <f>IF(june[[#This Row],[ShiftCounter]]&gt;0, "Running", "Down")</f>
        <v>Running</v>
      </c>
    </row>
    <row r="2018" spans="1:5" x14ac:dyDescent="0.25">
      <c r="A2018" s="8">
        <v>44730</v>
      </c>
      <c r="B2018" t="s">
        <v>24</v>
      </c>
      <c r="C2018">
        <v>1805</v>
      </c>
      <c r="D2018" t="s">
        <v>6</v>
      </c>
      <c r="E2018" t="str">
        <f>IF(june[[#This Row],[ShiftCounter]]&gt;0, "Running", "Down")</f>
        <v>Running</v>
      </c>
    </row>
    <row r="2019" spans="1:5" x14ac:dyDescent="0.25">
      <c r="A2019" s="8">
        <v>44730</v>
      </c>
      <c r="B2019" t="s">
        <v>24</v>
      </c>
      <c r="C2019">
        <v>2009</v>
      </c>
      <c r="D2019" t="s">
        <v>7</v>
      </c>
      <c r="E2019" t="str">
        <f>IF(june[[#This Row],[ShiftCounter]]&gt;0, "Running", "Down")</f>
        <v>Running</v>
      </c>
    </row>
    <row r="2020" spans="1:5" x14ac:dyDescent="0.25">
      <c r="A2020" s="8">
        <v>44730</v>
      </c>
      <c r="B2020" t="s">
        <v>24</v>
      </c>
      <c r="C2020">
        <v>1998</v>
      </c>
      <c r="D2020" t="s">
        <v>8</v>
      </c>
      <c r="E2020" t="str">
        <f>IF(june[[#This Row],[ShiftCounter]]&gt;0, "Running", "Down")</f>
        <v>Running</v>
      </c>
    </row>
    <row r="2021" spans="1:5" x14ac:dyDescent="0.25">
      <c r="A2021" s="8">
        <v>44730</v>
      </c>
      <c r="B2021" t="s">
        <v>25</v>
      </c>
      <c r="C2021">
        <v>2130</v>
      </c>
      <c r="D2021" t="s">
        <v>6</v>
      </c>
      <c r="E2021" t="str">
        <f>IF(june[[#This Row],[ShiftCounter]]&gt;0, "Running", "Down")</f>
        <v>Running</v>
      </c>
    </row>
    <row r="2022" spans="1:5" x14ac:dyDescent="0.25">
      <c r="A2022" s="8">
        <v>44730</v>
      </c>
      <c r="B2022" t="s">
        <v>25</v>
      </c>
      <c r="C2022">
        <v>2134</v>
      </c>
      <c r="D2022" t="s">
        <v>7</v>
      </c>
      <c r="E2022" t="str">
        <f>IF(june[[#This Row],[ShiftCounter]]&gt;0, "Running", "Down")</f>
        <v>Running</v>
      </c>
    </row>
    <row r="2023" spans="1:5" x14ac:dyDescent="0.25">
      <c r="A2023" s="8">
        <v>44730</v>
      </c>
      <c r="B2023" t="s">
        <v>25</v>
      </c>
      <c r="C2023">
        <v>2187</v>
      </c>
      <c r="D2023" t="s">
        <v>8</v>
      </c>
      <c r="E2023" t="str">
        <f>IF(june[[#This Row],[ShiftCounter]]&gt;0, "Running", "Down")</f>
        <v>Running</v>
      </c>
    </row>
    <row r="2024" spans="1:5" x14ac:dyDescent="0.25">
      <c r="A2024" s="8">
        <v>44730</v>
      </c>
      <c r="B2024" t="s">
        <v>80</v>
      </c>
      <c r="C2024">
        <v>1822</v>
      </c>
      <c r="D2024" t="s">
        <v>6</v>
      </c>
      <c r="E2024" t="str">
        <f>IF(june[[#This Row],[ShiftCounter]]&gt;0, "Running", "Down")</f>
        <v>Running</v>
      </c>
    </row>
    <row r="2025" spans="1:5" x14ac:dyDescent="0.25">
      <c r="A2025" s="8">
        <v>44730</v>
      </c>
      <c r="B2025" t="s">
        <v>80</v>
      </c>
      <c r="C2025">
        <v>1883</v>
      </c>
      <c r="D2025" t="s">
        <v>7</v>
      </c>
      <c r="E2025" t="str">
        <f>IF(june[[#This Row],[ShiftCounter]]&gt;0, "Running", "Down")</f>
        <v>Running</v>
      </c>
    </row>
    <row r="2026" spans="1:5" x14ac:dyDescent="0.25">
      <c r="A2026" s="8">
        <v>44730</v>
      </c>
      <c r="B2026" t="s">
        <v>80</v>
      </c>
      <c r="C2026">
        <v>1947</v>
      </c>
      <c r="D2026" t="s">
        <v>8</v>
      </c>
      <c r="E2026" t="str">
        <f>IF(june[[#This Row],[ShiftCounter]]&gt;0, "Running", "Down")</f>
        <v>Running</v>
      </c>
    </row>
    <row r="2027" spans="1:5" x14ac:dyDescent="0.25">
      <c r="A2027" s="8">
        <v>44730</v>
      </c>
      <c r="B2027" t="s">
        <v>26</v>
      </c>
      <c r="C2027">
        <v>1992</v>
      </c>
      <c r="D2027" t="s">
        <v>6</v>
      </c>
      <c r="E2027" t="str">
        <f>IF(june[[#This Row],[ShiftCounter]]&gt;0, "Running", "Down")</f>
        <v>Running</v>
      </c>
    </row>
    <row r="2028" spans="1:5" x14ac:dyDescent="0.25">
      <c r="A2028" s="8">
        <v>44730</v>
      </c>
      <c r="B2028" t="s">
        <v>26</v>
      </c>
      <c r="C2028">
        <v>1969</v>
      </c>
      <c r="D2028" t="s">
        <v>7</v>
      </c>
      <c r="E2028" t="str">
        <f>IF(june[[#This Row],[ShiftCounter]]&gt;0, "Running", "Down")</f>
        <v>Running</v>
      </c>
    </row>
    <row r="2029" spans="1:5" x14ac:dyDescent="0.25">
      <c r="A2029" s="8">
        <v>44730</v>
      </c>
      <c r="B2029" t="s">
        <v>26</v>
      </c>
      <c r="C2029">
        <v>1981</v>
      </c>
      <c r="D2029" t="s">
        <v>8</v>
      </c>
      <c r="E2029" t="str">
        <f>IF(june[[#This Row],[ShiftCounter]]&gt;0, "Running", "Down")</f>
        <v>Running</v>
      </c>
    </row>
    <row r="2030" spans="1:5" x14ac:dyDescent="0.25">
      <c r="A2030" s="8">
        <v>44730</v>
      </c>
      <c r="B2030" t="s">
        <v>27</v>
      </c>
      <c r="C2030">
        <v>2298</v>
      </c>
      <c r="D2030" t="s">
        <v>6</v>
      </c>
      <c r="E2030" t="str">
        <f>IF(june[[#This Row],[ShiftCounter]]&gt;0, "Running", "Down")</f>
        <v>Running</v>
      </c>
    </row>
    <row r="2031" spans="1:5" x14ac:dyDescent="0.25">
      <c r="A2031" s="8">
        <v>44730</v>
      </c>
      <c r="B2031" t="s">
        <v>27</v>
      </c>
      <c r="C2031">
        <v>2061</v>
      </c>
      <c r="D2031" t="s">
        <v>7</v>
      </c>
      <c r="E2031" t="str">
        <f>IF(june[[#This Row],[ShiftCounter]]&gt;0, "Running", "Down")</f>
        <v>Running</v>
      </c>
    </row>
    <row r="2032" spans="1:5" x14ac:dyDescent="0.25">
      <c r="A2032" s="8">
        <v>44730</v>
      </c>
      <c r="B2032" t="s">
        <v>27</v>
      </c>
      <c r="C2032">
        <v>2310</v>
      </c>
      <c r="D2032" t="s">
        <v>8</v>
      </c>
      <c r="E2032" t="str">
        <f>IF(june[[#This Row],[ShiftCounter]]&gt;0, "Running", "Down")</f>
        <v>Running</v>
      </c>
    </row>
    <row r="2033" spans="1:5" x14ac:dyDescent="0.25">
      <c r="A2033" s="8">
        <v>44730</v>
      </c>
      <c r="B2033" t="s">
        <v>28</v>
      </c>
      <c r="C2033">
        <v>2077</v>
      </c>
      <c r="D2033" t="s">
        <v>6</v>
      </c>
      <c r="E2033" t="str">
        <f>IF(june[[#This Row],[ShiftCounter]]&gt;0, "Running", "Down")</f>
        <v>Running</v>
      </c>
    </row>
    <row r="2034" spans="1:5" x14ac:dyDescent="0.25">
      <c r="A2034" s="8">
        <v>44730</v>
      </c>
      <c r="B2034" t="s">
        <v>28</v>
      </c>
      <c r="C2034">
        <v>2194</v>
      </c>
      <c r="D2034" t="s">
        <v>7</v>
      </c>
      <c r="E2034" t="str">
        <f>IF(june[[#This Row],[ShiftCounter]]&gt;0, "Running", "Down")</f>
        <v>Running</v>
      </c>
    </row>
    <row r="2035" spans="1:5" x14ac:dyDescent="0.25">
      <c r="A2035" s="8">
        <v>44730</v>
      </c>
      <c r="B2035" t="s">
        <v>28</v>
      </c>
      <c r="C2035">
        <v>2151</v>
      </c>
      <c r="D2035" t="s">
        <v>8</v>
      </c>
      <c r="E2035" t="str">
        <f>IF(june[[#This Row],[ShiftCounter]]&gt;0, "Running", "Down")</f>
        <v>Running</v>
      </c>
    </row>
    <row r="2036" spans="1:5" x14ac:dyDescent="0.25">
      <c r="A2036" s="8">
        <v>44730</v>
      </c>
      <c r="B2036" t="s">
        <v>29</v>
      </c>
      <c r="C2036">
        <v>2127</v>
      </c>
      <c r="D2036" t="s">
        <v>6</v>
      </c>
      <c r="E2036" t="str">
        <f>IF(june[[#This Row],[ShiftCounter]]&gt;0, "Running", "Down")</f>
        <v>Running</v>
      </c>
    </row>
    <row r="2037" spans="1:5" x14ac:dyDescent="0.25">
      <c r="A2037" s="8">
        <v>44730</v>
      </c>
      <c r="B2037" t="s">
        <v>29</v>
      </c>
      <c r="C2037">
        <v>2102</v>
      </c>
      <c r="D2037" t="s">
        <v>7</v>
      </c>
      <c r="E2037" t="str">
        <f>IF(june[[#This Row],[ShiftCounter]]&gt;0, "Running", "Down")</f>
        <v>Running</v>
      </c>
    </row>
    <row r="2038" spans="1:5" x14ac:dyDescent="0.25">
      <c r="A2038" s="8">
        <v>44730</v>
      </c>
      <c r="B2038" t="s">
        <v>29</v>
      </c>
      <c r="C2038">
        <v>1903</v>
      </c>
      <c r="D2038" t="s">
        <v>8</v>
      </c>
      <c r="E2038" t="str">
        <f>IF(june[[#This Row],[ShiftCounter]]&gt;0, "Running", "Down")</f>
        <v>Running</v>
      </c>
    </row>
    <row r="2039" spans="1:5" x14ac:dyDescent="0.25">
      <c r="A2039" s="8">
        <v>44730</v>
      </c>
      <c r="B2039" t="s">
        <v>30</v>
      </c>
      <c r="C2039">
        <v>2187</v>
      </c>
      <c r="D2039" t="s">
        <v>6</v>
      </c>
      <c r="E2039" t="str">
        <f>IF(june[[#This Row],[ShiftCounter]]&gt;0, "Running", "Down")</f>
        <v>Running</v>
      </c>
    </row>
    <row r="2040" spans="1:5" x14ac:dyDescent="0.25">
      <c r="A2040" s="8">
        <v>44730</v>
      </c>
      <c r="B2040" t="s">
        <v>30</v>
      </c>
      <c r="C2040">
        <v>2187</v>
      </c>
      <c r="D2040" t="s">
        <v>7</v>
      </c>
      <c r="E2040" t="str">
        <f>IF(june[[#This Row],[ShiftCounter]]&gt;0, "Running", "Down")</f>
        <v>Running</v>
      </c>
    </row>
    <row r="2041" spans="1:5" x14ac:dyDescent="0.25">
      <c r="A2041" s="8">
        <v>44730</v>
      </c>
      <c r="B2041" t="s">
        <v>30</v>
      </c>
      <c r="C2041">
        <v>2197</v>
      </c>
      <c r="D2041" t="s">
        <v>8</v>
      </c>
      <c r="E2041" t="str">
        <f>IF(june[[#This Row],[ShiftCounter]]&gt;0, "Running", "Down")</f>
        <v>Running</v>
      </c>
    </row>
    <row r="2042" spans="1:5" x14ac:dyDescent="0.25">
      <c r="A2042" s="8">
        <v>44730</v>
      </c>
      <c r="B2042" t="s">
        <v>31</v>
      </c>
      <c r="C2042">
        <v>2000</v>
      </c>
      <c r="D2042" t="s">
        <v>6</v>
      </c>
      <c r="E2042" t="str">
        <f>IF(june[[#This Row],[ShiftCounter]]&gt;0, "Running", "Down")</f>
        <v>Running</v>
      </c>
    </row>
    <row r="2043" spans="1:5" x14ac:dyDescent="0.25">
      <c r="A2043" s="8">
        <v>44730</v>
      </c>
      <c r="B2043" t="s">
        <v>31</v>
      </c>
      <c r="C2043">
        <v>1977</v>
      </c>
      <c r="D2043" t="s">
        <v>7</v>
      </c>
      <c r="E2043" t="str">
        <f>IF(june[[#This Row],[ShiftCounter]]&gt;0, "Running", "Down")</f>
        <v>Running</v>
      </c>
    </row>
    <row r="2044" spans="1:5" x14ac:dyDescent="0.25">
      <c r="A2044" s="8">
        <v>44730</v>
      </c>
      <c r="B2044" t="s">
        <v>31</v>
      </c>
      <c r="C2044">
        <v>2009</v>
      </c>
      <c r="D2044" t="s">
        <v>8</v>
      </c>
      <c r="E2044" t="str">
        <f>IF(june[[#This Row],[ShiftCounter]]&gt;0, "Running", "Down")</f>
        <v>Running</v>
      </c>
    </row>
    <row r="2045" spans="1:5" x14ac:dyDescent="0.25">
      <c r="A2045" s="8">
        <v>44730</v>
      </c>
      <c r="B2045" t="s">
        <v>32</v>
      </c>
      <c r="C2045">
        <v>2451</v>
      </c>
      <c r="D2045" t="s">
        <v>6</v>
      </c>
      <c r="E2045" t="str">
        <f>IF(june[[#This Row],[ShiftCounter]]&gt;0, "Running", "Down")</f>
        <v>Running</v>
      </c>
    </row>
    <row r="2046" spans="1:5" x14ac:dyDescent="0.25">
      <c r="A2046" s="8">
        <v>44730</v>
      </c>
      <c r="B2046" t="s">
        <v>32</v>
      </c>
      <c r="C2046">
        <v>2426</v>
      </c>
      <c r="D2046" t="s">
        <v>7</v>
      </c>
      <c r="E2046" t="str">
        <f>IF(june[[#This Row],[ShiftCounter]]&gt;0, "Running", "Down")</f>
        <v>Running</v>
      </c>
    </row>
    <row r="2047" spans="1:5" x14ac:dyDescent="0.25">
      <c r="A2047" s="8">
        <v>44730</v>
      </c>
      <c r="B2047" t="s">
        <v>32</v>
      </c>
      <c r="C2047">
        <v>2463</v>
      </c>
      <c r="D2047" t="s">
        <v>8</v>
      </c>
      <c r="E2047" t="str">
        <f>IF(june[[#This Row],[ShiftCounter]]&gt;0, "Running", "Down")</f>
        <v>Running</v>
      </c>
    </row>
    <row r="2048" spans="1:5" x14ac:dyDescent="0.25">
      <c r="A2048" s="8">
        <v>44730</v>
      </c>
      <c r="B2048" t="s">
        <v>71</v>
      </c>
      <c r="C2048">
        <v>2062</v>
      </c>
      <c r="D2048" t="s">
        <v>6</v>
      </c>
      <c r="E2048" t="str">
        <f>IF(june[[#This Row],[ShiftCounter]]&gt;0, "Running", "Down")</f>
        <v>Running</v>
      </c>
    </row>
    <row r="2049" spans="1:5" x14ac:dyDescent="0.25">
      <c r="A2049" s="8">
        <v>44730</v>
      </c>
      <c r="B2049" t="s">
        <v>71</v>
      </c>
      <c r="C2049">
        <v>2155</v>
      </c>
      <c r="D2049" t="s">
        <v>7</v>
      </c>
      <c r="E2049" t="str">
        <f>IF(june[[#This Row],[ShiftCounter]]&gt;0, "Running", "Down")</f>
        <v>Running</v>
      </c>
    </row>
    <row r="2050" spans="1:5" x14ac:dyDescent="0.25">
      <c r="A2050" s="8">
        <v>44730</v>
      </c>
      <c r="B2050" t="s">
        <v>71</v>
      </c>
      <c r="C2050">
        <v>2073</v>
      </c>
      <c r="D2050" t="s">
        <v>8</v>
      </c>
      <c r="E2050" t="str">
        <f>IF(june[[#This Row],[ShiftCounter]]&gt;0, "Running", "Down")</f>
        <v>Running</v>
      </c>
    </row>
    <row r="2051" spans="1:5" x14ac:dyDescent="0.25">
      <c r="A2051" s="8">
        <v>44730</v>
      </c>
      <c r="B2051" t="s">
        <v>33</v>
      </c>
      <c r="C2051">
        <v>2391</v>
      </c>
      <c r="D2051" t="s">
        <v>6</v>
      </c>
      <c r="E2051" t="str">
        <f>IF(june[[#This Row],[ShiftCounter]]&gt;0, "Running", "Down")</f>
        <v>Running</v>
      </c>
    </row>
    <row r="2052" spans="1:5" x14ac:dyDescent="0.25">
      <c r="A2052" s="8">
        <v>44730</v>
      </c>
      <c r="B2052" t="s">
        <v>33</v>
      </c>
      <c r="C2052">
        <v>2366</v>
      </c>
      <c r="D2052" t="s">
        <v>7</v>
      </c>
      <c r="E2052" t="str">
        <f>IF(june[[#This Row],[ShiftCounter]]&gt;0, "Running", "Down")</f>
        <v>Running</v>
      </c>
    </row>
    <row r="2053" spans="1:5" x14ac:dyDescent="0.25">
      <c r="A2053" s="8">
        <v>44730</v>
      </c>
      <c r="B2053" t="s">
        <v>33</v>
      </c>
      <c r="C2053">
        <v>2404</v>
      </c>
      <c r="D2053" t="s">
        <v>8</v>
      </c>
      <c r="E2053" t="str">
        <f>IF(june[[#This Row],[ShiftCounter]]&gt;0, "Running", "Down")</f>
        <v>Running</v>
      </c>
    </row>
    <row r="2054" spans="1:5" x14ac:dyDescent="0.25">
      <c r="A2054" s="8">
        <v>44730</v>
      </c>
      <c r="B2054" t="s">
        <v>34</v>
      </c>
      <c r="C2054">
        <v>1792</v>
      </c>
      <c r="D2054" t="s">
        <v>6</v>
      </c>
      <c r="E2054" t="str">
        <f>IF(june[[#This Row],[ShiftCounter]]&gt;0, "Running", "Down")</f>
        <v>Running</v>
      </c>
    </row>
    <row r="2055" spans="1:5" x14ac:dyDescent="0.25">
      <c r="A2055" s="8">
        <v>44730</v>
      </c>
      <c r="B2055" t="s">
        <v>34</v>
      </c>
      <c r="C2055">
        <v>1927</v>
      </c>
      <c r="D2055" t="s">
        <v>7</v>
      </c>
      <c r="E2055" t="str">
        <f>IF(june[[#This Row],[ShiftCounter]]&gt;0, "Running", "Down")</f>
        <v>Running</v>
      </c>
    </row>
    <row r="2056" spans="1:5" x14ac:dyDescent="0.25">
      <c r="A2056" s="8">
        <v>44730</v>
      </c>
      <c r="B2056" t="s">
        <v>34</v>
      </c>
      <c r="C2056">
        <v>1958</v>
      </c>
      <c r="D2056" t="s">
        <v>8</v>
      </c>
      <c r="E2056" t="str">
        <f>IF(june[[#This Row],[ShiftCounter]]&gt;0, "Running", "Down")</f>
        <v>Running</v>
      </c>
    </row>
    <row r="2057" spans="1:5" x14ac:dyDescent="0.25">
      <c r="A2057" s="8">
        <v>44730</v>
      </c>
      <c r="B2057" t="s">
        <v>37</v>
      </c>
      <c r="C2057">
        <v>1600</v>
      </c>
      <c r="D2057" t="s">
        <v>6</v>
      </c>
      <c r="E2057" t="str">
        <f>IF(june[[#This Row],[ShiftCounter]]&gt;0, "Running", "Down")</f>
        <v>Running</v>
      </c>
    </row>
    <row r="2058" spans="1:5" x14ac:dyDescent="0.25">
      <c r="A2058" s="8">
        <v>44730</v>
      </c>
      <c r="B2058" t="s">
        <v>37</v>
      </c>
      <c r="C2058">
        <v>1601</v>
      </c>
      <c r="D2058" t="s">
        <v>7</v>
      </c>
      <c r="E2058" t="str">
        <f>IF(june[[#This Row],[ShiftCounter]]&gt;0, "Running", "Down")</f>
        <v>Running</v>
      </c>
    </row>
    <row r="2059" spans="1:5" x14ac:dyDescent="0.25">
      <c r="A2059" s="8">
        <v>44730</v>
      </c>
      <c r="B2059" t="s">
        <v>37</v>
      </c>
      <c r="C2059">
        <v>1985</v>
      </c>
      <c r="D2059" t="s">
        <v>8</v>
      </c>
      <c r="E2059" t="str">
        <f>IF(june[[#This Row],[ShiftCounter]]&gt;0, "Running", "Down")</f>
        <v>Running</v>
      </c>
    </row>
    <row r="2060" spans="1:5" x14ac:dyDescent="0.25">
      <c r="A2060" s="8">
        <v>44730</v>
      </c>
      <c r="B2060" t="s">
        <v>54</v>
      </c>
      <c r="C2060">
        <v>1751</v>
      </c>
      <c r="D2060" t="s">
        <v>6</v>
      </c>
      <c r="E2060" t="str">
        <f>IF(june[[#This Row],[ShiftCounter]]&gt;0, "Running", "Down")</f>
        <v>Running</v>
      </c>
    </row>
    <row r="2061" spans="1:5" x14ac:dyDescent="0.25">
      <c r="A2061" s="8">
        <v>44730</v>
      </c>
      <c r="B2061" t="s">
        <v>54</v>
      </c>
      <c r="C2061">
        <v>1751</v>
      </c>
      <c r="D2061" t="s">
        <v>7</v>
      </c>
      <c r="E2061" t="str">
        <f>IF(june[[#This Row],[ShiftCounter]]&gt;0, "Running", "Down")</f>
        <v>Running</v>
      </c>
    </row>
    <row r="2062" spans="1:5" x14ac:dyDescent="0.25">
      <c r="A2062" s="8">
        <v>44730</v>
      </c>
      <c r="B2062" t="s">
        <v>54</v>
      </c>
      <c r="C2062">
        <v>1759</v>
      </c>
      <c r="D2062" t="s">
        <v>8</v>
      </c>
      <c r="E2062" t="str">
        <f>IF(june[[#This Row],[ShiftCounter]]&gt;0, "Running", "Down")</f>
        <v>Running</v>
      </c>
    </row>
    <row r="2063" spans="1:5" x14ac:dyDescent="0.25">
      <c r="A2063" s="8">
        <v>44731</v>
      </c>
      <c r="B2063" t="s">
        <v>39</v>
      </c>
      <c r="C2063">
        <v>2068</v>
      </c>
      <c r="D2063" t="s">
        <v>6</v>
      </c>
      <c r="E2063" t="str">
        <f>IF(june[[#This Row],[ShiftCounter]]&gt;0, "Running", "Down")</f>
        <v>Running</v>
      </c>
    </row>
    <row r="2064" spans="1:5" x14ac:dyDescent="0.25">
      <c r="A2064" s="8">
        <v>44731</v>
      </c>
      <c r="B2064" t="s">
        <v>39</v>
      </c>
      <c r="C2064">
        <v>2168</v>
      </c>
      <c r="D2064" t="s">
        <v>7</v>
      </c>
      <c r="E2064" t="str">
        <f>IF(june[[#This Row],[ShiftCounter]]&gt;0, "Running", "Down")</f>
        <v>Running</v>
      </c>
    </row>
    <row r="2065" spans="1:5" x14ac:dyDescent="0.25">
      <c r="A2065" s="8">
        <v>44731</v>
      </c>
      <c r="B2065" t="s">
        <v>39</v>
      </c>
      <c r="C2065">
        <v>2170</v>
      </c>
      <c r="D2065" t="s">
        <v>8</v>
      </c>
      <c r="E2065" t="str">
        <f>IF(june[[#This Row],[ShiftCounter]]&gt;0, "Running", "Down")</f>
        <v>Running</v>
      </c>
    </row>
    <row r="2066" spans="1:5" x14ac:dyDescent="0.25">
      <c r="A2066" s="8">
        <v>44731</v>
      </c>
      <c r="B2066" t="s">
        <v>160</v>
      </c>
      <c r="C2066">
        <v>0</v>
      </c>
      <c r="D2066" t="s">
        <v>6</v>
      </c>
      <c r="E2066" t="str">
        <f>IF(june[[#This Row],[ShiftCounter]]&gt;0, "Running", "Down")</f>
        <v>Down</v>
      </c>
    </row>
    <row r="2067" spans="1:5" x14ac:dyDescent="0.25">
      <c r="A2067" s="8">
        <v>44731</v>
      </c>
      <c r="B2067" t="s">
        <v>160</v>
      </c>
      <c r="C2067">
        <v>2095</v>
      </c>
      <c r="D2067" t="s">
        <v>7</v>
      </c>
      <c r="E2067" t="str">
        <f>IF(june[[#This Row],[ShiftCounter]]&gt;0, "Running", "Down")</f>
        <v>Running</v>
      </c>
    </row>
    <row r="2068" spans="1:5" x14ac:dyDescent="0.25">
      <c r="A2068" s="8">
        <v>44731</v>
      </c>
      <c r="B2068" t="s">
        <v>160</v>
      </c>
      <c r="C2068">
        <v>1830</v>
      </c>
      <c r="D2068" t="s">
        <v>8</v>
      </c>
      <c r="E2068" t="str">
        <f>IF(june[[#This Row],[ShiftCounter]]&gt;0, "Running", "Down")</f>
        <v>Running</v>
      </c>
    </row>
    <row r="2069" spans="1:5" x14ac:dyDescent="0.25">
      <c r="A2069" s="8">
        <v>44731</v>
      </c>
      <c r="B2069" t="s">
        <v>158</v>
      </c>
      <c r="C2069">
        <v>2256</v>
      </c>
      <c r="D2069" t="s">
        <v>6</v>
      </c>
      <c r="E2069" t="str">
        <f>IF(june[[#This Row],[ShiftCounter]]&gt;0, "Running", "Down")</f>
        <v>Running</v>
      </c>
    </row>
    <row r="2070" spans="1:5" x14ac:dyDescent="0.25">
      <c r="A2070" s="8">
        <v>44731</v>
      </c>
      <c r="B2070" t="s">
        <v>158</v>
      </c>
      <c r="C2070">
        <v>2308</v>
      </c>
      <c r="D2070" t="s">
        <v>7</v>
      </c>
      <c r="E2070" t="str">
        <f>IF(june[[#This Row],[ShiftCounter]]&gt;0, "Running", "Down")</f>
        <v>Running</v>
      </c>
    </row>
    <row r="2071" spans="1:5" x14ac:dyDescent="0.25">
      <c r="A2071" s="8">
        <v>44731</v>
      </c>
      <c r="B2071" t="s">
        <v>158</v>
      </c>
      <c r="C2071">
        <v>2065</v>
      </c>
      <c r="D2071" t="s">
        <v>8</v>
      </c>
      <c r="E2071" t="str">
        <f>IF(june[[#This Row],[ShiftCounter]]&gt;0, "Running", "Down")</f>
        <v>Running</v>
      </c>
    </row>
    <row r="2072" spans="1:5" x14ac:dyDescent="0.25">
      <c r="A2072" s="8">
        <v>44731</v>
      </c>
      <c r="B2072" t="s">
        <v>40</v>
      </c>
      <c r="C2072">
        <v>2322</v>
      </c>
      <c r="D2072" t="s">
        <v>6</v>
      </c>
      <c r="E2072" t="str">
        <f>IF(june[[#This Row],[ShiftCounter]]&gt;0, "Running", "Down")</f>
        <v>Running</v>
      </c>
    </row>
    <row r="2073" spans="1:5" x14ac:dyDescent="0.25">
      <c r="A2073" s="8">
        <v>44731</v>
      </c>
      <c r="B2073" t="s">
        <v>40</v>
      </c>
      <c r="C2073">
        <v>2349</v>
      </c>
      <c r="D2073" t="s">
        <v>7</v>
      </c>
      <c r="E2073" t="str">
        <f>IF(june[[#This Row],[ShiftCounter]]&gt;0, "Running", "Down")</f>
        <v>Running</v>
      </c>
    </row>
    <row r="2074" spans="1:5" x14ac:dyDescent="0.25">
      <c r="A2074" s="8">
        <v>44731</v>
      </c>
      <c r="B2074" t="s">
        <v>40</v>
      </c>
      <c r="C2074">
        <v>2130</v>
      </c>
      <c r="D2074" t="s">
        <v>8</v>
      </c>
      <c r="E2074" t="str">
        <f>IF(june[[#This Row],[ShiftCounter]]&gt;0, "Running", "Down")</f>
        <v>Running</v>
      </c>
    </row>
    <row r="2075" spans="1:5" x14ac:dyDescent="0.25">
      <c r="A2075" s="8">
        <v>44731</v>
      </c>
      <c r="B2075" t="s">
        <v>41</v>
      </c>
      <c r="C2075">
        <v>1806</v>
      </c>
      <c r="D2075" t="s">
        <v>6</v>
      </c>
      <c r="E2075" t="str">
        <f>IF(june[[#This Row],[ShiftCounter]]&gt;0, "Running", "Down")</f>
        <v>Running</v>
      </c>
    </row>
    <row r="2076" spans="1:5" x14ac:dyDescent="0.25">
      <c r="A2076" s="8">
        <v>44731</v>
      </c>
      <c r="B2076" t="s">
        <v>41</v>
      </c>
      <c r="C2076">
        <v>2605</v>
      </c>
      <c r="D2076" t="s">
        <v>7</v>
      </c>
      <c r="E2076" t="str">
        <f>IF(june[[#This Row],[ShiftCounter]]&gt;0, "Running", "Down")</f>
        <v>Running</v>
      </c>
    </row>
    <row r="2077" spans="1:5" x14ac:dyDescent="0.25">
      <c r="A2077" s="8">
        <v>44731</v>
      </c>
      <c r="B2077" t="s">
        <v>41</v>
      </c>
      <c r="C2077">
        <v>2288</v>
      </c>
      <c r="D2077" t="s">
        <v>8</v>
      </c>
      <c r="E2077" t="str">
        <f>IF(june[[#This Row],[ShiftCounter]]&gt;0, "Running", "Down")</f>
        <v>Running</v>
      </c>
    </row>
    <row r="2078" spans="1:5" x14ac:dyDescent="0.25">
      <c r="A2078" s="8">
        <v>44731</v>
      </c>
      <c r="B2078" t="s">
        <v>5</v>
      </c>
      <c r="C2078">
        <v>2171</v>
      </c>
      <c r="D2078" t="s">
        <v>6</v>
      </c>
      <c r="E2078" t="str">
        <f>IF(june[[#This Row],[ShiftCounter]]&gt;0, "Running", "Down")</f>
        <v>Running</v>
      </c>
    </row>
    <row r="2079" spans="1:5" x14ac:dyDescent="0.25">
      <c r="A2079" s="8">
        <v>44731</v>
      </c>
      <c r="B2079" t="s">
        <v>5</v>
      </c>
      <c r="C2079">
        <v>2292</v>
      </c>
      <c r="D2079" t="s">
        <v>7</v>
      </c>
      <c r="E2079" t="str">
        <f>IF(june[[#This Row],[ShiftCounter]]&gt;0, "Running", "Down")</f>
        <v>Running</v>
      </c>
    </row>
    <row r="2080" spans="1:5" x14ac:dyDescent="0.25">
      <c r="A2080" s="8">
        <v>44731</v>
      </c>
      <c r="B2080" t="s">
        <v>5</v>
      </c>
      <c r="C2080">
        <v>2206</v>
      </c>
      <c r="D2080" t="s">
        <v>8</v>
      </c>
      <c r="E2080" t="str">
        <f>IF(june[[#This Row],[ShiftCounter]]&gt;0, "Running", "Down")</f>
        <v>Running</v>
      </c>
    </row>
    <row r="2081" spans="1:5" x14ac:dyDescent="0.25">
      <c r="A2081" s="8">
        <v>44731</v>
      </c>
      <c r="B2081" t="s">
        <v>9</v>
      </c>
      <c r="C2081">
        <v>2278</v>
      </c>
      <c r="D2081" t="s">
        <v>6</v>
      </c>
      <c r="E2081" t="str">
        <f>IF(june[[#This Row],[ShiftCounter]]&gt;0, "Running", "Down")</f>
        <v>Running</v>
      </c>
    </row>
    <row r="2082" spans="1:5" x14ac:dyDescent="0.25">
      <c r="A2082" s="8">
        <v>44731</v>
      </c>
      <c r="B2082" t="s">
        <v>9</v>
      </c>
      <c r="C2082">
        <v>20498</v>
      </c>
      <c r="D2082" t="s">
        <v>7</v>
      </c>
      <c r="E2082" t="str">
        <f>IF(june[[#This Row],[ShiftCounter]]&gt;0, "Running", "Down")</f>
        <v>Running</v>
      </c>
    </row>
    <row r="2083" spans="1:5" x14ac:dyDescent="0.25">
      <c r="A2083" s="8">
        <v>44731</v>
      </c>
      <c r="B2083" t="s">
        <v>9</v>
      </c>
      <c r="C2083">
        <v>1808</v>
      </c>
      <c r="D2083" t="s">
        <v>8</v>
      </c>
      <c r="E2083" t="str">
        <f>IF(june[[#This Row],[ShiftCounter]]&gt;0, "Running", "Down")</f>
        <v>Running</v>
      </c>
    </row>
    <row r="2084" spans="1:5" x14ac:dyDescent="0.25">
      <c r="A2084" s="8">
        <v>44731</v>
      </c>
      <c r="B2084" t="s">
        <v>10</v>
      </c>
      <c r="C2084">
        <v>2218</v>
      </c>
      <c r="D2084" t="s">
        <v>6</v>
      </c>
      <c r="E2084" t="str">
        <f>IF(june[[#This Row],[ShiftCounter]]&gt;0, "Running", "Down")</f>
        <v>Running</v>
      </c>
    </row>
    <row r="2085" spans="1:5" x14ac:dyDescent="0.25">
      <c r="A2085" s="8">
        <v>44731</v>
      </c>
      <c r="B2085" t="s">
        <v>10</v>
      </c>
      <c r="C2085">
        <v>2477</v>
      </c>
      <c r="D2085" t="s">
        <v>7</v>
      </c>
      <c r="E2085" t="str">
        <f>IF(june[[#This Row],[ShiftCounter]]&gt;0, "Running", "Down")</f>
        <v>Running</v>
      </c>
    </row>
    <row r="2086" spans="1:5" x14ac:dyDescent="0.25">
      <c r="A2086" s="8">
        <v>44731</v>
      </c>
      <c r="B2086" t="s">
        <v>10</v>
      </c>
      <c r="C2086">
        <v>2203</v>
      </c>
      <c r="D2086" t="s">
        <v>8</v>
      </c>
      <c r="E2086" t="str">
        <f>IF(june[[#This Row],[ShiftCounter]]&gt;0, "Running", "Down")</f>
        <v>Running</v>
      </c>
    </row>
    <row r="2087" spans="1:5" x14ac:dyDescent="0.25">
      <c r="A2087" s="8">
        <v>44731</v>
      </c>
      <c r="B2087" t="s">
        <v>11</v>
      </c>
      <c r="C2087">
        <v>2243</v>
      </c>
      <c r="D2087" t="s">
        <v>6</v>
      </c>
      <c r="E2087" t="str">
        <f>IF(june[[#This Row],[ShiftCounter]]&gt;0, "Running", "Down")</f>
        <v>Running</v>
      </c>
    </row>
    <row r="2088" spans="1:5" x14ac:dyDescent="0.25">
      <c r="A2088" s="8">
        <v>44731</v>
      </c>
      <c r="B2088" t="s">
        <v>11</v>
      </c>
      <c r="C2088">
        <v>2203</v>
      </c>
      <c r="D2088" t="s">
        <v>7</v>
      </c>
      <c r="E2088" t="str">
        <f>IF(june[[#This Row],[ShiftCounter]]&gt;0, "Running", "Down")</f>
        <v>Running</v>
      </c>
    </row>
    <row r="2089" spans="1:5" x14ac:dyDescent="0.25">
      <c r="A2089" s="8">
        <v>44731</v>
      </c>
      <c r="B2089" t="s">
        <v>11</v>
      </c>
      <c r="C2089">
        <v>2248</v>
      </c>
      <c r="D2089" t="s">
        <v>8</v>
      </c>
      <c r="E2089" t="str">
        <f>IF(june[[#This Row],[ShiftCounter]]&gt;0, "Running", "Down")</f>
        <v>Running</v>
      </c>
    </row>
    <row r="2090" spans="1:5" x14ac:dyDescent="0.25">
      <c r="A2090" s="8">
        <v>44731</v>
      </c>
      <c r="B2090" t="s">
        <v>12</v>
      </c>
      <c r="C2090">
        <v>2067</v>
      </c>
      <c r="D2090" t="s">
        <v>6</v>
      </c>
      <c r="E2090" t="str">
        <f>IF(june[[#This Row],[ShiftCounter]]&gt;0, "Running", "Down")</f>
        <v>Running</v>
      </c>
    </row>
    <row r="2091" spans="1:5" x14ac:dyDescent="0.25">
      <c r="A2091" s="8">
        <v>44731</v>
      </c>
      <c r="B2091" t="s">
        <v>12</v>
      </c>
      <c r="C2091">
        <v>2194</v>
      </c>
      <c r="D2091" t="s">
        <v>7</v>
      </c>
      <c r="E2091" t="str">
        <f>IF(june[[#This Row],[ShiftCounter]]&gt;0, "Running", "Down")</f>
        <v>Running</v>
      </c>
    </row>
    <row r="2092" spans="1:5" x14ac:dyDescent="0.25">
      <c r="A2092" s="8">
        <v>44731</v>
      </c>
      <c r="B2092" t="s">
        <v>12</v>
      </c>
      <c r="C2092">
        <v>2197</v>
      </c>
      <c r="D2092" t="s">
        <v>8</v>
      </c>
      <c r="E2092" t="str">
        <f>IF(june[[#This Row],[ShiftCounter]]&gt;0, "Running", "Down")</f>
        <v>Running</v>
      </c>
    </row>
    <row r="2093" spans="1:5" x14ac:dyDescent="0.25">
      <c r="A2093" s="8">
        <v>44731</v>
      </c>
      <c r="B2093" t="s">
        <v>13</v>
      </c>
      <c r="C2093">
        <v>2041</v>
      </c>
      <c r="D2093" t="s">
        <v>6</v>
      </c>
      <c r="E2093" t="str">
        <f>IF(june[[#This Row],[ShiftCounter]]&gt;0, "Running", "Down")</f>
        <v>Running</v>
      </c>
    </row>
    <row r="2094" spans="1:5" x14ac:dyDescent="0.25">
      <c r="A2094" s="8">
        <v>44731</v>
      </c>
      <c r="B2094" t="s">
        <v>13</v>
      </c>
      <c r="C2094">
        <v>2062</v>
      </c>
      <c r="D2094" t="s">
        <v>7</v>
      </c>
      <c r="E2094" t="str">
        <f>IF(june[[#This Row],[ShiftCounter]]&gt;0, "Running", "Down")</f>
        <v>Running</v>
      </c>
    </row>
    <row r="2095" spans="1:5" x14ac:dyDescent="0.25">
      <c r="A2095" s="8">
        <v>44731</v>
      </c>
      <c r="B2095" t="s">
        <v>13</v>
      </c>
      <c r="C2095">
        <v>2066</v>
      </c>
      <c r="D2095" t="s">
        <v>8</v>
      </c>
      <c r="E2095" t="str">
        <f>IF(june[[#This Row],[ShiftCounter]]&gt;0, "Running", "Down")</f>
        <v>Running</v>
      </c>
    </row>
    <row r="2096" spans="1:5" x14ac:dyDescent="0.25">
      <c r="A2096" s="8">
        <v>44731</v>
      </c>
      <c r="B2096" t="s">
        <v>114</v>
      </c>
      <c r="C2096">
        <v>1964</v>
      </c>
      <c r="D2096" t="s">
        <v>6</v>
      </c>
      <c r="E2096" t="str">
        <f>IF(june[[#This Row],[ShiftCounter]]&gt;0, "Running", "Down")</f>
        <v>Running</v>
      </c>
    </row>
    <row r="2097" spans="1:5" x14ac:dyDescent="0.25">
      <c r="A2097" s="8">
        <v>44731</v>
      </c>
      <c r="B2097" t="s">
        <v>114</v>
      </c>
      <c r="C2097">
        <v>1966</v>
      </c>
      <c r="D2097" t="s">
        <v>7</v>
      </c>
      <c r="E2097" t="str">
        <f>IF(june[[#This Row],[ShiftCounter]]&gt;0, "Running", "Down")</f>
        <v>Running</v>
      </c>
    </row>
    <row r="2098" spans="1:5" x14ac:dyDescent="0.25">
      <c r="A2098" s="8">
        <v>44731</v>
      </c>
      <c r="B2098" t="s">
        <v>114</v>
      </c>
      <c r="C2098">
        <v>1969</v>
      </c>
      <c r="D2098" t="s">
        <v>8</v>
      </c>
      <c r="E2098" t="str">
        <f>IF(june[[#This Row],[ShiftCounter]]&gt;0, "Running", "Down")</f>
        <v>Running</v>
      </c>
    </row>
    <row r="2099" spans="1:5" x14ac:dyDescent="0.25">
      <c r="A2099" s="8">
        <v>44731</v>
      </c>
      <c r="B2099" t="s">
        <v>14</v>
      </c>
      <c r="C2099">
        <v>2068</v>
      </c>
      <c r="D2099" t="s">
        <v>6</v>
      </c>
      <c r="E2099" t="str">
        <f>IF(june[[#This Row],[ShiftCounter]]&gt;0, "Running", "Down")</f>
        <v>Running</v>
      </c>
    </row>
    <row r="2100" spans="1:5" x14ac:dyDescent="0.25">
      <c r="A2100" s="8">
        <v>44731</v>
      </c>
      <c r="B2100" t="s">
        <v>14</v>
      </c>
      <c r="C2100">
        <v>2115</v>
      </c>
      <c r="D2100" t="s">
        <v>7</v>
      </c>
      <c r="E2100" t="str">
        <f>IF(june[[#This Row],[ShiftCounter]]&gt;0, "Running", "Down")</f>
        <v>Running</v>
      </c>
    </row>
    <row r="2101" spans="1:5" x14ac:dyDescent="0.25">
      <c r="A2101" s="8">
        <v>44731</v>
      </c>
      <c r="B2101" t="s">
        <v>14</v>
      </c>
      <c r="C2101">
        <v>2118</v>
      </c>
      <c r="D2101" t="s">
        <v>8</v>
      </c>
      <c r="E2101" t="str">
        <f>IF(june[[#This Row],[ShiftCounter]]&gt;0, "Running", "Down")</f>
        <v>Running</v>
      </c>
    </row>
    <row r="2102" spans="1:5" x14ac:dyDescent="0.25">
      <c r="A2102" s="8">
        <v>44731</v>
      </c>
      <c r="B2102" t="s">
        <v>15</v>
      </c>
      <c r="C2102">
        <v>2309</v>
      </c>
      <c r="D2102" t="s">
        <v>6</v>
      </c>
      <c r="E2102" t="str">
        <f>IF(june[[#This Row],[ShiftCounter]]&gt;0, "Running", "Down")</f>
        <v>Running</v>
      </c>
    </row>
    <row r="2103" spans="1:5" x14ac:dyDescent="0.25">
      <c r="A2103" s="8">
        <v>44731</v>
      </c>
      <c r="B2103" t="s">
        <v>15</v>
      </c>
      <c r="C2103">
        <v>2260</v>
      </c>
      <c r="D2103" t="s">
        <v>7</v>
      </c>
      <c r="E2103" t="str">
        <f>IF(june[[#This Row],[ShiftCounter]]&gt;0, "Running", "Down")</f>
        <v>Running</v>
      </c>
    </row>
    <row r="2104" spans="1:5" x14ac:dyDescent="0.25">
      <c r="A2104" s="8">
        <v>44731</v>
      </c>
      <c r="B2104" t="s">
        <v>15</v>
      </c>
      <c r="C2104">
        <v>1911</v>
      </c>
      <c r="D2104" t="s">
        <v>8</v>
      </c>
      <c r="E2104" t="str">
        <f>IF(june[[#This Row],[ShiftCounter]]&gt;0, "Running", "Down")</f>
        <v>Running</v>
      </c>
    </row>
    <row r="2105" spans="1:5" x14ac:dyDescent="0.25">
      <c r="A2105" s="8">
        <v>44731</v>
      </c>
      <c r="B2105" t="s">
        <v>16</v>
      </c>
      <c r="C2105">
        <v>2093</v>
      </c>
      <c r="D2105" t="s">
        <v>6</v>
      </c>
      <c r="E2105" t="str">
        <f>IF(june[[#This Row],[ShiftCounter]]&gt;0, "Running", "Down")</f>
        <v>Running</v>
      </c>
    </row>
    <row r="2106" spans="1:5" x14ac:dyDescent="0.25">
      <c r="A2106" s="8">
        <v>44731</v>
      </c>
      <c r="B2106" t="s">
        <v>16</v>
      </c>
      <c r="C2106">
        <v>2226</v>
      </c>
      <c r="D2106" t="s">
        <v>7</v>
      </c>
      <c r="E2106" t="str">
        <f>IF(june[[#This Row],[ShiftCounter]]&gt;0, "Running", "Down")</f>
        <v>Running</v>
      </c>
    </row>
    <row r="2107" spans="1:5" x14ac:dyDescent="0.25">
      <c r="A2107" s="8">
        <v>44731</v>
      </c>
      <c r="B2107" t="s">
        <v>16</v>
      </c>
      <c r="C2107">
        <v>2141</v>
      </c>
      <c r="D2107" t="s">
        <v>8</v>
      </c>
      <c r="E2107" t="str">
        <f>IF(june[[#This Row],[ShiftCounter]]&gt;0, "Running", "Down")</f>
        <v>Running</v>
      </c>
    </row>
    <row r="2108" spans="1:5" x14ac:dyDescent="0.25">
      <c r="A2108" s="8">
        <v>44731</v>
      </c>
      <c r="B2108" t="s">
        <v>17</v>
      </c>
      <c r="C2108">
        <v>2235</v>
      </c>
      <c r="D2108" t="s">
        <v>6</v>
      </c>
      <c r="E2108" t="str">
        <f>IF(june[[#This Row],[ShiftCounter]]&gt;0, "Running", "Down")</f>
        <v>Running</v>
      </c>
    </row>
    <row r="2109" spans="1:5" x14ac:dyDescent="0.25">
      <c r="A2109" s="8">
        <v>44731</v>
      </c>
      <c r="B2109" t="s">
        <v>17</v>
      </c>
      <c r="C2109">
        <v>2150</v>
      </c>
      <c r="D2109" t="s">
        <v>7</v>
      </c>
      <c r="E2109" t="str">
        <f>IF(june[[#This Row],[ShiftCounter]]&gt;0, "Running", "Down")</f>
        <v>Running</v>
      </c>
    </row>
    <row r="2110" spans="1:5" x14ac:dyDescent="0.25">
      <c r="A2110" s="8">
        <v>44731</v>
      </c>
      <c r="B2110" t="s">
        <v>17</v>
      </c>
      <c r="C2110">
        <v>2228</v>
      </c>
      <c r="D2110" t="s">
        <v>8</v>
      </c>
      <c r="E2110" t="str">
        <f>IF(june[[#This Row],[ShiftCounter]]&gt;0, "Running", "Down")</f>
        <v>Running</v>
      </c>
    </row>
    <row r="2111" spans="1:5" x14ac:dyDescent="0.25">
      <c r="A2111" s="8">
        <v>44731</v>
      </c>
      <c r="B2111" t="s">
        <v>18</v>
      </c>
      <c r="C2111">
        <v>2205</v>
      </c>
      <c r="D2111" t="s">
        <v>6</v>
      </c>
      <c r="E2111" t="str">
        <f>IF(june[[#This Row],[ShiftCounter]]&gt;0, "Running", "Down")</f>
        <v>Running</v>
      </c>
    </row>
    <row r="2112" spans="1:5" x14ac:dyDescent="0.25">
      <c r="A2112" s="8">
        <v>44731</v>
      </c>
      <c r="B2112" t="s">
        <v>18</v>
      </c>
      <c r="C2112">
        <v>2277</v>
      </c>
      <c r="D2112" t="s">
        <v>7</v>
      </c>
      <c r="E2112" t="str">
        <f>IF(june[[#This Row],[ShiftCounter]]&gt;0, "Running", "Down")</f>
        <v>Running</v>
      </c>
    </row>
    <row r="2113" spans="1:5" x14ac:dyDescent="0.25">
      <c r="A2113" s="8">
        <v>44731</v>
      </c>
      <c r="B2113" t="s">
        <v>18</v>
      </c>
      <c r="C2113">
        <v>2228</v>
      </c>
      <c r="D2113" t="s">
        <v>8</v>
      </c>
      <c r="E2113" t="str">
        <f>IF(june[[#This Row],[ShiftCounter]]&gt;0, "Running", "Down")</f>
        <v>Running</v>
      </c>
    </row>
    <row r="2114" spans="1:5" x14ac:dyDescent="0.25">
      <c r="A2114" s="8">
        <v>44731</v>
      </c>
      <c r="B2114" t="s">
        <v>38</v>
      </c>
      <c r="C2114">
        <v>2159</v>
      </c>
      <c r="D2114" t="s">
        <v>6</v>
      </c>
      <c r="E2114" t="str">
        <f>IF(june[[#This Row],[ShiftCounter]]&gt;0, "Running", "Down")</f>
        <v>Running</v>
      </c>
    </row>
    <row r="2115" spans="1:5" x14ac:dyDescent="0.25">
      <c r="A2115" s="8">
        <v>44731</v>
      </c>
      <c r="B2115" t="s">
        <v>38</v>
      </c>
      <c r="C2115">
        <v>2190</v>
      </c>
      <c r="D2115" t="s">
        <v>7</v>
      </c>
      <c r="E2115" t="str">
        <f>IF(june[[#This Row],[ShiftCounter]]&gt;0, "Running", "Down")</f>
        <v>Running</v>
      </c>
    </row>
    <row r="2116" spans="1:5" x14ac:dyDescent="0.25">
      <c r="A2116" s="8">
        <v>44731</v>
      </c>
      <c r="B2116" t="s">
        <v>38</v>
      </c>
      <c r="C2116">
        <v>2300</v>
      </c>
      <c r="D2116" t="s">
        <v>8</v>
      </c>
      <c r="E2116" t="str">
        <f>IF(june[[#This Row],[ShiftCounter]]&gt;0, "Running", "Down")</f>
        <v>Running</v>
      </c>
    </row>
    <row r="2117" spans="1:5" x14ac:dyDescent="0.25">
      <c r="A2117" s="8">
        <v>44731</v>
      </c>
      <c r="B2117" t="s">
        <v>20</v>
      </c>
      <c r="C2117">
        <v>1874</v>
      </c>
      <c r="D2117" t="s">
        <v>6</v>
      </c>
      <c r="E2117" t="str">
        <f>IF(june[[#This Row],[ShiftCounter]]&gt;0, "Running", "Down")</f>
        <v>Running</v>
      </c>
    </row>
    <row r="2118" spans="1:5" x14ac:dyDescent="0.25">
      <c r="A2118" s="8">
        <v>44731</v>
      </c>
      <c r="B2118" t="s">
        <v>20</v>
      </c>
      <c r="C2118">
        <v>1808</v>
      </c>
      <c r="D2118" t="s">
        <v>7</v>
      </c>
      <c r="E2118" t="str">
        <f>IF(june[[#This Row],[ShiftCounter]]&gt;0, "Running", "Down")</f>
        <v>Running</v>
      </c>
    </row>
    <row r="2119" spans="1:5" x14ac:dyDescent="0.25">
      <c r="A2119" s="8">
        <v>44731</v>
      </c>
      <c r="B2119" t="s">
        <v>20</v>
      </c>
      <c r="C2119">
        <v>1899</v>
      </c>
      <c r="D2119" t="s">
        <v>8</v>
      </c>
      <c r="E2119" t="str">
        <f>IF(june[[#This Row],[ShiftCounter]]&gt;0, "Running", "Down")</f>
        <v>Running</v>
      </c>
    </row>
    <row r="2120" spans="1:5" x14ac:dyDescent="0.25">
      <c r="A2120" s="8">
        <v>44731</v>
      </c>
      <c r="B2120" t="s">
        <v>21</v>
      </c>
      <c r="C2120">
        <v>1970</v>
      </c>
      <c r="D2120" t="s">
        <v>6</v>
      </c>
      <c r="E2120" t="str">
        <f>IF(june[[#This Row],[ShiftCounter]]&gt;0, "Running", "Down")</f>
        <v>Running</v>
      </c>
    </row>
    <row r="2121" spans="1:5" x14ac:dyDescent="0.25">
      <c r="A2121" s="8">
        <v>44731</v>
      </c>
      <c r="B2121" t="s">
        <v>21</v>
      </c>
      <c r="C2121">
        <v>1959</v>
      </c>
      <c r="D2121" t="s">
        <v>7</v>
      </c>
      <c r="E2121" t="str">
        <f>IF(june[[#This Row],[ShiftCounter]]&gt;0, "Running", "Down")</f>
        <v>Running</v>
      </c>
    </row>
    <row r="2122" spans="1:5" x14ac:dyDescent="0.25">
      <c r="A2122" s="8">
        <v>44731</v>
      </c>
      <c r="B2122" t="s">
        <v>21</v>
      </c>
      <c r="C2122">
        <v>1988</v>
      </c>
      <c r="D2122" t="s">
        <v>8</v>
      </c>
      <c r="E2122" t="str">
        <f>IF(june[[#This Row],[ShiftCounter]]&gt;0, "Running", "Down")</f>
        <v>Running</v>
      </c>
    </row>
    <row r="2123" spans="1:5" x14ac:dyDescent="0.25">
      <c r="A2123" s="8">
        <v>44731</v>
      </c>
      <c r="B2123" t="s">
        <v>22</v>
      </c>
      <c r="C2123">
        <v>2466</v>
      </c>
      <c r="D2123" t="s">
        <v>6</v>
      </c>
      <c r="E2123" t="str">
        <f>IF(june[[#This Row],[ShiftCounter]]&gt;0, "Running", "Down")</f>
        <v>Running</v>
      </c>
    </row>
    <row r="2124" spans="1:5" x14ac:dyDescent="0.25">
      <c r="A2124" s="8">
        <v>44731</v>
      </c>
      <c r="B2124" t="s">
        <v>22</v>
      </c>
      <c r="C2124">
        <v>2406</v>
      </c>
      <c r="D2124" t="s">
        <v>7</v>
      </c>
      <c r="E2124" t="str">
        <f>IF(june[[#This Row],[ShiftCounter]]&gt;0, "Running", "Down")</f>
        <v>Running</v>
      </c>
    </row>
    <row r="2125" spans="1:5" x14ac:dyDescent="0.25">
      <c r="A2125" s="8">
        <v>44731</v>
      </c>
      <c r="B2125" t="s">
        <v>22</v>
      </c>
      <c r="C2125">
        <v>2002</v>
      </c>
      <c r="D2125" t="s">
        <v>8</v>
      </c>
      <c r="E2125" t="str">
        <f>IF(june[[#This Row],[ShiftCounter]]&gt;0, "Running", "Down")</f>
        <v>Running</v>
      </c>
    </row>
    <row r="2126" spans="1:5" x14ac:dyDescent="0.25">
      <c r="A2126" s="8">
        <v>44731</v>
      </c>
      <c r="B2126" t="s">
        <v>23</v>
      </c>
      <c r="C2126">
        <v>2178</v>
      </c>
      <c r="D2126" t="s">
        <v>6</v>
      </c>
      <c r="E2126" t="str">
        <f>IF(june[[#This Row],[ShiftCounter]]&gt;0, "Running", "Down")</f>
        <v>Running</v>
      </c>
    </row>
    <row r="2127" spans="1:5" x14ac:dyDescent="0.25">
      <c r="A2127" s="8">
        <v>44731</v>
      </c>
      <c r="B2127" t="s">
        <v>23</v>
      </c>
      <c r="C2127">
        <v>2321</v>
      </c>
      <c r="D2127" t="s">
        <v>7</v>
      </c>
      <c r="E2127" t="str">
        <f>IF(june[[#This Row],[ShiftCounter]]&gt;0, "Running", "Down")</f>
        <v>Running</v>
      </c>
    </row>
    <row r="2128" spans="1:5" x14ac:dyDescent="0.25">
      <c r="A2128" s="8">
        <v>44731</v>
      </c>
      <c r="B2128" t="s">
        <v>23</v>
      </c>
      <c r="C2128">
        <v>2370</v>
      </c>
      <c r="D2128" t="s">
        <v>8</v>
      </c>
      <c r="E2128" t="str">
        <f>IF(june[[#This Row],[ShiftCounter]]&gt;0, "Running", "Down")</f>
        <v>Running</v>
      </c>
    </row>
    <row r="2129" spans="1:5" x14ac:dyDescent="0.25">
      <c r="A2129" s="8">
        <v>44731</v>
      </c>
      <c r="B2129" t="s">
        <v>24</v>
      </c>
      <c r="C2129">
        <v>2023</v>
      </c>
      <c r="D2129" t="s">
        <v>6</v>
      </c>
      <c r="E2129" t="str">
        <f>IF(june[[#This Row],[ShiftCounter]]&gt;0, "Running", "Down")</f>
        <v>Running</v>
      </c>
    </row>
    <row r="2130" spans="1:5" x14ac:dyDescent="0.25">
      <c r="A2130" s="8">
        <v>44731</v>
      </c>
      <c r="B2130" t="s">
        <v>24</v>
      </c>
      <c r="C2130">
        <v>1866</v>
      </c>
      <c r="D2130" t="s">
        <v>7</v>
      </c>
      <c r="E2130" t="str">
        <f>IF(june[[#This Row],[ShiftCounter]]&gt;0, "Running", "Down")</f>
        <v>Running</v>
      </c>
    </row>
    <row r="2131" spans="1:5" x14ac:dyDescent="0.25">
      <c r="A2131" s="8">
        <v>44731</v>
      </c>
      <c r="B2131" t="s">
        <v>24</v>
      </c>
      <c r="C2131">
        <v>2015</v>
      </c>
      <c r="D2131" t="s">
        <v>8</v>
      </c>
      <c r="E2131" t="str">
        <f>IF(june[[#This Row],[ShiftCounter]]&gt;0, "Running", "Down")</f>
        <v>Running</v>
      </c>
    </row>
    <row r="2132" spans="1:5" x14ac:dyDescent="0.25">
      <c r="A2132" s="8">
        <v>44731</v>
      </c>
      <c r="B2132" t="s">
        <v>25</v>
      </c>
      <c r="C2132">
        <v>1984</v>
      </c>
      <c r="D2132" t="s">
        <v>6</v>
      </c>
      <c r="E2132" t="str">
        <f>IF(june[[#This Row],[ShiftCounter]]&gt;0, "Running", "Down")</f>
        <v>Running</v>
      </c>
    </row>
    <row r="2133" spans="1:5" x14ac:dyDescent="0.25">
      <c r="A2133" s="8">
        <v>44731</v>
      </c>
      <c r="B2133" t="s">
        <v>25</v>
      </c>
      <c r="C2133">
        <v>2134</v>
      </c>
      <c r="D2133" t="s">
        <v>7</v>
      </c>
      <c r="E2133" t="str">
        <f>IF(june[[#This Row],[ShiftCounter]]&gt;0, "Running", "Down")</f>
        <v>Running</v>
      </c>
    </row>
    <row r="2134" spans="1:5" x14ac:dyDescent="0.25">
      <c r="A2134" s="8">
        <v>44731</v>
      </c>
      <c r="B2134" t="s">
        <v>25</v>
      </c>
      <c r="C2134">
        <v>2110</v>
      </c>
      <c r="D2134" t="s">
        <v>8</v>
      </c>
      <c r="E2134" t="str">
        <f>IF(june[[#This Row],[ShiftCounter]]&gt;0, "Running", "Down")</f>
        <v>Running</v>
      </c>
    </row>
    <row r="2135" spans="1:5" x14ac:dyDescent="0.25">
      <c r="A2135" s="8">
        <v>44731</v>
      </c>
      <c r="B2135" t="s">
        <v>80</v>
      </c>
      <c r="C2135">
        <v>1953</v>
      </c>
      <c r="D2135" t="s">
        <v>6</v>
      </c>
      <c r="E2135" t="str">
        <f>IF(june[[#This Row],[ShiftCounter]]&gt;0, "Running", "Down")</f>
        <v>Running</v>
      </c>
    </row>
    <row r="2136" spans="1:5" x14ac:dyDescent="0.25">
      <c r="A2136" s="8">
        <v>44731</v>
      </c>
      <c r="B2136" t="s">
        <v>80</v>
      </c>
      <c r="C2136">
        <v>1873</v>
      </c>
      <c r="D2136" t="s">
        <v>7</v>
      </c>
      <c r="E2136" t="str">
        <f>IF(june[[#This Row],[ShiftCounter]]&gt;0, "Running", "Down")</f>
        <v>Running</v>
      </c>
    </row>
    <row r="2137" spans="1:5" x14ac:dyDescent="0.25">
      <c r="A2137" s="8">
        <v>44731</v>
      </c>
      <c r="B2137" t="s">
        <v>80</v>
      </c>
      <c r="C2137">
        <v>1974</v>
      </c>
      <c r="D2137" t="s">
        <v>8</v>
      </c>
      <c r="E2137" t="str">
        <f>IF(june[[#This Row],[ShiftCounter]]&gt;0, "Running", "Down")</f>
        <v>Running</v>
      </c>
    </row>
    <row r="2138" spans="1:5" x14ac:dyDescent="0.25">
      <c r="A2138" s="8">
        <v>44731</v>
      </c>
      <c r="B2138" t="s">
        <v>26</v>
      </c>
      <c r="C2138">
        <v>1975</v>
      </c>
      <c r="D2138" t="s">
        <v>6</v>
      </c>
      <c r="E2138" t="str">
        <f>IF(june[[#This Row],[ShiftCounter]]&gt;0, "Running", "Down")</f>
        <v>Running</v>
      </c>
    </row>
    <row r="2139" spans="1:5" x14ac:dyDescent="0.25">
      <c r="A2139" s="8">
        <v>44731</v>
      </c>
      <c r="B2139" t="s">
        <v>26</v>
      </c>
      <c r="C2139">
        <v>1955</v>
      </c>
      <c r="D2139" t="s">
        <v>7</v>
      </c>
      <c r="E2139" t="str">
        <f>IF(june[[#This Row],[ShiftCounter]]&gt;0, "Running", "Down")</f>
        <v>Running</v>
      </c>
    </row>
    <row r="2140" spans="1:5" x14ac:dyDescent="0.25">
      <c r="A2140" s="8">
        <v>44731</v>
      </c>
      <c r="B2140" t="s">
        <v>26</v>
      </c>
      <c r="C2140">
        <v>2001</v>
      </c>
      <c r="D2140" t="s">
        <v>8</v>
      </c>
      <c r="E2140" t="str">
        <f>IF(june[[#This Row],[ShiftCounter]]&gt;0, "Running", "Down")</f>
        <v>Running</v>
      </c>
    </row>
    <row r="2141" spans="1:5" x14ac:dyDescent="0.25">
      <c r="A2141" s="8">
        <v>44731</v>
      </c>
      <c r="B2141" t="s">
        <v>27</v>
      </c>
      <c r="C2141">
        <v>2258</v>
      </c>
      <c r="D2141" t="s">
        <v>6</v>
      </c>
      <c r="E2141" t="str">
        <f>IF(june[[#This Row],[ShiftCounter]]&gt;0, "Running", "Down")</f>
        <v>Running</v>
      </c>
    </row>
    <row r="2142" spans="1:5" x14ac:dyDescent="0.25">
      <c r="A2142" s="8">
        <v>44731</v>
      </c>
      <c r="B2142" t="s">
        <v>27</v>
      </c>
      <c r="C2142">
        <v>2260</v>
      </c>
      <c r="D2142" t="s">
        <v>7</v>
      </c>
      <c r="E2142" t="str">
        <f>IF(june[[#This Row],[ShiftCounter]]&gt;0, "Running", "Down")</f>
        <v>Running</v>
      </c>
    </row>
    <row r="2143" spans="1:5" x14ac:dyDescent="0.25">
      <c r="A2143" s="8">
        <v>44731</v>
      </c>
      <c r="B2143" t="s">
        <v>27</v>
      </c>
      <c r="C2143">
        <v>2309</v>
      </c>
      <c r="D2143" t="s">
        <v>8</v>
      </c>
      <c r="E2143" t="str">
        <f>IF(june[[#This Row],[ShiftCounter]]&gt;0, "Running", "Down")</f>
        <v>Running</v>
      </c>
    </row>
    <row r="2144" spans="1:5" x14ac:dyDescent="0.25">
      <c r="A2144" s="8">
        <v>44731</v>
      </c>
      <c r="B2144" t="s">
        <v>28</v>
      </c>
      <c r="C2144">
        <v>2063</v>
      </c>
      <c r="D2144" t="s">
        <v>6</v>
      </c>
      <c r="E2144" t="str">
        <f>IF(june[[#This Row],[ShiftCounter]]&gt;0, "Running", "Down")</f>
        <v>Running</v>
      </c>
    </row>
    <row r="2145" spans="1:5" x14ac:dyDescent="0.25">
      <c r="A2145" s="8">
        <v>44731</v>
      </c>
      <c r="B2145" t="s">
        <v>28</v>
      </c>
      <c r="C2145">
        <v>2038</v>
      </c>
      <c r="D2145" t="s">
        <v>7</v>
      </c>
      <c r="E2145" t="str">
        <f>IF(june[[#This Row],[ShiftCounter]]&gt;0, "Running", "Down")</f>
        <v>Running</v>
      </c>
    </row>
    <row r="2146" spans="1:5" x14ac:dyDescent="0.25">
      <c r="A2146" s="8">
        <v>44731</v>
      </c>
      <c r="B2146" t="s">
        <v>28</v>
      </c>
      <c r="C2146">
        <v>2192</v>
      </c>
      <c r="D2146" t="s">
        <v>8</v>
      </c>
      <c r="E2146" t="str">
        <f>IF(june[[#This Row],[ShiftCounter]]&gt;0, "Running", "Down")</f>
        <v>Running</v>
      </c>
    </row>
    <row r="2147" spans="1:5" x14ac:dyDescent="0.25">
      <c r="A2147" s="8">
        <v>44731</v>
      </c>
      <c r="B2147" t="s">
        <v>29</v>
      </c>
      <c r="C2147">
        <v>1906</v>
      </c>
      <c r="D2147" t="s">
        <v>6</v>
      </c>
      <c r="E2147" t="str">
        <f>IF(june[[#This Row],[ShiftCounter]]&gt;0, "Running", "Down")</f>
        <v>Running</v>
      </c>
    </row>
    <row r="2148" spans="1:5" x14ac:dyDescent="0.25">
      <c r="A2148" s="8">
        <v>44731</v>
      </c>
      <c r="B2148" t="s">
        <v>29</v>
      </c>
      <c r="C2148">
        <v>2086</v>
      </c>
      <c r="D2148" t="s">
        <v>7</v>
      </c>
      <c r="E2148" t="str">
        <f>IF(june[[#This Row],[ShiftCounter]]&gt;0, "Running", "Down")</f>
        <v>Running</v>
      </c>
    </row>
    <row r="2149" spans="1:5" x14ac:dyDescent="0.25">
      <c r="A2149" s="8">
        <v>44731</v>
      </c>
      <c r="B2149" t="s">
        <v>29</v>
      </c>
      <c r="C2149">
        <v>2137</v>
      </c>
      <c r="D2149" t="s">
        <v>8</v>
      </c>
      <c r="E2149" t="str">
        <f>IF(june[[#This Row],[ShiftCounter]]&gt;0, "Running", "Down")</f>
        <v>Running</v>
      </c>
    </row>
    <row r="2150" spans="1:5" x14ac:dyDescent="0.25">
      <c r="A2150" s="8">
        <v>44731</v>
      </c>
      <c r="B2150" t="s">
        <v>30</v>
      </c>
      <c r="C2150">
        <v>2170</v>
      </c>
      <c r="D2150" t="s">
        <v>6</v>
      </c>
      <c r="E2150" t="str">
        <f>IF(june[[#This Row],[ShiftCounter]]&gt;0, "Running", "Down")</f>
        <v>Running</v>
      </c>
    </row>
    <row r="2151" spans="1:5" x14ac:dyDescent="0.25">
      <c r="A2151" s="8">
        <v>44731</v>
      </c>
      <c r="B2151" t="s">
        <v>30</v>
      </c>
      <c r="C2151">
        <v>2150</v>
      </c>
      <c r="D2151" t="s">
        <v>7</v>
      </c>
      <c r="E2151" t="str">
        <f>IF(june[[#This Row],[ShiftCounter]]&gt;0, "Running", "Down")</f>
        <v>Running</v>
      </c>
    </row>
    <row r="2152" spans="1:5" x14ac:dyDescent="0.25">
      <c r="A2152" s="8">
        <v>44731</v>
      </c>
      <c r="B2152" t="s">
        <v>30</v>
      </c>
      <c r="C2152">
        <v>2197</v>
      </c>
      <c r="D2152" t="s">
        <v>8</v>
      </c>
      <c r="E2152" t="str">
        <f>IF(june[[#This Row],[ShiftCounter]]&gt;0, "Running", "Down")</f>
        <v>Running</v>
      </c>
    </row>
    <row r="2153" spans="1:5" x14ac:dyDescent="0.25">
      <c r="A2153" s="8">
        <v>44731</v>
      </c>
      <c r="B2153" t="s">
        <v>31</v>
      </c>
      <c r="C2153">
        <v>1831</v>
      </c>
      <c r="D2153" t="s">
        <v>6</v>
      </c>
      <c r="E2153" t="str">
        <f>IF(june[[#This Row],[ShiftCounter]]&gt;0, "Running", "Down")</f>
        <v>Running</v>
      </c>
    </row>
    <row r="2154" spans="1:5" x14ac:dyDescent="0.25">
      <c r="A2154" s="8">
        <v>44731</v>
      </c>
      <c r="B2154" t="s">
        <v>31</v>
      </c>
      <c r="C2154">
        <v>1999</v>
      </c>
      <c r="D2154" t="s">
        <v>7</v>
      </c>
      <c r="E2154" t="str">
        <f>IF(june[[#This Row],[ShiftCounter]]&gt;0, "Running", "Down")</f>
        <v>Running</v>
      </c>
    </row>
    <row r="2155" spans="1:5" x14ac:dyDescent="0.25">
      <c r="A2155" s="8">
        <v>44731</v>
      </c>
      <c r="B2155" t="s">
        <v>31</v>
      </c>
      <c r="C2155">
        <v>2009</v>
      </c>
      <c r="D2155" t="s">
        <v>8</v>
      </c>
      <c r="E2155" t="str">
        <f>IF(june[[#This Row],[ShiftCounter]]&gt;0, "Running", "Down")</f>
        <v>Running</v>
      </c>
    </row>
    <row r="2156" spans="1:5" x14ac:dyDescent="0.25">
      <c r="A2156" s="8">
        <v>44731</v>
      </c>
      <c r="B2156" t="s">
        <v>32</v>
      </c>
      <c r="C2156">
        <v>2185</v>
      </c>
      <c r="D2156" t="s">
        <v>6</v>
      </c>
      <c r="E2156" t="str">
        <f>IF(june[[#This Row],[ShiftCounter]]&gt;0, "Running", "Down")</f>
        <v>Running</v>
      </c>
    </row>
    <row r="2157" spans="1:5" x14ac:dyDescent="0.25">
      <c r="A2157" s="8">
        <v>44731</v>
      </c>
      <c r="B2157" t="s">
        <v>32</v>
      </c>
      <c r="C2157">
        <v>2409</v>
      </c>
      <c r="D2157" t="s">
        <v>7</v>
      </c>
      <c r="E2157" t="str">
        <f>IF(june[[#This Row],[ShiftCounter]]&gt;0, "Running", "Down")</f>
        <v>Running</v>
      </c>
    </row>
    <row r="2158" spans="1:5" x14ac:dyDescent="0.25">
      <c r="A2158" s="8">
        <v>44731</v>
      </c>
      <c r="B2158" t="s">
        <v>32</v>
      </c>
      <c r="C2158">
        <v>2462</v>
      </c>
      <c r="D2158" t="s">
        <v>8</v>
      </c>
      <c r="E2158" t="str">
        <f>IF(june[[#This Row],[ShiftCounter]]&gt;0, "Running", "Down")</f>
        <v>Running</v>
      </c>
    </row>
    <row r="2159" spans="1:5" x14ac:dyDescent="0.25">
      <c r="A2159" s="8">
        <v>44731</v>
      </c>
      <c r="B2159" t="s">
        <v>71</v>
      </c>
      <c r="C2159">
        <v>2016</v>
      </c>
      <c r="D2159" t="s">
        <v>6</v>
      </c>
      <c r="E2159" t="str">
        <f>IF(june[[#This Row],[ShiftCounter]]&gt;0, "Running", "Down")</f>
        <v>Running</v>
      </c>
    </row>
    <row r="2160" spans="1:5" x14ac:dyDescent="0.25">
      <c r="A2160" s="8">
        <v>44731</v>
      </c>
      <c r="B2160" t="s">
        <v>71</v>
      </c>
      <c r="C2160">
        <v>2048</v>
      </c>
      <c r="D2160" t="s">
        <v>7</v>
      </c>
      <c r="E2160" t="str">
        <f>IF(june[[#This Row],[ShiftCounter]]&gt;0, "Running", "Down")</f>
        <v>Running</v>
      </c>
    </row>
    <row r="2161" spans="1:5" x14ac:dyDescent="0.25">
      <c r="A2161" s="8">
        <v>44731</v>
      </c>
      <c r="B2161" t="s">
        <v>71</v>
      </c>
      <c r="C2161">
        <v>2072</v>
      </c>
      <c r="D2161" t="s">
        <v>8</v>
      </c>
      <c r="E2161" t="str">
        <f>IF(june[[#This Row],[ShiftCounter]]&gt;0, "Running", "Down")</f>
        <v>Running</v>
      </c>
    </row>
    <row r="2162" spans="1:5" x14ac:dyDescent="0.25">
      <c r="A2162" s="8">
        <v>44731</v>
      </c>
      <c r="B2162" t="s">
        <v>33</v>
      </c>
      <c r="C2162">
        <v>2374</v>
      </c>
      <c r="D2162" t="s">
        <v>6</v>
      </c>
      <c r="E2162" t="str">
        <f>IF(june[[#This Row],[ShiftCounter]]&gt;0, "Running", "Down")</f>
        <v>Running</v>
      </c>
    </row>
    <row r="2163" spans="1:5" x14ac:dyDescent="0.25">
      <c r="A2163" s="8">
        <v>44731</v>
      </c>
      <c r="B2163" t="s">
        <v>33</v>
      </c>
      <c r="C2163">
        <v>2354</v>
      </c>
      <c r="D2163" t="s">
        <v>7</v>
      </c>
      <c r="E2163" t="str">
        <f>IF(june[[#This Row],[ShiftCounter]]&gt;0, "Running", "Down")</f>
        <v>Running</v>
      </c>
    </row>
    <row r="2164" spans="1:5" x14ac:dyDescent="0.25">
      <c r="A2164" s="8">
        <v>44731</v>
      </c>
      <c r="B2164" t="s">
        <v>33</v>
      </c>
      <c r="C2164">
        <v>2404</v>
      </c>
      <c r="D2164" t="s">
        <v>8</v>
      </c>
      <c r="E2164" t="str">
        <f>IF(june[[#This Row],[ShiftCounter]]&gt;0, "Running", "Down")</f>
        <v>Running</v>
      </c>
    </row>
    <row r="2165" spans="1:5" x14ac:dyDescent="0.25">
      <c r="A2165" s="8">
        <v>44731</v>
      </c>
      <c r="B2165" t="s">
        <v>34</v>
      </c>
      <c r="C2165">
        <v>1908</v>
      </c>
      <c r="D2165" t="s">
        <v>6</v>
      </c>
      <c r="E2165" t="str">
        <f>IF(june[[#This Row],[ShiftCounter]]&gt;0, "Running", "Down")</f>
        <v>Running</v>
      </c>
    </row>
    <row r="2166" spans="1:5" x14ac:dyDescent="0.25">
      <c r="A2166" s="8">
        <v>44731</v>
      </c>
      <c r="B2166" t="s">
        <v>34</v>
      </c>
      <c r="C2166">
        <v>1916</v>
      </c>
      <c r="D2166" t="s">
        <v>7</v>
      </c>
      <c r="E2166" t="str">
        <f>IF(june[[#This Row],[ShiftCounter]]&gt;0, "Running", "Down")</f>
        <v>Running</v>
      </c>
    </row>
    <row r="2167" spans="1:5" x14ac:dyDescent="0.25">
      <c r="A2167" s="8">
        <v>44731</v>
      </c>
      <c r="B2167" t="s">
        <v>34</v>
      </c>
      <c r="C2167">
        <v>1957</v>
      </c>
      <c r="D2167" t="s">
        <v>8</v>
      </c>
      <c r="E2167" t="str">
        <f>IF(june[[#This Row],[ShiftCounter]]&gt;0, "Running", "Down")</f>
        <v>Running</v>
      </c>
    </row>
    <row r="2168" spans="1:5" x14ac:dyDescent="0.25">
      <c r="A2168" s="8">
        <v>44731</v>
      </c>
      <c r="B2168" t="s">
        <v>37</v>
      </c>
      <c r="C2168">
        <v>2386</v>
      </c>
      <c r="D2168" t="s">
        <v>6</v>
      </c>
      <c r="E2168" t="str">
        <f>IF(june[[#This Row],[ShiftCounter]]&gt;0, "Running", "Down")</f>
        <v>Running</v>
      </c>
    </row>
    <row r="2169" spans="1:5" x14ac:dyDescent="0.25">
      <c r="A2169" s="8">
        <v>44731</v>
      </c>
      <c r="B2169" t="s">
        <v>37</v>
      </c>
      <c r="C2169">
        <v>1994</v>
      </c>
      <c r="D2169" t="s">
        <v>7</v>
      </c>
      <c r="E2169" t="str">
        <f>IF(june[[#This Row],[ShiftCounter]]&gt;0, "Running", "Down")</f>
        <v>Running</v>
      </c>
    </row>
    <row r="2170" spans="1:5" x14ac:dyDescent="0.25">
      <c r="A2170" s="8">
        <v>44731</v>
      </c>
      <c r="B2170" t="s">
        <v>37</v>
      </c>
      <c r="C2170">
        <v>1884</v>
      </c>
      <c r="D2170" t="s">
        <v>8</v>
      </c>
      <c r="E2170" t="str">
        <f>IF(june[[#This Row],[ShiftCounter]]&gt;0, "Running", "Down")</f>
        <v>Running</v>
      </c>
    </row>
    <row r="2171" spans="1:5" x14ac:dyDescent="0.25">
      <c r="A2171" s="14">
        <v>44732</v>
      </c>
      <c r="B2171" s="13" t="s">
        <v>160</v>
      </c>
      <c r="C2171" s="13">
        <v>0</v>
      </c>
      <c r="D2171" s="13" t="s">
        <v>6</v>
      </c>
      <c r="E2171" s="12" t="str">
        <f>IF(june[[#This Row],[ShiftCounter]]&gt;0, "Running", "Down")</f>
        <v>Down</v>
      </c>
    </row>
    <row r="2172" spans="1:5" x14ac:dyDescent="0.25">
      <c r="A2172" s="14">
        <v>44732</v>
      </c>
      <c r="B2172" s="13" t="s">
        <v>160</v>
      </c>
      <c r="C2172" s="13">
        <v>0</v>
      </c>
      <c r="D2172" s="13" t="s">
        <v>7</v>
      </c>
      <c r="E2172" s="12" t="str">
        <f>IF(june[[#This Row],[ShiftCounter]]&gt;0, "Running", "Down")</f>
        <v>Down</v>
      </c>
    </row>
    <row r="2173" spans="1:5" x14ac:dyDescent="0.25">
      <c r="A2173" s="14">
        <v>44732</v>
      </c>
      <c r="B2173" s="13" t="s">
        <v>160</v>
      </c>
      <c r="C2173" s="13">
        <v>0</v>
      </c>
      <c r="D2173" s="13" t="s">
        <v>8</v>
      </c>
      <c r="E2173" s="12" t="str">
        <f>IF(june[[#This Row],[ShiftCounter]]&gt;0, "Running", "Down")</f>
        <v>Down</v>
      </c>
    </row>
    <row r="2174" spans="1:5" x14ac:dyDescent="0.25">
      <c r="A2174" s="14">
        <v>44732</v>
      </c>
      <c r="B2174" s="13" t="s">
        <v>158</v>
      </c>
      <c r="C2174" s="13">
        <v>2124</v>
      </c>
      <c r="D2174" s="13" t="s">
        <v>6</v>
      </c>
      <c r="E2174" s="12" t="str">
        <f>IF(june[[#This Row],[ShiftCounter]]&gt;0, "Running", "Down")</f>
        <v>Running</v>
      </c>
    </row>
    <row r="2175" spans="1:5" x14ac:dyDescent="0.25">
      <c r="A2175" s="14">
        <v>44732</v>
      </c>
      <c r="B2175" s="13" t="s">
        <v>158</v>
      </c>
      <c r="C2175" s="13">
        <v>2307</v>
      </c>
      <c r="D2175" s="13" t="s">
        <v>7</v>
      </c>
      <c r="E2175" s="12" t="str">
        <f>IF(june[[#This Row],[ShiftCounter]]&gt;0, "Running", "Down")</f>
        <v>Running</v>
      </c>
    </row>
    <row r="2176" spans="1:5" x14ac:dyDescent="0.25">
      <c r="A2176" s="14">
        <v>44732</v>
      </c>
      <c r="B2176" s="13" t="s">
        <v>158</v>
      </c>
      <c r="C2176" s="13">
        <v>2017</v>
      </c>
      <c r="D2176" s="13" t="s">
        <v>8</v>
      </c>
      <c r="E2176" s="12" t="str">
        <f>IF(june[[#This Row],[ShiftCounter]]&gt;0, "Running", "Down")</f>
        <v>Running</v>
      </c>
    </row>
    <row r="2177" spans="1:5" x14ac:dyDescent="0.25">
      <c r="A2177" s="14">
        <v>44732</v>
      </c>
      <c r="B2177" s="13" t="s">
        <v>157</v>
      </c>
      <c r="C2177" s="13">
        <v>0</v>
      </c>
      <c r="D2177" s="13" t="s">
        <v>6</v>
      </c>
      <c r="E2177" s="12" t="str">
        <f>IF(june[[#This Row],[ShiftCounter]]&gt;0, "Running", "Down")</f>
        <v>Down</v>
      </c>
    </row>
    <row r="2178" spans="1:5" x14ac:dyDescent="0.25">
      <c r="A2178" s="14">
        <v>44732</v>
      </c>
      <c r="B2178" s="13" t="s">
        <v>157</v>
      </c>
      <c r="C2178" s="13">
        <v>0</v>
      </c>
      <c r="D2178" s="13" t="s">
        <v>7</v>
      </c>
      <c r="E2178" s="12" t="str">
        <f>IF(june[[#This Row],[ShiftCounter]]&gt;0, "Running", "Down")</f>
        <v>Down</v>
      </c>
    </row>
    <row r="2179" spans="1:5" x14ac:dyDescent="0.25">
      <c r="A2179" s="14">
        <v>44732</v>
      </c>
      <c r="B2179" s="13" t="s">
        <v>157</v>
      </c>
      <c r="C2179" s="13">
        <v>0</v>
      </c>
      <c r="D2179" s="13" t="s">
        <v>8</v>
      </c>
      <c r="E2179" s="12" t="str">
        <f>IF(june[[#This Row],[ShiftCounter]]&gt;0, "Running", "Down")</f>
        <v>Down</v>
      </c>
    </row>
    <row r="2180" spans="1:5" x14ac:dyDescent="0.25">
      <c r="A2180" s="14">
        <v>44732</v>
      </c>
      <c r="B2180" s="13" t="s">
        <v>155</v>
      </c>
      <c r="C2180" s="13">
        <v>0</v>
      </c>
      <c r="D2180" s="13" t="s">
        <v>6</v>
      </c>
      <c r="E2180" s="12" t="str">
        <f>IF(june[[#This Row],[ShiftCounter]]&gt;0, "Running", "Down")</f>
        <v>Down</v>
      </c>
    </row>
    <row r="2181" spans="1:5" x14ac:dyDescent="0.25">
      <c r="A2181" s="14">
        <v>44732</v>
      </c>
      <c r="B2181" s="13" t="s">
        <v>155</v>
      </c>
      <c r="C2181" s="13">
        <v>0</v>
      </c>
      <c r="D2181" s="13" t="s">
        <v>7</v>
      </c>
      <c r="E2181" s="12" t="str">
        <f>IF(june[[#This Row],[ShiftCounter]]&gt;0, "Running", "Down")</f>
        <v>Down</v>
      </c>
    </row>
    <row r="2182" spans="1:5" x14ac:dyDescent="0.25">
      <c r="A2182" s="14">
        <v>44732</v>
      </c>
      <c r="B2182" s="13" t="s">
        <v>155</v>
      </c>
      <c r="C2182" s="13">
        <v>0</v>
      </c>
      <c r="D2182" s="13" t="s">
        <v>8</v>
      </c>
      <c r="E2182" s="12" t="str">
        <f>IF(june[[#This Row],[ShiftCounter]]&gt;0, "Running", "Down")</f>
        <v>Down</v>
      </c>
    </row>
    <row r="2183" spans="1:5" x14ac:dyDescent="0.25">
      <c r="A2183" s="14">
        <v>44732</v>
      </c>
      <c r="B2183" s="13" t="s">
        <v>153</v>
      </c>
      <c r="C2183" s="13">
        <v>0</v>
      </c>
      <c r="D2183" s="13" t="s">
        <v>6</v>
      </c>
      <c r="E2183" s="12" t="str">
        <f>IF(june[[#This Row],[ShiftCounter]]&gt;0, "Running", "Down")</f>
        <v>Down</v>
      </c>
    </row>
    <row r="2184" spans="1:5" x14ac:dyDescent="0.25">
      <c r="A2184" s="14">
        <v>44732</v>
      </c>
      <c r="B2184" s="13" t="s">
        <v>153</v>
      </c>
      <c r="C2184" s="13">
        <v>0</v>
      </c>
      <c r="D2184" s="13" t="s">
        <v>7</v>
      </c>
      <c r="E2184" s="12" t="str">
        <f>IF(june[[#This Row],[ShiftCounter]]&gt;0, "Running", "Down")</f>
        <v>Down</v>
      </c>
    </row>
    <row r="2185" spans="1:5" x14ac:dyDescent="0.25">
      <c r="A2185" s="14">
        <v>44732</v>
      </c>
      <c r="B2185" s="13" t="s">
        <v>153</v>
      </c>
      <c r="C2185" s="13">
        <v>0</v>
      </c>
      <c r="D2185" s="13" t="s">
        <v>8</v>
      </c>
      <c r="E2185" s="12" t="str">
        <f>IF(june[[#This Row],[ShiftCounter]]&gt;0, "Running", "Down")</f>
        <v>Down</v>
      </c>
    </row>
    <row r="2186" spans="1:5" x14ac:dyDescent="0.25">
      <c r="A2186" s="14">
        <v>44732</v>
      </c>
      <c r="B2186" s="13" t="s">
        <v>152</v>
      </c>
      <c r="C2186" s="13">
        <v>0</v>
      </c>
      <c r="D2186" s="13" t="s">
        <v>6</v>
      </c>
      <c r="E2186" s="12" t="str">
        <f>IF(june[[#This Row],[ShiftCounter]]&gt;0, "Running", "Down")</f>
        <v>Down</v>
      </c>
    </row>
    <row r="2187" spans="1:5" x14ac:dyDescent="0.25">
      <c r="A2187" s="14">
        <v>44732</v>
      </c>
      <c r="B2187" s="13" t="s">
        <v>152</v>
      </c>
      <c r="C2187" s="13">
        <v>0</v>
      </c>
      <c r="D2187" s="13" t="s">
        <v>7</v>
      </c>
      <c r="E2187" s="12" t="str">
        <f>IF(june[[#This Row],[ShiftCounter]]&gt;0, "Running", "Down")</f>
        <v>Down</v>
      </c>
    </row>
    <row r="2188" spans="1:5" x14ac:dyDescent="0.25">
      <c r="A2188" s="14">
        <v>44732</v>
      </c>
      <c r="B2188" s="13" t="s">
        <v>152</v>
      </c>
      <c r="C2188" s="13">
        <v>0</v>
      </c>
      <c r="D2188" s="13" t="s">
        <v>8</v>
      </c>
      <c r="E2188" s="12" t="str">
        <f>IF(june[[#This Row],[ShiftCounter]]&gt;0, "Running", "Down")</f>
        <v>Down</v>
      </c>
    </row>
    <row r="2189" spans="1:5" x14ac:dyDescent="0.25">
      <c r="A2189" s="14">
        <v>44732</v>
      </c>
      <c r="B2189" s="13" t="s">
        <v>150</v>
      </c>
      <c r="C2189" s="13">
        <v>0</v>
      </c>
      <c r="D2189" s="13" t="s">
        <v>6</v>
      </c>
      <c r="E2189" s="12" t="str">
        <f>IF(june[[#This Row],[ShiftCounter]]&gt;0, "Running", "Down")</f>
        <v>Down</v>
      </c>
    </row>
    <row r="2190" spans="1:5" x14ac:dyDescent="0.25">
      <c r="A2190" s="14">
        <v>44732</v>
      </c>
      <c r="B2190" s="13" t="s">
        <v>150</v>
      </c>
      <c r="C2190" s="13">
        <v>0</v>
      </c>
      <c r="D2190" s="13" t="s">
        <v>7</v>
      </c>
      <c r="E2190" s="12" t="str">
        <f>IF(june[[#This Row],[ShiftCounter]]&gt;0, "Running", "Down")</f>
        <v>Down</v>
      </c>
    </row>
    <row r="2191" spans="1:5" x14ac:dyDescent="0.25">
      <c r="A2191" s="14">
        <v>44732</v>
      </c>
      <c r="B2191" s="13" t="s">
        <v>150</v>
      </c>
      <c r="C2191" s="13">
        <v>0</v>
      </c>
      <c r="D2191" s="13" t="s">
        <v>8</v>
      </c>
      <c r="E2191" s="12" t="str">
        <f>IF(june[[#This Row],[ShiftCounter]]&gt;0, "Running", "Down")</f>
        <v>Down</v>
      </c>
    </row>
    <row r="2192" spans="1:5" x14ac:dyDescent="0.25">
      <c r="A2192" s="14">
        <v>44732</v>
      </c>
      <c r="B2192" s="13" t="s">
        <v>40</v>
      </c>
      <c r="C2192" s="13">
        <v>2188</v>
      </c>
      <c r="D2192" s="13" t="s">
        <v>6</v>
      </c>
      <c r="E2192" s="12" t="str">
        <f>IF(june[[#This Row],[ShiftCounter]]&gt;0, "Running", "Down")</f>
        <v>Running</v>
      </c>
    </row>
    <row r="2193" spans="1:5" x14ac:dyDescent="0.25">
      <c r="A2193" s="14">
        <v>44732</v>
      </c>
      <c r="B2193" s="13" t="s">
        <v>40</v>
      </c>
      <c r="C2193" s="13">
        <v>2359</v>
      </c>
      <c r="D2193" s="13" t="s">
        <v>7</v>
      </c>
      <c r="E2193" s="12" t="str">
        <f>IF(june[[#This Row],[ShiftCounter]]&gt;0, "Running", "Down")</f>
        <v>Running</v>
      </c>
    </row>
    <row r="2194" spans="1:5" x14ac:dyDescent="0.25">
      <c r="A2194" s="14">
        <v>44732</v>
      </c>
      <c r="B2194" s="13" t="s">
        <v>40</v>
      </c>
      <c r="C2194" s="13">
        <v>2077</v>
      </c>
      <c r="D2194" s="13" t="s">
        <v>8</v>
      </c>
      <c r="E2194" s="12" t="str">
        <f>IF(june[[#This Row],[ShiftCounter]]&gt;0, "Running", "Down")</f>
        <v>Running</v>
      </c>
    </row>
    <row r="2195" spans="1:5" x14ac:dyDescent="0.25">
      <c r="A2195" s="14">
        <v>44732</v>
      </c>
      <c r="B2195" s="13" t="s">
        <v>147</v>
      </c>
      <c r="C2195" s="13">
        <v>0</v>
      </c>
      <c r="D2195" s="13" t="s">
        <v>6</v>
      </c>
      <c r="E2195" s="12" t="str">
        <f>IF(june[[#This Row],[ShiftCounter]]&gt;0, "Running", "Down")</f>
        <v>Down</v>
      </c>
    </row>
    <row r="2196" spans="1:5" x14ac:dyDescent="0.25">
      <c r="A2196" s="14">
        <v>44732</v>
      </c>
      <c r="B2196" s="13" t="s">
        <v>147</v>
      </c>
      <c r="C2196" s="13">
        <v>0</v>
      </c>
      <c r="D2196" s="13" t="s">
        <v>7</v>
      </c>
      <c r="E2196" s="12" t="str">
        <f>IF(june[[#This Row],[ShiftCounter]]&gt;0, "Running", "Down")</f>
        <v>Down</v>
      </c>
    </row>
    <row r="2197" spans="1:5" x14ac:dyDescent="0.25">
      <c r="A2197" s="14">
        <v>44732</v>
      </c>
      <c r="B2197" s="13" t="s">
        <v>147</v>
      </c>
      <c r="C2197" s="13">
        <v>0</v>
      </c>
      <c r="D2197" s="13" t="s">
        <v>8</v>
      </c>
      <c r="E2197" s="12" t="str">
        <f>IF(june[[#This Row],[ShiftCounter]]&gt;0, "Running", "Down")</f>
        <v>Down</v>
      </c>
    </row>
    <row r="2198" spans="1:5" x14ac:dyDescent="0.25">
      <c r="A2198" s="14">
        <v>44732</v>
      </c>
      <c r="B2198" s="13" t="s">
        <v>143</v>
      </c>
      <c r="C2198" s="13">
        <v>0</v>
      </c>
      <c r="D2198" s="13" t="s">
        <v>6</v>
      </c>
      <c r="E2198" s="12" t="str">
        <f>IF(june[[#This Row],[ShiftCounter]]&gt;0, "Running", "Down")</f>
        <v>Down</v>
      </c>
    </row>
    <row r="2199" spans="1:5" x14ac:dyDescent="0.25">
      <c r="A2199" s="14">
        <v>44732</v>
      </c>
      <c r="B2199" s="13" t="s">
        <v>143</v>
      </c>
      <c r="C2199" s="13">
        <v>0</v>
      </c>
      <c r="D2199" s="13" t="s">
        <v>7</v>
      </c>
      <c r="E2199" s="12" t="str">
        <f>IF(june[[#This Row],[ShiftCounter]]&gt;0, "Running", "Down")</f>
        <v>Down</v>
      </c>
    </row>
    <row r="2200" spans="1:5" x14ac:dyDescent="0.25">
      <c r="A2200" s="14">
        <v>44732</v>
      </c>
      <c r="B2200" s="13" t="s">
        <v>143</v>
      </c>
      <c r="C2200" s="13">
        <v>0</v>
      </c>
      <c r="D2200" s="13" t="s">
        <v>8</v>
      </c>
      <c r="E2200" s="12" t="str">
        <f>IF(june[[#This Row],[ShiftCounter]]&gt;0, "Running", "Down")</f>
        <v>Down</v>
      </c>
    </row>
    <row r="2201" spans="1:5" x14ac:dyDescent="0.25">
      <c r="A2201" s="14">
        <v>44732</v>
      </c>
      <c r="B2201" s="13" t="s">
        <v>141</v>
      </c>
      <c r="C2201" s="13">
        <v>0</v>
      </c>
      <c r="D2201" s="13" t="s">
        <v>6</v>
      </c>
      <c r="E2201" s="12" t="str">
        <f>IF(june[[#This Row],[ShiftCounter]]&gt;0, "Running", "Down")</f>
        <v>Down</v>
      </c>
    </row>
    <row r="2202" spans="1:5" x14ac:dyDescent="0.25">
      <c r="A2202" s="14">
        <v>44732</v>
      </c>
      <c r="B2202" s="13" t="s">
        <v>141</v>
      </c>
      <c r="C2202" s="13">
        <v>0</v>
      </c>
      <c r="D2202" s="13" t="s">
        <v>7</v>
      </c>
      <c r="E2202" s="12" t="str">
        <f>IF(june[[#This Row],[ShiftCounter]]&gt;0, "Running", "Down")</f>
        <v>Down</v>
      </c>
    </row>
    <row r="2203" spans="1:5" x14ac:dyDescent="0.25">
      <c r="A2203" s="14">
        <v>44732</v>
      </c>
      <c r="B2203" s="13" t="s">
        <v>141</v>
      </c>
      <c r="C2203" s="13">
        <v>0</v>
      </c>
      <c r="D2203" s="13" t="s">
        <v>8</v>
      </c>
      <c r="E2203" s="12" t="str">
        <f>IF(june[[#This Row],[ShiftCounter]]&gt;0, "Running", "Down")</f>
        <v>Down</v>
      </c>
    </row>
    <row r="2204" spans="1:5" x14ac:dyDescent="0.25">
      <c r="A2204" s="14">
        <v>44732</v>
      </c>
      <c r="B2204" s="13" t="s">
        <v>139</v>
      </c>
      <c r="C2204" s="13">
        <v>0</v>
      </c>
      <c r="D2204" s="13" t="s">
        <v>6</v>
      </c>
      <c r="E2204" s="12" t="str">
        <f>IF(june[[#This Row],[ShiftCounter]]&gt;0, "Running", "Down")</f>
        <v>Down</v>
      </c>
    </row>
    <row r="2205" spans="1:5" x14ac:dyDescent="0.25">
      <c r="A2205" s="14">
        <v>44732</v>
      </c>
      <c r="B2205" s="13" t="s">
        <v>139</v>
      </c>
      <c r="C2205" s="13">
        <v>0</v>
      </c>
      <c r="D2205" s="13" t="s">
        <v>7</v>
      </c>
      <c r="E2205" s="12" t="str">
        <f>IF(june[[#This Row],[ShiftCounter]]&gt;0, "Running", "Down")</f>
        <v>Down</v>
      </c>
    </row>
    <row r="2206" spans="1:5" x14ac:dyDescent="0.25">
      <c r="A2206" s="14">
        <v>44732</v>
      </c>
      <c r="B2206" s="13" t="s">
        <v>139</v>
      </c>
      <c r="C2206" s="13">
        <v>0</v>
      </c>
      <c r="D2206" s="13" t="s">
        <v>8</v>
      </c>
      <c r="E2206" s="12" t="str">
        <f>IF(june[[#This Row],[ShiftCounter]]&gt;0, "Running", "Down")</f>
        <v>Down</v>
      </c>
    </row>
    <row r="2207" spans="1:5" x14ac:dyDescent="0.25">
      <c r="A2207" s="14">
        <v>44732</v>
      </c>
      <c r="B2207" s="13" t="s">
        <v>138</v>
      </c>
      <c r="C2207" s="13">
        <v>0</v>
      </c>
      <c r="D2207" s="13" t="s">
        <v>6</v>
      </c>
      <c r="E2207" s="12" t="str">
        <f>IF(june[[#This Row],[ShiftCounter]]&gt;0, "Running", "Down")</f>
        <v>Down</v>
      </c>
    </row>
    <row r="2208" spans="1:5" x14ac:dyDescent="0.25">
      <c r="A2208" s="14">
        <v>44732</v>
      </c>
      <c r="B2208" s="13" t="s">
        <v>138</v>
      </c>
      <c r="C2208" s="13">
        <v>0</v>
      </c>
      <c r="D2208" s="13" t="s">
        <v>7</v>
      </c>
      <c r="E2208" s="12" t="str">
        <f>IF(june[[#This Row],[ShiftCounter]]&gt;0, "Running", "Down")</f>
        <v>Down</v>
      </c>
    </row>
    <row r="2209" spans="1:5" x14ac:dyDescent="0.25">
      <c r="A2209" s="14">
        <v>44732</v>
      </c>
      <c r="B2209" s="13" t="s">
        <v>138</v>
      </c>
      <c r="C2209" s="13">
        <v>0</v>
      </c>
      <c r="D2209" s="13" t="s">
        <v>8</v>
      </c>
      <c r="E2209" s="12" t="str">
        <f>IF(june[[#This Row],[ShiftCounter]]&gt;0, "Running", "Down")</f>
        <v>Down</v>
      </c>
    </row>
    <row r="2210" spans="1:5" x14ac:dyDescent="0.25">
      <c r="A2210" s="14">
        <v>44732</v>
      </c>
      <c r="B2210" s="13" t="s">
        <v>136</v>
      </c>
      <c r="C2210" s="13">
        <v>0</v>
      </c>
      <c r="D2210" s="13" t="s">
        <v>6</v>
      </c>
      <c r="E2210" s="12" t="str">
        <f>IF(june[[#This Row],[ShiftCounter]]&gt;0, "Running", "Down")</f>
        <v>Down</v>
      </c>
    </row>
    <row r="2211" spans="1:5" x14ac:dyDescent="0.25">
      <c r="A2211" s="14">
        <v>44732</v>
      </c>
      <c r="B2211" s="13" t="s">
        <v>136</v>
      </c>
      <c r="C2211" s="13">
        <v>0</v>
      </c>
      <c r="D2211" s="13" t="s">
        <v>7</v>
      </c>
      <c r="E2211" s="12" t="str">
        <f>IF(june[[#This Row],[ShiftCounter]]&gt;0, "Running", "Down")</f>
        <v>Down</v>
      </c>
    </row>
    <row r="2212" spans="1:5" x14ac:dyDescent="0.25">
      <c r="A2212" s="14">
        <v>44732</v>
      </c>
      <c r="B2212" s="13" t="s">
        <v>136</v>
      </c>
      <c r="C2212" s="13">
        <v>0</v>
      </c>
      <c r="D2212" s="13" t="s">
        <v>8</v>
      </c>
      <c r="E2212" s="12" t="str">
        <f>IF(june[[#This Row],[ShiftCounter]]&gt;0, "Running", "Down")</f>
        <v>Down</v>
      </c>
    </row>
    <row r="2213" spans="1:5" x14ac:dyDescent="0.25">
      <c r="A2213" s="14">
        <v>44732</v>
      </c>
      <c r="B2213" s="13" t="s">
        <v>39</v>
      </c>
      <c r="C2213" s="13">
        <v>1746</v>
      </c>
      <c r="D2213" s="13" t="s">
        <v>6</v>
      </c>
      <c r="E2213" s="12" t="str">
        <f>IF(june[[#This Row],[ShiftCounter]]&gt;0, "Running", "Down")</f>
        <v>Running</v>
      </c>
    </row>
    <row r="2214" spans="1:5" x14ac:dyDescent="0.25">
      <c r="A2214" s="14">
        <v>44732</v>
      </c>
      <c r="B2214" s="13" t="s">
        <v>39</v>
      </c>
      <c r="C2214" s="13">
        <v>2134</v>
      </c>
      <c r="D2214" s="13" t="s">
        <v>7</v>
      </c>
      <c r="E2214" s="12" t="str">
        <f>IF(june[[#This Row],[ShiftCounter]]&gt;0, "Running", "Down")</f>
        <v>Running</v>
      </c>
    </row>
    <row r="2215" spans="1:5" x14ac:dyDescent="0.25">
      <c r="A2215" s="14">
        <v>44732</v>
      </c>
      <c r="B2215" s="13" t="s">
        <v>39</v>
      </c>
      <c r="C2215" s="13">
        <v>2155</v>
      </c>
      <c r="D2215" s="13" t="s">
        <v>8</v>
      </c>
      <c r="E2215" s="12" t="str">
        <f>IF(june[[#This Row],[ShiftCounter]]&gt;0, "Running", "Down")</f>
        <v>Running</v>
      </c>
    </row>
    <row r="2216" spans="1:5" x14ac:dyDescent="0.25">
      <c r="A2216" s="14">
        <v>44732</v>
      </c>
      <c r="B2216" s="13" t="s">
        <v>132</v>
      </c>
      <c r="C2216" s="13">
        <v>0</v>
      </c>
      <c r="D2216" s="13" t="s">
        <v>6</v>
      </c>
      <c r="E2216" s="12" t="str">
        <f>IF(june[[#This Row],[ShiftCounter]]&gt;0, "Running", "Down")</f>
        <v>Down</v>
      </c>
    </row>
    <row r="2217" spans="1:5" x14ac:dyDescent="0.25">
      <c r="A2217" s="14">
        <v>44732</v>
      </c>
      <c r="B2217" s="13" t="s">
        <v>132</v>
      </c>
      <c r="C2217" s="13">
        <v>0</v>
      </c>
      <c r="D2217" s="13" t="s">
        <v>7</v>
      </c>
      <c r="E2217" s="12" t="str">
        <f>IF(june[[#This Row],[ShiftCounter]]&gt;0, "Running", "Down")</f>
        <v>Down</v>
      </c>
    </row>
    <row r="2218" spans="1:5" x14ac:dyDescent="0.25">
      <c r="A2218" s="14">
        <v>44732</v>
      </c>
      <c r="B2218" s="13" t="s">
        <v>132</v>
      </c>
      <c r="C2218" s="13">
        <v>0</v>
      </c>
      <c r="D2218" s="13" t="s">
        <v>8</v>
      </c>
      <c r="E2218" s="12" t="str">
        <f>IF(june[[#This Row],[ShiftCounter]]&gt;0, "Running", "Down")</f>
        <v>Down</v>
      </c>
    </row>
    <row r="2219" spans="1:5" x14ac:dyDescent="0.25">
      <c r="A2219" s="14">
        <v>44732</v>
      </c>
      <c r="B2219" s="13" t="s">
        <v>128</v>
      </c>
      <c r="C2219" s="13">
        <v>0</v>
      </c>
      <c r="D2219" s="13" t="s">
        <v>6</v>
      </c>
      <c r="E2219" s="12" t="str">
        <f>IF(june[[#This Row],[ShiftCounter]]&gt;0, "Running", "Down")</f>
        <v>Down</v>
      </c>
    </row>
    <row r="2220" spans="1:5" x14ac:dyDescent="0.25">
      <c r="A2220" s="14">
        <v>44732</v>
      </c>
      <c r="B2220" s="13" t="s">
        <v>128</v>
      </c>
      <c r="C2220" s="13">
        <v>0</v>
      </c>
      <c r="D2220" s="13" t="s">
        <v>7</v>
      </c>
      <c r="E2220" s="12" t="str">
        <f>IF(june[[#This Row],[ShiftCounter]]&gt;0, "Running", "Down")</f>
        <v>Down</v>
      </c>
    </row>
    <row r="2221" spans="1:5" x14ac:dyDescent="0.25">
      <c r="A2221" s="14">
        <v>44732</v>
      </c>
      <c r="B2221" s="13" t="s">
        <v>128</v>
      </c>
      <c r="C2221" s="13">
        <v>0</v>
      </c>
      <c r="D2221" s="13" t="s">
        <v>8</v>
      </c>
      <c r="E2221" s="12" t="str">
        <f>IF(june[[#This Row],[ShiftCounter]]&gt;0, "Running", "Down")</f>
        <v>Down</v>
      </c>
    </row>
    <row r="2222" spans="1:5" x14ac:dyDescent="0.25">
      <c r="A2222" s="14">
        <v>44732</v>
      </c>
      <c r="B2222" s="13" t="s">
        <v>126</v>
      </c>
      <c r="C2222" s="13">
        <v>0</v>
      </c>
      <c r="D2222" s="13" t="s">
        <v>6</v>
      </c>
      <c r="E2222" s="12" t="str">
        <f>IF(june[[#This Row],[ShiftCounter]]&gt;0, "Running", "Down")</f>
        <v>Down</v>
      </c>
    </row>
    <row r="2223" spans="1:5" x14ac:dyDescent="0.25">
      <c r="A2223" s="14">
        <v>44732</v>
      </c>
      <c r="B2223" s="13" t="s">
        <v>126</v>
      </c>
      <c r="C2223" s="13">
        <v>0</v>
      </c>
      <c r="D2223" s="13" t="s">
        <v>7</v>
      </c>
      <c r="E2223" s="12" t="str">
        <f>IF(june[[#This Row],[ShiftCounter]]&gt;0, "Running", "Down")</f>
        <v>Down</v>
      </c>
    </row>
    <row r="2224" spans="1:5" x14ac:dyDescent="0.25">
      <c r="A2224" s="14">
        <v>44732</v>
      </c>
      <c r="B2224" s="13" t="s">
        <v>126</v>
      </c>
      <c r="C2224" s="13">
        <v>0</v>
      </c>
      <c r="D2224" s="13" t="s">
        <v>8</v>
      </c>
      <c r="E2224" s="12" t="str">
        <f>IF(june[[#This Row],[ShiftCounter]]&gt;0, "Running", "Down")</f>
        <v>Down</v>
      </c>
    </row>
    <row r="2225" spans="1:5" x14ac:dyDescent="0.25">
      <c r="A2225" s="14">
        <v>44732</v>
      </c>
      <c r="B2225" s="13" t="s">
        <v>123</v>
      </c>
      <c r="C2225" s="13">
        <v>0</v>
      </c>
      <c r="D2225" s="13" t="s">
        <v>6</v>
      </c>
      <c r="E2225" s="12" t="str">
        <f>IF(june[[#This Row],[ShiftCounter]]&gt;0, "Running", "Down")</f>
        <v>Down</v>
      </c>
    </row>
    <row r="2226" spans="1:5" x14ac:dyDescent="0.25">
      <c r="A2226" s="14">
        <v>44732</v>
      </c>
      <c r="B2226" s="13" t="s">
        <v>123</v>
      </c>
      <c r="C2226" s="13">
        <v>0</v>
      </c>
      <c r="D2226" s="13" t="s">
        <v>7</v>
      </c>
      <c r="E2226" s="12" t="str">
        <f>IF(june[[#This Row],[ShiftCounter]]&gt;0, "Running", "Down")</f>
        <v>Down</v>
      </c>
    </row>
    <row r="2227" spans="1:5" x14ac:dyDescent="0.25">
      <c r="A2227" s="14">
        <v>44732</v>
      </c>
      <c r="B2227" s="13" t="s">
        <v>123</v>
      </c>
      <c r="C2227" s="13">
        <v>0</v>
      </c>
      <c r="D2227" s="13" t="s">
        <v>8</v>
      </c>
      <c r="E2227" s="12" t="str">
        <f>IF(june[[#This Row],[ShiftCounter]]&gt;0, "Running", "Down")</f>
        <v>Down</v>
      </c>
    </row>
    <row r="2228" spans="1:5" x14ac:dyDescent="0.25">
      <c r="A2228" s="14">
        <v>44732</v>
      </c>
      <c r="B2228" s="13" t="s">
        <v>41</v>
      </c>
      <c r="C2228" s="13">
        <v>2356</v>
      </c>
      <c r="D2228" s="13" t="s">
        <v>6</v>
      </c>
      <c r="E2228" s="12" t="str">
        <f>IF(june[[#This Row],[ShiftCounter]]&gt;0, "Running", "Down")</f>
        <v>Running</v>
      </c>
    </row>
    <row r="2229" spans="1:5" x14ac:dyDescent="0.25">
      <c r="A2229" s="14">
        <v>44732</v>
      </c>
      <c r="B2229" s="13" t="s">
        <v>41</v>
      </c>
      <c r="C2229" s="13">
        <v>2293</v>
      </c>
      <c r="D2229" s="13" t="s">
        <v>7</v>
      </c>
      <c r="E2229" s="12" t="str">
        <f>IF(june[[#This Row],[ShiftCounter]]&gt;0, "Running", "Down")</f>
        <v>Running</v>
      </c>
    </row>
    <row r="2230" spans="1:5" x14ac:dyDescent="0.25">
      <c r="A2230" s="14">
        <v>44732</v>
      </c>
      <c r="B2230" s="13" t="s">
        <v>41</v>
      </c>
      <c r="C2230" s="13">
        <v>2202</v>
      </c>
      <c r="D2230" s="13" t="s">
        <v>8</v>
      </c>
      <c r="E2230" s="12" t="str">
        <f>IF(june[[#This Row],[ShiftCounter]]&gt;0, "Running", "Down")</f>
        <v>Running</v>
      </c>
    </row>
    <row r="2231" spans="1:5" x14ac:dyDescent="0.25">
      <c r="A2231" s="14">
        <v>44732</v>
      </c>
      <c r="B2231" s="13" t="s">
        <v>43</v>
      </c>
      <c r="C2231" s="13">
        <v>0</v>
      </c>
      <c r="D2231" s="13" t="s">
        <v>6</v>
      </c>
      <c r="E2231" s="12" t="str">
        <f>IF(june[[#This Row],[ShiftCounter]]&gt;0, "Running", "Down")</f>
        <v>Down</v>
      </c>
    </row>
    <row r="2232" spans="1:5" x14ac:dyDescent="0.25">
      <c r="A2232" s="14">
        <v>44732</v>
      </c>
      <c r="B2232" s="13" t="s">
        <v>43</v>
      </c>
      <c r="C2232" s="13">
        <v>0</v>
      </c>
      <c r="D2232" s="13" t="s">
        <v>7</v>
      </c>
      <c r="E2232" s="12" t="str">
        <f>IF(june[[#This Row],[ShiftCounter]]&gt;0, "Running", "Down")</f>
        <v>Down</v>
      </c>
    </row>
    <row r="2233" spans="1:5" x14ac:dyDescent="0.25">
      <c r="A2233" s="14">
        <v>44732</v>
      </c>
      <c r="B2233" s="13" t="s">
        <v>43</v>
      </c>
      <c r="C2233" s="13">
        <v>0</v>
      </c>
      <c r="D2233" s="13" t="s">
        <v>8</v>
      </c>
      <c r="E2233" s="12" t="str">
        <f>IF(june[[#This Row],[ShiftCounter]]&gt;0, "Running", "Down")</f>
        <v>Down</v>
      </c>
    </row>
    <row r="2234" spans="1:5" x14ac:dyDescent="0.25">
      <c r="A2234" s="14">
        <v>44732</v>
      </c>
      <c r="B2234" s="13" t="s">
        <v>5</v>
      </c>
      <c r="C2234" s="13">
        <v>2032</v>
      </c>
      <c r="D2234" s="13" t="s">
        <v>6</v>
      </c>
      <c r="E2234" s="12" t="str">
        <f>IF(june[[#This Row],[ShiftCounter]]&gt;0, "Running", "Down")</f>
        <v>Running</v>
      </c>
    </row>
    <row r="2235" spans="1:5" x14ac:dyDescent="0.25">
      <c r="A2235" s="14">
        <v>44732</v>
      </c>
      <c r="B2235" s="13" t="s">
        <v>5</v>
      </c>
      <c r="C2235" s="13">
        <v>2159</v>
      </c>
      <c r="D2235" s="13" t="s">
        <v>7</v>
      </c>
      <c r="E2235" s="12" t="str">
        <f>IF(june[[#This Row],[ShiftCounter]]&gt;0, "Running", "Down")</f>
        <v>Running</v>
      </c>
    </row>
    <row r="2236" spans="1:5" x14ac:dyDescent="0.25">
      <c r="A2236" s="14">
        <v>44732</v>
      </c>
      <c r="B2236" s="13" t="s">
        <v>5</v>
      </c>
      <c r="C2236" s="13">
        <v>2151</v>
      </c>
      <c r="D2236" s="13" t="s">
        <v>8</v>
      </c>
      <c r="E2236" s="12" t="str">
        <f>IF(june[[#This Row],[ShiftCounter]]&gt;0, "Running", "Down")</f>
        <v>Running</v>
      </c>
    </row>
    <row r="2237" spans="1:5" x14ac:dyDescent="0.25">
      <c r="A2237" s="14">
        <v>44732</v>
      </c>
      <c r="B2237" s="13" t="s">
        <v>9</v>
      </c>
      <c r="C2237" s="13">
        <v>1770</v>
      </c>
      <c r="D2237" s="13" t="s">
        <v>6</v>
      </c>
      <c r="E2237" s="12" t="str">
        <f>IF(june[[#This Row],[ShiftCounter]]&gt;0, "Running", "Down")</f>
        <v>Running</v>
      </c>
    </row>
    <row r="2238" spans="1:5" x14ac:dyDescent="0.25">
      <c r="A2238" s="14">
        <v>44732</v>
      </c>
      <c r="B2238" s="13" t="s">
        <v>9</v>
      </c>
      <c r="C2238" s="13">
        <v>2058</v>
      </c>
      <c r="D2238" s="13" t="s">
        <v>7</v>
      </c>
      <c r="E2238" s="12" t="str">
        <f>IF(june[[#This Row],[ShiftCounter]]&gt;0, "Running", "Down")</f>
        <v>Running</v>
      </c>
    </row>
    <row r="2239" spans="1:5" x14ac:dyDescent="0.25">
      <c r="A2239" s="14">
        <v>44732</v>
      </c>
      <c r="B2239" s="13" t="s">
        <v>9</v>
      </c>
      <c r="C2239" s="13">
        <v>1868</v>
      </c>
      <c r="D2239" s="13" t="s">
        <v>8</v>
      </c>
      <c r="E2239" s="12" t="str">
        <f>IF(june[[#This Row],[ShiftCounter]]&gt;0, "Running", "Down")</f>
        <v>Running</v>
      </c>
    </row>
    <row r="2240" spans="1:5" x14ac:dyDescent="0.25">
      <c r="A2240" s="14">
        <v>44732</v>
      </c>
      <c r="B2240" s="13" t="s">
        <v>10</v>
      </c>
      <c r="C2240" s="13">
        <v>1464</v>
      </c>
      <c r="D2240" s="13" t="s">
        <v>6</v>
      </c>
      <c r="E2240" s="12" t="str">
        <f>IF(june[[#This Row],[ShiftCounter]]&gt;0, "Running", "Down")</f>
        <v>Running</v>
      </c>
    </row>
    <row r="2241" spans="1:5" x14ac:dyDescent="0.25">
      <c r="A2241" s="14">
        <v>44732</v>
      </c>
      <c r="B2241" s="13" t="s">
        <v>10</v>
      </c>
      <c r="C2241" s="13">
        <v>2348</v>
      </c>
      <c r="D2241" s="13" t="s">
        <v>7</v>
      </c>
      <c r="E2241" s="12" t="str">
        <f>IF(june[[#This Row],[ShiftCounter]]&gt;0, "Running", "Down")</f>
        <v>Running</v>
      </c>
    </row>
    <row r="2242" spans="1:5" x14ac:dyDescent="0.25">
      <c r="A2242" s="14">
        <v>44732</v>
      </c>
      <c r="B2242" s="13" t="s">
        <v>10</v>
      </c>
      <c r="C2242" s="13">
        <v>2347</v>
      </c>
      <c r="D2242" s="13" t="s">
        <v>8</v>
      </c>
      <c r="E2242" s="12" t="str">
        <f>IF(june[[#This Row],[ShiftCounter]]&gt;0, "Running", "Down")</f>
        <v>Running</v>
      </c>
    </row>
    <row r="2243" spans="1:5" x14ac:dyDescent="0.25">
      <c r="A2243" s="14">
        <v>44732</v>
      </c>
      <c r="B2243" s="13" t="s">
        <v>11</v>
      </c>
      <c r="C2243" s="13">
        <v>2097</v>
      </c>
      <c r="D2243" s="13" t="s">
        <v>6</v>
      </c>
      <c r="E2243" s="12" t="str">
        <f>IF(june[[#This Row],[ShiftCounter]]&gt;0, "Running", "Down")</f>
        <v>Running</v>
      </c>
    </row>
    <row r="2244" spans="1:5" x14ac:dyDescent="0.25">
      <c r="A2244" s="14">
        <v>44732</v>
      </c>
      <c r="B2244" s="13" t="s">
        <v>11</v>
      </c>
      <c r="C2244" s="13">
        <v>253</v>
      </c>
      <c r="D2244" s="13" t="s">
        <v>7</v>
      </c>
      <c r="E2244" s="12" t="str">
        <f>IF(june[[#This Row],[ShiftCounter]]&gt;0, "Running", "Down")</f>
        <v>Running</v>
      </c>
    </row>
    <row r="2245" spans="1:5" x14ac:dyDescent="0.25">
      <c r="A2245" s="14">
        <v>44732</v>
      </c>
      <c r="B2245" s="13" t="s">
        <v>11</v>
      </c>
      <c r="C2245" s="13">
        <v>2235</v>
      </c>
      <c r="D2245" s="13" t="s">
        <v>8</v>
      </c>
      <c r="E2245" s="12" t="str">
        <f>IF(june[[#This Row],[ShiftCounter]]&gt;0, "Running", "Down")</f>
        <v>Running</v>
      </c>
    </row>
    <row r="2246" spans="1:5" x14ac:dyDescent="0.25">
      <c r="A2246" s="14">
        <v>44732</v>
      </c>
      <c r="B2246" s="13" t="s">
        <v>12</v>
      </c>
      <c r="C2246" s="13">
        <v>2122</v>
      </c>
      <c r="D2246" s="13" t="s">
        <v>6</v>
      </c>
      <c r="E2246" s="12" t="str">
        <f>IF(june[[#This Row],[ShiftCounter]]&gt;0, "Running", "Down")</f>
        <v>Running</v>
      </c>
    </row>
    <row r="2247" spans="1:5" x14ac:dyDescent="0.25">
      <c r="A2247" s="14">
        <v>44732</v>
      </c>
      <c r="B2247" s="13" t="s">
        <v>12</v>
      </c>
      <c r="C2247" s="13">
        <v>2200</v>
      </c>
      <c r="D2247" s="13" t="s">
        <v>7</v>
      </c>
      <c r="E2247" s="12" t="str">
        <f>IF(june[[#This Row],[ShiftCounter]]&gt;0, "Running", "Down")</f>
        <v>Running</v>
      </c>
    </row>
    <row r="2248" spans="1:5" x14ac:dyDescent="0.25">
      <c r="A2248" s="14">
        <v>44732</v>
      </c>
      <c r="B2248" s="13" t="s">
        <v>12</v>
      </c>
      <c r="C2248" s="13">
        <v>2191</v>
      </c>
      <c r="D2248" s="13" t="s">
        <v>8</v>
      </c>
      <c r="E2248" s="12" t="str">
        <f>IF(june[[#This Row],[ShiftCounter]]&gt;0, "Running", "Down")</f>
        <v>Running</v>
      </c>
    </row>
    <row r="2249" spans="1:5" x14ac:dyDescent="0.25">
      <c r="A2249" s="14">
        <v>44732</v>
      </c>
      <c r="B2249" s="13" t="s">
        <v>120</v>
      </c>
      <c r="C2249" s="13">
        <v>0</v>
      </c>
      <c r="D2249" s="13" t="s">
        <v>6</v>
      </c>
      <c r="E2249" s="12" t="str">
        <f>IF(june[[#This Row],[ShiftCounter]]&gt;0, "Running", "Down")</f>
        <v>Down</v>
      </c>
    </row>
    <row r="2250" spans="1:5" x14ac:dyDescent="0.25">
      <c r="A2250" s="14">
        <v>44732</v>
      </c>
      <c r="B2250" s="13" t="s">
        <v>120</v>
      </c>
      <c r="C2250" s="13">
        <v>2585</v>
      </c>
      <c r="D2250" s="13" t="s">
        <v>7</v>
      </c>
      <c r="E2250" s="12" t="str">
        <f>IF(june[[#This Row],[ShiftCounter]]&gt;0, "Running", "Down")</f>
        <v>Running</v>
      </c>
    </row>
    <row r="2251" spans="1:5" x14ac:dyDescent="0.25">
      <c r="A2251" s="14">
        <v>44732</v>
      </c>
      <c r="B2251" s="13" t="s">
        <v>120</v>
      </c>
      <c r="C2251" s="13">
        <v>2008</v>
      </c>
      <c r="D2251" s="13" t="s">
        <v>8</v>
      </c>
      <c r="E2251" s="12" t="str">
        <f>IF(june[[#This Row],[ShiftCounter]]&gt;0, "Running", "Down")</f>
        <v>Running</v>
      </c>
    </row>
    <row r="2252" spans="1:5" x14ac:dyDescent="0.25">
      <c r="A2252" s="14">
        <v>44732</v>
      </c>
      <c r="B2252" s="13" t="s">
        <v>119</v>
      </c>
      <c r="C2252" s="13">
        <v>0</v>
      </c>
      <c r="D2252" s="13" t="s">
        <v>6</v>
      </c>
      <c r="E2252" s="12" t="str">
        <f>IF(june[[#This Row],[ShiftCounter]]&gt;0, "Running", "Down")</f>
        <v>Down</v>
      </c>
    </row>
    <row r="2253" spans="1:5" x14ac:dyDescent="0.25">
      <c r="A2253" s="14">
        <v>44732</v>
      </c>
      <c r="B2253" s="13" t="s">
        <v>119</v>
      </c>
      <c r="C2253" s="13">
        <v>0</v>
      </c>
      <c r="D2253" s="13" t="s">
        <v>7</v>
      </c>
      <c r="E2253" s="12" t="str">
        <f>IF(june[[#This Row],[ShiftCounter]]&gt;0, "Running", "Down")</f>
        <v>Down</v>
      </c>
    </row>
    <row r="2254" spans="1:5" x14ac:dyDescent="0.25">
      <c r="A2254" s="14">
        <v>44732</v>
      </c>
      <c r="B2254" s="13" t="s">
        <v>119</v>
      </c>
      <c r="C2254" s="13">
        <v>0</v>
      </c>
      <c r="D2254" s="13" t="s">
        <v>8</v>
      </c>
      <c r="E2254" s="12" t="str">
        <f>IF(june[[#This Row],[ShiftCounter]]&gt;0, "Running", "Down")</f>
        <v>Down</v>
      </c>
    </row>
    <row r="2255" spans="1:5" x14ac:dyDescent="0.25">
      <c r="A2255" s="14">
        <v>44732</v>
      </c>
      <c r="B2255" s="13" t="s">
        <v>13</v>
      </c>
      <c r="C2255" s="13">
        <v>1909</v>
      </c>
      <c r="D2255" s="13" t="s">
        <v>6</v>
      </c>
      <c r="E2255" s="12" t="str">
        <f>IF(june[[#This Row],[ShiftCounter]]&gt;0, "Running", "Down")</f>
        <v>Running</v>
      </c>
    </row>
    <row r="2256" spans="1:5" x14ac:dyDescent="0.25">
      <c r="A2256" s="14">
        <v>44732</v>
      </c>
      <c r="B2256" s="13" t="s">
        <v>13</v>
      </c>
      <c r="C2256" s="13">
        <v>2050</v>
      </c>
      <c r="D2256" s="13" t="s">
        <v>7</v>
      </c>
      <c r="E2256" s="12" t="str">
        <f>IF(june[[#This Row],[ShiftCounter]]&gt;0, "Running", "Down")</f>
        <v>Running</v>
      </c>
    </row>
    <row r="2257" spans="1:5" x14ac:dyDescent="0.25">
      <c r="A2257" s="14">
        <v>44732</v>
      </c>
      <c r="B2257" s="13" t="s">
        <v>13</v>
      </c>
      <c r="C2257" s="13">
        <v>2035</v>
      </c>
      <c r="D2257" s="13" t="s">
        <v>8</v>
      </c>
      <c r="E2257" s="12" t="str">
        <f>IF(june[[#This Row],[ShiftCounter]]&gt;0, "Running", "Down")</f>
        <v>Running</v>
      </c>
    </row>
    <row r="2258" spans="1:5" x14ac:dyDescent="0.25">
      <c r="A2258" s="14">
        <v>44732</v>
      </c>
      <c r="B2258" s="13" t="s">
        <v>117</v>
      </c>
      <c r="C2258" s="13">
        <v>0</v>
      </c>
      <c r="D2258" s="13" t="s">
        <v>6</v>
      </c>
      <c r="E2258" s="12" t="str">
        <f>IF(june[[#This Row],[ShiftCounter]]&gt;0, "Running", "Down")</f>
        <v>Down</v>
      </c>
    </row>
    <row r="2259" spans="1:5" x14ac:dyDescent="0.25">
      <c r="A2259" s="14">
        <v>44732</v>
      </c>
      <c r="B2259" s="13" t="s">
        <v>117</v>
      </c>
      <c r="C2259" s="13">
        <v>0</v>
      </c>
      <c r="D2259" s="13" t="s">
        <v>7</v>
      </c>
      <c r="E2259" s="12" t="str">
        <f>IF(june[[#This Row],[ShiftCounter]]&gt;0, "Running", "Down")</f>
        <v>Down</v>
      </c>
    </row>
    <row r="2260" spans="1:5" x14ac:dyDescent="0.25">
      <c r="A2260" s="14">
        <v>44732</v>
      </c>
      <c r="B2260" s="13" t="s">
        <v>117</v>
      </c>
      <c r="C2260" s="13">
        <v>0</v>
      </c>
      <c r="D2260" s="13" t="s">
        <v>8</v>
      </c>
      <c r="E2260" s="12" t="str">
        <f>IF(june[[#This Row],[ShiftCounter]]&gt;0, "Running", "Down")</f>
        <v>Down</v>
      </c>
    </row>
    <row r="2261" spans="1:5" x14ac:dyDescent="0.25">
      <c r="A2261" s="14">
        <v>44732</v>
      </c>
      <c r="B2261" s="13" t="s">
        <v>114</v>
      </c>
      <c r="C2261" s="13">
        <v>1885</v>
      </c>
      <c r="D2261" s="13" t="s">
        <v>6</v>
      </c>
      <c r="E2261" s="12" t="str">
        <f>IF(june[[#This Row],[ShiftCounter]]&gt;0, "Running", "Down")</f>
        <v>Running</v>
      </c>
    </row>
    <row r="2262" spans="1:5" x14ac:dyDescent="0.25">
      <c r="A2262" s="14">
        <v>44732</v>
      </c>
      <c r="B2262" s="13" t="s">
        <v>114</v>
      </c>
      <c r="C2262" s="13">
        <v>1952</v>
      </c>
      <c r="D2262" s="13" t="s">
        <v>7</v>
      </c>
      <c r="E2262" s="12" t="str">
        <f>IF(june[[#This Row],[ShiftCounter]]&gt;0, "Running", "Down")</f>
        <v>Running</v>
      </c>
    </row>
    <row r="2263" spans="1:5" x14ac:dyDescent="0.25">
      <c r="A2263" s="14">
        <v>44732</v>
      </c>
      <c r="B2263" s="13" t="s">
        <v>114</v>
      </c>
      <c r="C2263" s="13">
        <v>1988</v>
      </c>
      <c r="D2263" s="13" t="s">
        <v>8</v>
      </c>
      <c r="E2263" s="12" t="str">
        <f>IF(june[[#This Row],[ShiftCounter]]&gt;0, "Running", "Down")</f>
        <v>Running</v>
      </c>
    </row>
    <row r="2264" spans="1:5" x14ac:dyDescent="0.25">
      <c r="A2264" s="14">
        <v>44732</v>
      </c>
      <c r="B2264" s="13" t="s">
        <v>112</v>
      </c>
      <c r="C2264" s="13">
        <v>0</v>
      </c>
      <c r="D2264" s="13" t="s">
        <v>6</v>
      </c>
      <c r="E2264" s="12" t="str">
        <f>IF(june[[#This Row],[ShiftCounter]]&gt;0, "Running", "Down")</f>
        <v>Down</v>
      </c>
    </row>
    <row r="2265" spans="1:5" x14ac:dyDescent="0.25">
      <c r="A2265" s="14">
        <v>44732</v>
      </c>
      <c r="B2265" s="13" t="s">
        <v>112</v>
      </c>
      <c r="C2265" s="13">
        <v>0</v>
      </c>
      <c r="D2265" s="13" t="s">
        <v>7</v>
      </c>
      <c r="E2265" s="12" t="str">
        <f>IF(june[[#This Row],[ShiftCounter]]&gt;0, "Running", "Down")</f>
        <v>Down</v>
      </c>
    </row>
    <row r="2266" spans="1:5" x14ac:dyDescent="0.25">
      <c r="A2266" s="14">
        <v>44732</v>
      </c>
      <c r="B2266" s="13" t="s">
        <v>112</v>
      </c>
      <c r="C2266" s="13">
        <v>0</v>
      </c>
      <c r="D2266" s="13" t="s">
        <v>8</v>
      </c>
      <c r="E2266" s="12" t="str">
        <f>IF(june[[#This Row],[ShiftCounter]]&gt;0, "Running", "Down")</f>
        <v>Down</v>
      </c>
    </row>
    <row r="2267" spans="1:5" x14ac:dyDescent="0.25">
      <c r="A2267" s="14">
        <v>44732</v>
      </c>
      <c r="B2267" s="13" t="s">
        <v>110</v>
      </c>
      <c r="C2267" s="13">
        <v>0</v>
      </c>
      <c r="D2267" s="13" t="s">
        <v>6</v>
      </c>
      <c r="E2267" s="12" t="str">
        <f>IF(june[[#This Row],[ShiftCounter]]&gt;0, "Running", "Down")</f>
        <v>Down</v>
      </c>
    </row>
    <row r="2268" spans="1:5" x14ac:dyDescent="0.25">
      <c r="A2268" s="14">
        <v>44732</v>
      </c>
      <c r="B2268" s="13" t="s">
        <v>110</v>
      </c>
      <c r="C2268" s="13">
        <v>0</v>
      </c>
      <c r="D2268" s="13" t="s">
        <v>7</v>
      </c>
      <c r="E2268" s="12" t="str">
        <f>IF(june[[#This Row],[ShiftCounter]]&gt;0, "Running", "Down")</f>
        <v>Down</v>
      </c>
    </row>
    <row r="2269" spans="1:5" x14ac:dyDescent="0.25">
      <c r="A2269" s="14">
        <v>44732</v>
      </c>
      <c r="B2269" s="13" t="s">
        <v>110</v>
      </c>
      <c r="C2269" s="13">
        <v>0</v>
      </c>
      <c r="D2269" s="13" t="s">
        <v>8</v>
      </c>
      <c r="E2269" s="12" t="str">
        <f>IF(june[[#This Row],[ShiftCounter]]&gt;0, "Running", "Down")</f>
        <v>Down</v>
      </c>
    </row>
    <row r="2270" spans="1:5" x14ac:dyDescent="0.25">
      <c r="A2270" s="14">
        <v>44732</v>
      </c>
      <c r="B2270" s="13" t="s">
        <v>108</v>
      </c>
      <c r="C2270" s="13">
        <v>0</v>
      </c>
      <c r="D2270" s="13" t="s">
        <v>6</v>
      </c>
      <c r="E2270" s="12" t="str">
        <f>IF(june[[#This Row],[ShiftCounter]]&gt;0, "Running", "Down")</f>
        <v>Down</v>
      </c>
    </row>
    <row r="2271" spans="1:5" x14ac:dyDescent="0.25">
      <c r="A2271" s="14">
        <v>44732</v>
      </c>
      <c r="B2271" s="13" t="s">
        <v>108</v>
      </c>
      <c r="C2271" s="13">
        <v>0</v>
      </c>
      <c r="D2271" s="13" t="s">
        <v>7</v>
      </c>
      <c r="E2271" s="12" t="str">
        <f>IF(june[[#This Row],[ShiftCounter]]&gt;0, "Running", "Down")</f>
        <v>Down</v>
      </c>
    </row>
    <row r="2272" spans="1:5" x14ac:dyDescent="0.25">
      <c r="A2272" s="14">
        <v>44732</v>
      </c>
      <c r="B2272" s="13" t="s">
        <v>108</v>
      </c>
      <c r="C2272" s="13">
        <v>0</v>
      </c>
      <c r="D2272" s="13" t="s">
        <v>8</v>
      </c>
      <c r="E2272" s="12" t="str">
        <f>IF(june[[#This Row],[ShiftCounter]]&gt;0, "Running", "Down")</f>
        <v>Down</v>
      </c>
    </row>
    <row r="2273" spans="1:5" x14ac:dyDescent="0.25">
      <c r="A2273" s="14">
        <v>44732</v>
      </c>
      <c r="B2273" s="13" t="s">
        <v>14</v>
      </c>
      <c r="C2273" s="13">
        <v>2107</v>
      </c>
      <c r="D2273" s="13" t="s">
        <v>6</v>
      </c>
      <c r="E2273" s="12" t="str">
        <f>IF(june[[#This Row],[ShiftCounter]]&gt;0, "Running", "Down")</f>
        <v>Running</v>
      </c>
    </row>
    <row r="2274" spans="1:5" x14ac:dyDescent="0.25">
      <c r="A2274" s="14">
        <v>44732</v>
      </c>
      <c r="B2274" s="13" t="s">
        <v>14</v>
      </c>
      <c r="C2274" s="13">
        <v>2101</v>
      </c>
      <c r="D2274" s="13" t="s">
        <v>7</v>
      </c>
      <c r="E2274" s="12" t="str">
        <f>IF(june[[#This Row],[ShiftCounter]]&gt;0, "Running", "Down")</f>
        <v>Running</v>
      </c>
    </row>
    <row r="2275" spans="1:5" x14ac:dyDescent="0.25">
      <c r="A2275" s="14">
        <v>44732</v>
      </c>
      <c r="B2275" s="13" t="s">
        <v>14</v>
      </c>
      <c r="C2275" s="13">
        <v>2140</v>
      </c>
      <c r="D2275" s="13" t="s">
        <v>8</v>
      </c>
      <c r="E2275" s="12" t="str">
        <f>IF(june[[#This Row],[ShiftCounter]]&gt;0, "Running", "Down")</f>
        <v>Running</v>
      </c>
    </row>
    <row r="2276" spans="1:5" x14ac:dyDescent="0.25">
      <c r="A2276" s="14">
        <v>44732</v>
      </c>
      <c r="B2276" s="13" t="s">
        <v>104</v>
      </c>
      <c r="C2276" s="13">
        <v>0</v>
      </c>
      <c r="D2276" s="13" t="s">
        <v>6</v>
      </c>
      <c r="E2276" s="12" t="str">
        <f>IF(june[[#This Row],[ShiftCounter]]&gt;0, "Running", "Down")</f>
        <v>Down</v>
      </c>
    </row>
    <row r="2277" spans="1:5" x14ac:dyDescent="0.25">
      <c r="A2277" s="14">
        <v>44732</v>
      </c>
      <c r="B2277" s="13" t="s">
        <v>104</v>
      </c>
      <c r="C2277" s="13">
        <v>0</v>
      </c>
      <c r="D2277" s="13" t="s">
        <v>7</v>
      </c>
      <c r="E2277" s="12" t="str">
        <f>IF(june[[#This Row],[ShiftCounter]]&gt;0, "Running", "Down")</f>
        <v>Down</v>
      </c>
    </row>
    <row r="2278" spans="1:5" x14ac:dyDescent="0.25">
      <c r="A2278" s="14">
        <v>44732</v>
      </c>
      <c r="B2278" s="13" t="s">
        <v>104</v>
      </c>
      <c r="C2278" s="13">
        <v>0</v>
      </c>
      <c r="D2278" s="13" t="s">
        <v>8</v>
      </c>
      <c r="E2278" s="12" t="str">
        <f>IF(june[[#This Row],[ShiftCounter]]&gt;0, "Running", "Down")</f>
        <v>Down</v>
      </c>
    </row>
    <row r="2279" spans="1:5" x14ac:dyDescent="0.25">
      <c r="A2279" s="14">
        <v>44732</v>
      </c>
      <c r="B2279" s="13" t="s">
        <v>15</v>
      </c>
      <c r="C2279" s="13">
        <v>1382</v>
      </c>
      <c r="D2279" s="13" t="s">
        <v>6</v>
      </c>
      <c r="E2279" s="12" t="str">
        <f>IF(june[[#This Row],[ShiftCounter]]&gt;0, "Running", "Down")</f>
        <v>Running</v>
      </c>
    </row>
    <row r="2280" spans="1:5" x14ac:dyDescent="0.25">
      <c r="A2280" s="14">
        <v>44732</v>
      </c>
      <c r="B2280" s="13" t="s">
        <v>15</v>
      </c>
      <c r="C2280" s="13">
        <v>2250</v>
      </c>
      <c r="D2280" s="13" t="s">
        <v>7</v>
      </c>
      <c r="E2280" s="12" t="str">
        <f>IF(june[[#This Row],[ShiftCounter]]&gt;0, "Running", "Down")</f>
        <v>Running</v>
      </c>
    </row>
    <row r="2281" spans="1:5" x14ac:dyDescent="0.25">
      <c r="A2281" s="14">
        <v>44732</v>
      </c>
      <c r="B2281" s="13" t="s">
        <v>15</v>
      </c>
      <c r="C2281" s="13">
        <v>1978</v>
      </c>
      <c r="D2281" s="13" t="s">
        <v>8</v>
      </c>
      <c r="E2281" s="12" t="str">
        <f>IF(june[[#This Row],[ShiftCounter]]&gt;0, "Running", "Down")</f>
        <v>Running</v>
      </c>
    </row>
    <row r="2282" spans="1:5" x14ac:dyDescent="0.25">
      <c r="A2282" s="14">
        <v>44732</v>
      </c>
      <c r="B2282" s="13" t="s">
        <v>101</v>
      </c>
      <c r="C2282" s="13">
        <v>0</v>
      </c>
      <c r="D2282" s="13" t="s">
        <v>6</v>
      </c>
      <c r="E2282" s="12" t="str">
        <f>IF(june[[#This Row],[ShiftCounter]]&gt;0, "Running", "Down")</f>
        <v>Down</v>
      </c>
    </row>
    <row r="2283" spans="1:5" x14ac:dyDescent="0.25">
      <c r="A2283" s="14">
        <v>44732</v>
      </c>
      <c r="B2283" s="13" t="s">
        <v>101</v>
      </c>
      <c r="C2283" s="13">
        <v>0</v>
      </c>
      <c r="D2283" s="13" t="s">
        <v>7</v>
      </c>
      <c r="E2283" s="12" t="str">
        <f>IF(june[[#This Row],[ShiftCounter]]&gt;0, "Running", "Down")</f>
        <v>Down</v>
      </c>
    </row>
    <row r="2284" spans="1:5" x14ac:dyDescent="0.25">
      <c r="A2284" s="14">
        <v>44732</v>
      </c>
      <c r="B2284" s="13" t="s">
        <v>101</v>
      </c>
      <c r="C2284" s="13">
        <v>0</v>
      </c>
      <c r="D2284" s="13" t="s">
        <v>8</v>
      </c>
      <c r="E2284" s="12" t="str">
        <f>IF(june[[#This Row],[ShiftCounter]]&gt;0, "Running", "Down")</f>
        <v>Down</v>
      </c>
    </row>
    <row r="2285" spans="1:5" x14ac:dyDescent="0.25">
      <c r="A2285" s="14">
        <v>44732</v>
      </c>
      <c r="B2285" s="13" t="s">
        <v>16</v>
      </c>
      <c r="C2285" s="13">
        <v>2055</v>
      </c>
      <c r="D2285" s="13" t="s">
        <v>6</v>
      </c>
      <c r="E2285" s="12" t="str">
        <f>IF(june[[#This Row],[ShiftCounter]]&gt;0, "Running", "Down")</f>
        <v>Running</v>
      </c>
    </row>
    <row r="2286" spans="1:5" x14ac:dyDescent="0.25">
      <c r="A2286" s="14">
        <v>44732</v>
      </c>
      <c r="B2286" s="13" t="s">
        <v>16</v>
      </c>
      <c r="C2286" s="13">
        <v>2111</v>
      </c>
      <c r="D2286" s="13" t="s">
        <v>7</v>
      </c>
      <c r="E2286" s="12" t="str">
        <f>IF(june[[#This Row],[ShiftCounter]]&gt;0, "Running", "Down")</f>
        <v>Running</v>
      </c>
    </row>
    <row r="2287" spans="1:5" x14ac:dyDescent="0.25">
      <c r="A2287" s="14">
        <v>44732</v>
      </c>
      <c r="B2287" s="13" t="s">
        <v>16</v>
      </c>
      <c r="C2287" s="13">
        <v>2141</v>
      </c>
      <c r="D2287" s="13" t="s">
        <v>8</v>
      </c>
      <c r="E2287" s="12" t="str">
        <f>IF(june[[#This Row],[ShiftCounter]]&gt;0, "Running", "Down")</f>
        <v>Running</v>
      </c>
    </row>
    <row r="2288" spans="1:5" x14ac:dyDescent="0.25">
      <c r="A2288" s="14">
        <v>44732</v>
      </c>
      <c r="B2288" s="13" t="s">
        <v>99</v>
      </c>
      <c r="C2288" s="13">
        <v>0</v>
      </c>
      <c r="D2288" s="13" t="s">
        <v>6</v>
      </c>
      <c r="E2288" s="12" t="str">
        <f>IF(june[[#This Row],[ShiftCounter]]&gt;0, "Running", "Down")</f>
        <v>Down</v>
      </c>
    </row>
    <row r="2289" spans="1:5" x14ac:dyDescent="0.25">
      <c r="A2289" s="14">
        <v>44732</v>
      </c>
      <c r="B2289" s="13" t="s">
        <v>99</v>
      </c>
      <c r="C2289" s="13">
        <v>0</v>
      </c>
      <c r="D2289" s="13" t="s">
        <v>7</v>
      </c>
      <c r="E2289" s="12" t="str">
        <f>IF(june[[#This Row],[ShiftCounter]]&gt;0, "Running", "Down")</f>
        <v>Down</v>
      </c>
    </row>
    <row r="2290" spans="1:5" x14ac:dyDescent="0.25">
      <c r="A2290" s="14">
        <v>44732</v>
      </c>
      <c r="B2290" s="13" t="s">
        <v>99</v>
      </c>
      <c r="C2290" s="13">
        <v>0</v>
      </c>
      <c r="D2290" s="13" t="s">
        <v>8</v>
      </c>
      <c r="E2290" s="12" t="str">
        <f>IF(june[[#This Row],[ShiftCounter]]&gt;0, "Running", "Down")</f>
        <v>Down</v>
      </c>
    </row>
    <row r="2291" spans="1:5" x14ac:dyDescent="0.25">
      <c r="A2291" s="14">
        <v>44732</v>
      </c>
      <c r="B2291" s="13" t="s">
        <v>17</v>
      </c>
      <c r="C2291" s="13">
        <v>1592</v>
      </c>
      <c r="D2291" s="13" t="s">
        <v>6</v>
      </c>
      <c r="E2291" s="12" t="str">
        <f>IF(june[[#This Row],[ShiftCounter]]&gt;0, "Running", "Down")</f>
        <v>Running</v>
      </c>
    </row>
    <row r="2292" spans="1:5" x14ac:dyDescent="0.25">
      <c r="A2292" s="14">
        <v>44732</v>
      </c>
      <c r="B2292" s="13" t="s">
        <v>17</v>
      </c>
      <c r="C2292" s="13">
        <v>2229</v>
      </c>
      <c r="D2292" s="13" t="s">
        <v>7</v>
      </c>
      <c r="E2292" s="12" t="str">
        <f>IF(june[[#This Row],[ShiftCounter]]&gt;0, "Running", "Down")</f>
        <v>Running</v>
      </c>
    </row>
    <row r="2293" spans="1:5" x14ac:dyDescent="0.25">
      <c r="A2293" s="14">
        <v>44732</v>
      </c>
      <c r="B2293" s="13" t="s">
        <v>17</v>
      </c>
      <c r="C2293" s="13">
        <v>2269</v>
      </c>
      <c r="D2293" s="13" t="s">
        <v>8</v>
      </c>
      <c r="E2293" s="12" t="str">
        <f>IF(june[[#This Row],[ShiftCounter]]&gt;0, "Running", "Down")</f>
        <v>Running</v>
      </c>
    </row>
    <row r="2294" spans="1:5" x14ac:dyDescent="0.25">
      <c r="A2294" s="14">
        <v>44732</v>
      </c>
      <c r="B2294" s="13" t="s">
        <v>19</v>
      </c>
      <c r="C2294" s="13">
        <v>0</v>
      </c>
      <c r="D2294" s="13" t="s">
        <v>6</v>
      </c>
      <c r="E2294" s="12" t="str">
        <f>IF(june[[#This Row],[ShiftCounter]]&gt;0, "Running", "Down")</f>
        <v>Down</v>
      </c>
    </row>
    <row r="2295" spans="1:5" x14ac:dyDescent="0.25">
      <c r="A2295" s="14">
        <v>44732</v>
      </c>
      <c r="B2295" s="13" t="s">
        <v>19</v>
      </c>
      <c r="C2295" s="13">
        <v>0</v>
      </c>
      <c r="D2295" s="13" t="s">
        <v>7</v>
      </c>
      <c r="E2295" s="12" t="str">
        <f>IF(june[[#This Row],[ShiftCounter]]&gt;0, "Running", "Down")</f>
        <v>Down</v>
      </c>
    </row>
    <row r="2296" spans="1:5" x14ac:dyDescent="0.25">
      <c r="A2296" s="14">
        <v>44732</v>
      </c>
      <c r="B2296" s="13" t="s">
        <v>19</v>
      </c>
      <c r="C2296" s="13">
        <v>0</v>
      </c>
      <c r="D2296" s="13" t="s">
        <v>8</v>
      </c>
      <c r="E2296" s="12" t="str">
        <f>IF(june[[#This Row],[ShiftCounter]]&gt;0, "Running", "Down")</f>
        <v>Down</v>
      </c>
    </row>
    <row r="2297" spans="1:5" x14ac:dyDescent="0.25">
      <c r="A2297" s="14">
        <v>44732</v>
      </c>
      <c r="B2297" s="13" t="s">
        <v>18</v>
      </c>
      <c r="C2297" s="13">
        <v>2297</v>
      </c>
      <c r="D2297" s="13" t="s">
        <v>6</v>
      </c>
      <c r="E2297" s="12" t="str">
        <f>IF(june[[#This Row],[ShiftCounter]]&gt;0, "Running", "Down")</f>
        <v>Running</v>
      </c>
    </row>
    <row r="2298" spans="1:5" x14ac:dyDescent="0.25">
      <c r="A2298" s="14">
        <v>44732</v>
      </c>
      <c r="B2298" s="13" t="s">
        <v>18</v>
      </c>
      <c r="C2298" s="13">
        <v>2284</v>
      </c>
      <c r="D2298" s="13" t="s">
        <v>7</v>
      </c>
      <c r="E2298" s="12" t="str">
        <f>IF(june[[#This Row],[ShiftCounter]]&gt;0, "Running", "Down")</f>
        <v>Running</v>
      </c>
    </row>
    <row r="2299" spans="1:5" x14ac:dyDescent="0.25">
      <c r="A2299" s="14">
        <v>44732</v>
      </c>
      <c r="B2299" s="13" t="s">
        <v>18</v>
      </c>
      <c r="C2299" s="13">
        <v>2302</v>
      </c>
      <c r="D2299" s="13" t="s">
        <v>8</v>
      </c>
      <c r="E2299" s="12" t="str">
        <f>IF(june[[#This Row],[ShiftCounter]]&gt;0, "Running", "Down")</f>
        <v>Running</v>
      </c>
    </row>
    <row r="2300" spans="1:5" x14ac:dyDescent="0.25">
      <c r="A2300" s="14">
        <v>44732</v>
      </c>
      <c r="B2300" s="13" t="s">
        <v>97</v>
      </c>
      <c r="C2300" s="13">
        <v>0</v>
      </c>
      <c r="D2300" s="13" t="s">
        <v>6</v>
      </c>
      <c r="E2300" s="12" t="str">
        <f>IF(june[[#This Row],[ShiftCounter]]&gt;0, "Running", "Down")</f>
        <v>Down</v>
      </c>
    </row>
    <row r="2301" spans="1:5" x14ac:dyDescent="0.25">
      <c r="A2301" s="14">
        <v>44732</v>
      </c>
      <c r="B2301" s="13" t="s">
        <v>97</v>
      </c>
      <c r="C2301" s="13">
        <v>0</v>
      </c>
      <c r="D2301" s="13" t="s">
        <v>7</v>
      </c>
      <c r="E2301" s="12" t="str">
        <f>IF(june[[#This Row],[ShiftCounter]]&gt;0, "Running", "Down")</f>
        <v>Down</v>
      </c>
    </row>
    <row r="2302" spans="1:5" x14ac:dyDescent="0.25">
      <c r="A2302" s="14">
        <v>44732</v>
      </c>
      <c r="B2302" s="13" t="s">
        <v>97</v>
      </c>
      <c r="C2302" s="13">
        <v>0</v>
      </c>
      <c r="D2302" s="13" t="s">
        <v>8</v>
      </c>
      <c r="E2302" s="12" t="str">
        <f>IF(june[[#This Row],[ShiftCounter]]&gt;0, "Running", "Down")</f>
        <v>Down</v>
      </c>
    </row>
    <row r="2303" spans="1:5" x14ac:dyDescent="0.25">
      <c r="A2303" s="14">
        <v>44732</v>
      </c>
      <c r="B2303" s="13" t="s">
        <v>42</v>
      </c>
      <c r="C2303" s="13">
        <v>0</v>
      </c>
      <c r="D2303" s="13" t="s">
        <v>6</v>
      </c>
      <c r="E2303" s="12" t="str">
        <f>IF(june[[#This Row],[ShiftCounter]]&gt;0, "Running", "Down")</f>
        <v>Down</v>
      </c>
    </row>
    <row r="2304" spans="1:5" x14ac:dyDescent="0.25">
      <c r="A2304" s="14">
        <v>44732</v>
      </c>
      <c r="B2304" s="13" t="s">
        <v>42</v>
      </c>
      <c r="C2304" s="13">
        <v>0</v>
      </c>
      <c r="D2304" s="13" t="s">
        <v>7</v>
      </c>
      <c r="E2304" s="12" t="str">
        <f>IF(june[[#This Row],[ShiftCounter]]&gt;0, "Running", "Down")</f>
        <v>Down</v>
      </c>
    </row>
    <row r="2305" spans="1:5" x14ac:dyDescent="0.25">
      <c r="A2305" s="14">
        <v>44732</v>
      </c>
      <c r="B2305" s="13" t="s">
        <v>42</v>
      </c>
      <c r="C2305" s="13">
        <v>0</v>
      </c>
      <c r="D2305" s="13" t="s">
        <v>8</v>
      </c>
      <c r="E2305" s="12" t="str">
        <f>IF(june[[#This Row],[ShiftCounter]]&gt;0, "Running", "Down")</f>
        <v>Down</v>
      </c>
    </row>
    <row r="2306" spans="1:5" x14ac:dyDescent="0.25">
      <c r="A2306" s="14">
        <v>44732</v>
      </c>
      <c r="B2306" s="13" t="s">
        <v>96</v>
      </c>
      <c r="C2306" s="13">
        <v>0</v>
      </c>
      <c r="D2306" s="13" t="s">
        <v>6</v>
      </c>
      <c r="E2306" s="12" t="str">
        <f>IF(june[[#This Row],[ShiftCounter]]&gt;0, "Running", "Down")</f>
        <v>Down</v>
      </c>
    </row>
    <row r="2307" spans="1:5" x14ac:dyDescent="0.25">
      <c r="A2307" s="14">
        <v>44732</v>
      </c>
      <c r="B2307" s="13" t="s">
        <v>96</v>
      </c>
      <c r="C2307" s="13">
        <v>0</v>
      </c>
      <c r="D2307" s="13" t="s">
        <v>7</v>
      </c>
      <c r="E2307" s="12" t="str">
        <f>IF(june[[#This Row],[ShiftCounter]]&gt;0, "Running", "Down")</f>
        <v>Down</v>
      </c>
    </row>
    <row r="2308" spans="1:5" x14ac:dyDescent="0.25">
      <c r="A2308" s="14">
        <v>44732</v>
      </c>
      <c r="B2308" s="13" t="s">
        <v>96</v>
      </c>
      <c r="C2308" s="13">
        <v>0</v>
      </c>
      <c r="D2308" s="13" t="s">
        <v>8</v>
      </c>
      <c r="E2308" s="12" t="str">
        <f>IF(june[[#This Row],[ShiftCounter]]&gt;0, "Running", "Down")</f>
        <v>Down</v>
      </c>
    </row>
    <row r="2309" spans="1:5" x14ac:dyDescent="0.25">
      <c r="A2309" s="14">
        <v>44732</v>
      </c>
      <c r="B2309" s="13" t="s">
        <v>38</v>
      </c>
      <c r="C2309" s="13">
        <v>1892</v>
      </c>
      <c r="D2309" s="13" t="s">
        <v>6</v>
      </c>
      <c r="E2309" s="12" t="str">
        <f>IF(june[[#This Row],[ShiftCounter]]&gt;0, "Running", "Down")</f>
        <v>Running</v>
      </c>
    </row>
    <row r="2310" spans="1:5" x14ac:dyDescent="0.25">
      <c r="A2310" s="14">
        <v>44732</v>
      </c>
      <c r="B2310" s="13" t="s">
        <v>38</v>
      </c>
      <c r="C2310" s="13">
        <v>2253</v>
      </c>
      <c r="D2310" s="13" t="s">
        <v>7</v>
      </c>
      <c r="E2310" s="12" t="str">
        <f>IF(june[[#This Row],[ShiftCounter]]&gt;0, "Running", "Down")</f>
        <v>Running</v>
      </c>
    </row>
    <row r="2311" spans="1:5" x14ac:dyDescent="0.25">
      <c r="A2311" s="14">
        <v>44732</v>
      </c>
      <c r="B2311" s="13" t="s">
        <v>38</v>
      </c>
      <c r="C2311" s="13">
        <v>2300</v>
      </c>
      <c r="D2311" s="13" t="s">
        <v>8</v>
      </c>
      <c r="E2311" s="12" t="str">
        <f>IF(june[[#This Row],[ShiftCounter]]&gt;0, "Running", "Down")</f>
        <v>Running</v>
      </c>
    </row>
    <row r="2312" spans="1:5" x14ac:dyDescent="0.25">
      <c r="A2312" s="14">
        <v>44732</v>
      </c>
      <c r="B2312" s="13" t="s">
        <v>93</v>
      </c>
      <c r="C2312" s="13">
        <v>0</v>
      </c>
      <c r="D2312" s="13" t="s">
        <v>6</v>
      </c>
      <c r="E2312" s="12" t="str">
        <f>IF(june[[#This Row],[ShiftCounter]]&gt;0, "Running", "Down")</f>
        <v>Down</v>
      </c>
    </row>
    <row r="2313" spans="1:5" x14ac:dyDescent="0.25">
      <c r="A2313" s="14">
        <v>44732</v>
      </c>
      <c r="B2313" s="13" t="s">
        <v>93</v>
      </c>
      <c r="C2313" s="13">
        <v>0</v>
      </c>
      <c r="D2313" s="13" t="s">
        <v>7</v>
      </c>
      <c r="E2313" s="12" t="str">
        <f>IF(june[[#This Row],[ShiftCounter]]&gt;0, "Running", "Down")</f>
        <v>Down</v>
      </c>
    </row>
    <row r="2314" spans="1:5" x14ac:dyDescent="0.25">
      <c r="A2314" s="14">
        <v>44732</v>
      </c>
      <c r="B2314" s="13" t="s">
        <v>93</v>
      </c>
      <c r="C2314" s="13">
        <v>0</v>
      </c>
      <c r="D2314" s="13" t="s">
        <v>8</v>
      </c>
      <c r="E2314" s="12" t="str">
        <f>IF(june[[#This Row],[ShiftCounter]]&gt;0, "Running", "Down")</f>
        <v>Down</v>
      </c>
    </row>
    <row r="2315" spans="1:5" x14ac:dyDescent="0.25">
      <c r="A2315" s="14">
        <v>44732</v>
      </c>
      <c r="B2315" s="13" t="s">
        <v>20</v>
      </c>
      <c r="C2315" s="13">
        <v>1339</v>
      </c>
      <c r="D2315" s="13" t="s">
        <v>6</v>
      </c>
      <c r="E2315" s="12" t="str">
        <f>IF(june[[#This Row],[ShiftCounter]]&gt;0, "Running", "Down")</f>
        <v>Running</v>
      </c>
    </row>
    <row r="2316" spans="1:5" x14ac:dyDescent="0.25">
      <c r="A2316" s="14">
        <v>44732</v>
      </c>
      <c r="B2316" s="13" t="s">
        <v>20</v>
      </c>
      <c r="C2316" s="13">
        <v>2253</v>
      </c>
      <c r="D2316" s="13" t="s">
        <v>7</v>
      </c>
      <c r="E2316" s="12" t="str">
        <f>IF(june[[#This Row],[ShiftCounter]]&gt;0, "Running", "Down")</f>
        <v>Running</v>
      </c>
    </row>
    <row r="2317" spans="1:5" x14ac:dyDescent="0.25">
      <c r="A2317" s="14">
        <v>44732</v>
      </c>
      <c r="B2317" s="13" t="s">
        <v>20</v>
      </c>
      <c r="C2317" s="13">
        <v>1899</v>
      </c>
      <c r="D2317" s="13" t="s">
        <v>8</v>
      </c>
      <c r="E2317" s="12" t="str">
        <f>IF(june[[#This Row],[ShiftCounter]]&gt;0, "Running", "Down")</f>
        <v>Running</v>
      </c>
    </row>
    <row r="2318" spans="1:5" x14ac:dyDescent="0.25">
      <c r="A2318" s="14">
        <v>44732</v>
      </c>
      <c r="B2318" s="13" t="s">
        <v>21</v>
      </c>
      <c r="C2318" s="13">
        <v>1969</v>
      </c>
      <c r="D2318" s="13" t="s">
        <v>6</v>
      </c>
      <c r="E2318" s="12" t="str">
        <f>IF(june[[#This Row],[ShiftCounter]]&gt;0, "Running", "Down")</f>
        <v>Running</v>
      </c>
    </row>
    <row r="2319" spans="1:5" x14ac:dyDescent="0.25">
      <c r="A2319" s="14">
        <v>44732</v>
      </c>
      <c r="B2319" s="13" t="s">
        <v>21</v>
      </c>
      <c r="C2319" s="13">
        <v>1960</v>
      </c>
      <c r="D2319" s="13" t="s">
        <v>7</v>
      </c>
      <c r="E2319" s="12" t="str">
        <f>IF(june[[#This Row],[ShiftCounter]]&gt;0, "Running", "Down")</f>
        <v>Running</v>
      </c>
    </row>
    <row r="2320" spans="1:5" x14ac:dyDescent="0.25">
      <c r="A2320" s="14">
        <v>44732</v>
      </c>
      <c r="B2320" s="13" t="s">
        <v>21</v>
      </c>
      <c r="C2320" s="13">
        <v>2003</v>
      </c>
      <c r="D2320" s="13" t="s">
        <v>8</v>
      </c>
      <c r="E2320" s="12" t="str">
        <f>IF(june[[#This Row],[ShiftCounter]]&gt;0, "Running", "Down")</f>
        <v>Running</v>
      </c>
    </row>
    <row r="2321" spans="1:5" x14ac:dyDescent="0.25">
      <c r="A2321" s="14">
        <v>44732</v>
      </c>
      <c r="B2321" s="13" t="s">
        <v>22</v>
      </c>
      <c r="C2321" s="13">
        <v>2423</v>
      </c>
      <c r="D2321" s="13" t="s">
        <v>6</v>
      </c>
      <c r="E2321" s="12" t="str">
        <f>IF(june[[#This Row],[ShiftCounter]]&gt;0, "Running", "Down")</f>
        <v>Running</v>
      </c>
    </row>
    <row r="2322" spans="1:5" x14ac:dyDescent="0.25">
      <c r="A2322" s="14">
        <v>44732</v>
      </c>
      <c r="B2322" s="13" t="s">
        <v>22</v>
      </c>
      <c r="C2322" s="13">
        <v>2375</v>
      </c>
      <c r="D2322" s="13" t="s">
        <v>7</v>
      </c>
      <c r="E2322" s="12" t="str">
        <f>IF(june[[#This Row],[ShiftCounter]]&gt;0, "Running", "Down")</f>
        <v>Running</v>
      </c>
    </row>
    <row r="2323" spans="1:5" x14ac:dyDescent="0.25">
      <c r="A2323" s="14">
        <v>44732</v>
      </c>
      <c r="B2323" s="13" t="s">
        <v>22</v>
      </c>
      <c r="C2323" s="13">
        <v>2110</v>
      </c>
      <c r="D2323" s="13" t="s">
        <v>8</v>
      </c>
      <c r="E2323" s="12" t="str">
        <f>IF(june[[#This Row],[ShiftCounter]]&gt;0, "Running", "Down")</f>
        <v>Running</v>
      </c>
    </row>
    <row r="2324" spans="1:5" x14ac:dyDescent="0.25">
      <c r="A2324" s="14">
        <v>44732</v>
      </c>
      <c r="B2324" s="13" t="s">
        <v>85</v>
      </c>
      <c r="C2324" s="13">
        <v>0</v>
      </c>
      <c r="D2324" s="13" t="s">
        <v>6</v>
      </c>
      <c r="E2324" s="12" t="str">
        <f>IF(june[[#This Row],[ShiftCounter]]&gt;0, "Running", "Down")</f>
        <v>Down</v>
      </c>
    </row>
    <row r="2325" spans="1:5" x14ac:dyDescent="0.25">
      <c r="A2325" s="14">
        <v>44732</v>
      </c>
      <c r="B2325" s="13" t="s">
        <v>85</v>
      </c>
      <c r="C2325" s="13">
        <v>0</v>
      </c>
      <c r="D2325" s="13" t="s">
        <v>7</v>
      </c>
      <c r="E2325" s="12" t="str">
        <f>IF(june[[#This Row],[ShiftCounter]]&gt;0, "Running", "Down")</f>
        <v>Down</v>
      </c>
    </row>
    <row r="2326" spans="1:5" x14ac:dyDescent="0.25">
      <c r="A2326" s="14">
        <v>44732</v>
      </c>
      <c r="B2326" s="13" t="s">
        <v>85</v>
      </c>
      <c r="C2326" s="13">
        <v>0</v>
      </c>
      <c r="D2326" s="13" t="s">
        <v>8</v>
      </c>
      <c r="E2326" s="12" t="str">
        <f>IF(june[[#This Row],[ShiftCounter]]&gt;0, "Running", "Down")</f>
        <v>Down</v>
      </c>
    </row>
    <row r="2327" spans="1:5" x14ac:dyDescent="0.25">
      <c r="A2327" s="14">
        <v>44732</v>
      </c>
      <c r="B2327" s="13" t="s">
        <v>23</v>
      </c>
      <c r="C2327" s="13">
        <v>1536</v>
      </c>
      <c r="D2327" s="13" t="s">
        <v>6</v>
      </c>
      <c r="E2327" s="12" t="str">
        <f>IF(june[[#This Row],[ShiftCounter]]&gt;0, "Running", "Down")</f>
        <v>Running</v>
      </c>
    </row>
    <row r="2328" spans="1:5" x14ac:dyDescent="0.25">
      <c r="A2328" s="14">
        <v>44732</v>
      </c>
      <c r="B2328" s="13" t="s">
        <v>23</v>
      </c>
      <c r="C2328" s="13">
        <v>2324</v>
      </c>
      <c r="D2328" s="13" t="s">
        <v>7</v>
      </c>
      <c r="E2328" s="12" t="str">
        <f>IF(june[[#This Row],[ShiftCounter]]&gt;0, "Running", "Down")</f>
        <v>Running</v>
      </c>
    </row>
    <row r="2329" spans="1:5" x14ac:dyDescent="0.25">
      <c r="A2329" s="14">
        <v>44732</v>
      </c>
      <c r="B2329" s="13" t="s">
        <v>23</v>
      </c>
      <c r="C2329" s="13">
        <v>2202</v>
      </c>
      <c r="D2329" s="13" t="s">
        <v>8</v>
      </c>
      <c r="E2329" s="12" t="str">
        <f>IF(june[[#This Row],[ShiftCounter]]&gt;0, "Running", "Down")</f>
        <v>Running</v>
      </c>
    </row>
    <row r="2330" spans="1:5" x14ac:dyDescent="0.25">
      <c r="A2330" s="14">
        <v>44732</v>
      </c>
      <c r="B2330" s="13" t="s">
        <v>24</v>
      </c>
      <c r="C2330" s="13">
        <v>2022</v>
      </c>
      <c r="D2330" s="13" t="s">
        <v>6</v>
      </c>
      <c r="E2330" s="12" t="str">
        <f>IF(june[[#This Row],[ShiftCounter]]&gt;0, "Running", "Down")</f>
        <v>Running</v>
      </c>
    </row>
    <row r="2331" spans="1:5" x14ac:dyDescent="0.25">
      <c r="A2331" s="14">
        <v>44732</v>
      </c>
      <c r="B2331" s="13" t="s">
        <v>24</v>
      </c>
      <c r="C2331" s="13">
        <v>1983</v>
      </c>
      <c r="D2331" s="13" t="s">
        <v>7</v>
      </c>
      <c r="E2331" s="12" t="str">
        <f>IF(june[[#This Row],[ShiftCounter]]&gt;0, "Running", "Down")</f>
        <v>Running</v>
      </c>
    </row>
    <row r="2332" spans="1:5" x14ac:dyDescent="0.25">
      <c r="A2332" s="14">
        <v>44732</v>
      </c>
      <c r="B2332" s="13" t="s">
        <v>24</v>
      </c>
      <c r="C2332" s="13">
        <v>2031</v>
      </c>
      <c r="D2332" s="13" t="s">
        <v>8</v>
      </c>
      <c r="E2332" s="12" t="str">
        <f>IF(june[[#This Row],[ShiftCounter]]&gt;0, "Running", "Down")</f>
        <v>Running</v>
      </c>
    </row>
    <row r="2333" spans="1:5" x14ac:dyDescent="0.25">
      <c r="A2333" s="14">
        <v>44732</v>
      </c>
      <c r="B2333" s="13" t="s">
        <v>81</v>
      </c>
      <c r="C2333" s="13">
        <v>0</v>
      </c>
      <c r="D2333" s="13" t="s">
        <v>6</v>
      </c>
      <c r="E2333" s="12" t="str">
        <f>IF(june[[#This Row],[ShiftCounter]]&gt;0, "Running", "Down")</f>
        <v>Down</v>
      </c>
    </row>
    <row r="2334" spans="1:5" x14ac:dyDescent="0.25">
      <c r="A2334" s="14">
        <v>44732</v>
      </c>
      <c r="B2334" s="13" t="s">
        <v>81</v>
      </c>
      <c r="C2334" s="13">
        <v>0</v>
      </c>
      <c r="D2334" s="13" t="s">
        <v>7</v>
      </c>
      <c r="E2334" s="12" t="str">
        <f>IF(june[[#This Row],[ShiftCounter]]&gt;0, "Running", "Down")</f>
        <v>Down</v>
      </c>
    </row>
    <row r="2335" spans="1:5" x14ac:dyDescent="0.25">
      <c r="A2335" s="14">
        <v>44732</v>
      </c>
      <c r="B2335" s="13" t="s">
        <v>81</v>
      </c>
      <c r="C2335" s="13">
        <v>0</v>
      </c>
      <c r="D2335" s="13" t="s">
        <v>8</v>
      </c>
      <c r="E2335" s="12" t="str">
        <f>IF(june[[#This Row],[ShiftCounter]]&gt;0, "Running", "Down")</f>
        <v>Down</v>
      </c>
    </row>
    <row r="2336" spans="1:5" x14ac:dyDescent="0.25">
      <c r="A2336" s="14">
        <v>44732</v>
      </c>
      <c r="B2336" s="13" t="s">
        <v>25</v>
      </c>
      <c r="C2336" s="13">
        <v>1944</v>
      </c>
      <c r="D2336" s="13" t="s">
        <v>6</v>
      </c>
      <c r="E2336" s="12" t="str">
        <f>IF(june[[#This Row],[ShiftCounter]]&gt;0, "Running", "Down")</f>
        <v>Running</v>
      </c>
    </row>
    <row r="2337" spans="1:5" x14ac:dyDescent="0.25">
      <c r="A2337" s="14">
        <v>44732</v>
      </c>
      <c r="B2337" s="13" t="s">
        <v>25</v>
      </c>
      <c r="C2337" s="13">
        <v>2146</v>
      </c>
      <c r="D2337" s="13" t="s">
        <v>7</v>
      </c>
      <c r="E2337" s="12" t="str">
        <f>IF(june[[#This Row],[ShiftCounter]]&gt;0, "Running", "Down")</f>
        <v>Running</v>
      </c>
    </row>
    <row r="2338" spans="1:5" x14ac:dyDescent="0.25">
      <c r="A2338" s="14">
        <v>44732</v>
      </c>
      <c r="B2338" s="13" t="s">
        <v>25</v>
      </c>
      <c r="C2338" s="13">
        <v>2186</v>
      </c>
      <c r="D2338" s="13" t="s">
        <v>8</v>
      </c>
      <c r="E2338" s="12" t="str">
        <f>IF(june[[#This Row],[ShiftCounter]]&gt;0, "Running", "Down")</f>
        <v>Running</v>
      </c>
    </row>
    <row r="2339" spans="1:5" x14ac:dyDescent="0.25">
      <c r="A2339" s="14">
        <v>44732</v>
      </c>
      <c r="B2339" s="13" t="s">
        <v>80</v>
      </c>
      <c r="C2339" s="13">
        <v>1086</v>
      </c>
      <c r="D2339" s="13" t="s">
        <v>6</v>
      </c>
      <c r="E2339" s="12" t="str">
        <f>IF(june[[#This Row],[ShiftCounter]]&gt;0, "Running", "Down")</f>
        <v>Running</v>
      </c>
    </row>
    <row r="2340" spans="1:5" x14ac:dyDescent="0.25">
      <c r="A2340" s="14">
        <v>44732</v>
      </c>
      <c r="B2340" s="13" t="s">
        <v>80</v>
      </c>
      <c r="C2340" s="13">
        <v>1905</v>
      </c>
      <c r="D2340" s="13" t="s">
        <v>7</v>
      </c>
      <c r="E2340" s="12" t="str">
        <f>IF(june[[#This Row],[ShiftCounter]]&gt;0, "Running", "Down")</f>
        <v>Running</v>
      </c>
    </row>
    <row r="2341" spans="1:5" x14ac:dyDescent="0.25">
      <c r="A2341" s="14">
        <v>44732</v>
      </c>
      <c r="B2341" s="13" t="s">
        <v>80</v>
      </c>
      <c r="C2341" s="13">
        <v>1932</v>
      </c>
      <c r="D2341" s="13" t="s">
        <v>8</v>
      </c>
      <c r="E2341" s="12" t="str">
        <f>IF(june[[#This Row],[ShiftCounter]]&gt;0, "Running", "Down")</f>
        <v>Running</v>
      </c>
    </row>
    <row r="2342" spans="1:5" x14ac:dyDescent="0.25">
      <c r="A2342" s="14">
        <v>44732</v>
      </c>
      <c r="B2342" s="13" t="s">
        <v>26</v>
      </c>
      <c r="C2342" s="13">
        <v>1976</v>
      </c>
      <c r="D2342" s="13" t="s">
        <v>6</v>
      </c>
      <c r="E2342" s="12" t="str">
        <f>IF(june[[#This Row],[ShiftCounter]]&gt;0, "Running", "Down")</f>
        <v>Running</v>
      </c>
    </row>
    <row r="2343" spans="1:5" x14ac:dyDescent="0.25">
      <c r="A2343" s="14">
        <v>44732</v>
      </c>
      <c r="B2343" s="13" t="s">
        <v>26</v>
      </c>
      <c r="C2343" s="13">
        <v>1965</v>
      </c>
      <c r="D2343" s="13" t="s">
        <v>7</v>
      </c>
      <c r="E2343" s="12" t="str">
        <f>IF(june[[#This Row],[ShiftCounter]]&gt;0, "Running", "Down")</f>
        <v>Running</v>
      </c>
    </row>
    <row r="2344" spans="1:5" x14ac:dyDescent="0.25">
      <c r="A2344" s="14">
        <v>44732</v>
      </c>
      <c r="B2344" s="13" t="s">
        <v>26</v>
      </c>
      <c r="C2344" s="13">
        <v>2002</v>
      </c>
      <c r="D2344" s="13" t="s">
        <v>8</v>
      </c>
      <c r="E2344" s="12" t="str">
        <f>IF(june[[#This Row],[ShiftCounter]]&gt;0, "Running", "Down")</f>
        <v>Running</v>
      </c>
    </row>
    <row r="2345" spans="1:5" x14ac:dyDescent="0.25">
      <c r="A2345" s="14">
        <v>44732</v>
      </c>
      <c r="B2345" s="13" t="s">
        <v>27</v>
      </c>
      <c r="C2345" s="13">
        <v>2281</v>
      </c>
      <c r="D2345" s="13" t="s">
        <v>6</v>
      </c>
      <c r="E2345" s="12" t="str">
        <f>IF(june[[#This Row],[ShiftCounter]]&gt;0, "Running", "Down")</f>
        <v>Running</v>
      </c>
    </row>
    <row r="2346" spans="1:5" x14ac:dyDescent="0.25">
      <c r="A2346" s="14">
        <v>44732</v>
      </c>
      <c r="B2346" s="13" t="s">
        <v>27</v>
      </c>
      <c r="C2346" s="13">
        <v>2262</v>
      </c>
      <c r="D2346" s="13" t="s">
        <v>7</v>
      </c>
      <c r="E2346" s="12" t="str">
        <f>IF(june[[#This Row],[ShiftCounter]]&gt;0, "Running", "Down")</f>
        <v>Running</v>
      </c>
    </row>
    <row r="2347" spans="1:5" x14ac:dyDescent="0.25">
      <c r="A2347" s="14">
        <v>44732</v>
      </c>
      <c r="B2347" s="13" t="s">
        <v>27</v>
      </c>
      <c r="C2347" s="13">
        <v>2311</v>
      </c>
      <c r="D2347" s="13" t="s">
        <v>8</v>
      </c>
      <c r="E2347" s="12" t="str">
        <f>IF(june[[#This Row],[ShiftCounter]]&gt;0, "Running", "Down")</f>
        <v>Running</v>
      </c>
    </row>
    <row r="2348" spans="1:5" x14ac:dyDescent="0.25">
      <c r="A2348" s="14">
        <v>44732</v>
      </c>
      <c r="B2348" s="13" t="s">
        <v>28</v>
      </c>
      <c r="C2348" s="13">
        <v>2088</v>
      </c>
      <c r="D2348" s="13" t="s">
        <v>6</v>
      </c>
      <c r="E2348" s="12" t="str">
        <f>IF(june[[#This Row],[ShiftCounter]]&gt;0, "Running", "Down")</f>
        <v>Running</v>
      </c>
    </row>
    <row r="2349" spans="1:5" x14ac:dyDescent="0.25">
      <c r="A2349" s="14">
        <v>44732</v>
      </c>
      <c r="B2349" s="13" t="s">
        <v>28</v>
      </c>
      <c r="C2349" s="13">
        <v>2134</v>
      </c>
      <c r="D2349" s="13" t="s">
        <v>7</v>
      </c>
      <c r="E2349" s="12" t="str">
        <f>IF(june[[#This Row],[ShiftCounter]]&gt;0, "Running", "Down")</f>
        <v>Running</v>
      </c>
    </row>
    <row r="2350" spans="1:5" x14ac:dyDescent="0.25">
      <c r="A2350" s="14">
        <v>44732</v>
      </c>
      <c r="B2350" s="13" t="s">
        <v>28</v>
      </c>
      <c r="C2350" s="13">
        <v>1977</v>
      </c>
      <c r="D2350" s="13" t="s">
        <v>8</v>
      </c>
      <c r="E2350" s="12" t="str">
        <f>IF(june[[#This Row],[ShiftCounter]]&gt;0, "Running", "Down")</f>
        <v>Running</v>
      </c>
    </row>
    <row r="2351" spans="1:5" x14ac:dyDescent="0.25">
      <c r="A2351" s="14">
        <v>44732</v>
      </c>
      <c r="B2351" s="13" t="s">
        <v>77</v>
      </c>
      <c r="C2351" s="13">
        <v>0</v>
      </c>
      <c r="D2351" s="13" t="s">
        <v>6</v>
      </c>
      <c r="E2351" s="12" t="str">
        <f>IF(june[[#This Row],[ShiftCounter]]&gt;0, "Running", "Down")</f>
        <v>Down</v>
      </c>
    </row>
    <row r="2352" spans="1:5" x14ac:dyDescent="0.25">
      <c r="A2352" s="14">
        <v>44732</v>
      </c>
      <c r="B2352" s="13" t="s">
        <v>77</v>
      </c>
      <c r="C2352" s="13">
        <v>0</v>
      </c>
      <c r="D2352" s="13" t="s">
        <v>7</v>
      </c>
      <c r="E2352" s="12" t="str">
        <f>IF(june[[#This Row],[ShiftCounter]]&gt;0, "Running", "Down")</f>
        <v>Down</v>
      </c>
    </row>
    <row r="2353" spans="1:5" x14ac:dyDescent="0.25">
      <c r="A2353" s="14">
        <v>44732</v>
      </c>
      <c r="B2353" s="13" t="s">
        <v>77</v>
      </c>
      <c r="C2353" s="13">
        <v>0</v>
      </c>
      <c r="D2353" s="13" t="s">
        <v>8</v>
      </c>
      <c r="E2353" s="12" t="str">
        <f>IF(june[[#This Row],[ShiftCounter]]&gt;0, "Running", "Down")</f>
        <v>Down</v>
      </c>
    </row>
    <row r="2354" spans="1:5" x14ac:dyDescent="0.25">
      <c r="A2354" s="14">
        <v>44732</v>
      </c>
      <c r="B2354" s="13" t="s">
        <v>29</v>
      </c>
      <c r="C2354" s="13">
        <v>2110</v>
      </c>
      <c r="D2354" s="13" t="s">
        <v>6</v>
      </c>
      <c r="E2354" s="12" t="str">
        <f>IF(june[[#This Row],[ShiftCounter]]&gt;0, "Running", "Down")</f>
        <v>Running</v>
      </c>
    </row>
    <row r="2355" spans="1:5" x14ac:dyDescent="0.25">
      <c r="A2355" s="14">
        <v>44732</v>
      </c>
      <c r="B2355" s="13" t="s">
        <v>29</v>
      </c>
      <c r="C2355" s="13">
        <v>2129</v>
      </c>
      <c r="D2355" s="13" t="s">
        <v>7</v>
      </c>
      <c r="E2355" s="12" t="str">
        <f>IF(june[[#This Row],[ShiftCounter]]&gt;0, "Running", "Down")</f>
        <v>Running</v>
      </c>
    </row>
    <row r="2356" spans="1:5" x14ac:dyDescent="0.25">
      <c r="A2356" s="14">
        <v>44732</v>
      </c>
      <c r="B2356" s="13" t="s">
        <v>29</v>
      </c>
      <c r="C2356" s="13">
        <v>2116</v>
      </c>
      <c r="D2356" s="13" t="s">
        <v>8</v>
      </c>
      <c r="E2356" s="12" t="str">
        <f>IF(june[[#This Row],[ShiftCounter]]&gt;0, "Running", "Down")</f>
        <v>Running</v>
      </c>
    </row>
    <row r="2357" spans="1:5" x14ac:dyDescent="0.25">
      <c r="A2357" s="14">
        <v>44732</v>
      </c>
      <c r="B2357" s="13" t="s">
        <v>30</v>
      </c>
      <c r="C2357" s="13">
        <v>2170</v>
      </c>
      <c r="D2357" s="13" t="s">
        <v>6</v>
      </c>
      <c r="E2357" s="12" t="str">
        <f>IF(june[[#This Row],[ShiftCounter]]&gt;0, "Running", "Down")</f>
        <v>Running</v>
      </c>
    </row>
    <row r="2358" spans="1:5" x14ac:dyDescent="0.25">
      <c r="A2358" s="14">
        <v>44732</v>
      </c>
      <c r="B2358" s="13" t="s">
        <v>30</v>
      </c>
      <c r="C2358" s="13">
        <v>2156</v>
      </c>
      <c r="D2358" s="13" t="s">
        <v>7</v>
      </c>
      <c r="E2358" s="12" t="str">
        <f>IF(june[[#This Row],[ShiftCounter]]&gt;0, "Running", "Down")</f>
        <v>Running</v>
      </c>
    </row>
    <row r="2359" spans="1:5" x14ac:dyDescent="0.25">
      <c r="A2359" s="14">
        <v>44732</v>
      </c>
      <c r="B2359" s="13" t="s">
        <v>30</v>
      </c>
      <c r="C2359" s="13">
        <v>2173</v>
      </c>
      <c r="D2359" s="13" t="s">
        <v>8</v>
      </c>
      <c r="E2359" s="12" t="str">
        <f>IF(june[[#This Row],[ShiftCounter]]&gt;0, "Running", "Down")</f>
        <v>Running</v>
      </c>
    </row>
    <row r="2360" spans="1:5" x14ac:dyDescent="0.25">
      <c r="A2360" s="14">
        <v>44732</v>
      </c>
      <c r="B2360" s="13" t="s">
        <v>31</v>
      </c>
      <c r="C2360" s="13">
        <v>758</v>
      </c>
      <c r="D2360" s="13" t="s">
        <v>6</v>
      </c>
      <c r="E2360" s="12" t="str">
        <f>IF(june[[#This Row],[ShiftCounter]]&gt;0, "Running", "Down")</f>
        <v>Running</v>
      </c>
    </row>
    <row r="2361" spans="1:5" x14ac:dyDescent="0.25">
      <c r="A2361" s="14">
        <v>44732</v>
      </c>
      <c r="B2361" s="13" t="s">
        <v>31</v>
      </c>
      <c r="C2361" s="13">
        <v>1939</v>
      </c>
      <c r="D2361" s="13" t="s">
        <v>7</v>
      </c>
      <c r="E2361" s="12" t="str">
        <f>IF(june[[#This Row],[ShiftCounter]]&gt;0, "Running", "Down")</f>
        <v>Running</v>
      </c>
    </row>
    <row r="2362" spans="1:5" x14ac:dyDescent="0.25">
      <c r="A2362" s="14">
        <v>44732</v>
      </c>
      <c r="B2362" s="13" t="s">
        <v>31</v>
      </c>
      <c r="C2362" s="13">
        <v>1994</v>
      </c>
      <c r="D2362" s="13" t="s">
        <v>8</v>
      </c>
      <c r="E2362" s="12" t="str">
        <f>IF(june[[#This Row],[ShiftCounter]]&gt;0, "Running", "Down")</f>
        <v>Running</v>
      </c>
    </row>
    <row r="2363" spans="1:5" x14ac:dyDescent="0.25">
      <c r="A2363" s="14">
        <v>44732</v>
      </c>
      <c r="B2363" s="13" t="s">
        <v>32</v>
      </c>
      <c r="C2363" s="13">
        <v>2379</v>
      </c>
      <c r="D2363" s="13" t="s">
        <v>6</v>
      </c>
      <c r="E2363" s="12" t="str">
        <f>IF(june[[#This Row],[ShiftCounter]]&gt;0, "Running", "Down")</f>
        <v>Running</v>
      </c>
    </row>
    <row r="2364" spans="1:5" x14ac:dyDescent="0.25">
      <c r="A2364" s="14">
        <v>44732</v>
      </c>
      <c r="B2364" s="13" t="s">
        <v>32</v>
      </c>
      <c r="C2364" s="13">
        <v>2417</v>
      </c>
      <c r="D2364" s="13" t="s">
        <v>7</v>
      </c>
      <c r="E2364" s="12" t="str">
        <f>IF(june[[#This Row],[ShiftCounter]]&gt;0, "Running", "Down")</f>
        <v>Running</v>
      </c>
    </row>
    <row r="2365" spans="1:5" x14ac:dyDescent="0.25">
      <c r="A2365" s="14">
        <v>44732</v>
      </c>
      <c r="B2365" s="13" t="s">
        <v>32</v>
      </c>
      <c r="C2365" s="13">
        <v>2463</v>
      </c>
      <c r="D2365" s="13" t="s">
        <v>8</v>
      </c>
      <c r="E2365" s="12" t="str">
        <f>IF(june[[#This Row],[ShiftCounter]]&gt;0, "Running", "Down")</f>
        <v>Running</v>
      </c>
    </row>
    <row r="2366" spans="1:5" x14ac:dyDescent="0.25">
      <c r="A2366" s="14">
        <v>44732</v>
      </c>
      <c r="B2366" s="13" t="s">
        <v>71</v>
      </c>
      <c r="C2366" s="13">
        <v>2004</v>
      </c>
      <c r="D2366" s="13" t="s">
        <v>6</v>
      </c>
      <c r="E2366" s="12" t="str">
        <f>IF(june[[#This Row],[ShiftCounter]]&gt;0, "Running", "Down")</f>
        <v>Running</v>
      </c>
    </row>
    <row r="2367" spans="1:5" x14ac:dyDescent="0.25">
      <c r="A2367" s="14">
        <v>44732</v>
      </c>
      <c r="B2367" s="13" t="s">
        <v>71</v>
      </c>
      <c r="C2367" s="13">
        <v>2064</v>
      </c>
      <c r="D2367" s="13" t="s">
        <v>7</v>
      </c>
      <c r="E2367" s="12" t="str">
        <f>IF(june[[#This Row],[ShiftCounter]]&gt;0, "Running", "Down")</f>
        <v>Running</v>
      </c>
    </row>
    <row r="2368" spans="1:5" x14ac:dyDescent="0.25">
      <c r="A2368" s="14">
        <v>44732</v>
      </c>
      <c r="B2368" s="13" t="s">
        <v>71</v>
      </c>
      <c r="C2368" s="13">
        <v>2047</v>
      </c>
      <c r="D2368" s="13" t="s">
        <v>8</v>
      </c>
      <c r="E2368" s="12" t="str">
        <f>IF(june[[#This Row],[ShiftCounter]]&gt;0, "Running", "Down")</f>
        <v>Running</v>
      </c>
    </row>
    <row r="2369" spans="1:5" x14ac:dyDescent="0.25">
      <c r="A2369" s="14">
        <v>44732</v>
      </c>
      <c r="B2369" s="13" t="s">
        <v>33</v>
      </c>
      <c r="C2369" s="13">
        <v>2373</v>
      </c>
      <c r="D2369" s="13" t="s">
        <v>6</v>
      </c>
      <c r="E2369" s="12" t="str">
        <f>IF(june[[#This Row],[ShiftCounter]]&gt;0, "Running", "Down")</f>
        <v>Running</v>
      </c>
    </row>
    <row r="2370" spans="1:5" x14ac:dyDescent="0.25">
      <c r="A2370" s="14">
        <v>44732</v>
      </c>
      <c r="B2370" s="13" t="s">
        <v>33</v>
      </c>
      <c r="C2370" s="13">
        <v>2348</v>
      </c>
      <c r="D2370" s="13" t="s">
        <v>7</v>
      </c>
      <c r="E2370" s="12" t="str">
        <f>IF(june[[#This Row],[ShiftCounter]]&gt;0, "Running", "Down")</f>
        <v>Running</v>
      </c>
    </row>
    <row r="2371" spans="1:5" x14ac:dyDescent="0.25">
      <c r="A2371" s="14">
        <v>44732</v>
      </c>
      <c r="B2371" s="13" t="s">
        <v>33</v>
      </c>
      <c r="C2371" s="13">
        <v>2404</v>
      </c>
      <c r="D2371" s="13" t="s">
        <v>8</v>
      </c>
      <c r="E2371" s="12" t="str">
        <f>IF(june[[#This Row],[ShiftCounter]]&gt;0, "Running", "Down")</f>
        <v>Running</v>
      </c>
    </row>
    <row r="2372" spans="1:5" x14ac:dyDescent="0.25">
      <c r="A2372" s="14">
        <v>44732</v>
      </c>
      <c r="B2372" s="13" t="s">
        <v>34</v>
      </c>
      <c r="C2372" s="13">
        <v>1896</v>
      </c>
      <c r="D2372" s="13" t="s">
        <v>6</v>
      </c>
      <c r="E2372" s="12" t="str">
        <f>IF(june[[#This Row],[ShiftCounter]]&gt;0, "Running", "Down")</f>
        <v>Running</v>
      </c>
    </row>
    <row r="2373" spans="1:5" x14ac:dyDescent="0.25">
      <c r="A2373" s="14">
        <v>44732</v>
      </c>
      <c r="B2373" s="13" t="s">
        <v>34</v>
      </c>
      <c r="C2373" s="13">
        <v>1922</v>
      </c>
      <c r="D2373" s="13" t="s">
        <v>7</v>
      </c>
      <c r="E2373" s="12" t="str">
        <f>IF(june[[#This Row],[ShiftCounter]]&gt;0, "Running", "Down")</f>
        <v>Running</v>
      </c>
    </row>
    <row r="2374" spans="1:5" x14ac:dyDescent="0.25">
      <c r="A2374" s="14">
        <v>44732</v>
      </c>
      <c r="B2374" s="13" t="s">
        <v>34</v>
      </c>
      <c r="C2374" s="13">
        <v>1960</v>
      </c>
      <c r="D2374" s="13" t="s">
        <v>8</v>
      </c>
      <c r="E2374" s="12" t="str">
        <f>IF(june[[#This Row],[ShiftCounter]]&gt;0, "Running", "Down")</f>
        <v>Running</v>
      </c>
    </row>
    <row r="2375" spans="1:5" x14ac:dyDescent="0.25">
      <c r="A2375" s="14">
        <v>44732</v>
      </c>
      <c r="B2375" s="13" t="s">
        <v>35</v>
      </c>
      <c r="C2375" s="13">
        <v>0</v>
      </c>
      <c r="D2375" s="13" t="s">
        <v>6</v>
      </c>
      <c r="E2375" s="12" t="str">
        <f>IF(june[[#This Row],[ShiftCounter]]&gt;0, "Running", "Down")</f>
        <v>Down</v>
      </c>
    </row>
    <row r="2376" spans="1:5" x14ac:dyDescent="0.25">
      <c r="A2376" s="14">
        <v>44732</v>
      </c>
      <c r="B2376" s="13" t="s">
        <v>35</v>
      </c>
      <c r="C2376" s="13">
        <v>0</v>
      </c>
      <c r="D2376" s="13" t="s">
        <v>7</v>
      </c>
      <c r="E2376" s="12" t="str">
        <f>IF(june[[#This Row],[ShiftCounter]]&gt;0, "Running", "Down")</f>
        <v>Down</v>
      </c>
    </row>
    <row r="2377" spans="1:5" x14ac:dyDescent="0.25">
      <c r="A2377" s="14">
        <v>44732</v>
      </c>
      <c r="B2377" s="13" t="s">
        <v>35</v>
      </c>
      <c r="C2377" s="13">
        <v>0</v>
      </c>
      <c r="D2377" s="13" t="s">
        <v>8</v>
      </c>
      <c r="E2377" s="12" t="str">
        <f>IF(june[[#This Row],[ShiftCounter]]&gt;0, "Running", "Down")</f>
        <v>Down</v>
      </c>
    </row>
    <row r="2378" spans="1:5" x14ac:dyDescent="0.25">
      <c r="A2378" s="14">
        <v>44732</v>
      </c>
      <c r="B2378" s="13" t="s">
        <v>65</v>
      </c>
      <c r="C2378" s="13">
        <v>0</v>
      </c>
      <c r="D2378" s="13" t="s">
        <v>6</v>
      </c>
      <c r="E2378" s="12" t="str">
        <f>IF(june[[#This Row],[ShiftCounter]]&gt;0, "Running", "Down")</f>
        <v>Down</v>
      </c>
    </row>
    <row r="2379" spans="1:5" x14ac:dyDescent="0.25">
      <c r="A2379" s="14">
        <v>44732</v>
      </c>
      <c r="B2379" s="13" t="s">
        <v>65</v>
      </c>
      <c r="C2379" s="13">
        <v>0</v>
      </c>
      <c r="D2379" s="13" t="s">
        <v>7</v>
      </c>
      <c r="E2379" s="12" t="str">
        <f>IF(june[[#This Row],[ShiftCounter]]&gt;0, "Running", "Down")</f>
        <v>Down</v>
      </c>
    </row>
    <row r="2380" spans="1:5" x14ac:dyDescent="0.25">
      <c r="A2380" s="14">
        <v>44732</v>
      </c>
      <c r="B2380" s="13" t="s">
        <v>65</v>
      </c>
      <c r="C2380" s="13">
        <v>0</v>
      </c>
      <c r="D2380" s="13" t="s">
        <v>8</v>
      </c>
      <c r="E2380" s="12" t="str">
        <f>IF(june[[#This Row],[ShiftCounter]]&gt;0, "Running", "Down")</f>
        <v>Down</v>
      </c>
    </row>
    <row r="2381" spans="1:5" x14ac:dyDescent="0.25">
      <c r="A2381" s="14">
        <v>44732</v>
      </c>
      <c r="B2381" s="13" t="s">
        <v>36</v>
      </c>
      <c r="C2381" s="13">
        <v>0</v>
      </c>
      <c r="D2381" s="13" t="s">
        <v>6</v>
      </c>
      <c r="E2381" s="12" t="str">
        <f>IF(june[[#This Row],[ShiftCounter]]&gt;0, "Running", "Down")</f>
        <v>Down</v>
      </c>
    </row>
    <row r="2382" spans="1:5" x14ac:dyDescent="0.25">
      <c r="A2382" s="14">
        <v>44732</v>
      </c>
      <c r="B2382" s="13" t="s">
        <v>36</v>
      </c>
      <c r="C2382" s="13">
        <v>0</v>
      </c>
      <c r="D2382" s="13" t="s">
        <v>7</v>
      </c>
      <c r="E2382" s="12" t="str">
        <f>IF(june[[#This Row],[ShiftCounter]]&gt;0, "Running", "Down")</f>
        <v>Down</v>
      </c>
    </row>
    <row r="2383" spans="1:5" x14ac:dyDescent="0.25">
      <c r="A2383" s="14">
        <v>44732</v>
      </c>
      <c r="B2383" s="13" t="s">
        <v>36</v>
      </c>
      <c r="C2383" s="13">
        <v>0</v>
      </c>
      <c r="D2383" s="13" t="s">
        <v>8</v>
      </c>
      <c r="E2383" s="12" t="str">
        <f>IF(june[[#This Row],[ShiftCounter]]&gt;0, "Running", "Down")</f>
        <v>Down</v>
      </c>
    </row>
    <row r="2384" spans="1:5" x14ac:dyDescent="0.25">
      <c r="A2384" s="14">
        <v>44732</v>
      </c>
      <c r="B2384" s="13" t="s">
        <v>64</v>
      </c>
      <c r="C2384" s="13">
        <v>0</v>
      </c>
      <c r="D2384" s="13" t="s">
        <v>6</v>
      </c>
      <c r="E2384" s="12" t="str">
        <f>IF(june[[#This Row],[ShiftCounter]]&gt;0, "Running", "Down")</f>
        <v>Down</v>
      </c>
    </row>
    <row r="2385" spans="1:5" x14ac:dyDescent="0.25">
      <c r="A2385" s="14">
        <v>44732</v>
      </c>
      <c r="B2385" s="13" t="s">
        <v>64</v>
      </c>
      <c r="C2385" s="13">
        <v>0</v>
      </c>
      <c r="D2385" s="13" t="s">
        <v>7</v>
      </c>
      <c r="E2385" s="12" t="str">
        <f>IF(june[[#This Row],[ShiftCounter]]&gt;0, "Running", "Down")</f>
        <v>Down</v>
      </c>
    </row>
    <row r="2386" spans="1:5" x14ac:dyDescent="0.25">
      <c r="A2386" s="14">
        <v>44732</v>
      </c>
      <c r="B2386" s="13" t="s">
        <v>64</v>
      </c>
      <c r="C2386" s="13">
        <v>0</v>
      </c>
      <c r="D2386" s="13" t="s">
        <v>8</v>
      </c>
      <c r="E2386" s="12" t="str">
        <f>IF(june[[#This Row],[ShiftCounter]]&gt;0, "Running", "Down")</f>
        <v>Down</v>
      </c>
    </row>
    <row r="2387" spans="1:5" x14ac:dyDescent="0.25">
      <c r="A2387" s="14">
        <v>44732</v>
      </c>
      <c r="B2387" s="13" t="s">
        <v>37</v>
      </c>
      <c r="C2387" s="13">
        <v>2027</v>
      </c>
      <c r="D2387" s="13" t="s">
        <v>6</v>
      </c>
      <c r="E2387" s="12" t="str">
        <f>IF(june[[#This Row],[ShiftCounter]]&gt;0, "Running", "Down")</f>
        <v>Running</v>
      </c>
    </row>
    <row r="2388" spans="1:5" x14ac:dyDescent="0.25">
      <c r="A2388" s="14">
        <v>44732</v>
      </c>
      <c r="B2388" s="13" t="s">
        <v>37</v>
      </c>
      <c r="C2388" s="13">
        <v>2124</v>
      </c>
      <c r="D2388" s="13" t="s">
        <v>7</v>
      </c>
      <c r="E2388" s="12" t="str">
        <f>IF(june[[#This Row],[ShiftCounter]]&gt;0, "Running", "Down")</f>
        <v>Running</v>
      </c>
    </row>
    <row r="2389" spans="1:5" x14ac:dyDescent="0.25">
      <c r="A2389" s="14">
        <v>44732</v>
      </c>
      <c r="B2389" s="13" t="s">
        <v>37</v>
      </c>
      <c r="C2389" s="13">
        <v>2078</v>
      </c>
      <c r="D2389" s="13" t="s">
        <v>8</v>
      </c>
      <c r="E2389" s="12" t="str">
        <f>IF(june[[#This Row],[ShiftCounter]]&gt;0, "Running", "Down")</f>
        <v>Running</v>
      </c>
    </row>
    <row r="2390" spans="1:5" x14ac:dyDescent="0.25">
      <c r="A2390" s="14">
        <v>44732</v>
      </c>
      <c r="B2390" s="13" t="s">
        <v>63</v>
      </c>
      <c r="C2390" s="13">
        <v>0</v>
      </c>
      <c r="D2390" s="13" t="s">
        <v>6</v>
      </c>
      <c r="E2390" s="12" t="str">
        <f>IF(june[[#This Row],[ShiftCounter]]&gt;0, "Running", "Down")</f>
        <v>Down</v>
      </c>
    </row>
    <row r="2391" spans="1:5" x14ac:dyDescent="0.25">
      <c r="A2391" s="14">
        <v>44732</v>
      </c>
      <c r="B2391" s="13" t="s">
        <v>63</v>
      </c>
      <c r="C2391" s="13">
        <v>0</v>
      </c>
      <c r="D2391" s="13" t="s">
        <v>7</v>
      </c>
      <c r="E2391" s="12" t="str">
        <f>IF(june[[#This Row],[ShiftCounter]]&gt;0, "Running", "Down")</f>
        <v>Down</v>
      </c>
    </row>
    <row r="2392" spans="1:5" x14ac:dyDescent="0.25">
      <c r="A2392" s="14">
        <v>44732</v>
      </c>
      <c r="B2392" s="13" t="s">
        <v>63</v>
      </c>
      <c r="C2392" s="13">
        <v>0</v>
      </c>
      <c r="D2392" s="13" t="s">
        <v>8</v>
      </c>
      <c r="E2392" s="12" t="str">
        <f>IF(june[[#This Row],[ShiftCounter]]&gt;0, "Running", "Down")</f>
        <v>Down</v>
      </c>
    </row>
    <row r="2393" spans="1:5" x14ac:dyDescent="0.25">
      <c r="A2393" s="14">
        <v>44732</v>
      </c>
      <c r="B2393" s="13" t="s">
        <v>59</v>
      </c>
      <c r="C2393" s="13">
        <v>0</v>
      </c>
      <c r="D2393" s="13" t="s">
        <v>6</v>
      </c>
      <c r="E2393" s="12" t="str">
        <f>IF(june[[#This Row],[ShiftCounter]]&gt;0, "Running", "Down")</f>
        <v>Down</v>
      </c>
    </row>
    <row r="2394" spans="1:5" x14ac:dyDescent="0.25">
      <c r="A2394" s="14">
        <v>44732</v>
      </c>
      <c r="B2394" s="13" t="s">
        <v>59</v>
      </c>
      <c r="C2394" s="13">
        <v>0</v>
      </c>
      <c r="D2394" s="13" t="s">
        <v>7</v>
      </c>
      <c r="E2394" s="12" t="str">
        <f>IF(june[[#This Row],[ShiftCounter]]&gt;0, "Running", "Down")</f>
        <v>Down</v>
      </c>
    </row>
    <row r="2395" spans="1:5" x14ac:dyDescent="0.25">
      <c r="A2395" s="14">
        <v>44732</v>
      </c>
      <c r="B2395" s="13" t="s">
        <v>59</v>
      </c>
      <c r="C2395" s="13">
        <v>0</v>
      </c>
      <c r="D2395" s="13" t="s">
        <v>8</v>
      </c>
      <c r="E2395" s="12" t="str">
        <f>IF(june[[#This Row],[ShiftCounter]]&gt;0, "Running", "Down")</f>
        <v>Down</v>
      </c>
    </row>
    <row r="2396" spans="1:5" x14ac:dyDescent="0.25">
      <c r="A2396" s="14">
        <v>44732</v>
      </c>
      <c r="B2396" s="13" t="s">
        <v>54</v>
      </c>
      <c r="C2396" s="13">
        <v>0</v>
      </c>
      <c r="D2396" s="13" t="s">
        <v>6</v>
      </c>
      <c r="E2396" s="12" t="str">
        <f>IF(june[[#This Row],[ShiftCounter]]&gt;0, "Running", "Down")</f>
        <v>Down</v>
      </c>
    </row>
    <row r="2397" spans="1:5" x14ac:dyDescent="0.25">
      <c r="A2397" s="14">
        <v>44732</v>
      </c>
      <c r="B2397" s="13" t="s">
        <v>54</v>
      </c>
      <c r="C2397" s="13">
        <v>0</v>
      </c>
      <c r="D2397" s="13" t="s">
        <v>7</v>
      </c>
      <c r="E2397" s="12" t="str">
        <f>IF(june[[#This Row],[ShiftCounter]]&gt;0, "Running", "Down")</f>
        <v>Down</v>
      </c>
    </row>
    <row r="2398" spans="1:5" x14ac:dyDescent="0.25">
      <c r="A2398" s="14">
        <v>44732</v>
      </c>
      <c r="B2398" s="13" t="s">
        <v>54</v>
      </c>
      <c r="C2398" s="13">
        <v>0</v>
      </c>
      <c r="D2398" s="13" t="s">
        <v>8</v>
      </c>
      <c r="E2398" s="12" t="str">
        <f>IF(june[[#This Row],[ShiftCounter]]&gt;0, "Running", "Down")</f>
        <v>Down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29"/>
  <sheetViews>
    <sheetView workbookViewId="0">
      <selection activeCell="G14" sqref="G14"/>
    </sheetView>
  </sheetViews>
  <sheetFormatPr defaultRowHeight="15" x14ac:dyDescent="0.25"/>
  <cols>
    <col min="1" max="1" width="19.140625" customWidth="1"/>
    <col min="2" max="2" width="9.85546875" customWidth="1"/>
    <col min="3" max="3" width="10.42578125" customWidth="1"/>
    <col min="4" max="4" width="14.7109375" customWidth="1"/>
    <col min="5" max="5" width="12.85546875" customWidth="1"/>
    <col min="6" max="6" width="15.140625" customWidth="1"/>
    <col min="7" max="7" width="12" customWidth="1"/>
    <col min="8" max="8" width="16.7109375" customWidth="1"/>
    <col min="9" max="10" width="14.42578125" customWidth="1"/>
    <col min="11" max="11" width="14.28515625" customWidth="1"/>
    <col min="12" max="12" width="13.7109375" customWidth="1"/>
    <col min="13" max="13" width="15.7109375" customWidth="1"/>
    <col min="14" max="14" width="16.140625" customWidth="1"/>
    <col min="15" max="15" width="16.28515625" customWidth="1"/>
    <col min="16" max="16" width="12.140625" bestFit="1" customWidth="1"/>
  </cols>
  <sheetData>
    <row r="1" spans="1:16" x14ac:dyDescent="0.25">
      <c r="A1" t="s">
        <v>0</v>
      </c>
      <c r="B1" t="s">
        <v>1</v>
      </c>
      <c r="C1" t="s">
        <v>3</v>
      </c>
      <c r="D1" t="s">
        <v>44</v>
      </c>
      <c r="E1" t="s">
        <v>45</v>
      </c>
      <c r="F1" t="s">
        <v>46</v>
      </c>
      <c r="G1" t="s">
        <v>4</v>
      </c>
      <c r="H1" t="s">
        <v>47</v>
      </c>
      <c r="I1" t="s">
        <v>48</v>
      </c>
      <c r="J1" t="s">
        <v>2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184</v>
      </c>
    </row>
    <row r="2" spans="1:16" x14ac:dyDescent="0.25">
      <c r="A2" s="8">
        <v>44871</v>
      </c>
      <c r="B2" t="s">
        <v>160</v>
      </c>
      <c r="C2" t="s">
        <v>6</v>
      </c>
      <c r="D2" t="s">
        <v>222</v>
      </c>
      <c r="E2" t="s">
        <v>91</v>
      </c>
      <c r="F2" t="s">
        <v>148</v>
      </c>
      <c r="G2" t="str">
        <f>IF(Table5[[#This Row],[ShiftCounter]]&gt;0,"Running","Down")</f>
        <v>Down</v>
      </c>
      <c r="H2" s="9" t="s">
        <v>206</v>
      </c>
      <c r="I2" t="s">
        <v>58</v>
      </c>
      <c r="J2" s="15">
        <v>0</v>
      </c>
      <c r="K2">
        <v>0</v>
      </c>
      <c r="L2">
        <v>0</v>
      </c>
      <c r="M2">
        <v>0</v>
      </c>
      <c r="N2">
        <v>17.22</v>
      </c>
      <c r="P2" t="s">
        <v>191</v>
      </c>
    </row>
    <row r="3" spans="1:16" x14ac:dyDescent="0.25">
      <c r="A3" s="16">
        <v>44871</v>
      </c>
      <c r="B3" t="s">
        <v>158</v>
      </c>
      <c r="C3" s="12" t="s">
        <v>6</v>
      </c>
      <c r="D3" t="s">
        <v>161</v>
      </c>
      <c r="E3" t="s">
        <v>61</v>
      </c>
      <c r="F3" t="s">
        <v>103</v>
      </c>
      <c r="G3" s="12" t="str">
        <f>IF(Table5[[#This Row],[ShiftCounter]]&gt;0,"Running","Down")</f>
        <v>Down</v>
      </c>
      <c r="H3" s="9" t="s">
        <v>207</v>
      </c>
      <c r="I3" t="s">
        <v>58</v>
      </c>
      <c r="J3" s="15">
        <v>0</v>
      </c>
      <c r="K3" s="15">
        <v>0</v>
      </c>
      <c r="L3">
        <v>0</v>
      </c>
      <c r="M3">
        <v>0</v>
      </c>
      <c r="N3">
        <v>12.6</v>
      </c>
      <c r="P3" t="s">
        <v>185</v>
      </c>
    </row>
    <row r="4" spans="1:16" x14ac:dyDescent="0.25">
      <c r="A4" s="16">
        <v>44871</v>
      </c>
      <c r="B4" t="s">
        <v>157</v>
      </c>
      <c r="C4" s="12" t="s">
        <v>6</v>
      </c>
      <c r="D4" t="s">
        <v>223</v>
      </c>
      <c r="E4" t="s">
        <v>91</v>
      </c>
      <c r="F4" t="s">
        <v>148</v>
      </c>
      <c r="G4" s="12" t="str">
        <f>IF(Table5[[#This Row],[ShiftCounter]]&gt;0,"Running","Down")</f>
        <v>Down</v>
      </c>
      <c r="H4" s="9">
        <v>47</v>
      </c>
      <c r="I4" t="s">
        <v>58</v>
      </c>
      <c r="J4" s="15">
        <v>0</v>
      </c>
      <c r="K4" s="15">
        <v>0</v>
      </c>
      <c r="L4">
        <v>0</v>
      </c>
      <c r="M4">
        <v>0</v>
      </c>
      <c r="N4">
        <v>21.59</v>
      </c>
      <c r="P4" t="s">
        <v>186</v>
      </c>
    </row>
    <row r="5" spans="1:16" x14ac:dyDescent="0.25">
      <c r="A5" s="16">
        <v>44871</v>
      </c>
      <c r="B5" t="s">
        <v>155</v>
      </c>
      <c r="C5" s="12" t="s">
        <v>6</v>
      </c>
      <c r="D5" t="s">
        <v>156</v>
      </c>
      <c r="E5" t="s">
        <v>224</v>
      </c>
      <c r="F5" t="s">
        <v>146</v>
      </c>
      <c r="G5" s="12" t="str">
        <f>IF(Table5[[#This Row],[ShiftCounter]]&gt;0,"Running","Down")</f>
        <v>Down</v>
      </c>
      <c r="H5" s="9" t="s">
        <v>208</v>
      </c>
      <c r="I5" t="s">
        <v>58</v>
      </c>
      <c r="J5" s="15">
        <v>0</v>
      </c>
      <c r="K5" s="15">
        <v>0</v>
      </c>
      <c r="L5">
        <v>0</v>
      </c>
      <c r="M5">
        <v>0</v>
      </c>
      <c r="N5">
        <v>40</v>
      </c>
      <c r="P5" t="s">
        <v>187</v>
      </c>
    </row>
    <row r="6" spans="1:16" x14ac:dyDescent="0.25">
      <c r="A6" s="16">
        <v>44871</v>
      </c>
      <c r="B6" t="s">
        <v>153</v>
      </c>
      <c r="C6" s="12" t="s">
        <v>6</v>
      </c>
      <c r="D6" t="s">
        <v>225</v>
      </c>
      <c r="E6" t="s">
        <v>91</v>
      </c>
      <c r="F6" t="s">
        <v>148</v>
      </c>
      <c r="G6" s="12" t="str">
        <f>IF(Table5[[#This Row],[ShiftCounter]]&gt;0,"Running","Down")</f>
        <v>Down</v>
      </c>
      <c r="H6" s="9" t="s">
        <v>209</v>
      </c>
      <c r="I6" t="s">
        <v>58</v>
      </c>
      <c r="J6" s="15">
        <v>0</v>
      </c>
      <c r="K6" s="15">
        <v>0</v>
      </c>
      <c r="L6">
        <v>0</v>
      </c>
      <c r="M6">
        <v>0</v>
      </c>
      <c r="N6">
        <v>24.59</v>
      </c>
      <c r="P6" t="s">
        <v>255</v>
      </c>
    </row>
    <row r="7" spans="1:16" x14ac:dyDescent="0.25">
      <c r="A7" s="16">
        <v>44871</v>
      </c>
      <c r="B7" t="s">
        <v>152</v>
      </c>
      <c r="C7" s="12" t="s">
        <v>6</v>
      </c>
      <c r="D7" t="s">
        <v>168</v>
      </c>
      <c r="E7" t="s">
        <v>129</v>
      </c>
      <c r="F7" t="s">
        <v>130</v>
      </c>
      <c r="G7" s="12" t="str">
        <f>IF(Table5[[#This Row],[ShiftCounter]]&gt;0,"Running","Down")</f>
        <v>Down</v>
      </c>
      <c r="H7" s="9">
        <v>48</v>
      </c>
      <c r="I7" t="s">
        <v>58</v>
      </c>
      <c r="J7" s="15">
        <v>0</v>
      </c>
      <c r="K7" s="15">
        <v>0</v>
      </c>
      <c r="L7">
        <v>0</v>
      </c>
      <c r="M7">
        <v>0</v>
      </c>
      <c r="N7">
        <v>19.5</v>
      </c>
      <c r="P7" t="s">
        <v>186</v>
      </c>
    </row>
    <row r="8" spans="1:16" x14ac:dyDescent="0.25">
      <c r="A8" s="16">
        <v>44871</v>
      </c>
      <c r="B8" t="s">
        <v>150</v>
      </c>
      <c r="C8" s="12" t="s">
        <v>6</v>
      </c>
      <c r="D8" t="s">
        <v>151</v>
      </c>
      <c r="E8" t="s">
        <v>145</v>
      </c>
      <c r="F8" t="s">
        <v>146</v>
      </c>
      <c r="G8" s="12" t="str">
        <f>IF(Table5[[#This Row],[ShiftCounter]]&gt;0,"Running","Down")</f>
        <v>Down</v>
      </c>
      <c r="H8" s="9" t="s">
        <v>210</v>
      </c>
      <c r="I8" t="s">
        <v>58</v>
      </c>
      <c r="J8" s="15">
        <v>0</v>
      </c>
      <c r="K8" s="15">
        <v>0</v>
      </c>
      <c r="L8">
        <v>0</v>
      </c>
      <c r="M8">
        <v>0</v>
      </c>
      <c r="N8">
        <v>41.2</v>
      </c>
      <c r="P8" t="s">
        <v>187</v>
      </c>
    </row>
    <row r="9" spans="1:16" x14ac:dyDescent="0.25">
      <c r="A9" s="16">
        <v>44871</v>
      </c>
      <c r="B9" t="s">
        <v>40</v>
      </c>
      <c r="C9" s="12" t="s">
        <v>6</v>
      </c>
      <c r="D9" t="s">
        <v>149</v>
      </c>
      <c r="E9" t="s">
        <v>61</v>
      </c>
      <c r="F9" t="s">
        <v>106</v>
      </c>
      <c r="G9" s="12" t="str">
        <f>IF(Table5[[#This Row],[ShiftCounter]]&gt;0,"Running","Down")</f>
        <v>Down</v>
      </c>
      <c r="H9" s="9" t="s">
        <v>211</v>
      </c>
      <c r="I9" t="s">
        <v>58</v>
      </c>
      <c r="J9" s="15">
        <v>0</v>
      </c>
      <c r="K9" s="15">
        <v>0</v>
      </c>
      <c r="L9">
        <v>0</v>
      </c>
      <c r="M9">
        <v>0</v>
      </c>
      <c r="N9">
        <v>12.7</v>
      </c>
      <c r="P9" t="s">
        <v>185</v>
      </c>
    </row>
    <row r="10" spans="1:16" x14ac:dyDescent="0.25">
      <c r="A10" s="16">
        <v>44871</v>
      </c>
      <c r="B10" t="s">
        <v>147</v>
      </c>
      <c r="C10" s="12" t="s">
        <v>6</v>
      </c>
      <c r="D10" t="s">
        <v>169</v>
      </c>
      <c r="E10" t="s">
        <v>56</v>
      </c>
      <c r="F10" t="s">
        <v>130</v>
      </c>
      <c r="G10" s="12" t="str">
        <f>IF(Table5[[#This Row],[ShiftCounter]]&gt;0,"Running","Down")</f>
        <v>Down</v>
      </c>
      <c r="H10" s="9">
        <v>49</v>
      </c>
      <c r="I10" t="s">
        <v>58</v>
      </c>
      <c r="J10" s="15">
        <v>0</v>
      </c>
      <c r="K10" s="15">
        <v>0</v>
      </c>
      <c r="L10">
        <v>0</v>
      </c>
      <c r="M10">
        <v>0</v>
      </c>
      <c r="N10">
        <v>20.55</v>
      </c>
      <c r="P10" t="s">
        <v>189</v>
      </c>
    </row>
    <row r="11" spans="1:16" x14ac:dyDescent="0.25">
      <c r="A11" s="16">
        <v>44871</v>
      </c>
      <c r="B11" t="s">
        <v>143</v>
      </c>
      <c r="C11" s="12" t="s">
        <v>6</v>
      </c>
      <c r="D11" t="s">
        <v>144</v>
      </c>
      <c r="E11" t="s">
        <v>145</v>
      </c>
      <c r="F11" t="s">
        <v>146</v>
      </c>
      <c r="G11" s="12" t="str">
        <f>IF(Table5[[#This Row],[ShiftCounter]]&gt;0,"Running","Down")</f>
        <v>Down</v>
      </c>
      <c r="H11" s="9" t="s">
        <v>212</v>
      </c>
      <c r="I11" t="s">
        <v>58</v>
      </c>
      <c r="J11" s="15">
        <v>0</v>
      </c>
      <c r="K11" s="15">
        <v>0</v>
      </c>
      <c r="L11">
        <v>0</v>
      </c>
      <c r="M11">
        <v>0</v>
      </c>
      <c r="N11">
        <v>41.21</v>
      </c>
      <c r="P11" t="s">
        <v>187</v>
      </c>
    </row>
    <row r="12" spans="1:16" x14ac:dyDescent="0.25">
      <c r="A12" s="16">
        <v>44871</v>
      </c>
      <c r="B12" t="s">
        <v>141</v>
      </c>
      <c r="C12" s="12" t="s">
        <v>6</v>
      </c>
      <c r="D12" t="s">
        <v>142</v>
      </c>
      <c r="E12" t="s">
        <v>56</v>
      </c>
      <c r="F12" t="s">
        <v>130</v>
      </c>
      <c r="G12" s="12" t="str">
        <f>IF(Table5[[#This Row],[ShiftCounter]]&gt;0,"Running","Down")</f>
        <v>Down</v>
      </c>
      <c r="H12" s="9" t="s">
        <v>213</v>
      </c>
      <c r="I12" t="s">
        <v>58</v>
      </c>
      <c r="J12" s="15">
        <v>0</v>
      </c>
      <c r="K12" s="15">
        <v>0</v>
      </c>
      <c r="L12">
        <v>0</v>
      </c>
      <c r="M12">
        <v>0</v>
      </c>
      <c r="N12">
        <v>20.12</v>
      </c>
      <c r="P12" t="s">
        <v>190</v>
      </c>
    </row>
    <row r="13" spans="1:16" x14ac:dyDescent="0.25">
      <c r="A13" s="16">
        <v>44871</v>
      </c>
      <c r="B13" t="s">
        <v>139</v>
      </c>
      <c r="C13" s="12" t="s">
        <v>6</v>
      </c>
      <c r="D13" t="s">
        <v>226</v>
      </c>
      <c r="E13" t="s">
        <v>91</v>
      </c>
      <c r="F13" t="s">
        <v>148</v>
      </c>
      <c r="G13" s="12" t="str">
        <f>IF(Table5[[#This Row],[ShiftCounter]]&gt;0,"Running","Down")</f>
        <v>Down</v>
      </c>
      <c r="H13" s="9" t="s">
        <v>140</v>
      </c>
      <c r="I13" t="s">
        <v>58</v>
      </c>
      <c r="J13" s="15">
        <v>0</v>
      </c>
      <c r="K13" s="15">
        <v>0</v>
      </c>
      <c r="L13">
        <v>0</v>
      </c>
      <c r="M13">
        <v>0</v>
      </c>
      <c r="N13">
        <v>23.63</v>
      </c>
      <c r="P13" t="s">
        <v>189</v>
      </c>
    </row>
    <row r="14" spans="1:16" x14ac:dyDescent="0.25">
      <c r="A14" s="16">
        <v>44871</v>
      </c>
      <c r="B14" t="s">
        <v>138</v>
      </c>
      <c r="C14" s="12" t="s">
        <v>6</v>
      </c>
      <c r="D14" t="s">
        <v>227</v>
      </c>
      <c r="E14" t="s">
        <v>145</v>
      </c>
      <c r="F14" t="s">
        <v>146</v>
      </c>
      <c r="G14" s="12" t="str">
        <f>IF(Table5[[#This Row],[ShiftCounter]]&gt;0,"Running","Down")</f>
        <v>Down</v>
      </c>
      <c r="H14" s="9" t="s">
        <v>214</v>
      </c>
      <c r="I14" t="s">
        <v>58</v>
      </c>
      <c r="J14" s="15">
        <v>0</v>
      </c>
      <c r="K14" s="15">
        <v>0</v>
      </c>
      <c r="L14">
        <v>0</v>
      </c>
      <c r="M14">
        <v>0</v>
      </c>
      <c r="N14">
        <v>41.97</v>
      </c>
      <c r="P14" t="s">
        <v>187</v>
      </c>
    </row>
    <row r="15" spans="1:16" x14ac:dyDescent="0.25">
      <c r="A15" s="16">
        <v>44871</v>
      </c>
      <c r="B15" t="s">
        <v>136</v>
      </c>
      <c r="C15" s="12" t="s">
        <v>6</v>
      </c>
      <c r="D15" t="s">
        <v>154</v>
      </c>
      <c r="E15" t="s">
        <v>91</v>
      </c>
      <c r="F15" t="s">
        <v>130</v>
      </c>
      <c r="G15" s="12" t="str">
        <f>IF(Table5[[#This Row],[ShiftCounter]]&gt;0,"Running","Down")</f>
        <v>Down</v>
      </c>
      <c r="H15" s="9" t="s">
        <v>137</v>
      </c>
      <c r="I15" t="s">
        <v>58</v>
      </c>
      <c r="J15" s="15">
        <v>0</v>
      </c>
      <c r="K15" s="15">
        <v>0</v>
      </c>
      <c r="L15">
        <v>0</v>
      </c>
      <c r="M15">
        <v>0</v>
      </c>
      <c r="N15">
        <v>12.18</v>
      </c>
      <c r="P15" t="s">
        <v>188</v>
      </c>
    </row>
    <row r="16" spans="1:16" x14ac:dyDescent="0.25">
      <c r="A16" s="16">
        <v>44871</v>
      </c>
      <c r="B16" t="s">
        <v>39</v>
      </c>
      <c r="C16" s="12" t="s">
        <v>6</v>
      </c>
      <c r="D16" t="s">
        <v>167</v>
      </c>
      <c r="E16" t="s">
        <v>91</v>
      </c>
      <c r="F16" t="s">
        <v>170</v>
      </c>
      <c r="G16" s="12" t="str">
        <f>IF(Table5[[#This Row],[ShiftCounter]]&gt;0,"Running","Down")</f>
        <v>Down</v>
      </c>
      <c r="H16" s="9" t="s">
        <v>135</v>
      </c>
      <c r="I16" t="s">
        <v>58</v>
      </c>
      <c r="J16" s="15">
        <v>0</v>
      </c>
      <c r="K16" s="15">
        <v>0</v>
      </c>
      <c r="L16">
        <v>0</v>
      </c>
      <c r="M16">
        <v>0</v>
      </c>
      <c r="N16">
        <v>22.21</v>
      </c>
      <c r="P16" t="s">
        <v>186</v>
      </c>
    </row>
    <row r="17" spans="1:16" x14ac:dyDescent="0.25">
      <c r="A17" s="16">
        <v>44871</v>
      </c>
      <c r="B17" t="s">
        <v>132</v>
      </c>
      <c r="C17" s="12" t="s">
        <v>6</v>
      </c>
      <c r="G17" s="12" t="str">
        <f>IF(Table5[[#This Row],[ShiftCounter]]&gt;0,"Running","Down")</f>
        <v>Down</v>
      </c>
      <c r="H17" s="9" t="s">
        <v>133</v>
      </c>
      <c r="I17" t="s">
        <v>58</v>
      </c>
      <c r="J17" s="15">
        <v>0</v>
      </c>
      <c r="K17" s="15">
        <v>0</v>
      </c>
      <c r="L17">
        <v>0</v>
      </c>
      <c r="M17">
        <v>0</v>
      </c>
      <c r="N17">
        <v>0</v>
      </c>
    </row>
    <row r="18" spans="1:16" x14ac:dyDescent="0.25">
      <c r="A18" s="16">
        <v>44871</v>
      </c>
      <c r="B18" t="s">
        <v>128</v>
      </c>
      <c r="C18" s="12" t="s">
        <v>6</v>
      </c>
      <c r="D18" t="s">
        <v>179</v>
      </c>
      <c r="E18" t="s">
        <v>91</v>
      </c>
      <c r="F18" t="s">
        <v>130</v>
      </c>
      <c r="G18" s="12" t="str">
        <f>IF(Table5[[#This Row],[ShiftCounter]]&gt;0,"Running","Down")</f>
        <v>Down</v>
      </c>
      <c r="H18" s="9" t="s">
        <v>131</v>
      </c>
      <c r="I18" t="s">
        <v>58</v>
      </c>
      <c r="J18" s="15">
        <v>0</v>
      </c>
      <c r="K18" s="15">
        <v>0</v>
      </c>
      <c r="L18">
        <v>0</v>
      </c>
      <c r="M18">
        <v>0</v>
      </c>
      <c r="N18">
        <v>23.63</v>
      </c>
      <c r="P18" t="s">
        <v>191</v>
      </c>
    </row>
    <row r="19" spans="1:16" x14ac:dyDescent="0.25">
      <c r="A19" s="16">
        <v>44871</v>
      </c>
      <c r="B19" t="s">
        <v>126</v>
      </c>
      <c r="C19" s="12" t="s">
        <v>6</v>
      </c>
      <c r="D19" t="s">
        <v>171</v>
      </c>
      <c r="E19" t="s">
        <v>145</v>
      </c>
      <c r="F19" t="s">
        <v>146</v>
      </c>
      <c r="G19" s="12" t="str">
        <f>IF(Table5[[#This Row],[ShiftCounter]]&gt;0,"Running","Down")</f>
        <v>Down</v>
      </c>
      <c r="H19" s="9" t="s">
        <v>127</v>
      </c>
      <c r="I19" t="s">
        <v>58</v>
      </c>
      <c r="J19" s="15">
        <v>0</v>
      </c>
      <c r="K19" s="15">
        <v>0</v>
      </c>
      <c r="L19">
        <v>0</v>
      </c>
      <c r="M19">
        <v>0</v>
      </c>
      <c r="N19">
        <v>41.19</v>
      </c>
      <c r="P19" t="s">
        <v>187</v>
      </c>
    </row>
    <row r="20" spans="1:16" x14ac:dyDescent="0.25">
      <c r="A20" s="16">
        <v>44871</v>
      </c>
      <c r="B20" t="s">
        <v>123</v>
      </c>
      <c r="C20" s="12" t="s">
        <v>6</v>
      </c>
      <c r="D20" t="s">
        <v>124</v>
      </c>
      <c r="E20" t="s">
        <v>56</v>
      </c>
      <c r="F20" t="s">
        <v>106</v>
      </c>
      <c r="G20" s="12" t="str">
        <f>IF(Table5[[#This Row],[ShiftCounter]]&gt;0,"Running","Down")</f>
        <v>Down</v>
      </c>
      <c r="H20" s="9" t="s">
        <v>125</v>
      </c>
      <c r="I20" t="s">
        <v>58</v>
      </c>
      <c r="J20" s="15">
        <v>0</v>
      </c>
      <c r="K20" s="15">
        <v>0</v>
      </c>
      <c r="L20">
        <v>0</v>
      </c>
      <c r="M20">
        <v>0</v>
      </c>
      <c r="N20">
        <v>13.8</v>
      </c>
      <c r="P20" t="s">
        <v>192</v>
      </c>
    </row>
    <row r="21" spans="1:16" x14ac:dyDescent="0.25">
      <c r="A21" s="16">
        <v>44871</v>
      </c>
      <c r="B21" t="s">
        <v>41</v>
      </c>
      <c r="C21" s="12" t="s">
        <v>6</v>
      </c>
      <c r="D21" t="s">
        <v>121</v>
      </c>
      <c r="E21" t="s">
        <v>61</v>
      </c>
      <c r="F21" t="s">
        <v>106</v>
      </c>
      <c r="G21" s="12" t="str">
        <f>IF(Table5[[#This Row],[ShiftCounter]]&gt;0,"Running","Down")</f>
        <v>Down</v>
      </c>
      <c r="H21" s="9" t="s">
        <v>122</v>
      </c>
      <c r="I21" t="s">
        <v>58</v>
      </c>
      <c r="J21" s="15">
        <v>0</v>
      </c>
      <c r="K21" s="15">
        <v>0</v>
      </c>
      <c r="L21">
        <v>0</v>
      </c>
      <c r="M21">
        <v>0</v>
      </c>
      <c r="N21">
        <v>12.9</v>
      </c>
      <c r="P21" t="s">
        <v>185</v>
      </c>
    </row>
    <row r="22" spans="1:16" x14ac:dyDescent="0.25">
      <c r="A22" s="16">
        <v>44871</v>
      </c>
      <c r="B22" t="s">
        <v>43</v>
      </c>
      <c r="C22" s="12" t="s">
        <v>6</v>
      </c>
      <c r="D22" t="s">
        <v>228</v>
      </c>
      <c r="E22" t="s">
        <v>91</v>
      </c>
      <c r="F22" t="s">
        <v>148</v>
      </c>
      <c r="G22" s="12" t="str">
        <f>IF(Table5[[#This Row],[ShiftCounter]]&gt;0,"Running","Down")</f>
        <v>Down</v>
      </c>
      <c r="H22" s="9">
        <v>10</v>
      </c>
      <c r="I22" t="s">
        <v>58</v>
      </c>
      <c r="J22" s="15">
        <v>0</v>
      </c>
      <c r="K22" s="15">
        <v>0</v>
      </c>
      <c r="L22">
        <v>0</v>
      </c>
      <c r="M22">
        <v>0</v>
      </c>
      <c r="N22">
        <v>16.36</v>
      </c>
      <c r="P22" t="s">
        <v>256</v>
      </c>
    </row>
    <row r="23" spans="1:16" x14ac:dyDescent="0.25">
      <c r="A23" s="16">
        <v>44871</v>
      </c>
      <c r="B23" t="s">
        <v>5</v>
      </c>
      <c r="C23" s="12" t="s">
        <v>6</v>
      </c>
      <c r="D23" t="s">
        <v>163</v>
      </c>
      <c r="E23" t="s">
        <v>56</v>
      </c>
      <c r="F23" t="s">
        <v>106</v>
      </c>
      <c r="G23" s="12" t="str">
        <f>IF(Table5[[#This Row],[ShiftCounter]]&gt;0,"Running","Down")</f>
        <v>Down</v>
      </c>
      <c r="H23" s="9">
        <v>11</v>
      </c>
      <c r="I23" t="s">
        <v>58</v>
      </c>
      <c r="J23" s="15">
        <v>0</v>
      </c>
      <c r="K23" s="15">
        <v>0</v>
      </c>
      <c r="L23">
        <v>0</v>
      </c>
      <c r="M23">
        <v>0</v>
      </c>
      <c r="N23">
        <v>13</v>
      </c>
      <c r="P23" t="s">
        <v>193</v>
      </c>
    </row>
    <row r="24" spans="1:16" x14ac:dyDescent="0.25">
      <c r="A24" s="16">
        <v>44871</v>
      </c>
      <c r="B24" t="s">
        <v>9</v>
      </c>
      <c r="C24" s="12" t="s">
        <v>6</v>
      </c>
      <c r="D24" t="s">
        <v>180</v>
      </c>
      <c r="E24" t="s">
        <v>61</v>
      </c>
      <c r="F24" t="s">
        <v>106</v>
      </c>
      <c r="G24" s="12" t="str">
        <f>IF(Table5[[#This Row],[ShiftCounter]]&gt;0,"Running","Down")</f>
        <v>Down</v>
      </c>
      <c r="H24" s="9">
        <v>12</v>
      </c>
      <c r="I24" t="s">
        <v>58</v>
      </c>
      <c r="J24" s="15">
        <v>0</v>
      </c>
      <c r="K24" s="15">
        <v>0</v>
      </c>
      <c r="L24">
        <v>0</v>
      </c>
      <c r="M24">
        <v>0</v>
      </c>
      <c r="N24">
        <v>13.5</v>
      </c>
      <c r="P24" t="s">
        <v>192</v>
      </c>
    </row>
    <row r="25" spans="1:16" x14ac:dyDescent="0.25">
      <c r="A25" s="16">
        <v>44871</v>
      </c>
      <c r="B25" t="s">
        <v>10</v>
      </c>
      <c r="C25" s="12" t="s">
        <v>6</v>
      </c>
      <c r="D25" t="s">
        <v>229</v>
      </c>
      <c r="G25" s="12" t="str">
        <f>IF(Table5[[#This Row],[ShiftCounter]]&gt;0,"Running","Down")</f>
        <v>Down</v>
      </c>
      <c r="H25" s="9">
        <v>13</v>
      </c>
      <c r="I25" t="s">
        <v>58</v>
      </c>
      <c r="J25" s="15">
        <v>0</v>
      </c>
      <c r="K25" s="15">
        <v>0</v>
      </c>
      <c r="L25">
        <v>0</v>
      </c>
      <c r="M25">
        <v>0</v>
      </c>
      <c r="N25">
        <v>14.55</v>
      </c>
      <c r="P25" t="s">
        <v>194</v>
      </c>
    </row>
    <row r="26" spans="1:16" x14ac:dyDescent="0.25">
      <c r="A26" s="16">
        <v>44871</v>
      </c>
      <c r="B26" t="s">
        <v>11</v>
      </c>
      <c r="C26" s="12" t="s">
        <v>6</v>
      </c>
      <c r="D26" t="s">
        <v>159</v>
      </c>
      <c r="E26" t="s">
        <v>61</v>
      </c>
      <c r="F26" t="s">
        <v>106</v>
      </c>
      <c r="G26" s="12" t="str">
        <f>IF(Table5[[#This Row],[ShiftCounter]]&gt;0,"Running","Down")</f>
        <v>Down</v>
      </c>
      <c r="H26" s="9">
        <v>14</v>
      </c>
      <c r="I26" t="s">
        <v>58</v>
      </c>
      <c r="J26" s="15">
        <v>0</v>
      </c>
      <c r="K26" s="15">
        <v>0</v>
      </c>
      <c r="L26">
        <v>0</v>
      </c>
      <c r="M26">
        <v>0</v>
      </c>
      <c r="N26">
        <v>12.8</v>
      </c>
      <c r="P26" t="s">
        <v>185</v>
      </c>
    </row>
    <row r="27" spans="1:16" x14ac:dyDescent="0.25">
      <c r="A27" s="16">
        <v>44871</v>
      </c>
      <c r="B27" t="s">
        <v>12</v>
      </c>
      <c r="C27" s="12" t="s">
        <v>6</v>
      </c>
      <c r="D27" t="s">
        <v>230</v>
      </c>
      <c r="G27" s="12" t="str">
        <f>IF(Table5[[#This Row],[ShiftCounter]]&gt;0,"Running","Down")</f>
        <v>Down</v>
      </c>
      <c r="H27" s="9">
        <v>15</v>
      </c>
      <c r="I27" t="s">
        <v>58</v>
      </c>
      <c r="J27" s="15">
        <v>0</v>
      </c>
      <c r="K27" s="15">
        <v>0</v>
      </c>
      <c r="L27">
        <v>0</v>
      </c>
      <c r="M27">
        <v>0</v>
      </c>
      <c r="N27">
        <v>12.56</v>
      </c>
      <c r="P27" t="s">
        <v>188</v>
      </c>
    </row>
    <row r="28" spans="1:16" x14ac:dyDescent="0.25">
      <c r="A28" s="16">
        <v>44871</v>
      </c>
      <c r="B28" t="s">
        <v>120</v>
      </c>
      <c r="C28" s="12" t="s">
        <v>6</v>
      </c>
      <c r="D28" t="s">
        <v>134</v>
      </c>
      <c r="E28" t="s">
        <v>61</v>
      </c>
      <c r="F28" t="s">
        <v>106</v>
      </c>
      <c r="G28" s="12" t="str">
        <f>IF(Table5[[#This Row],[ShiftCounter]]&gt;0,"Running","Down")</f>
        <v>Down</v>
      </c>
      <c r="H28" s="9">
        <v>16</v>
      </c>
      <c r="I28" t="s">
        <v>58</v>
      </c>
      <c r="J28" s="15">
        <v>0</v>
      </c>
      <c r="K28" s="15">
        <v>0</v>
      </c>
      <c r="L28">
        <v>0</v>
      </c>
      <c r="M28">
        <v>0</v>
      </c>
      <c r="N28">
        <v>12.4</v>
      </c>
      <c r="P28" t="s">
        <v>185</v>
      </c>
    </row>
    <row r="29" spans="1:16" x14ac:dyDescent="0.25">
      <c r="A29" s="16">
        <v>44871</v>
      </c>
      <c r="B29" t="s">
        <v>119</v>
      </c>
      <c r="C29" s="12" t="s">
        <v>6</v>
      </c>
      <c r="D29" t="s">
        <v>172</v>
      </c>
      <c r="E29" t="s">
        <v>61</v>
      </c>
      <c r="F29" t="s">
        <v>130</v>
      </c>
      <c r="G29" s="12" t="str">
        <f>IF(Table5[[#This Row],[ShiftCounter]]&gt;0,"Running","Down")</f>
        <v>Down</v>
      </c>
      <c r="H29" s="9">
        <v>17</v>
      </c>
      <c r="I29" t="s">
        <v>58</v>
      </c>
      <c r="J29" s="15">
        <v>0</v>
      </c>
      <c r="K29" s="15">
        <v>0</v>
      </c>
      <c r="L29">
        <v>0</v>
      </c>
      <c r="M29">
        <v>0</v>
      </c>
      <c r="N29">
        <v>15.61</v>
      </c>
      <c r="P29" t="s">
        <v>194</v>
      </c>
    </row>
    <row r="30" spans="1:16" x14ac:dyDescent="0.25">
      <c r="A30" s="16">
        <v>44871</v>
      </c>
      <c r="B30" t="s">
        <v>13</v>
      </c>
      <c r="C30" s="12" t="s">
        <v>6</v>
      </c>
      <c r="D30" t="s">
        <v>118</v>
      </c>
      <c r="E30" t="s">
        <v>61</v>
      </c>
      <c r="F30" t="s">
        <v>103</v>
      </c>
      <c r="G30" s="12" t="str">
        <f>IF(Table5[[#This Row],[ShiftCounter]]&gt;0,"Running","Down")</f>
        <v>Down</v>
      </c>
      <c r="H30" s="9">
        <v>18</v>
      </c>
      <c r="I30" t="s">
        <v>58</v>
      </c>
      <c r="J30" s="15">
        <v>0</v>
      </c>
      <c r="K30" s="15">
        <v>0</v>
      </c>
      <c r="L30">
        <v>0</v>
      </c>
      <c r="M30">
        <v>0</v>
      </c>
      <c r="N30">
        <v>12.7</v>
      </c>
      <c r="P30" t="s">
        <v>185</v>
      </c>
    </row>
    <row r="31" spans="1:16" x14ac:dyDescent="0.25">
      <c r="A31" s="16">
        <v>44871</v>
      </c>
      <c r="B31" t="s">
        <v>117</v>
      </c>
      <c r="C31" s="12" t="s">
        <v>6</v>
      </c>
      <c r="D31" t="s">
        <v>231</v>
      </c>
      <c r="E31" t="s">
        <v>91</v>
      </c>
      <c r="F31" t="s">
        <v>148</v>
      </c>
      <c r="G31" s="12" t="str">
        <f>IF(Table5[[#This Row],[ShiftCounter]]&gt;0,"Running","Down")</f>
        <v>Down</v>
      </c>
      <c r="H31" s="9">
        <v>19</v>
      </c>
      <c r="I31" t="s">
        <v>69</v>
      </c>
      <c r="J31" s="15">
        <v>0</v>
      </c>
      <c r="K31" s="15">
        <v>0</v>
      </c>
      <c r="L31">
        <v>0</v>
      </c>
      <c r="M31">
        <v>0</v>
      </c>
      <c r="N31">
        <v>30.41</v>
      </c>
      <c r="P31" t="s">
        <v>257</v>
      </c>
    </row>
    <row r="32" spans="1:16" x14ac:dyDescent="0.25">
      <c r="A32" s="16">
        <v>44871</v>
      </c>
      <c r="B32" t="s">
        <v>114</v>
      </c>
      <c r="C32" s="12" t="s">
        <v>6</v>
      </c>
      <c r="D32" t="s">
        <v>115</v>
      </c>
      <c r="E32" t="s">
        <v>61</v>
      </c>
      <c r="F32" t="s">
        <v>103</v>
      </c>
      <c r="G32" s="12" t="str">
        <f>IF(Table5[[#This Row],[ShiftCounter]]&gt;0,"Running","Down")</f>
        <v>Down</v>
      </c>
      <c r="H32" s="9" t="s">
        <v>116</v>
      </c>
      <c r="I32" t="s">
        <v>58</v>
      </c>
      <c r="J32" s="15">
        <v>0</v>
      </c>
      <c r="K32" s="15">
        <v>0</v>
      </c>
      <c r="L32">
        <v>0</v>
      </c>
      <c r="M32">
        <v>0</v>
      </c>
      <c r="N32">
        <v>12.9</v>
      </c>
      <c r="P32" t="s">
        <v>185</v>
      </c>
    </row>
    <row r="33" spans="1:16" x14ac:dyDescent="0.25">
      <c r="A33" s="16">
        <v>44871</v>
      </c>
      <c r="B33" t="s">
        <v>112</v>
      </c>
      <c r="C33" s="12" t="s">
        <v>6</v>
      </c>
      <c r="G33" s="12" t="str">
        <f>IF(Table5[[#This Row],[ShiftCounter]]&gt;0,"Running","Down")</f>
        <v>Down</v>
      </c>
      <c r="H33" s="9" t="s">
        <v>113</v>
      </c>
      <c r="J33" s="15">
        <v>0</v>
      </c>
      <c r="K33" s="15">
        <v>0</v>
      </c>
      <c r="L33">
        <v>0</v>
      </c>
      <c r="M33">
        <v>0</v>
      </c>
      <c r="N33">
        <v>0</v>
      </c>
    </row>
    <row r="34" spans="1:16" x14ac:dyDescent="0.25">
      <c r="A34" s="16">
        <v>44871</v>
      </c>
      <c r="B34" t="s">
        <v>110</v>
      </c>
      <c r="C34" s="12" t="s">
        <v>6</v>
      </c>
      <c r="D34" t="s">
        <v>232</v>
      </c>
      <c r="E34" t="s">
        <v>233</v>
      </c>
      <c r="F34" t="s">
        <v>148</v>
      </c>
      <c r="G34" s="12" t="str">
        <f>IF(Table5[[#This Row],[ShiftCounter]]&gt;0,"Running","Down")</f>
        <v>Down</v>
      </c>
      <c r="H34" s="9" t="s">
        <v>111</v>
      </c>
      <c r="I34" t="s">
        <v>58</v>
      </c>
      <c r="J34" s="15">
        <v>0</v>
      </c>
      <c r="K34" s="15">
        <v>0</v>
      </c>
      <c r="L34">
        <v>0</v>
      </c>
      <c r="M34">
        <v>0</v>
      </c>
      <c r="N34">
        <v>28.29</v>
      </c>
      <c r="P34" t="s">
        <v>186</v>
      </c>
    </row>
    <row r="35" spans="1:16" x14ac:dyDescent="0.25">
      <c r="A35" s="16">
        <v>44871</v>
      </c>
      <c r="B35" t="s">
        <v>108</v>
      </c>
      <c r="C35" s="12" t="s">
        <v>6</v>
      </c>
      <c r="D35" t="s">
        <v>234</v>
      </c>
      <c r="E35" t="s">
        <v>91</v>
      </c>
      <c r="F35" t="s">
        <v>148</v>
      </c>
      <c r="G35" s="12" t="str">
        <f>IF(Table5[[#This Row],[ShiftCounter]]&gt;0,"Running","Down")</f>
        <v>Down</v>
      </c>
      <c r="H35" s="9" t="s">
        <v>109</v>
      </c>
      <c r="I35" t="s">
        <v>69</v>
      </c>
      <c r="J35" s="15">
        <v>0</v>
      </c>
      <c r="K35" s="15">
        <v>0</v>
      </c>
      <c r="L35">
        <v>0</v>
      </c>
      <c r="M35">
        <v>0</v>
      </c>
      <c r="N35">
        <v>22.17</v>
      </c>
      <c r="P35" t="s">
        <v>190</v>
      </c>
    </row>
    <row r="36" spans="1:16" x14ac:dyDescent="0.25">
      <c r="A36" s="16">
        <v>44871</v>
      </c>
      <c r="B36" t="s">
        <v>14</v>
      </c>
      <c r="C36" s="12" t="s">
        <v>6</v>
      </c>
      <c r="D36" t="s">
        <v>174</v>
      </c>
      <c r="E36" t="s">
        <v>84</v>
      </c>
      <c r="F36" t="s">
        <v>106</v>
      </c>
      <c r="G36" s="12" t="str">
        <f>IF(Table5[[#This Row],[ShiftCounter]]&gt;0,"Running","Down")</f>
        <v>Down</v>
      </c>
      <c r="H36" s="9" t="s">
        <v>107</v>
      </c>
      <c r="I36" t="s">
        <v>58</v>
      </c>
      <c r="J36" s="15">
        <v>0</v>
      </c>
      <c r="K36" s="15">
        <v>0</v>
      </c>
      <c r="L36">
        <v>0</v>
      </c>
      <c r="M36">
        <v>0</v>
      </c>
      <c r="N36">
        <v>12.8</v>
      </c>
      <c r="P36" t="s">
        <v>200</v>
      </c>
    </row>
    <row r="37" spans="1:16" x14ac:dyDescent="0.25">
      <c r="A37" s="16">
        <v>44871</v>
      </c>
      <c r="B37" t="s">
        <v>104</v>
      </c>
      <c r="C37" s="12" t="s">
        <v>6</v>
      </c>
      <c r="G37" s="12" t="str">
        <f>IF(Table5[[#This Row],[ShiftCounter]]&gt;0,"Running","Down")</f>
        <v>Down</v>
      </c>
      <c r="H37" s="9" t="s">
        <v>105</v>
      </c>
      <c r="J37" s="15">
        <v>0</v>
      </c>
      <c r="K37" s="15">
        <v>0</v>
      </c>
      <c r="L37">
        <v>0</v>
      </c>
      <c r="M37">
        <v>0</v>
      </c>
      <c r="N37">
        <v>0</v>
      </c>
    </row>
    <row r="38" spans="1:16" x14ac:dyDescent="0.25">
      <c r="A38" s="16">
        <v>44871</v>
      </c>
      <c r="B38" t="s">
        <v>15</v>
      </c>
      <c r="C38" s="12" t="s">
        <v>6</v>
      </c>
      <c r="D38" t="s">
        <v>102</v>
      </c>
      <c r="E38" t="s">
        <v>61</v>
      </c>
      <c r="F38" t="s">
        <v>103</v>
      </c>
      <c r="G38" s="12" t="str">
        <f>IF(Table5[[#This Row],[ShiftCounter]]&gt;0,"Running","Down")</f>
        <v>Down</v>
      </c>
      <c r="H38" s="9">
        <v>20</v>
      </c>
      <c r="I38" t="s">
        <v>58</v>
      </c>
      <c r="J38" s="15">
        <v>0</v>
      </c>
      <c r="K38" s="15">
        <v>0</v>
      </c>
      <c r="L38">
        <v>0</v>
      </c>
      <c r="M38">
        <v>0</v>
      </c>
      <c r="N38">
        <v>12.6</v>
      </c>
      <c r="P38" t="s">
        <v>185</v>
      </c>
    </row>
    <row r="39" spans="1:16" x14ac:dyDescent="0.25">
      <c r="A39" s="16">
        <v>44871</v>
      </c>
      <c r="B39" t="s">
        <v>101</v>
      </c>
      <c r="C39" s="12" t="s">
        <v>6</v>
      </c>
      <c r="G39" s="12" t="str">
        <f>IF(Table5[[#This Row],[ShiftCounter]]&gt;0,"Running","Down")</f>
        <v>Down</v>
      </c>
      <c r="H39" s="9">
        <v>21</v>
      </c>
      <c r="I39" t="s">
        <v>69</v>
      </c>
      <c r="J39" s="15">
        <v>0</v>
      </c>
      <c r="K39" s="15">
        <v>0</v>
      </c>
      <c r="L39">
        <v>0</v>
      </c>
      <c r="M39">
        <v>0</v>
      </c>
      <c r="N39">
        <v>0</v>
      </c>
    </row>
    <row r="40" spans="1:16" x14ac:dyDescent="0.25">
      <c r="A40" s="16">
        <v>44871</v>
      </c>
      <c r="B40" t="s">
        <v>16</v>
      </c>
      <c r="C40" s="12" t="s">
        <v>6</v>
      </c>
      <c r="D40" t="s">
        <v>181</v>
      </c>
      <c r="E40" t="s">
        <v>61</v>
      </c>
      <c r="F40" t="s">
        <v>103</v>
      </c>
      <c r="G40" s="12" t="str">
        <f>IF(Table5[[#This Row],[ShiftCounter]]&gt;0,"Running","Down")</f>
        <v>Down</v>
      </c>
      <c r="H40" s="9">
        <v>22</v>
      </c>
      <c r="I40" t="s">
        <v>58</v>
      </c>
      <c r="J40" s="15">
        <v>0</v>
      </c>
      <c r="K40" s="15">
        <v>0</v>
      </c>
      <c r="L40">
        <v>0</v>
      </c>
      <c r="M40">
        <v>0</v>
      </c>
      <c r="N40">
        <v>13</v>
      </c>
      <c r="P40" t="s">
        <v>185</v>
      </c>
    </row>
    <row r="41" spans="1:16" x14ac:dyDescent="0.25">
      <c r="A41" s="16">
        <v>44871</v>
      </c>
      <c r="B41" t="s">
        <v>99</v>
      </c>
      <c r="C41" s="12" t="s">
        <v>6</v>
      </c>
      <c r="G41" s="12" t="str">
        <f>IF(Table5[[#This Row],[ShiftCounter]]&gt;0,"Running","Down")</f>
        <v>Down</v>
      </c>
      <c r="H41" s="9">
        <v>23</v>
      </c>
      <c r="J41" s="15">
        <v>0</v>
      </c>
      <c r="K41" s="15">
        <v>0</v>
      </c>
      <c r="L41">
        <v>0</v>
      </c>
      <c r="M41">
        <v>0</v>
      </c>
      <c r="N41">
        <v>0</v>
      </c>
    </row>
    <row r="42" spans="1:16" x14ac:dyDescent="0.25">
      <c r="A42" s="16">
        <v>44871</v>
      </c>
      <c r="B42" t="s">
        <v>17</v>
      </c>
      <c r="C42" s="12" t="s">
        <v>6</v>
      </c>
      <c r="D42" t="s">
        <v>235</v>
      </c>
      <c r="E42" t="s">
        <v>79</v>
      </c>
      <c r="F42" t="s">
        <v>183</v>
      </c>
      <c r="G42" s="12" t="str">
        <f>IF(Table5[[#This Row],[ShiftCounter]]&gt;0,"Running","Down")</f>
        <v>Down</v>
      </c>
      <c r="H42" s="9">
        <v>24</v>
      </c>
      <c r="I42" t="s">
        <v>58</v>
      </c>
      <c r="J42" s="15">
        <v>0</v>
      </c>
      <c r="K42" s="15">
        <v>0</v>
      </c>
      <c r="L42">
        <v>0</v>
      </c>
      <c r="M42">
        <v>0</v>
      </c>
      <c r="N42">
        <v>13.4</v>
      </c>
      <c r="P42" t="s">
        <v>258</v>
      </c>
    </row>
    <row r="43" spans="1:16" x14ac:dyDescent="0.25">
      <c r="A43" s="16">
        <v>44871</v>
      </c>
      <c r="B43" t="s">
        <v>19</v>
      </c>
      <c r="C43" s="12" t="s">
        <v>6</v>
      </c>
      <c r="D43" t="s">
        <v>98</v>
      </c>
      <c r="E43" t="s">
        <v>56</v>
      </c>
      <c r="F43" t="s">
        <v>236</v>
      </c>
      <c r="G43" s="12" t="str">
        <f>IF(Table5[[#This Row],[ShiftCounter]]&gt;0,"Running","Down")</f>
        <v>Down</v>
      </c>
      <c r="H43" s="9">
        <v>25</v>
      </c>
      <c r="I43" t="s">
        <v>69</v>
      </c>
      <c r="J43" s="15">
        <v>0</v>
      </c>
      <c r="K43" s="15">
        <v>0</v>
      </c>
      <c r="L43">
        <v>0</v>
      </c>
      <c r="M43">
        <v>0</v>
      </c>
      <c r="N43">
        <v>14.9</v>
      </c>
      <c r="P43" t="s">
        <v>197</v>
      </c>
    </row>
    <row r="44" spans="1:16" x14ac:dyDescent="0.25">
      <c r="A44" s="16">
        <v>44871</v>
      </c>
      <c r="B44" t="s">
        <v>18</v>
      </c>
      <c r="C44" s="12" t="s">
        <v>6</v>
      </c>
      <c r="D44" t="s">
        <v>164</v>
      </c>
      <c r="E44" t="s">
        <v>79</v>
      </c>
      <c r="F44" t="s">
        <v>183</v>
      </c>
      <c r="G44" s="12" t="str">
        <f>IF(Table5[[#This Row],[ShiftCounter]]&gt;0,"Running","Down")</f>
        <v>Down</v>
      </c>
      <c r="H44" s="9">
        <v>26</v>
      </c>
      <c r="I44" t="s">
        <v>58</v>
      </c>
      <c r="J44" s="15">
        <v>0</v>
      </c>
      <c r="K44" s="15">
        <v>0</v>
      </c>
      <c r="L44">
        <v>0</v>
      </c>
      <c r="M44">
        <v>0</v>
      </c>
      <c r="N44">
        <v>12.7</v>
      </c>
      <c r="P44" t="s">
        <v>196</v>
      </c>
    </row>
    <row r="45" spans="1:16" x14ac:dyDescent="0.25">
      <c r="A45" s="16">
        <v>44871</v>
      </c>
      <c r="B45" t="s">
        <v>97</v>
      </c>
      <c r="C45" s="12" t="s">
        <v>6</v>
      </c>
      <c r="G45" s="12" t="str">
        <f>IF(Table5[[#This Row],[ShiftCounter]]&gt;0,"Running","Down")</f>
        <v>Down</v>
      </c>
      <c r="H45" s="9">
        <v>27</v>
      </c>
      <c r="J45" s="15">
        <v>0</v>
      </c>
      <c r="K45" s="15">
        <v>0</v>
      </c>
      <c r="L45">
        <v>0</v>
      </c>
      <c r="M45">
        <v>0</v>
      </c>
      <c r="N45">
        <v>0</v>
      </c>
    </row>
    <row r="46" spans="1:16" x14ac:dyDescent="0.25">
      <c r="A46" s="16">
        <v>44871</v>
      </c>
      <c r="B46" t="s">
        <v>42</v>
      </c>
      <c r="C46" s="12" t="s">
        <v>6</v>
      </c>
      <c r="D46" t="s">
        <v>237</v>
      </c>
      <c r="E46" t="s">
        <v>78</v>
      </c>
      <c r="F46" t="s">
        <v>183</v>
      </c>
      <c r="G46" s="12" t="str">
        <f>IF(Table5[[#This Row],[ShiftCounter]]&gt;0,"Running","Down")</f>
        <v>Down</v>
      </c>
      <c r="H46" s="9">
        <v>28</v>
      </c>
      <c r="I46" t="s">
        <v>58</v>
      </c>
      <c r="J46" s="15">
        <v>0</v>
      </c>
      <c r="K46" s="15">
        <v>0</v>
      </c>
      <c r="L46">
        <v>0</v>
      </c>
      <c r="M46">
        <v>0</v>
      </c>
      <c r="N46">
        <v>12.9</v>
      </c>
      <c r="P46" t="s">
        <v>198</v>
      </c>
    </row>
    <row r="47" spans="1:16" x14ac:dyDescent="0.25">
      <c r="A47" s="16">
        <v>44871</v>
      </c>
      <c r="B47" t="s">
        <v>96</v>
      </c>
      <c r="C47" s="12" t="s">
        <v>6</v>
      </c>
      <c r="G47" s="12" t="str">
        <f>IF(Table5[[#This Row],[ShiftCounter]]&gt;0,"Running","Down")</f>
        <v>Down</v>
      </c>
      <c r="H47" s="9">
        <v>29</v>
      </c>
      <c r="I47" t="s">
        <v>69</v>
      </c>
      <c r="J47" s="15">
        <v>0</v>
      </c>
      <c r="K47" s="15">
        <v>0</v>
      </c>
      <c r="L47">
        <v>0</v>
      </c>
      <c r="M47">
        <v>0</v>
      </c>
      <c r="N47">
        <v>0</v>
      </c>
    </row>
    <row r="48" spans="1:16" x14ac:dyDescent="0.25">
      <c r="A48" s="16">
        <v>44871</v>
      </c>
      <c r="B48" t="s">
        <v>38</v>
      </c>
      <c r="C48" s="12" t="s">
        <v>6</v>
      </c>
      <c r="D48" t="s">
        <v>238</v>
      </c>
      <c r="E48" t="s">
        <v>61</v>
      </c>
      <c r="F48" t="s">
        <v>183</v>
      </c>
      <c r="G48" s="12" t="str">
        <f>IF(Table5[[#This Row],[ShiftCounter]]&gt;0,"Running","Down")</f>
        <v>Down</v>
      </c>
      <c r="H48" s="9" t="s">
        <v>95</v>
      </c>
      <c r="I48" t="s">
        <v>58</v>
      </c>
      <c r="J48" s="15">
        <v>0</v>
      </c>
      <c r="K48" s="15">
        <v>0</v>
      </c>
      <c r="L48">
        <v>0</v>
      </c>
      <c r="M48">
        <v>0</v>
      </c>
      <c r="N48">
        <v>12.99</v>
      </c>
      <c r="P48" t="s">
        <v>259</v>
      </c>
    </row>
    <row r="49" spans="1:16" x14ac:dyDescent="0.25">
      <c r="A49" s="16">
        <v>44871</v>
      </c>
      <c r="B49" t="s">
        <v>93</v>
      </c>
      <c r="C49" s="12" t="s">
        <v>6</v>
      </c>
      <c r="G49" s="12" t="str">
        <f>IF(Table5[[#This Row],[ShiftCounter]]&gt;0,"Running","Down")</f>
        <v>Down</v>
      </c>
      <c r="H49" s="9" t="s">
        <v>94</v>
      </c>
      <c r="J49" s="15">
        <v>0</v>
      </c>
      <c r="K49" s="15">
        <v>0</v>
      </c>
      <c r="L49">
        <v>0</v>
      </c>
      <c r="M49">
        <v>0</v>
      </c>
      <c r="N49">
        <v>0</v>
      </c>
    </row>
    <row r="50" spans="1:16" x14ac:dyDescent="0.25">
      <c r="A50" s="16">
        <v>44871</v>
      </c>
      <c r="B50" t="s">
        <v>20</v>
      </c>
      <c r="C50" s="12" t="s">
        <v>6</v>
      </c>
      <c r="D50" t="s">
        <v>90</v>
      </c>
      <c r="E50" t="s">
        <v>91</v>
      </c>
      <c r="F50" t="s">
        <v>62</v>
      </c>
      <c r="G50" s="12" t="str">
        <f>IF(Table5[[#This Row],[ShiftCounter]]&gt;0,"Running","Down")</f>
        <v>Down</v>
      </c>
      <c r="H50" s="9" t="s">
        <v>92</v>
      </c>
      <c r="I50" t="s">
        <v>58</v>
      </c>
      <c r="J50" s="15">
        <v>0</v>
      </c>
      <c r="K50" s="15">
        <v>0</v>
      </c>
      <c r="L50">
        <v>0</v>
      </c>
      <c r="M50">
        <v>0</v>
      </c>
      <c r="N50">
        <v>14.1</v>
      </c>
      <c r="P50" t="s">
        <v>199</v>
      </c>
    </row>
    <row r="51" spans="1:16" x14ac:dyDescent="0.25">
      <c r="A51" s="16">
        <v>44871</v>
      </c>
      <c r="B51" t="s">
        <v>21</v>
      </c>
      <c r="C51" s="12" t="s">
        <v>6</v>
      </c>
      <c r="D51" t="s">
        <v>88</v>
      </c>
      <c r="E51" t="s">
        <v>56</v>
      </c>
      <c r="F51" t="s">
        <v>173</v>
      </c>
      <c r="G51" s="12" t="str">
        <f>IF(Table5[[#This Row],[ShiftCounter]]&gt;0,"Running","Down")</f>
        <v>Down</v>
      </c>
      <c r="H51" s="9" t="s">
        <v>89</v>
      </c>
      <c r="I51" t="s">
        <v>69</v>
      </c>
      <c r="J51" s="15">
        <v>0</v>
      </c>
      <c r="K51" s="15">
        <v>0</v>
      </c>
      <c r="L51">
        <v>0</v>
      </c>
      <c r="M51">
        <v>0</v>
      </c>
      <c r="N51">
        <v>12.3</v>
      </c>
      <c r="P51" t="s">
        <v>199</v>
      </c>
    </row>
    <row r="52" spans="1:16" x14ac:dyDescent="0.25">
      <c r="A52" s="16">
        <v>44871</v>
      </c>
      <c r="B52" t="s">
        <v>22</v>
      </c>
      <c r="C52" s="12" t="s">
        <v>6</v>
      </c>
      <c r="D52" t="s">
        <v>239</v>
      </c>
      <c r="E52" t="s">
        <v>91</v>
      </c>
      <c r="F52" t="s">
        <v>148</v>
      </c>
      <c r="G52" s="12" t="str">
        <f>IF(Table5[[#This Row],[ShiftCounter]]&gt;0,"Running","Down")</f>
        <v>Down</v>
      </c>
      <c r="H52" s="9" t="s">
        <v>87</v>
      </c>
      <c r="I52" t="s">
        <v>58</v>
      </c>
      <c r="J52" s="15">
        <v>0</v>
      </c>
      <c r="K52" s="15">
        <v>0</v>
      </c>
      <c r="L52">
        <v>0</v>
      </c>
      <c r="M52">
        <v>0</v>
      </c>
      <c r="N52">
        <v>18.829999999999998</v>
      </c>
      <c r="P52" t="s">
        <v>186</v>
      </c>
    </row>
    <row r="53" spans="1:16" x14ac:dyDescent="0.25">
      <c r="A53" s="16">
        <v>44871</v>
      </c>
      <c r="B53" t="s">
        <v>85</v>
      </c>
      <c r="C53" s="12" t="s">
        <v>6</v>
      </c>
      <c r="G53" s="12" t="str">
        <f>IF(Table5[[#This Row],[ShiftCounter]]&gt;0,"Running","Down")</f>
        <v>Down</v>
      </c>
      <c r="H53" s="9" t="s">
        <v>86</v>
      </c>
      <c r="J53" s="15">
        <v>0</v>
      </c>
      <c r="K53" s="15">
        <v>0</v>
      </c>
      <c r="L53">
        <v>0</v>
      </c>
      <c r="M53">
        <v>0</v>
      </c>
      <c r="N53">
        <v>0</v>
      </c>
    </row>
    <row r="54" spans="1:16" x14ac:dyDescent="0.25">
      <c r="A54" s="16">
        <v>44871</v>
      </c>
      <c r="B54" t="s">
        <v>23</v>
      </c>
      <c r="C54" s="12" t="s">
        <v>6</v>
      </c>
      <c r="D54" t="s">
        <v>240</v>
      </c>
      <c r="E54" t="s">
        <v>84</v>
      </c>
      <c r="F54" t="s">
        <v>183</v>
      </c>
      <c r="G54" s="12" t="str">
        <f>IF(Table5[[#This Row],[ShiftCounter]]&gt;0,"Running","Down")</f>
        <v>Down</v>
      </c>
      <c r="H54" s="9">
        <v>30</v>
      </c>
      <c r="I54" t="s">
        <v>58</v>
      </c>
      <c r="J54" s="15">
        <v>0</v>
      </c>
      <c r="K54" s="15">
        <v>0</v>
      </c>
      <c r="L54">
        <v>0</v>
      </c>
      <c r="M54">
        <v>0</v>
      </c>
      <c r="N54">
        <v>12.5</v>
      </c>
      <c r="P54" t="s">
        <v>200</v>
      </c>
    </row>
    <row r="55" spans="1:16" x14ac:dyDescent="0.25">
      <c r="A55" s="16">
        <v>44871</v>
      </c>
      <c r="B55" t="s">
        <v>24</v>
      </c>
      <c r="C55" s="12" t="s">
        <v>6</v>
      </c>
      <c r="D55" t="s">
        <v>82</v>
      </c>
      <c r="E55" t="s">
        <v>56</v>
      </c>
      <c r="F55" t="s">
        <v>83</v>
      </c>
      <c r="G55" s="12" t="str">
        <f>IF(Table5[[#This Row],[ShiftCounter]]&gt;0,"Running","Down")</f>
        <v>Down</v>
      </c>
      <c r="H55" s="9">
        <v>31</v>
      </c>
      <c r="I55" t="s">
        <v>69</v>
      </c>
      <c r="J55" s="15">
        <v>0</v>
      </c>
      <c r="K55" s="15">
        <v>0</v>
      </c>
      <c r="L55">
        <v>0</v>
      </c>
      <c r="M55">
        <v>0</v>
      </c>
      <c r="N55">
        <v>13.41</v>
      </c>
      <c r="P55" t="s">
        <v>199</v>
      </c>
    </row>
    <row r="56" spans="1:16" x14ac:dyDescent="0.25">
      <c r="A56" s="16">
        <v>44871</v>
      </c>
      <c r="B56" t="s">
        <v>81</v>
      </c>
      <c r="C56" s="12" t="s">
        <v>6</v>
      </c>
      <c r="D56" t="s">
        <v>241</v>
      </c>
      <c r="E56" t="s">
        <v>78</v>
      </c>
      <c r="F56" t="s">
        <v>66</v>
      </c>
      <c r="G56" s="12" t="str">
        <f>IF(Table5[[#This Row],[ShiftCounter]]&gt;0,"Running","Down")</f>
        <v>Down</v>
      </c>
      <c r="H56" s="9">
        <v>32</v>
      </c>
      <c r="I56" t="s">
        <v>58</v>
      </c>
      <c r="J56" s="15">
        <v>0</v>
      </c>
      <c r="K56" s="15">
        <v>0</v>
      </c>
      <c r="L56">
        <v>0</v>
      </c>
      <c r="M56">
        <v>0</v>
      </c>
      <c r="N56">
        <v>13.2</v>
      </c>
      <c r="P56" t="s">
        <v>260</v>
      </c>
    </row>
    <row r="57" spans="1:16" x14ac:dyDescent="0.25">
      <c r="A57" s="16">
        <v>44871</v>
      </c>
      <c r="B57" t="s">
        <v>25</v>
      </c>
      <c r="C57" s="12" t="s">
        <v>6</v>
      </c>
      <c r="D57" t="s">
        <v>242</v>
      </c>
      <c r="E57" t="s">
        <v>56</v>
      </c>
      <c r="F57" t="s">
        <v>243</v>
      </c>
      <c r="G57" s="12" t="str">
        <f>IF(Table5[[#This Row],[ShiftCounter]]&gt;0,"Running","Down")</f>
        <v>Down</v>
      </c>
      <c r="H57" s="9">
        <v>33</v>
      </c>
      <c r="I57" t="s">
        <v>69</v>
      </c>
      <c r="J57" s="15">
        <v>0</v>
      </c>
      <c r="K57" s="15">
        <v>0</v>
      </c>
      <c r="L57">
        <v>0</v>
      </c>
      <c r="M57">
        <v>0</v>
      </c>
      <c r="N57">
        <v>13.6</v>
      </c>
      <c r="P57" t="s">
        <v>197</v>
      </c>
    </row>
    <row r="58" spans="1:16" x14ac:dyDescent="0.25">
      <c r="A58" s="16">
        <v>44871</v>
      </c>
      <c r="B58" t="s">
        <v>80</v>
      </c>
      <c r="C58" s="12" t="s">
        <v>6</v>
      </c>
      <c r="D58" t="s">
        <v>182</v>
      </c>
      <c r="E58" t="s">
        <v>61</v>
      </c>
      <c r="F58" t="s">
        <v>66</v>
      </c>
      <c r="G58" s="12" t="str">
        <f>IF(Table5[[#This Row],[ShiftCounter]]&gt;0,"Running","Down")</f>
        <v>Down</v>
      </c>
      <c r="H58" s="9">
        <v>34</v>
      </c>
      <c r="I58" t="s">
        <v>58</v>
      </c>
      <c r="J58" s="15">
        <v>0</v>
      </c>
      <c r="K58" s="15">
        <v>0</v>
      </c>
      <c r="L58">
        <v>0</v>
      </c>
      <c r="M58">
        <v>0</v>
      </c>
      <c r="N58">
        <v>14.7</v>
      </c>
      <c r="P58" t="s">
        <v>201</v>
      </c>
    </row>
    <row r="59" spans="1:16" x14ac:dyDescent="0.25">
      <c r="A59" s="16">
        <v>44871</v>
      </c>
      <c r="B59" t="s">
        <v>26</v>
      </c>
      <c r="C59" s="12" t="s">
        <v>6</v>
      </c>
      <c r="D59" t="s">
        <v>244</v>
      </c>
      <c r="E59" t="s">
        <v>56</v>
      </c>
      <c r="F59" t="s">
        <v>173</v>
      </c>
      <c r="G59" s="12" t="str">
        <f>IF(Table5[[#This Row],[ShiftCounter]]&gt;0,"Running","Down")</f>
        <v>Down</v>
      </c>
      <c r="H59" s="9">
        <v>35</v>
      </c>
      <c r="I59" t="s">
        <v>69</v>
      </c>
      <c r="J59" s="15">
        <v>0</v>
      </c>
      <c r="K59" s="15">
        <v>0</v>
      </c>
      <c r="L59">
        <v>0</v>
      </c>
      <c r="M59">
        <v>0</v>
      </c>
      <c r="N59">
        <v>13.9</v>
      </c>
      <c r="P59" t="s">
        <v>199</v>
      </c>
    </row>
    <row r="60" spans="1:16" x14ac:dyDescent="0.25">
      <c r="A60" s="16">
        <v>44871</v>
      </c>
      <c r="B60" t="s">
        <v>27</v>
      </c>
      <c r="C60" s="12" t="s">
        <v>6</v>
      </c>
      <c r="D60" t="s">
        <v>100</v>
      </c>
      <c r="E60" t="s">
        <v>61</v>
      </c>
      <c r="F60" t="s">
        <v>183</v>
      </c>
      <c r="G60" s="12" t="str">
        <f>IF(Table5[[#This Row],[ShiftCounter]]&gt;0,"Running","Down")</f>
        <v>Down</v>
      </c>
      <c r="H60" s="9">
        <v>36</v>
      </c>
      <c r="I60" t="s">
        <v>58</v>
      </c>
      <c r="J60" s="15">
        <v>0</v>
      </c>
      <c r="K60" s="15">
        <v>0</v>
      </c>
      <c r="L60">
        <v>0</v>
      </c>
      <c r="M60">
        <v>0</v>
      </c>
      <c r="N60">
        <v>12.5</v>
      </c>
      <c r="P60" t="s">
        <v>195</v>
      </c>
    </row>
    <row r="61" spans="1:16" x14ac:dyDescent="0.25">
      <c r="A61" s="16">
        <v>44871</v>
      </c>
      <c r="B61" t="s">
        <v>28</v>
      </c>
      <c r="C61" s="12" t="s">
        <v>6</v>
      </c>
      <c r="D61" t="s">
        <v>245</v>
      </c>
      <c r="E61" t="s">
        <v>56</v>
      </c>
      <c r="F61" t="s">
        <v>243</v>
      </c>
      <c r="G61" s="12" t="str">
        <f>IF(Table5[[#This Row],[ShiftCounter]]&gt;0,"Running","Down")</f>
        <v>Down</v>
      </c>
      <c r="H61" s="9">
        <v>37</v>
      </c>
      <c r="I61" t="s">
        <v>69</v>
      </c>
      <c r="J61" s="15">
        <v>0</v>
      </c>
      <c r="K61" s="15">
        <v>0</v>
      </c>
      <c r="L61">
        <v>0</v>
      </c>
      <c r="M61">
        <v>0</v>
      </c>
      <c r="N61">
        <v>13.6</v>
      </c>
      <c r="P61" t="s">
        <v>197</v>
      </c>
    </row>
    <row r="62" spans="1:16" x14ac:dyDescent="0.25">
      <c r="A62" s="16">
        <v>44871</v>
      </c>
      <c r="B62" t="s">
        <v>77</v>
      </c>
      <c r="C62" s="12" t="s">
        <v>6</v>
      </c>
      <c r="D62" t="s">
        <v>246</v>
      </c>
      <c r="E62" t="s">
        <v>78</v>
      </c>
      <c r="F62" t="s">
        <v>66</v>
      </c>
      <c r="G62" s="12" t="str">
        <f>IF(Table5[[#This Row],[ShiftCounter]]&gt;0,"Running","Down")</f>
        <v>Down</v>
      </c>
      <c r="H62" s="9">
        <v>39</v>
      </c>
      <c r="I62" t="s">
        <v>58</v>
      </c>
      <c r="J62" s="15">
        <v>0</v>
      </c>
      <c r="K62" s="15">
        <v>0</v>
      </c>
      <c r="L62">
        <v>0</v>
      </c>
      <c r="M62">
        <v>0</v>
      </c>
      <c r="N62">
        <v>14.49</v>
      </c>
      <c r="P62" t="s">
        <v>202</v>
      </c>
    </row>
    <row r="63" spans="1:16" x14ac:dyDescent="0.25">
      <c r="A63" s="16">
        <v>44871</v>
      </c>
      <c r="B63" t="s">
        <v>29</v>
      </c>
      <c r="C63" s="12" t="s">
        <v>6</v>
      </c>
      <c r="D63" t="s">
        <v>247</v>
      </c>
      <c r="E63" t="s">
        <v>56</v>
      </c>
      <c r="F63" t="s">
        <v>243</v>
      </c>
      <c r="G63" s="12" t="str">
        <f>IF(Table5[[#This Row],[ShiftCounter]]&gt;0,"Running","Down")</f>
        <v>Down</v>
      </c>
      <c r="H63" s="9">
        <v>39</v>
      </c>
      <c r="I63" t="s">
        <v>69</v>
      </c>
      <c r="J63" s="15">
        <v>0</v>
      </c>
      <c r="K63" s="15">
        <v>0</v>
      </c>
      <c r="L63">
        <v>0</v>
      </c>
      <c r="M63">
        <v>0</v>
      </c>
      <c r="N63">
        <v>14.99</v>
      </c>
      <c r="P63" t="s">
        <v>199</v>
      </c>
    </row>
    <row r="64" spans="1:16" x14ac:dyDescent="0.25">
      <c r="A64" s="16">
        <v>44871</v>
      </c>
      <c r="B64" t="s">
        <v>30</v>
      </c>
      <c r="C64" s="12" t="s">
        <v>6</v>
      </c>
      <c r="D64" t="s">
        <v>75</v>
      </c>
      <c r="E64" t="s">
        <v>56</v>
      </c>
      <c r="F64" t="s">
        <v>248</v>
      </c>
      <c r="G64" s="12" t="str">
        <f>IF(Table5[[#This Row],[ShiftCounter]]&gt;0,"Running","Down")</f>
        <v>Down</v>
      </c>
      <c r="H64" s="9" t="s">
        <v>76</v>
      </c>
      <c r="I64" t="s">
        <v>58</v>
      </c>
      <c r="J64" s="15">
        <v>0</v>
      </c>
      <c r="K64" s="15">
        <v>0</v>
      </c>
      <c r="L64">
        <v>0</v>
      </c>
      <c r="M64">
        <v>0</v>
      </c>
      <c r="N64">
        <v>13.59</v>
      </c>
      <c r="P64" t="s">
        <v>199</v>
      </c>
    </row>
    <row r="65" spans="1:16" x14ac:dyDescent="0.25">
      <c r="A65" s="16">
        <v>44871</v>
      </c>
      <c r="B65" t="s">
        <v>31</v>
      </c>
      <c r="C65" s="12" t="s">
        <v>6</v>
      </c>
      <c r="D65" t="s">
        <v>175</v>
      </c>
      <c r="E65" t="s">
        <v>56</v>
      </c>
      <c r="F65" t="s">
        <v>173</v>
      </c>
      <c r="G65" s="12" t="str">
        <f>IF(Table5[[#This Row],[ShiftCounter]]&gt;0,"Running","Down")</f>
        <v>Down</v>
      </c>
      <c r="H65" s="9" t="s">
        <v>74</v>
      </c>
      <c r="I65" t="s">
        <v>69</v>
      </c>
      <c r="J65" s="15">
        <v>0</v>
      </c>
      <c r="K65" s="15">
        <v>0</v>
      </c>
      <c r="L65">
        <v>0</v>
      </c>
      <c r="M65">
        <v>0</v>
      </c>
      <c r="N65">
        <v>13.6</v>
      </c>
      <c r="P65" t="s">
        <v>199</v>
      </c>
    </row>
    <row r="66" spans="1:16" x14ac:dyDescent="0.25">
      <c r="A66" s="16">
        <v>44871</v>
      </c>
      <c r="B66" t="s">
        <v>32</v>
      </c>
      <c r="C66" s="12" t="s">
        <v>6</v>
      </c>
      <c r="D66" t="s">
        <v>249</v>
      </c>
      <c r="E66" t="s">
        <v>56</v>
      </c>
      <c r="F66" t="s">
        <v>183</v>
      </c>
      <c r="G66" s="12" t="str">
        <f>IF(Table5[[#This Row],[ShiftCounter]]&gt;0,"Running","Down")</f>
        <v>Down</v>
      </c>
      <c r="H66" s="9" t="s">
        <v>73</v>
      </c>
      <c r="I66" t="s">
        <v>58</v>
      </c>
      <c r="J66" s="15">
        <v>0</v>
      </c>
      <c r="K66" s="15">
        <v>0</v>
      </c>
      <c r="L66">
        <v>0</v>
      </c>
      <c r="M66">
        <v>0</v>
      </c>
      <c r="N66">
        <v>13.59</v>
      </c>
      <c r="P66" t="s">
        <v>261</v>
      </c>
    </row>
    <row r="67" spans="1:16" x14ac:dyDescent="0.25">
      <c r="A67" s="16">
        <v>44871</v>
      </c>
      <c r="B67" t="s">
        <v>71</v>
      </c>
      <c r="C67" s="12" t="s">
        <v>6</v>
      </c>
      <c r="D67" t="s">
        <v>250</v>
      </c>
      <c r="E67" t="s">
        <v>56</v>
      </c>
      <c r="F67" t="s">
        <v>173</v>
      </c>
      <c r="G67" s="12" t="str">
        <f>IF(Table5[[#This Row],[ShiftCounter]]&gt;0,"Running","Down")</f>
        <v>Down</v>
      </c>
      <c r="H67" s="9" t="s">
        <v>72</v>
      </c>
      <c r="I67" t="s">
        <v>69</v>
      </c>
      <c r="J67" s="15">
        <v>0</v>
      </c>
      <c r="K67" s="15">
        <v>0</v>
      </c>
      <c r="L67">
        <v>0</v>
      </c>
      <c r="M67">
        <v>0</v>
      </c>
      <c r="N67">
        <v>13</v>
      </c>
      <c r="P67" t="s">
        <v>199</v>
      </c>
    </row>
    <row r="68" spans="1:16" x14ac:dyDescent="0.25">
      <c r="A68" s="16">
        <v>44871</v>
      </c>
      <c r="B68" t="s">
        <v>33</v>
      </c>
      <c r="C68" s="12" t="s">
        <v>6</v>
      </c>
      <c r="D68" t="s">
        <v>251</v>
      </c>
      <c r="E68" t="s">
        <v>91</v>
      </c>
      <c r="F68" t="s">
        <v>62</v>
      </c>
      <c r="G68" s="12" t="str">
        <f>IF(Table5[[#This Row],[ShiftCounter]]&gt;0,"Running","Down")</f>
        <v>Down</v>
      </c>
      <c r="H68" s="9" t="s">
        <v>70</v>
      </c>
      <c r="I68" t="s">
        <v>58</v>
      </c>
      <c r="J68" s="15">
        <v>0</v>
      </c>
      <c r="K68" s="15">
        <v>0</v>
      </c>
      <c r="L68">
        <v>0</v>
      </c>
      <c r="M68">
        <v>0</v>
      </c>
      <c r="N68">
        <v>12</v>
      </c>
      <c r="P68" t="s">
        <v>199</v>
      </c>
    </row>
    <row r="69" spans="1:16" x14ac:dyDescent="0.25">
      <c r="A69" s="16">
        <v>44871</v>
      </c>
      <c r="B69" t="s">
        <v>34</v>
      </c>
      <c r="C69" s="12" t="s">
        <v>6</v>
      </c>
      <c r="D69" t="s">
        <v>67</v>
      </c>
      <c r="E69" t="s">
        <v>56</v>
      </c>
      <c r="F69" t="s">
        <v>248</v>
      </c>
      <c r="G69" s="12" t="str">
        <f>IF(Table5[[#This Row],[ShiftCounter]]&gt;0,"Running","Down")</f>
        <v>Down</v>
      </c>
      <c r="H69" s="9" t="s">
        <v>68</v>
      </c>
      <c r="I69" t="s">
        <v>69</v>
      </c>
      <c r="J69" s="15">
        <v>0</v>
      </c>
      <c r="K69" s="15">
        <v>0</v>
      </c>
      <c r="L69">
        <v>0</v>
      </c>
      <c r="M69">
        <v>0</v>
      </c>
      <c r="N69">
        <v>15</v>
      </c>
      <c r="P69" t="s">
        <v>199</v>
      </c>
    </row>
    <row r="70" spans="1:16" x14ac:dyDescent="0.25">
      <c r="A70" s="16">
        <v>44871</v>
      </c>
      <c r="B70" t="s">
        <v>35</v>
      </c>
      <c r="C70" s="12" t="s">
        <v>6</v>
      </c>
      <c r="D70" t="s">
        <v>176</v>
      </c>
      <c r="E70" t="s">
        <v>61</v>
      </c>
      <c r="F70" t="s">
        <v>66</v>
      </c>
      <c r="G70" s="12" t="str">
        <f>IF(Table5[[#This Row],[ShiftCounter]]&gt;0,"Running","Down")</f>
        <v>Down</v>
      </c>
      <c r="H70" s="9">
        <v>40</v>
      </c>
      <c r="I70" t="s">
        <v>58</v>
      </c>
      <c r="J70" s="15">
        <v>0</v>
      </c>
      <c r="K70" s="15">
        <v>0</v>
      </c>
      <c r="L70">
        <v>0</v>
      </c>
      <c r="M70">
        <v>0</v>
      </c>
      <c r="N70">
        <v>13.7</v>
      </c>
      <c r="P70" t="s">
        <v>203</v>
      </c>
    </row>
    <row r="71" spans="1:16" x14ac:dyDescent="0.25">
      <c r="A71" s="16">
        <v>44871</v>
      </c>
      <c r="B71" t="s">
        <v>65</v>
      </c>
      <c r="C71" s="12" t="s">
        <v>6</v>
      </c>
      <c r="G71" s="12" t="str">
        <f>IF(Table5[[#This Row],[ShiftCounter]]&gt;0,"Running","Down")</f>
        <v>Down</v>
      </c>
      <c r="H71" s="9">
        <v>41</v>
      </c>
      <c r="J71" s="15">
        <v>0</v>
      </c>
      <c r="K71" s="15">
        <v>0</v>
      </c>
      <c r="L71">
        <v>0</v>
      </c>
      <c r="M71">
        <v>0</v>
      </c>
      <c r="N71">
        <v>0</v>
      </c>
    </row>
    <row r="72" spans="1:16" x14ac:dyDescent="0.25">
      <c r="A72" s="16">
        <v>44871</v>
      </c>
      <c r="B72" t="s">
        <v>36</v>
      </c>
      <c r="C72" s="12" t="s">
        <v>6</v>
      </c>
      <c r="D72" t="s">
        <v>252</v>
      </c>
      <c r="E72" t="s">
        <v>61</v>
      </c>
      <c r="F72" t="s">
        <v>183</v>
      </c>
      <c r="G72" s="12" t="str">
        <f>IF(Table5[[#This Row],[ShiftCounter]]&gt;0,"Running","Down")</f>
        <v>Down</v>
      </c>
      <c r="H72" s="9">
        <v>42</v>
      </c>
      <c r="I72" t="s">
        <v>58</v>
      </c>
      <c r="J72" s="15">
        <v>0</v>
      </c>
      <c r="K72" s="15">
        <v>0</v>
      </c>
      <c r="L72">
        <v>0</v>
      </c>
      <c r="M72">
        <v>0</v>
      </c>
      <c r="N72">
        <v>13.4</v>
      </c>
      <c r="P72" t="s">
        <v>262</v>
      </c>
    </row>
    <row r="73" spans="1:16" x14ac:dyDescent="0.25">
      <c r="A73" s="16">
        <v>44871</v>
      </c>
      <c r="B73" t="s">
        <v>64</v>
      </c>
      <c r="C73" s="12" t="s">
        <v>6</v>
      </c>
      <c r="G73" s="12" t="str">
        <f>IF(Table5[[#This Row],[ShiftCounter]]&gt;0,"Running","Down")</f>
        <v>Down</v>
      </c>
      <c r="H73" s="9"/>
      <c r="J73" s="15">
        <v>0</v>
      </c>
      <c r="K73" s="15">
        <v>0</v>
      </c>
      <c r="L73">
        <v>0</v>
      </c>
      <c r="M73">
        <v>0</v>
      </c>
      <c r="N73">
        <v>0</v>
      </c>
    </row>
    <row r="74" spans="1:16" x14ac:dyDescent="0.25">
      <c r="A74" s="16">
        <v>44871</v>
      </c>
      <c r="B74" t="s">
        <v>37</v>
      </c>
      <c r="C74" s="12" t="s">
        <v>6</v>
      </c>
      <c r="D74" t="s">
        <v>177</v>
      </c>
      <c r="E74" t="s">
        <v>56</v>
      </c>
      <c r="F74" t="s">
        <v>248</v>
      </c>
      <c r="G74" s="12" t="str">
        <f>IF(Table5[[#This Row],[ShiftCounter]]&gt;0,"Running","Down")</f>
        <v>Down</v>
      </c>
      <c r="H74" s="9">
        <v>43</v>
      </c>
      <c r="I74" t="s">
        <v>58</v>
      </c>
      <c r="J74" s="15">
        <v>0</v>
      </c>
      <c r="K74" s="15">
        <v>0</v>
      </c>
      <c r="L74">
        <v>0</v>
      </c>
      <c r="M74">
        <v>0</v>
      </c>
      <c r="N74">
        <v>12.99</v>
      </c>
      <c r="P74" t="s">
        <v>197</v>
      </c>
    </row>
    <row r="75" spans="1:16" x14ac:dyDescent="0.25">
      <c r="A75" s="16">
        <v>44871</v>
      </c>
      <c r="B75" t="s">
        <v>63</v>
      </c>
      <c r="C75" s="12" t="s">
        <v>6</v>
      </c>
      <c r="D75" t="s">
        <v>253</v>
      </c>
      <c r="E75" t="s">
        <v>61</v>
      </c>
      <c r="F75" t="s">
        <v>170</v>
      </c>
      <c r="G75" s="12" t="str">
        <f>IF(Table5[[#This Row],[ShiftCounter]]&gt;0,"Running","Down")</f>
        <v>Down</v>
      </c>
      <c r="H75" s="9">
        <v>44</v>
      </c>
      <c r="I75" t="s">
        <v>58</v>
      </c>
      <c r="J75" s="15">
        <v>0</v>
      </c>
      <c r="K75" s="15">
        <v>0</v>
      </c>
      <c r="L75">
        <v>0</v>
      </c>
      <c r="M75">
        <v>0</v>
      </c>
      <c r="N75">
        <v>16.5</v>
      </c>
      <c r="P75" t="s">
        <v>263</v>
      </c>
    </row>
    <row r="76" spans="1:16" x14ac:dyDescent="0.25">
      <c r="A76" s="16">
        <v>44871</v>
      </c>
      <c r="B76" t="s">
        <v>59</v>
      </c>
      <c r="C76" s="12" t="s">
        <v>6</v>
      </c>
      <c r="D76" t="s">
        <v>60</v>
      </c>
      <c r="E76" t="s">
        <v>61</v>
      </c>
      <c r="F76" t="s">
        <v>62</v>
      </c>
      <c r="G76" s="12" t="str">
        <f>IF(Table5[[#This Row],[ShiftCounter]]&gt;0,"Running","Down")</f>
        <v>Down</v>
      </c>
      <c r="H76" s="9">
        <v>45</v>
      </c>
      <c r="I76" t="s">
        <v>58</v>
      </c>
      <c r="J76" s="15">
        <v>0</v>
      </c>
      <c r="K76" s="15">
        <v>0</v>
      </c>
      <c r="L76">
        <v>0</v>
      </c>
      <c r="M76">
        <v>0</v>
      </c>
      <c r="N76">
        <v>16.2</v>
      </c>
      <c r="P76" t="s">
        <v>204</v>
      </c>
    </row>
    <row r="77" spans="1:16" x14ac:dyDescent="0.25">
      <c r="A77" s="16">
        <v>44871</v>
      </c>
      <c r="B77" t="s">
        <v>54</v>
      </c>
      <c r="C77" s="12" t="s">
        <v>6</v>
      </c>
      <c r="D77" t="s">
        <v>55</v>
      </c>
      <c r="E77" t="s">
        <v>254</v>
      </c>
      <c r="F77" t="s">
        <v>57</v>
      </c>
      <c r="G77" s="12" t="str">
        <f>IF(Table5[[#This Row],[ShiftCounter]]&gt;0,"Running","Down")</f>
        <v>Down</v>
      </c>
      <c r="H77" s="9">
        <v>46</v>
      </c>
      <c r="I77" t="s">
        <v>58</v>
      </c>
      <c r="J77" s="15">
        <v>0</v>
      </c>
      <c r="K77" s="15">
        <v>0</v>
      </c>
      <c r="L77">
        <v>0</v>
      </c>
      <c r="M77">
        <v>0</v>
      </c>
      <c r="N77">
        <v>16.489999999999998</v>
      </c>
      <c r="P77" t="s">
        <v>205</v>
      </c>
    </row>
    <row r="78" spans="1:16" x14ac:dyDescent="0.25">
      <c r="A78" s="16">
        <v>44871</v>
      </c>
      <c r="B78" t="s">
        <v>160</v>
      </c>
      <c r="C78" s="12" t="s">
        <v>7</v>
      </c>
      <c r="D78" s="15" t="s">
        <v>222</v>
      </c>
      <c r="E78" s="15" t="s">
        <v>91</v>
      </c>
      <c r="F78" s="15" t="s">
        <v>148</v>
      </c>
      <c r="G78" s="15" t="str">
        <f>IF(Table5[[#This Row],[ShiftCounter]]&gt;0,"Running","Down")</f>
        <v>Down</v>
      </c>
      <c r="H78" s="9" t="s">
        <v>206</v>
      </c>
      <c r="I78" s="15" t="s">
        <v>58</v>
      </c>
      <c r="J78" s="15">
        <v>0</v>
      </c>
      <c r="K78" s="15">
        <v>0</v>
      </c>
      <c r="L78" s="15">
        <v>0</v>
      </c>
      <c r="M78" s="15">
        <v>0</v>
      </c>
      <c r="N78" s="15">
        <v>17.22</v>
      </c>
      <c r="O78" s="15"/>
      <c r="P78" s="15" t="s">
        <v>191</v>
      </c>
    </row>
    <row r="79" spans="1:16" x14ac:dyDescent="0.25">
      <c r="A79" s="16">
        <v>44871</v>
      </c>
      <c r="B79" t="s">
        <v>158</v>
      </c>
      <c r="C79" s="12" t="s">
        <v>7</v>
      </c>
      <c r="D79" s="15" t="s">
        <v>161</v>
      </c>
      <c r="E79" s="15" t="s">
        <v>61</v>
      </c>
      <c r="F79" s="15" t="s">
        <v>103</v>
      </c>
      <c r="G79" s="15" t="str">
        <f>IF(Table5[[#This Row],[ShiftCounter]]&gt;0,"Running","Down")</f>
        <v>Down</v>
      </c>
      <c r="H79" s="9" t="s">
        <v>207</v>
      </c>
      <c r="I79" s="15" t="s">
        <v>58</v>
      </c>
      <c r="J79" s="15">
        <v>0</v>
      </c>
      <c r="K79" s="15">
        <v>0</v>
      </c>
      <c r="L79" s="15">
        <v>0</v>
      </c>
      <c r="M79" s="15">
        <v>0</v>
      </c>
      <c r="N79" s="15">
        <v>12.6</v>
      </c>
      <c r="O79" s="15"/>
      <c r="P79" s="15" t="s">
        <v>185</v>
      </c>
    </row>
    <row r="80" spans="1:16" x14ac:dyDescent="0.25">
      <c r="A80" s="16">
        <v>44871</v>
      </c>
      <c r="B80" t="s">
        <v>157</v>
      </c>
      <c r="C80" s="12" t="s">
        <v>7</v>
      </c>
      <c r="D80" s="15" t="s">
        <v>223</v>
      </c>
      <c r="E80" s="15" t="s">
        <v>91</v>
      </c>
      <c r="F80" s="15" t="s">
        <v>148</v>
      </c>
      <c r="G80" s="15" t="str">
        <f>IF(Table5[[#This Row],[ShiftCounter]]&gt;0,"Running","Down")</f>
        <v>Down</v>
      </c>
      <c r="H80" s="9">
        <v>47</v>
      </c>
      <c r="I80" s="15" t="s">
        <v>58</v>
      </c>
      <c r="J80" s="15">
        <v>0</v>
      </c>
      <c r="K80" s="15">
        <v>0</v>
      </c>
      <c r="L80" s="15">
        <v>0</v>
      </c>
      <c r="M80" s="15">
        <v>0</v>
      </c>
      <c r="N80" s="15">
        <v>21.59</v>
      </c>
      <c r="O80" s="15"/>
      <c r="P80" s="15" t="s">
        <v>186</v>
      </c>
    </row>
    <row r="81" spans="1:16" x14ac:dyDescent="0.25">
      <c r="A81" s="16">
        <v>44871</v>
      </c>
      <c r="B81" t="s">
        <v>155</v>
      </c>
      <c r="C81" s="12" t="s">
        <v>7</v>
      </c>
      <c r="D81" s="15" t="s">
        <v>156</v>
      </c>
      <c r="E81" s="15" t="s">
        <v>224</v>
      </c>
      <c r="F81" s="15" t="s">
        <v>146</v>
      </c>
      <c r="G81" s="15" t="str">
        <f>IF(Table5[[#This Row],[ShiftCounter]]&gt;0,"Running","Down")</f>
        <v>Down</v>
      </c>
      <c r="H81" s="9" t="s">
        <v>208</v>
      </c>
      <c r="I81" s="15" t="s">
        <v>58</v>
      </c>
      <c r="J81" s="15">
        <v>0</v>
      </c>
      <c r="K81" s="15">
        <v>0</v>
      </c>
      <c r="L81" s="15">
        <v>0</v>
      </c>
      <c r="M81" s="15">
        <v>0</v>
      </c>
      <c r="N81" s="15">
        <v>40</v>
      </c>
      <c r="O81" s="15"/>
      <c r="P81" s="15" t="s">
        <v>187</v>
      </c>
    </row>
    <row r="82" spans="1:16" x14ac:dyDescent="0.25">
      <c r="A82" s="16">
        <v>44871</v>
      </c>
      <c r="B82" t="s">
        <v>153</v>
      </c>
      <c r="C82" s="12" t="s">
        <v>7</v>
      </c>
      <c r="D82" s="15" t="s">
        <v>225</v>
      </c>
      <c r="E82" s="15" t="s">
        <v>91</v>
      </c>
      <c r="F82" s="15" t="s">
        <v>148</v>
      </c>
      <c r="G82" s="15" t="str">
        <f>IF(Table5[[#This Row],[ShiftCounter]]&gt;0,"Running","Down")</f>
        <v>Down</v>
      </c>
      <c r="H82" s="9" t="s">
        <v>209</v>
      </c>
      <c r="I82" s="15" t="s">
        <v>58</v>
      </c>
      <c r="J82" s="15">
        <v>0</v>
      </c>
      <c r="K82" s="15">
        <v>0</v>
      </c>
      <c r="L82" s="15">
        <v>0</v>
      </c>
      <c r="M82" s="15">
        <v>0</v>
      </c>
      <c r="N82" s="15">
        <v>24.59</v>
      </c>
      <c r="O82" s="15"/>
      <c r="P82" s="15" t="s">
        <v>255</v>
      </c>
    </row>
    <row r="83" spans="1:16" x14ac:dyDescent="0.25">
      <c r="A83" s="16">
        <v>44871</v>
      </c>
      <c r="B83" t="s">
        <v>152</v>
      </c>
      <c r="C83" s="12" t="s">
        <v>7</v>
      </c>
      <c r="D83" s="15" t="s">
        <v>168</v>
      </c>
      <c r="E83" s="15" t="s">
        <v>129</v>
      </c>
      <c r="F83" s="15" t="s">
        <v>130</v>
      </c>
      <c r="G83" s="15" t="str">
        <f>IF(Table5[[#This Row],[ShiftCounter]]&gt;0,"Running","Down")</f>
        <v>Down</v>
      </c>
      <c r="H83" s="9">
        <v>48</v>
      </c>
      <c r="I83" s="15" t="s">
        <v>58</v>
      </c>
      <c r="J83" s="15">
        <v>0</v>
      </c>
      <c r="K83" s="15">
        <v>0</v>
      </c>
      <c r="L83" s="15">
        <v>0</v>
      </c>
      <c r="M83" s="15">
        <v>0</v>
      </c>
      <c r="N83" s="15">
        <v>19.5</v>
      </c>
      <c r="O83" s="15"/>
      <c r="P83" s="15" t="s">
        <v>186</v>
      </c>
    </row>
    <row r="84" spans="1:16" x14ac:dyDescent="0.25">
      <c r="A84" s="16">
        <v>44871</v>
      </c>
      <c r="B84" t="s">
        <v>150</v>
      </c>
      <c r="C84" s="12" t="s">
        <v>7</v>
      </c>
      <c r="D84" s="15" t="s">
        <v>151</v>
      </c>
      <c r="E84" s="15" t="s">
        <v>145</v>
      </c>
      <c r="F84" s="15" t="s">
        <v>146</v>
      </c>
      <c r="G84" s="15" t="str">
        <f>IF(Table5[[#This Row],[ShiftCounter]]&gt;0,"Running","Down")</f>
        <v>Down</v>
      </c>
      <c r="H84" s="9" t="s">
        <v>210</v>
      </c>
      <c r="I84" s="15" t="s">
        <v>58</v>
      </c>
      <c r="J84" s="15">
        <v>0</v>
      </c>
      <c r="K84" s="15">
        <v>0</v>
      </c>
      <c r="L84" s="15">
        <v>0</v>
      </c>
      <c r="M84" s="15">
        <v>0</v>
      </c>
      <c r="N84" s="15">
        <v>41.2</v>
      </c>
      <c r="O84" s="15"/>
      <c r="P84" s="15" t="s">
        <v>187</v>
      </c>
    </row>
    <row r="85" spans="1:16" x14ac:dyDescent="0.25">
      <c r="A85" s="16">
        <v>44871</v>
      </c>
      <c r="B85" t="s">
        <v>40</v>
      </c>
      <c r="C85" s="12" t="s">
        <v>7</v>
      </c>
      <c r="D85" s="15" t="s">
        <v>149</v>
      </c>
      <c r="E85" s="15" t="s">
        <v>61</v>
      </c>
      <c r="F85" s="15" t="s">
        <v>106</v>
      </c>
      <c r="G85" s="15" t="str">
        <f>IF(Table5[[#This Row],[ShiftCounter]]&gt;0,"Running","Down")</f>
        <v>Down</v>
      </c>
      <c r="H85" s="9" t="s">
        <v>211</v>
      </c>
      <c r="I85" s="15" t="s">
        <v>58</v>
      </c>
      <c r="J85" s="15">
        <v>0</v>
      </c>
      <c r="K85" s="15">
        <v>0</v>
      </c>
      <c r="L85" s="15">
        <v>0</v>
      </c>
      <c r="M85" s="15">
        <v>0</v>
      </c>
      <c r="N85" s="15">
        <v>12.7</v>
      </c>
      <c r="O85" s="15"/>
      <c r="P85" s="15" t="s">
        <v>185</v>
      </c>
    </row>
    <row r="86" spans="1:16" x14ac:dyDescent="0.25">
      <c r="A86" s="16">
        <v>44871</v>
      </c>
      <c r="B86" t="s">
        <v>147</v>
      </c>
      <c r="C86" s="12" t="s">
        <v>7</v>
      </c>
      <c r="D86" s="15" t="s">
        <v>169</v>
      </c>
      <c r="E86" s="15" t="s">
        <v>56</v>
      </c>
      <c r="F86" s="15" t="s">
        <v>130</v>
      </c>
      <c r="G86" s="15" t="str">
        <f>IF(Table5[[#This Row],[ShiftCounter]]&gt;0,"Running","Down")</f>
        <v>Down</v>
      </c>
      <c r="H86" s="9">
        <v>49</v>
      </c>
      <c r="I86" s="15" t="s">
        <v>58</v>
      </c>
      <c r="J86" s="15">
        <v>0</v>
      </c>
      <c r="K86" s="15">
        <v>0</v>
      </c>
      <c r="L86" s="15">
        <v>0</v>
      </c>
      <c r="M86" s="15">
        <v>0</v>
      </c>
      <c r="N86" s="15">
        <v>20.55</v>
      </c>
      <c r="O86" s="15"/>
      <c r="P86" s="15" t="s">
        <v>189</v>
      </c>
    </row>
    <row r="87" spans="1:16" x14ac:dyDescent="0.25">
      <c r="A87" s="16">
        <v>44871</v>
      </c>
      <c r="B87" t="s">
        <v>143</v>
      </c>
      <c r="C87" s="12" t="s">
        <v>7</v>
      </c>
      <c r="D87" s="15" t="s">
        <v>144</v>
      </c>
      <c r="E87" s="15" t="s">
        <v>145</v>
      </c>
      <c r="F87" s="15" t="s">
        <v>146</v>
      </c>
      <c r="G87" s="15" t="str">
        <f>IF(Table5[[#This Row],[ShiftCounter]]&gt;0,"Running","Down")</f>
        <v>Down</v>
      </c>
      <c r="H87" s="9" t="s">
        <v>212</v>
      </c>
      <c r="I87" s="15" t="s">
        <v>58</v>
      </c>
      <c r="J87" s="15">
        <v>0</v>
      </c>
      <c r="K87" s="15">
        <v>0</v>
      </c>
      <c r="L87" s="15">
        <v>0</v>
      </c>
      <c r="M87" s="15">
        <v>0</v>
      </c>
      <c r="N87" s="15">
        <v>41.21</v>
      </c>
      <c r="O87" s="15"/>
      <c r="P87" s="15" t="s">
        <v>187</v>
      </c>
    </row>
    <row r="88" spans="1:16" x14ac:dyDescent="0.25">
      <c r="A88" s="16">
        <v>44871</v>
      </c>
      <c r="B88" t="s">
        <v>141</v>
      </c>
      <c r="C88" s="12" t="s">
        <v>7</v>
      </c>
      <c r="D88" s="15" t="s">
        <v>142</v>
      </c>
      <c r="E88" s="15" t="s">
        <v>56</v>
      </c>
      <c r="F88" s="15" t="s">
        <v>130</v>
      </c>
      <c r="G88" s="15" t="str">
        <f>IF(Table5[[#This Row],[ShiftCounter]]&gt;0,"Running","Down")</f>
        <v>Down</v>
      </c>
      <c r="H88" s="9" t="s">
        <v>213</v>
      </c>
      <c r="I88" s="15" t="s">
        <v>58</v>
      </c>
      <c r="J88" s="15">
        <v>0</v>
      </c>
      <c r="K88" s="15">
        <v>0</v>
      </c>
      <c r="L88" s="15">
        <v>0</v>
      </c>
      <c r="M88" s="15">
        <v>0</v>
      </c>
      <c r="N88" s="15">
        <v>20.12</v>
      </c>
      <c r="O88" s="15"/>
      <c r="P88" s="15" t="s">
        <v>190</v>
      </c>
    </row>
    <row r="89" spans="1:16" x14ac:dyDescent="0.25">
      <c r="A89" s="16">
        <v>44871</v>
      </c>
      <c r="B89" t="s">
        <v>139</v>
      </c>
      <c r="C89" s="12" t="s">
        <v>7</v>
      </c>
      <c r="D89" s="15" t="s">
        <v>226</v>
      </c>
      <c r="E89" s="15" t="s">
        <v>91</v>
      </c>
      <c r="F89" s="15" t="s">
        <v>148</v>
      </c>
      <c r="G89" s="15" t="str">
        <f>IF(Table5[[#This Row],[ShiftCounter]]&gt;0,"Running","Down")</f>
        <v>Down</v>
      </c>
      <c r="H89" s="9" t="s">
        <v>140</v>
      </c>
      <c r="I89" s="15" t="s">
        <v>58</v>
      </c>
      <c r="J89" s="15">
        <v>0</v>
      </c>
      <c r="K89" s="15">
        <v>0</v>
      </c>
      <c r="L89" s="15">
        <v>0</v>
      </c>
      <c r="M89" s="15">
        <v>0</v>
      </c>
      <c r="N89" s="15">
        <v>23.63</v>
      </c>
      <c r="O89" s="15"/>
      <c r="P89" s="15" t="s">
        <v>189</v>
      </c>
    </row>
    <row r="90" spans="1:16" x14ac:dyDescent="0.25">
      <c r="A90" s="16">
        <v>44871</v>
      </c>
      <c r="B90" t="s">
        <v>138</v>
      </c>
      <c r="C90" s="12" t="s">
        <v>7</v>
      </c>
      <c r="D90" s="15" t="s">
        <v>227</v>
      </c>
      <c r="E90" s="15" t="s">
        <v>145</v>
      </c>
      <c r="F90" s="15" t="s">
        <v>146</v>
      </c>
      <c r="G90" s="15" t="str">
        <f>IF(Table5[[#This Row],[ShiftCounter]]&gt;0,"Running","Down")</f>
        <v>Down</v>
      </c>
      <c r="H90" s="9" t="s">
        <v>214</v>
      </c>
      <c r="I90" s="15" t="s">
        <v>58</v>
      </c>
      <c r="J90" s="15">
        <v>0</v>
      </c>
      <c r="K90" s="15">
        <v>0</v>
      </c>
      <c r="L90" s="15">
        <v>0</v>
      </c>
      <c r="M90" s="15">
        <v>0</v>
      </c>
      <c r="N90" s="15">
        <v>41.97</v>
      </c>
      <c r="O90" s="15"/>
      <c r="P90" s="15" t="s">
        <v>187</v>
      </c>
    </row>
    <row r="91" spans="1:16" x14ac:dyDescent="0.25">
      <c r="A91" s="16">
        <v>44871</v>
      </c>
      <c r="B91" t="s">
        <v>136</v>
      </c>
      <c r="C91" s="12" t="s">
        <v>7</v>
      </c>
      <c r="D91" s="15" t="s">
        <v>154</v>
      </c>
      <c r="E91" s="15" t="s">
        <v>91</v>
      </c>
      <c r="F91" s="15" t="s">
        <v>130</v>
      </c>
      <c r="G91" s="15" t="str">
        <f>IF(Table5[[#This Row],[ShiftCounter]]&gt;0,"Running","Down")</f>
        <v>Down</v>
      </c>
      <c r="H91" s="9" t="s">
        <v>137</v>
      </c>
      <c r="I91" s="15" t="s">
        <v>58</v>
      </c>
      <c r="J91" s="15">
        <v>0</v>
      </c>
      <c r="K91" s="15">
        <v>0</v>
      </c>
      <c r="L91" s="15">
        <v>0</v>
      </c>
      <c r="M91" s="15">
        <v>0</v>
      </c>
      <c r="N91" s="15">
        <v>12.18</v>
      </c>
      <c r="O91" s="15"/>
      <c r="P91" s="15" t="s">
        <v>188</v>
      </c>
    </row>
    <row r="92" spans="1:16" x14ac:dyDescent="0.25">
      <c r="A92" s="16">
        <v>44871</v>
      </c>
      <c r="B92" t="s">
        <v>39</v>
      </c>
      <c r="C92" s="12" t="s">
        <v>7</v>
      </c>
      <c r="D92" s="15" t="s">
        <v>167</v>
      </c>
      <c r="E92" s="15" t="s">
        <v>91</v>
      </c>
      <c r="F92" s="15" t="s">
        <v>170</v>
      </c>
      <c r="G92" s="15" t="str">
        <f>IF(Table5[[#This Row],[ShiftCounter]]&gt;0,"Running","Down")</f>
        <v>Down</v>
      </c>
      <c r="H92" s="9" t="s">
        <v>135</v>
      </c>
      <c r="I92" s="15" t="s">
        <v>58</v>
      </c>
      <c r="J92" s="15">
        <v>0</v>
      </c>
      <c r="K92" s="15">
        <v>0</v>
      </c>
      <c r="L92" s="15">
        <v>0</v>
      </c>
      <c r="M92" s="15">
        <v>0</v>
      </c>
      <c r="N92" s="15">
        <v>22.21</v>
      </c>
      <c r="O92" s="15"/>
      <c r="P92" s="15" t="s">
        <v>186</v>
      </c>
    </row>
    <row r="93" spans="1:16" x14ac:dyDescent="0.25">
      <c r="A93" s="16">
        <v>44871</v>
      </c>
      <c r="B93" t="s">
        <v>132</v>
      </c>
      <c r="C93" s="12" t="s">
        <v>7</v>
      </c>
      <c r="D93" s="15"/>
      <c r="E93" s="15"/>
      <c r="F93" s="15"/>
      <c r="G93" s="15" t="str">
        <f>IF(Table5[[#This Row],[ShiftCounter]]&gt;0,"Running","Down")</f>
        <v>Down</v>
      </c>
      <c r="H93" s="9" t="s">
        <v>133</v>
      </c>
      <c r="I93" s="15" t="s">
        <v>58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/>
      <c r="P93" s="15"/>
    </row>
    <row r="94" spans="1:16" x14ac:dyDescent="0.25">
      <c r="A94" s="16">
        <v>44871</v>
      </c>
      <c r="B94" t="s">
        <v>128</v>
      </c>
      <c r="C94" s="12" t="s">
        <v>7</v>
      </c>
      <c r="D94" s="15" t="s">
        <v>179</v>
      </c>
      <c r="E94" s="15" t="s">
        <v>91</v>
      </c>
      <c r="F94" s="15" t="s">
        <v>130</v>
      </c>
      <c r="G94" s="15" t="str">
        <f>IF(Table5[[#This Row],[ShiftCounter]]&gt;0,"Running","Down")</f>
        <v>Down</v>
      </c>
      <c r="H94" s="9" t="s">
        <v>131</v>
      </c>
      <c r="I94" s="15" t="s">
        <v>58</v>
      </c>
      <c r="J94" s="15">
        <v>0</v>
      </c>
      <c r="K94" s="15">
        <v>0</v>
      </c>
      <c r="L94" s="15">
        <v>0</v>
      </c>
      <c r="M94" s="15">
        <v>0</v>
      </c>
      <c r="N94" s="15">
        <v>23.63</v>
      </c>
      <c r="O94" s="15"/>
      <c r="P94" s="15" t="s">
        <v>191</v>
      </c>
    </row>
    <row r="95" spans="1:16" x14ac:dyDescent="0.25">
      <c r="A95" s="16">
        <v>44871</v>
      </c>
      <c r="B95" t="s">
        <v>126</v>
      </c>
      <c r="C95" s="12" t="s">
        <v>7</v>
      </c>
      <c r="D95" s="15" t="s">
        <v>171</v>
      </c>
      <c r="E95" s="15" t="s">
        <v>145</v>
      </c>
      <c r="F95" s="15" t="s">
        <v>146</v>
      </c>
      <c r="G95" s="15" t="str">
        <f>IF(Table5[[#This Row],[ShiftCounter]]&gt;0,"Running","Down")</f>
        <v>Down</v>
      </c>
      <c r="H95" s="9" t="s">
        <v>127</v>
      </c>
      <c r="I95" s="15" t="s">
        <v>58</v>
      </c>
      <c r="J95" s="15">
        <v>0</v>
      </c>
      <c r="K95" s="15">
        <v>0</v>
      </c>
      <c r="L95" s="15">
        <v>0</v>
      </c>
      <c r="M95" s="15">
        <v>0</v>
      </c>
      <c r="N95" s="15">
        <v>41.19</v>
      </c>
      <c r="O95" s="15"/>
      <c r="P95" s="15" t="s">
        <v>187</v>
      </c>
    </row>
    <row r="96" spans="1:16" x14ac:dyDescent="0.25">
      <c r="A96" s="16">
        <v>44871</v>
      </c>
      <c r="B96" t="s">
        <v>123</v>
      </c>
      <c r="C96" s="12" t="s">
        <v>7</v>
      </c>
      <c r="D96" s="15" t="s">
        <v>124</v>
      </c>
      <c r="E96" s="15" t="s">
        <v>56</v>
      </c>
      <c r="F96" s="15" t="s">
        <v>106</v>
      </c>
      <c r="G96" s="15" t="str">
        <f>IF(Table5[[#This Row],[ShiftCounter]]&gt;0,"Running","Down")</f>
        <v>Down</v>
      </c>
      <c r="H96" s="9" t="s">
        <v>125</v>
      </c>
      <c r="I96" s="15" t="s">
        <v>58</v>
      </c>
      <c r="J96" s="15">
        <v>0</v>
      </c>
      <c r="K96" s="15">
        <v>0</v>
      </c>
      <c r="L96" s="15">
        <v>0</v>
      </c>
      <c r="M96" s="15">
        <v>0</v>
      </c>
      <c r="N96" s="15">
        <v>13.8</v>
      </c>
      <c r="O96" s="15"/>
      <c r="P96" s="15" t="s">
        <v>192</v>
      </c>
    </row>
    <row r="97" spans="1:16" x14ac:dyDescent="0.25">
      <c r="A97" s="16">
        <v>44871</v>
      </c>
      <c r="B97" t="s">
        <v>41</v>
      </c>
      <c r="C97" s="12" t="s">
        <v>7</v>
      </c>
      <c r="D97" s="15" t="s">
        <v>121</v>
      </c>
      <c r="E97" s="15" t="s">
        <v>61</v>
      </c>
      <c r="F97" s="15" t="s">
        <v>106</v>
      </c>
      <c r="G97" s="15" t="str">
        <f>IF(Table5[[#This Row],[ShiftCounter]]&gt;0,"Running","Down")</f>
        <v>Down</v>
      </c>
      <c r="H97" s="9" t="s">
        <v>122</v>
      </c>
      <c r="I97" s="15" t="s">
        <v>58</v>
      </c>
      <c r="J97" s="15">
        <v>0</v>
      </c>
      <c r="K97" s="15">
        <v>0</v>
      </c>
      <c r="L97" s="15">
        <v>0</v>
      </c>
      <c r="M97" s="15">
        <v>0</v>
      </c>
      <c r="N97" s="15">
        <v>12.9</v>
      </c>
      <c r="O97" s="15"/>
      <c r="P97" s="15" t="s">
        <v>185</v>
      </c>
    </row>
    <row r="98" spans="1:16" x14ac:dyDescent="0.25">
      <c r="A98" s="16">
        <v>44871</v>
      </c>
      <c r="B98" t="s">
        <v>43</v>
      </c>
      <c r="C98" s="12" t="s">
        <v>7</v>
      </c>
      <c r="D98" s="15" t="s">
        <v>228</v>
      </c>
      <c r="E98" s="15" t="s">
        <v>91</v>
      </c>
      <c r="F98" s="15" t="s">
        <v>148</v>
      </c>
      <c r="G98" s="15" t="str">
        <f>IF(Table5[[#This Row],[ShiftCounter]]&gt;0,"Running","Down")</f>
        <v>Down</v>
      </c>
      <c r="H98" s="9">
        <v>10</v>
      </c>
      <c r="I98" s="15" t="s">
        <v>58</v>
      </c>
      <c r="J98" s="15">
        <v>0</v>
      </c>
      <c r="K98" s="15">
        <v>0</v>
      </c>
      <c r="L98" s="15">
        <v>0</v>
      </c>
      <c r="M98" s="15">
        <v>0</v>
      </c>
      <c r="N98" s="15">
        <v>16.36</v>
      </c>
      <c r="O98" s="15"/>
      <c r="P98" s="15" t="s">
        <v>256</v>
      </c>
    </row>
    <row r="99" spans="1:16" x14ac:dyDescent="0.25">
      <c r="A99" s="16">
        <v>44871</v>
      </c>
      <c r="B99" t="s">
        <v>5</v>
      </c>
      <c r="C99" s="12" t="s">
        <v>7</v>
      </c>
      <c r="D99" s="15" t="s">
        <v>163</v>
      </c>
      <c r="E99" s="15" t="s">
        <v>56</v>
      </c>
      <c r="F99" s="15" t="s">
        <v>106</v>
      </c>
      <c r="G99" s="15" t="str">
        <f>IF(Table5[[#This Row],[ShiftCounter]]&gt;0,"Running","Down")</f>
        <v>Down</v>
      </c>
      <c r="H99" s="9">
        <v>11</v>
      </c>
      <c r="I99" s="15" t="s">
        <v>58</v>
      </c>
      <c r="J99" s="15">
        <v>0</v>
      </c>
      <c r="K99" s="15">
        <v>0</v>
      </c>
      <c r="L99" s="15">
        <v>0</v>
      </c>
      <c r="M99" s="15">
        <v>0</v>
      </c>
      <c r="N99" s="15">
        <v>13</v>
      </c>
      <c r="O99" s="15"/>
      <c r="P99" s="15" t="s">
        <v>193</v>
      </c>
    </row>
    <row r="100" spans="1:16" x14ac:dyDescent="0.25">
      <c r="A100" s="16">
        <v>44871</v>
      </c>
      <c r="B100" t="s">
        <v>9</v>
      </c>
      <c r="C100" s="12" t="s">
        <v>7</v>
      </c>
      <c r="D100" s="15" t="s">
        <v>180</v>
      </c>
      <c r="E100" s="15" t="s">
        <v>61</v>
      </c>
      <c r="F100" s="15" t="s">
        <v>106</v>
      </c>
      <c r="G100" s="15" t="str">
        <f>IF(Table5[[#This Row],[ShiftCounter]]&gt;0,"Running","Down")</f>
        <v>Down</v>
      </c>
      <c r="H100" s="9">
        <v>12</v>
      </c>
      <c r="I100" s="15" t="s">
        <v>58</v>
      </c>
      <c r="J100" s="15">
        <v>0</v>
      </c>
      <c r="K100" s="15">
        <v>0</v>
      </c>
      <c r="L100" s="15">
        <v>0</v>
      </c>
      <c r="M100" s="15">
        <v>0</v>
      </c>
      <c r="N100" s="15">
        <v>13.5</v>
      </c>
      <c r="O100" s="15"/>
      <c r="P100" s="15" t="s">
        <v>192</v>
      </c>
    </row>
    <row r="101" spans="1:16" x14ac:dyDescent="0.25">
      <c r="A101" s="16">
        <v>44871</v>
      </c>
      <c r="B101" t="s">
        <v>10</v>
      </c>
      <c r="C101" s="12" t="s">
        <v>7</v>
      </c>
      <c r="D101" s="15" t="s">
        <v>229</v>
      </c>
      <c r="E101" s="15"/>
      <c r="F101" s="15"/>
      <c r="G101" s="15" t="str">
        <f>IF(Table5[[#This Row],[ShiftCounter]]&gt;0,"Running","Down")</f>
        <v>Down</v>
      </c>
      <c r="H101" s="9">
        <v>13</v>
      </c>
      <c r="I101" s="15" t="s">
        <v>58</v>
      </c>
      <c r="J101" s="15">
        <v>0</v>
      </c>
      <c r="K101" s="15">
        <v>0</v>
      </c>
      <c r="L101" s="15">
        <v>0</v>
      </c>
      <c r="M101" s="15">
        <v>0</v>
      </c>
      <c r="N101" s="15">
        <v>14.55</v>
      </c>
      <c r="O101" s="15"/>
      <c r="P101" s="15" t="s">
        <v>194</v>
      </c>
    </row>
    <row r="102" spans="1:16" x14ac:dyDescent="0.25">
      <c r="A102" s="16">
        <v>44871</v>
      </c>
      <c r="B102" t="s">
        <v>11</v>
      </c>
      <c r="C102" s="12" t="s">
        <v>7</v>
      </c>
      <c r="D102" s="15" t="s">
        <v>159</v>
      </c>
      <c r="E102" s="15" t="s">
        <v>61</v>
      </c>
      <c r="F102" s="15" t="s">
        <v>106</v>
      </c>
      <c r="G102" s="15" t="str">
        <f>IF(Table5[[#This Row],[ShiftCounter]]&gt;0,"Running","Down")</f>
        <v>Down</v>
      </c>
      <c r="H102" s="9">
        <v>14</v>
      </c>
      <c r="I102" s="15" t="s">
        <v>58</v>
      </c>
      <c r="J102" s="15">
        <v>0</v>
      </c>
      <c r="K102" s="15">
        <v>0</v>
      </c>
      <c r="L102" s="15">
        <v>0</v>
      </c>
      <c r="M102" s="15">
        <v>0</v>
      </c>
      <c r="N102" s="15">
        <v>12.8</v>
      </c>
      <c r="O102" s="15"/>
      <c r="P102" s="15" t="s">
        <v>185</v>
      </c>
    </row>
    <row r="103" spans="1:16" x14ac:dyDescent="0.25">
      <c r="A103" s="16">
        <v>44871</v>
      </c>
      <c r="B103" t="s">
        <v>12</v>
      </c>
      <c r="C103" s="12" t="s">
        <v>7</v>
      </c>
      <c r="D103" s="15" t="s">
        <v>230</v>
      </c>
      <c r="E103" s="15"/>
      <c r="F103" s="15"/>
      <c r="G103" s="15" t="str">
        <f>IF(Table5[[#This Row],[ShiftCounter]]&gt;0,"Running","Down")</f>
        <v>Down</v>
      </c>
      <c r="H103" s="9">
        <v>15</v>
      </c>
      <c r="I103" s="15" t="s">
        <v>58</v>
      </c>
      <c r="J103" s="15">
        <v>0</v>
      </c>
      <c r="K103" s="15">
        <v>0</v>
      </c>
      <c r="L103" s="15">
        <v>0</v>
      </c>
      <c r="M103" s="15">
        <v>0</v>
      </c>
      <c r="N103" s="15">
        <v>12.56</v>
      </c>
      <c r="O103" s="15"/>
      <c r="P103" s="15" t="s">
        <v>188</v>
      </c>
    </row>
    <row r="104" spans="1:16" x14ac:dyDescent="0.25">
      <c r="A104" s="16">
        <v>44871</v>
      </c>
      <c r="B104" t="s">
        <v>120</v>
      </c>
      <c r="C104" s="12" t="s">
        <v>7</v>
      </c>
      <c r="D104" s="15" t="s">
        <v>134</v>
      </c>
      <c r="E104" s="15" t="s">
        <v>61</v>
      </c>
      <c r="F104" s="15" t="s">
        <v>106</v>
      </c>
      <c r="G104" s="15" t="str">
        <f>IF(Table5[[#This Row],[ShiftCounter]]&gt;0,"Running","Down")</f>
        <v>Down</v>
      </c>
      <c r="H104" s="9">
        <v>16</v>
      </c>
      <c r="I104" s="15" t="s">
        <v>58</v>
      </c>
      <c r="J104" s="15">
        <v>0</v>
      </c>
      <c r="K104" s="15">
        <v>0</v>
      </c>
      <c r="L104" s="15">
        <v>0</v>
      </c>
      <c r="M104" s="15">
        <v>0</v>
      </c>
      <c r="N104" s="15">
        <v>12.4</v>
      </c>
      <c r="O104" s="15"/>
      <c r="P104" s="15" t="s">
        <v>185</v>
      </c>
    </row>
    <row r="105" spans="1:16" x14ac:dyDescent="0.25">
      <c r="A105" s="16">
        <v>44871</v>
      </c>
      <c r="B105" t="s">
        <v>119</v>
      </c>
      <c r="C105" s="12" t="s">
        <v>7</v>
      </c>
      <c r="D105" s="15" t="s">
        <v>172</v>
      </c>
      <c r="E105" s="15" t="s">
        <v>61</v>
      </c>
      <c r="F105" s="15" t="s">
        <v>130</v>
      </c>
      <c r="G105" s="15" t="str">
        <f>IF(Table5[[#This Row],[ShiftCounter]]&gt;0,"Running","Down")</f>
        <v>Down</v>
      </c>
      <c r="H105" s="9">
        <v>17</v>
      </c>
      <c r="I105" s="15" t="s">
        <v>58</v>
      </c>
      <c r="J105" s="15">
        <v>0</v>
      </c>
      <c r="K105" s="15">
        <v>0</v>
      </c>
      <c r="L105" s="15">
        <v>0</v>
      </c>
      <c r="M105" s="15">
        <v>0</v>
      </c>
      <c r="N105" s="15">
        <v>15.61</v>
      </c>
      <c r="O105" s="15"/>
      <c r="P105" s="15" t="s">
        <v>194</v>
      </c>
    </row>
    <row r="106" spans="1:16" x14ac:dyDescent="0.25">
      <c r="A106" s="16">
        <v>44871</v>
      </c>
      <c r="B106" t="s">
        <v>13</v>
      </c>
      <c r="C106" s="12" t="s">
        <v>7</v>
      </c>
      <c r="D106" s="15" t="s">
        <v>118</v>
      </c>
      <c r="E106" s="15" t="s">
        <v>61</v>
      </c>
      <c r="F106" s="15" t="s">
        <v>103</v>
      </c>
      <c r="G106" s="15" t="str">
        <f>IF(Table5[[#This Row],[ShiftCounter]]&gt;0,"Running","Down")</f>
        <v>Down</v>
      </c>
      <c r="H106" s="9">
        <v>18</v>
      </c>
      <c r="I106" s="15" t="s">
        <v>58</v>
      </c>
      <c r="J106" s="15">
        <v>0</v>
      </c>
      <c r="K106" s="15">
        <v>0</v>
      </c>
      <c r="L106" s="15">
        <v>0</v>
      </c>
      <c r="M106" s="15">
        <v>0</v>
      </c>
      <c r="N106" s="15">
        <v>12.7</v>
      </c>
      <c r="O106" s="15"/>
      <c r="P106" s="15" t="s">
        <v>185</v>
      </c>
    </row>
    <row r="107" spans="1:16" x14ac:dyDescent="0.25">
      <c r="A107" s="16">
        <v>44871</v>
      </c>
      <c r="B107" t="s">
        <v>117</v>
      </c>
      <c r="C107" s="12" t="s">
        <v>7</v>
      </c>
      <c r="D107" s="15" t="s">
        <v>231</v>
      </c>
      <c r="E107" s="15" t="s">
        <v>91</v>
      </c>
      <c r="F107" s="15" t="s">
        <v>148</v>
      </c>
      <c r="G107" s="15" t="str">
        <f>IF(Table5[[#This Row],[ShiftCounter]]&gt;0,"Running","Down")</f>
        <v>Down</v>
      </c>
      <c r="H107" s="9">
        <v>19</v>
      </c>
      <c r="I107" s="15" t="s">
        <v>69</v>
      </c>
      <c r="J107" s="15">
        <v>0</v>
      </c>
      <c r="K107" s="15">
        <v>0</v>
      </c>
      <c r="L107" s="15">
        <v>0</v>
      </c>
      <c r="M107" s="15">
        <v>0</v>
      </c>
      <c r="N107" s="15">
        <v>30.41</v>
      </c>
      <c r="O107" s="15"/>
      <c r="P107" s="15" t="s">
        <v>257</v>
      </c>
    </row>
    <row r="108" spans="1:16" x14ac:dyDescent="0.25">
      <c r="A108" s="16">
        <v>44871</v>
      </c>
      <c r="B108" t="s">
        <v>114</v>
      </c>
      <c r="C108" s="12" t="s">
        <v>7</v>
      </c>
      <c r="D108" s="15" t="s">
        <v>115</v>
      </c>
      <c r="E108" s="15" t="s">
        <v>61</v>
      </c>
      <c r="F108" s="15" t="s">
        <v>103</v>
      </c>
      <c r="G108" s="15" t="str">
        <f>IF(Table5[[#This Row],[ShiftCounter]]&gt;0,"Running","Down")</f>
        <v>Down</v>
      </c>
      <c r="H108" s="9" t="s">
        <v>116</v>
      </c>
      <c r="I108" s="15" t="s">
        <v>58</v>
      </c>
      <c r="J108" s="15">
        <v>0</v>
      </c>
      <c r="K108" s="15">
        <v>0</v>
      </c>
      <c r="L108" s="15">
        <v>0</v>
      </c>
      <c r="M108" s="15">
        <v>0</v>
      </c>
      <c r="N108" s="15">
        <v>12.9</v>
      </c>
      <c r="O108" s="15"/>
      <c r="P108" s="15" t="s">
        <v>185</v>
      </c>
    </row>
    <row r="109" spans="1:16" x14ac:dyDescent="0.25">
      <c r="A109" s="16">
        <v>44871</v>
      </c>
      <c r="B109" t="s">
        <v>112</v>
      </c>
      <c r="C109" s="12" t="s">
        <v>7</v>
      </c>
      <c r="D109" s="15"/>
      <c r="E109" s="15"/>
      <c r="F109" s="15"/>
      <c r="G109" s="15" t="str">
        <f>IF(Table5[[#This Row],[ShiftCounter]]&gt;0,"Running","Down")</f>
        <v>Down</v>
      </c>
      <c r="H109" s="9" t="s">
        <v>113</v>
      </c>
      <c r="I109" s="15"/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/>
      <c r="P109" s="15"/>
    </row>
    <row r="110" spans="1:16" x14ac:dyDescent="0.25">
      <c r="A110" s="16">
        <v>44871</v>
      </c>
      <c r="B110" t="s">
        <v>110</v>
      </c>
      <c r="C110" s="12" t="s">
        <v>7</v>
      </c>
      <c r="D110" s="15" t="s">
        <v>232</v>
      </c>
      <c r="E110" s="15" t="s">
        <v>233</v>
      </c>
      <c r="F110" s="15" t="s">
        <v>148</v>
      </c>
      <c r="G110" s="15" t="str">
        <f>IF(Table5[[#This Row],[ShiftCounter]]&gt;0,"Running","Down")</f>
        <v>Down</v>
      </c>
      <c r="H110" s="9" t="s">
        <v>111</v>
      </c>
      <c r="I110" s="15" t="s">
        <v>58</v>
      </c>
      <c r="J110" s="15">
        <v>0</v>
      </c>
      <c r="K110" s="15">
        <v>0</v>
      </c>
      <c r="L110" s="15">
        <v>0</v>
      </c>
      <c r="M110" s="15">
        <v>0</v>
      </c>
      <c r="N110" s="15">
        <v>28.29</v>
      </c>
      <c r="O110" s="15"/>
      <c r="P110" s="15" t="s">
        <v>186</v>
      </c>
    </row>
    <row r="111" spans="1:16" x14ac:dyDescent="0.25">
      <c r="A111" s="16">
        <v>44871</v>
      </c>
      <c r="B111" t="s">
        <v>108</v>
      </c>
      <c r="C111" s="12" t="s">
        <v>7</v>
      </c>
      <c r="D111" s="15" t="s">
        <v>234</v>
      </c>
      <c r="E111" s="15" t="s">
        <v>91</v>
      </c>
      <c r="F111" s="15" t="s">
        <v>148</v>
      </c>
      <c r="G111" s="15" t="str">
        <f>IF(Table5[[#This Row],[ShiftCounter]]&gt;0,"Running","Down")</f>
        <v>Down</v>
      </c>
      <c r="H111" s="9" t="s">
        <v>109</v>
      </c>
      <c r="I111" s="15" t="s">
        <v>69</v>
      </c>
      <c r="J111" s="15">
        <v>0</v>
      </c>
      <c r="K111" s="15">
        <v>0</v>
      </c>
      <c r="L111" s="15">
        <v>0</v>
      </c>
      <c r="M111" s="15">
        <v>0</v>
      </c>
      <c r="N111" s="15">
        <v>22.17</v>
      </c>
      <c r="O111" s="15"/>
      <c r="P111" s="15" t="s">
        <v>190</v>
      </c>
    </row>
    <row r="112" spans="1:16" x14ac:dyDescent="0.25">
      <c r="A112" s="16">
        <v>44871</v>
      </c>
      <c r="B112" t="s">
        <v>14</v>
      </c>
      <c r="C112" s="12" t="s">
        <v>7</v>
      </c>
      <c r="D112" s="15" t="s">
        <v>174</v>
      </c>
      <c r="E112" s="15" t="s">
        <v>84</v>
      </c>
      <c r="F112" s="15" t="s">
        <v>106</v>
      </c>
      <c r="G112" s="15" t="str">
        <f>IF(Table5[[#This Row],[ShiftCounter]]&gt;0,"Running","Down")</f>
        <v>Down</v>
      </c>
      <c r="H112" s="9" t="s">
        <v>107</v>
      </c>
      <c r="I112" s="15" t="s">
        <v>58</v>
      </c>
      <c r="J112" s="15">
        <v>0</v>
      </c>
      <c r="K112" s="15">
        <v>0</v>
      </c>
      <c r="L112" s="15">
        <v>0</v>
      </c>
      <c r="M112" s="15">
        <v>0</v>
      </c>
      <c r="N112" s="15">
        <v>12.8</v>
      </c>
      <c r="O112" s="15"/>
      <c r="P112" s="15" t="s">
        <v>200</v>
      </c>
    </row>
    <row r="113" spans="1:16" x14ac:dyDescent="0.25">
      <c r="A113" s="16">
        <v>44871</v>
      </c>
      <c r="B113" t="s">
        <v>104</v>
      </c>
      <c r="C113" s="12" t="s">
        <v>7</v>
      </c>
      <c r="D113" s="15"/>
      <c r="E113" s="15"/>
      <c r="F113" s="15"/>
      <c r="G113" s="15" t="str">
        <f>IF(Table5[[#This Row],[ShiftCounter]]&gt;0,"Running","Down")</f>
        <v>Down</v>
      </c>
      <c r="H113" s="9" t="s">
        <v>105</v>
      </c>
      <c r="I113" s="15"/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/>
      <c r="P113" s="15"/>
    </row>
    <row r="114" spans="1:16" x14ac:dyDescent="0.25">
      <c r="A114" s="16">
        <v>44871</v>
      </c>
      <c r="B114" t="s">
        <v>15</v>
      </c>
      <c r="C114" s="12" t="s">
        <v>7</v>
      </c>
      <c r="D114" s="15" t="s">
        <v>102</v>
      </c>
      <c r="E114" s="15" t="s">
        <v>61</v>
      </c>
      <c r="F114" s="15" t="s">
        <v>103</v>
      </c>
      <c r="G114" s="15" t="str">
        <f>IF(Table5[[#This Row],[ShiftCounter]]&gt;0,"Running","Down")</f>
        <v>Down</v>
      </c>
      <c r="H114" s="9">
        <v>20</v>
      </c>
      <c r="I114" s="15" t="s">
        <v>58</v>
      </c>
      <c r="J114" s="15">
        <v>0</v>
      </c>
      <c r="K114" s="15">
        <v>0</v>
      </c>
      <c r="L114" s="15">
        <v>0</v>
      </c>
      <c r="M114" s="15">
        <v>0</v>
      </c>
      <c r="N114" s="15">
        <v>12.6</v>
      </c>
      <c r="O114" s="15"/>
      <c r="P114" s="15" t="s">
        <v>185</v>
      </c>
    </row>
    <row r="115" spans="1:16" x14ac:dyDescent="0.25">
      <c r="A115" s="16">
        <v>44871</v>
      </c>
      <c r="B115" t="s">
        <v>101</v>
      </c>
      <c r="C115" s="12" t="s">
        <v>7</v>
      </c>
      <c r="D115" s="15"/>
      <c r="E115" s="15"/>
      <c r="F115" s="15"/>
      <c r="G115" s="15" t="str">
        <f>IF(Table5[[#This Row],[ShiftCounter]]&gt;0,"Running","Down")</f>
        <v>Down</v>
      </c>
      <c r="H115" s="9">
        <v>21</v>
      </c>
      <c r="I115" s="15" t="s">
        <v>69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/>
      <c r="P115" s="15"/>
    </row>
    <row r="116" spans="1:16" x14ac:dyDescent="0.25">
      <c r="A116" s="16">
        <v>44871</v>
      </c>
      <c r="B116" t="s">
        <v>16</v>
      </c>
      <c r="C116" s="12" t="s">
        <v>7</v>
      </c>
      <c r="D116" s="15" t="s">
        <v>181</v>
      </c>
      <c r="E116" s="15" t="s">
        <v>61</v>
      </c>
      <c r="F116" s="15" t="s">
        <v>103</v>
      </c>
      <c r="G116" s="15" t="str">
        <f>IF(Table5[[#This Row],[ShiftCounter]]&gt;0,"Running","Down")</f>
        <v>Down</v>
      </c>
      <c r="H116" s="9">
        <v>22</v>
      </c>
      <c r="I116" s="15" t="s">
        <v>58</v>
      </c>
      <c r="J116" s="15">
        <v>0</v>
      </c>
      <c r="K116" s="15">
        <v>0</v>
      </c>
      <c r="L116" s="15">
        <v>0</v>
      </c>
      <c r="M116" s="15">
        <v>0</v>
      </c>
      <c r="N116" s="15">
        <v>13</v>
      </c>
      <c r="O116" s="15"/>
      <c r="P116" s="15" t="s">
        <v>185</v>
      </c>
    </row>
    <row r="117" spans="1:16" x14ac:dyDescent="0.25">
      <c r="A117" s="16">
        <v>44871</v>
      </c>
      <c r="B117" t="s">
        <v>99</v>
      </c>
      <c r="C117" s="12" t="s">
        <v>7</v>
      </c>
      <c r="D117" s="15"/>
      <c r="E117" s="15"/>
      <c r="F117" s="15"/>
      <c r="G117" s="15" t="str">
        <f>IF(Table5[[#This Row],[ShiftCounter]]&gt;0,"Running","Down")</f>
        <v>Down</v>
      </c>
      <c r="H117" s="9">
        <v>23</v>
      </c>
      <c r="I117" s="15"/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/>
      <c r="P117" s="15"/>
    </row>
    <row r="118" spans="1:16" x14ac:dyDescent="0.25">
      <c r="A118" s="16">
        <v>44871</v>
      </c>
      <c r="B118" t="s">
        <v>17</v>
      </c>
      <c r="C118" s="12" t="s">
        <v>7</v>
      </c>
      <c r="D118" s="15" t="s">
        <v>235</v>
      </c>
      <c r="E118" s="15" t="s">
        <v>79</v>
      </c>
      <c r="F118" s="15" t="s">
        <v>183</v>
      </c>
      <c r="G118" s="15" t="str">
        <f>IF(Table5[[#This Row],[ShiftCounter]]&gt;0,"Running","Down")</f>
        <v>Down</v>
      </c>
      <c r="H118" s="9">
        <v>24</v>
      </c>
      <c r="I118" s="15" t="s">
        <v>58</v>
      </c>
      <c r="J118" s="15">
        <v>0</v>
      </c>
      <c r="K118" s="15">
        <v>0</v>
      </c>
      <c r="L118" s="15">
        <v>0</v>
      </c>
      <c r="M118" s="15">
        <v>0</v>
      </c>
      <c r="N118" s="15">
        <v>13.4</v>
      </c>
      <c r="O118" s="15"/>
      <c r="P118" s="15" t="s">
        <v>258</v>
      </c>
    </row>
    <row r="119" spans="1:16" x14ac:dyDescent="0.25">
      <c r="A119" s="16">
        <v>44871</v>
      </c>
      <c r="B119" t="s">
        <v>19</v>
      </c>
      <c r="C119" s="12" t="s">
        <v>7</v>
      </c>
      <c r="D119" s="15" t="s">
        <v>98</v>
      </c>
      <c r="E119" s="15" t="s">
        <v>56</v>
      </c>
      <c r="F119" s="15" t="s">
        <v>236</v>
      </c>
      <c r="G119" s="15" t="str">
        <f>IF(Table5[[#This Row],[ShiftCounter]]&gt;0,"Running","Down")</f>
        <v>Down</v>
      </c>
      <c r="H119" s="9">
        <v>25</v>
      </c>
      <c r="I119" s="15" t="s">
        <v>69</v>
      </c>
      <c r="J119" s="15">
        <v>0</v>
      </c>
      <c r="K119" s="15">
        <v>0</v>
      </c>
      <c r="L119" s="15">
        <v>0</v>
      </c>
      <c r="M119" s="15">
        <v>0</v>
      </c>
      <c r="N119" s="15">
        <v>14.9</v>
      </c>
      <c r="O119" s="15"/>
      <c r="P119" s="15" t="s">
        <v>197</v>
      </c>
    </row>
    <row r="120" spans="1:16" x14ac:dyDescent="0.25">
      <c r="A120" s="16">
        <v>44871</v>
      </c>
      <c r="B120" t="s">
        <v>18</v>
      </c>
      <c r="C120" s="12" t="s">
        <v>7</v>
      </c>
      <c r="D120" s="15" t="s">
        <v>164</v>
      </c>
      <c r="E120" s="15" t="s">
        <v>79</v>
      </c>
      <c r="F120" s="15" t="s">
        <v>183</v>
      </c>
      <c r="G120" s="15" t="str">
        <f>IF(Table5[[#This Row],[ShiftCounter]]&gt;0,"Running","Down")</f>
        <v>Down</v>
      </c>
      <c r="H120" s="9">
        <v>26</v>
      </c>
      <c r="I120" s="15" t="s">
        <v>58</v>
      </c>
      <c r="J120" s="15">
        <v>0</v>
      </c>
      <c r="K120" s="15">
        <v>0</v>
      </c>
      <c r="L120" s="15">
        <v>0</v>
      </c>
      <c r="M120" s="15">
        <v>0</v>
      </c>
      <c r="N120" s="15">
        <v>12.7</v>
      </c>
      <c r="O120" s="15"/>
      <c r="P120" s="15" t="s">
        <v>196</v>
      </c>
    </row>
    <row r="121" spans="1:16" x14ac:dyDescent="0.25">
      <c r="A121" s="16">
        <v>44871</v>
      </c>
      <c r="B121" t="s">
        <v>97</v>
      </c>
      <c r="C121" s="12" t="s">
        <v>7</v>
      </c>
      <c r="D121" s="15"/>
      <c r="E121" s="15"/>
      <c r="F121" s="15"/>
      <c r="G121" s="15" t="str">
        <f>IF(Table5[[#This Row],[ShiftCounter]]&gt;0,"Running","Down")</f>
        <v>Down</v>
      </c>
      <c r="H121" s="9">
        <v>27</v>
      </c>
      <c r="I121" s="15"/>
      <c r="J121" s="15">
        <v>0</v>
      </c>
      <c r="K121" s="15">
        <v>0</v>
      </c>
      <c r="L121" s="15">
        <v>0</v>
      </c>
      <c r="M121" s="15">
        <v>0</v>
      </c>
      <c r="N121" s="15">
        <v>0</v>
      </c>
      <c r="O121" s="15"/>
      <c r="P121" s="15"/>
    </row>
    <row r="122" spans="1:16" x14ac:dyDescent="0.25">
      <c r="A122" s="16">
        <v>44871</v>
      </c>
      <c r="B122" t="s">
        <v>42</v>
      </c>
      <c r="C122" s="12" t="s">
        <v>7</v>
      </c>
      <c r="D122" s="15" t="s">
        <v>237</v>
      </c>
      <c r="E122" s="15" t="s">
        <v>78</v>
      </c>
      <c r="F122" s="15" t="s">
        <v>183</v>
      </c>
      <c r="G122" s="15" t="str">
        <f>IF(Table5[[#This Row],[ShiftCounter]]&gt;0,"Running","Down")</f>
        <v>Down</v>
      </c>
      <c r="H122" s="9">
        <v>28</v>
      </c>
      <c r="I122" s="15" t="s">
        <v>58</v>
      </c>
      <c r="J122" s="15">
        <v>0</v>
      </c>
      <c r="K122" s="15">
        <v>0</v>
      </c>
      <c r="L122" s="15">
        <v>0</v>
      </c>
      <c r="M122" s="15">
        <v>0</v>
      </c>
      <c r="N122" s="15">
        <v>12.9</v>
      </c>
      <c r="O122" s="15"/>
      <c r="P122" s="15" t="s">
        <v>198</v>
      </c>
    </row>
    <row r="123" spans="1:16" x14ac:dyDescent="0.25">
      <c r="A123" s="16">
        <v>44871</v>
      </c>
      <c r="B123" t="s">
        <v>96</v>
      </c>
      <c r="C123" s="12" t="s">
        <v>7</v>
      </c>
      <c r="D123" s="15"/>
      <c r="E123" s="15"/>
      <c r="F123" s="15"/>
      <c r="G123" s="15" t="str">
        <f>IF(Table5[[#This Row],[ShiftCounter]]&gt;0,"Running","Down")</f>
        <v>Down</v>
      </c>
      <c r="H123" s="9">
        <v>29</v>
      </c>
      <c r="I123" s="15" t="s">
        <v>69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/>
      <c r="P123" s="15"/>
    </row>
    <row r="124" spans="1:16" x14ac:dyDescent="0.25">
      <c r="A124" s="16">
        <v>44871</v>
      </c>
      <c r="B124" t="s">
        <v>38</v>
      </c>
      <c r="C124" s="12" t="s">
        <v>7</v>
      </c>
      <c r="D124" s="15" t="s">
        <v>238</v>
      </c>
      <c r="E124" s="15" t="s">
        <v>61</v>
      </c>
      <c r="F124" s="15" t="s">
        <v>183</v>
      </c>
      <c r="G124" s="15" t="str">
        <f>IF(Table5[[#This Row],[ShiftCounter]]&gt;0,"Running","Down")</f>
        <v>Down</v>
      </c>
      <c r="H124" s="9" t="s">
        <v>95</v>
      </c>
      <c r="I124" s="15" t="s">
        <v>58</v>
      </c>
      <c r="J124" s="15">
        <v>0</v>
      </c>
      <c r="K124" s="15">
        <v>0</v>
      </c>
      <c r="L124" s="15">
        <v>0</v>
      </c>
      <c r="M124" s="15">
        <v>0</v>
      </c>
      <c r="N124" s="15">
        <v>12.99</v>
      </c>
      <c r="O124" s="15"/>
      <c r="P124" s="15" t="s">
        <v>259</v>
      </c>
    </row>
    <row r="125" spans="1:16" x14ac:dyDescent="0.25">
      <c r="A125" s="16">
        <v>44871</v>
      </c>
      <c r="B125" t="s">
        <v>93</v>
      </c>
      <c r="C125" s="12" t="s">
        <v>7</v>
      </c>
      <c r="D125" s="15"/>
      <c r="E125" s="15"/>
      <c r="F125" s="15"/>
      <c r="G125" s="15" t="str">
        <f>IF(Table5[[#This Row],[ShiftCounter]]&gt;0,"Running","Down")</f>
        <v>Down</v>
      </c>
      <c r="H125" s="9" t="s">
        <v>94</v>
      </c>
      <c r="I125" s="15"/>
      <c r="J125" s="15">
        <v>0</v>
      </c>
      <c r="K125" s="15">
        <v>0</v>
      </c>
      <c r="L125" s="15">
        <v>0</v>
      </c>
      <c r="M125" s="15">
        <v>0</v>
      </c>
      <c r="N125" s="15">
        <v>0</v>
      </c>
      <c r="O125" s="15"/>
      <c r="P125" s="15"/>
    </row>
    <row r="126" spans="1:16" x14ac:dyDescent="0.25">
      <c r="A126" s="16">
        <v>44871</v>
      </c>
      <c r="B126" t="s">
        <v>20</v>
      </c>
      <c r="C126" s="12" t="s">
        <v>7</v>
      </c>
      <c r="D126" s="15" t="s">
        <v>90</v>
      </c>
      <c r="E126" s="15" t="s">
        <v>91</v>
      </c>
      <c r="F126" s="15" t="s">
        <v>62</v>
      </c>
      <c r="G126" s="15" t="str">
        <f>IF(Table5[[#This Row],[ShiftCounter]]&gt;0,"Running","Down")</f>
        <v>Down</v>
      </c>
      <c r="H126" s="9" t="s">
        <v>92</v>
      </c>
      <c r="I126" s="15" t="s">
        <v>58</v>
      </c>
      <c r="J126" s="15">
        <v>0</v>
      </c>
      <c r="K126" s="15">
        <v>0</v>
      </c>
      <c r="L126" s="15">
        <v>0</v>
      </c>
      <c r="M126" s="15">
        <v>0</v>
      </c>
      <c r="N126" s="15">
        <v>14.1</v>
      </c>
      <c r="O126" s="15"/>
      <c r="P126" s="15" t="s">
        <v>199</v>
      </c>
    </row>
    <row r="127" spans="1:16" x14ac:dyDescent="0.25">
      <c r="A127" s="16">
        <v>44871</v>
      </c>
      <c r="B127" t="s">
        <v>21</v>
      </c>
      <c r="C127" s="12" t="s">
        <v>7</v>
      </c>
      <c r="D127" s="15" t="s">
        <v>88</v>
      </c>
      <c r="E127" s="15" t="s">
        <v>56</v>
      </c>
      <c r="F127" s="15" t="s">
        <v>173</v>
      </c>
      <c r="G127" s="15" t="str">
        <f>IF(Table5[[#This Row],[ShiftCounter]]&gt;0,"Running","Down")</f>
        <v>Down</v>
      </c>
      <c r="H127" s="9" t="s">
        <v>89</v>
      </c>
      <c r="I127" s="15" t="s">
        <v>69</v>
      </c>
      <c r="J127" s="15">
        <v>0</v>
      </c>
      <c r="K127" s="15">
        <v>0</v>
      </c>
      <c r="L127" s="15">
        <v>0</v>
      </c>
      <c r="M127" s="15">
        <v>0</v>
      </c>
      <c r="N127" s="15">
        <v>12.3</v>
      </c>
      <c r="O127" s="15"/>
      <c r="P127" s="15" t="s">
        <v>199</v>
      </c>
    </row>
    <row r="128" spans="1:16" x14ac:dyDescent="0.25">
      <c r="A128" s="16">
        <v>44871</v>
      </c>
      <c r="B128" t="s">
        <v>22</v>
      </c>
      <c r="C128" s="12" t="s">
        <v>7</v>
      </c>
      <c r="D128" s="15" t="s">
        <v>239</v>
      </c>
      <c r="E128" s="15" t="s">
        <v>91</v>
      </c>
      <c r="F128" s="15" t="s">
        <v>148</v>
      </c>
      <c r="G128" s="15" t="str">
        <f>IF(Table5[[#This Row],[ShiftCounter]]&gt;0,"Running","Down")</f>
        <v>Down</v>
      </c>
      <c r="H128" s="9" t="s">
        <v>87</v>
      </c>
      <c r="I128" s="15" t="s">
        <v>58</v>
      </c>
      <c r="J128" s="15">
        <v>0</v>
      </c>
      <c r="K128" s="15">
        <v>0</v>
      </c>
      <c r="L128" s="15">
        <v>0</v>
      </c>
      <c r="M128" s="15">
        <v>0</v>
      </c>
      <c r="N128" s="15">
        <v>18.829999999999998</v>
      </c>
      <c r="O128" s="15"/>
      <c r="P128" s="15" t="s">
        <v>186</v>
      </c>
    </row>
    <row r="129" spans="1:16" x14ac:dyDescent="0.25">
      <c r="A129" s="16">
        <v>44871</v>
      </c>
      <c r="B129" t="s">
        <v>85</v>
      </c>
      <c r="C129" s="12" t="s">
        <v>7</v>
      </c>
      <c r="D129" s="15"/>
      <c r="E129" s="15"/>
      <c r="F129" s="15"/>
      <c r="G129" s="15" t="str">
        <f>IF(Table5[[#This Row],[ShiftCounter]]&gt;0,"Running","Down")</f>
        <v>Down</v>
      </c>
      <c r="H129" s="9" t="s">
        <v>86</v>
      </c>
      <c r="I129" s="15"/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/>
      <c r="P129" s="15"/>
    </row>
    <row r="130" spans="1:16" x14ac:dyDescent="0.25">
      <c r="A130" s="16">
        <v>44871</v>
      </c>
      <c r="B130" t="s">
        <v>23</v>
      </c>
      <c r="C130" s="12" t="s">
        <v>7</v>
      </c>
      <c r="D130" s="15" t="s">
        <v>240</v>
      </c>
      <c r="E130" s="15" t="s">
        <v>84</v>
      </c>
      <c r="F130" s="15" t="s">
        <v>183</v>
      </c>
      <c r="G130" s="15" t="str">
        <f>IF(Table5[[#This Row],[ShiftCounter]]&gt;0,"Running","Down")</f>
        <v>Down</v>
      </c>
      <c r="H130" s="9">
        <v>30</v>
      </c>
      <c r="I130" s="15" t="s">
        <v>58</v>
      </c>
      <c r="J130" s="15">
        <v>0</v>
      </c>
      <c r="K130" s="15">
        <v>0</v>
      </c>
      <c r="L130" s="15">
        <v>0</v>
      </c>
      <c r="M130" s="15">
        <v>0</v>
      </c>
      <c r="N130" s="15">
        <v>12.5</v>
      </c>
      <c r="O130" s="15"/>
      <c r="P130" s="15" t="s">
        <v>200</v>
      </c>
    </row>
    <row r="131" spans="1:16" x14ac:dyDescent="0.25">
      <c r="A131" s="16">
        <v>44871</v>
      </c>
      <c r="B131" t="s">
        <v>24</v>
      </c>
      <c r="C131" s="12" t="s">
        <v>7</v>
      </c>
      <c r="D131" s="15" t="s">
        <v>82</v>
      </c>
      <c r="E131" s="15" t="s">
        <v>56</v>
      </c>
      <c r="F131" s="15" t="s">
        <v>83</v>
      </c>
      <c r="G131" s="15" t="str">
        <f>IF(Table5[[#This Row],[ShiftCounter]]&gt;0,"Running","Down")</f>
        <v>Down</v>
      </c>
      <c r="H131" s="9">
        <v>31</v>
      </c>
      <c r="I131" s="15" t="s">
        <v>69</v>
      </c>
      <c r="J131" s="15">
        <v>0</v>
      </c>
      <c r="K131" s="15">
        <v>0</v>
      </c>
      <c r="L131" s="15">
        <v>0</v>
      </c>
      <c r="M131" s="15">
        <v>0</v>
      </c>
      <c r="N131" s="15">
        <v>13.41</v>
      </c>
      <c r="O131" s="15"/>
      <c r="P131" s="15" t="s">
        <v>199</v>
      </c>
    </row>
    <row r="132" spans="1:16" x14ac:dyDescent="0.25">
      <c r="A132" s="16">
        <v>44871</v>
      </c>
      <c r="B132" t="s">
        <v>81</v>
      </c>
      <c r="C132" s="12" t="s">
        <v>7</v>
      </c>
      <c r="D132" s="15" t="s">
        <v>241</v>
      </c>
      <c r="E132" s="15" t="s">
        <v>78</v>
      </c>
      <c r="F132" s="15" t="s">
        <v>66</v>
      </c>
      <c r="G132" s="15" t="str">
        <f>IF(Table5[[#This Row],[ShiftCounter]]&gt;0,"Running","Down")</f>
        <v>Down</v>
      </c>
      <c r="H132" s="9">
        <v>32</v>
      </c>
      <c r="I132" s="15" t="s">
        <v>58</v>
      </c>
      <c r="J132" s="15">
        <v>0</v>
      </c>
      <c r="K132" s="15">
        <v>0</v>
      </c>
      <c r="L132" s="15">
        <v>0</v>
      </c>
      <c r="M132" s="15">
        <v>0</v>
      </c>
      <c r="N132" s="15">
        <v>13.2</v>
      </c>
      <c r="O132" s="15"/>
      <c r="P132" s="15" t="s">
        <v>260</v>
      </c>
    </row>
    <row r="133" spans="1:16" x14ac:dyDescent="0.25">
      <c r="A133" s="16">
        <v>44871</v>
      </c>
      <c r="B133" t="s">
        <v>25</v>
      </c>
      <c r="C133" s="12" t="s">
        <v>7</v>
      </c>
      <c r="D133" s="15" t="s">
        <v>242</v>
      </c>
      <c r="E133" s="15" t="s">
        <v>56</v>
      </c>
      <c r="F133" s="15" t="s">
        <v>243</v>
      </c>
      <c r="G133" s="15" t="str">
        <f>IF(Table5[[#This Row],[ShiftCounter]]&gt;0,"Running","Down")</f>
        <v>Down</v>
      </c>
      <c r="H133" s="9">
        <v>33</v>
      </c>
      <c r="I133" s="15" t="s">
        <v>69</v>
      </c>
      <c r="J133" s="15">
        <v>0</v>
      </c>
      <c r="K133" s="15">
        <v>0</v>
      </c>
      <c r="L133" s="15">
        <v>0</v>
      </c>
      <c r="M133" s="15">
        <v>0</v>
      </c>
      <c r="N133" s="15">
        <v>13.6</v>
      </c>
      <c r="O133" s="15"/>
      <c r="P133" s="15" t="s">
        <v>197</v>
      </c>
    </row>
    <row r="134" spans="1:16" x14ac:dyDescent="0.25">
      <c r="A134" s="16">
        <v>44871</v>
      </c>
      <c r="B134" t="s">
        <v>80</v>
      </c>
      <c r="C134" s="12" t="s">
        <v>7</v>
      </c>
      <c r="D134" s="15" t="s">
        <v>182</v>
      </c>
      <c r="E134" s="15" t="s">
        <v>61</v>
      </c>
      <c r="F134" s="15" t="s">
        <v>66</v>
      </c>
      <c r="G134" s="15" t="str">
        <f>IF(Table5[[#This Row],[ShiftCounter]]&gt;0,"Running","Down")</f>
        <v>Down</v>
      </c>
      <c r="H134" s="9">
        <v>34</v>
      </c>
      <c r="I134" s="15" t="s">
        <v>58</v>
      </c>
      <c r="J134" s="15">
        <v>0</v>
      </c>
      <c r="K134" s="15">
        <v>0</v>
      </c>
      <c r="L134" s="15">
        <v>0</v>
      </c>
      <c r="M134" s="15">
        <v>0</v>
      </c>
      <c r="N134" s="15">
        <v>14.7</v>
      </c>
      <c r="O134" s="15"/>
      <c r="P134" s="15" t="s">
        <v>201</v>
      </c>
    </row>
    <row r="135" spans="1:16" x14ac:dyDescent="0.25">
      <c r="A135" s="16">
        <v>44871</v>
      </c>
      <c r="B135" t="s">
        <v>26</v>
      </c>
      <c r="C135" s="12" t="s">
        <v>7</v>
      </c>
      <c r="D135" s="15" t="s">
        <v>244</v>
      </c>
      <c r="E135" s="15" t="s">
        <v>56</v>
      </c>
      <c r="F135" s="15" t="s">
        <v>173</v>
      </c>
      <c r="G135" s="15" t="str">
        <f>IF(Table5[[#This Row],[ShiftCounter]]&gt;0,"Running","Down")</f>
        <v>Down</v>
      </c>
      <c r="H135" s="9">
        <v>35</v>
      </c>
      <c r="I135" s="15" t="s">
        <v>69</v>
      </c>
      <c r="J135" s="15">
        <v>0</v>
      </c>
      <c r="K135" s="15">
        <v>0</v>
      </c>
      <c r="L135" s="15">
        <v>0</v>
      </c>
      <c r="M135" s="15">
        <v>0</v>
      </c>
      <c r="N135" s="15">
        <v>13.9</v>
      </c>
      <c r="O135" s="15"/>
      <c r="P135" s="15" t="s">
        <v>199</v>
      </c>
    </row>
    <row r="136" spans="1:16" x14ac:dyDescent="0.25">
      <c r="A136" s="16">
        <v>44871</v>
      </c>
      <c r="B136" t="s">
        <v>27</v>
      </c>
      <c r="C136" s="12" t="s">
        <v>7</v>
      </c>
      <c r="D136" s="15" t="s">
        <v>100</v>
      </c>
      <c r="E136" s="15" t="s">
        <v>61</v>
      </c>
      <c r="F136" s="15" t="s">
        <v>183</v>
      </c>
      <c r="G136" s="15" t="str">
        <f>IF(Table5[[#This Row],[ShiftCounter]]&gt;0,"Running","Down")</f>
        <v>Down</v>
      </c>
      <c r="H136" s="9">
        <v>36</v>
      </c>
      <c r="I136" s="15" t="s">
        <v>58</v>
      </c>
      <c r="J136" s="15">
        <v>0</v>
      </c>
      <c r="K136" s="15">
        <v>0</v>
      </c>
      <c r="L136" s="15">
        <v>0</v>
      </c>
      <c r="M136" s="15">
        <v>0</v>
      </c>
      <c r="N136" s="15">
        <v>12.5</v>
      </c>
      <c r="O136" s="15"/>
      <c r="P136" s="15" t="s">
        <v>195</v>
      </c>
    </row>
    <row r="137" spans="1:16" x14ac:dyDescent="0.25">
      <c r="A137" s="16">
        <v>44871</v>
      </c>
      <c r="B137" t="s">
        <v>28</v>
      </c>
      <c r="C137" s="12" t="s">
        <v>7</v>
      </c>
      <c r="D137" s="15" t="s">
        <v>245</v>
      </c>
      <c r="E137" s="15" t="s">
        <v>56</v>
      </c>
      <c r="F137" s="15" t="s">
        <v>243</v>
      </c>
      <c r="G137" s="15" t="str">
        <f>IF(Table5[[#This Row],[ShiftCounter]]&gt;0,"Running","Down")</f>
        <v>Down</v>
      </c>
      <c r="H137" s="9">
        <v>37</v>
      </c>
      <c r="I137" s="15" t="s">
        <v>69</v>
      </c>
      <c r="J137" s="15">
        <v>0</v>
      </c>
      <c r="K137" s="15">
        <v>0</v>
      </c>
      <c r="L137" s="15">
        <v>0</v>
      </c>
      <c r="M137" s="15">
        <v>0</v>
      </c>
      <c r="N137" s="15">
        <v>13.6</v>
      </c>
      <c r="O137" s="15"/>
      <c r="P137" s="15" t="s">
        <v>197</v>
      </c>
    </row>
    <row r="138" spans="1:16" x14ac:dyDescent="0.25">
      <c r="A138" s="16">
        <v>44871</v>
      </c>
      <c r="B138" t="s">
        <v>77</v>
      </c>
      <c r="C138" s="12" t="s">
        <v>7</v>
      </c>
      <c r="D138" s="15" t="s">
        <v>246</v>
      </c>
      <c r="E138" s="15" t="s">
        <v>78</v>
      </c>
      <c r="F138" s="15" t="s">
        <v>66</v>
      </c>
      <c r="G138" s="15" t="str">
        <f>IF(Table5[[#This Row],[ShiftCounter]]&gt;0,"Running","Down")</f>
        <v>Down</v>
      </c>
      <c r="H138" s="9">
        <v>39</v>
      </c>
      <c r="I138" s="15" t="s">
        <v>58</v>
      </c>
      <c r="J138" s="15">
        <v>0</v>
      </c>
      <c r="K138" s="15">
        <v>0</v>
      </c>
      <c r="L138" s="15">
        <v>0</v>
      </c>
      <c r="M138" s="15">
        <v>0</v>
      </c>
      <c r="N138" s="15">
        <v>14.49</v>
      </c>
      <c r="O138" s="15"/>
      <c r="P138" s="15" t="s">
        <v>202</v>
      </c>
    </row>
    <row r="139" spans="1:16" x14ac:dyDescent="0.25">
      <c r="A139" s="16">
        <v>44871</v>
      </c>
      <c r="B139" t="s">
        <v>29</v>
      </c>
      <c r="C139" s="12" t="s">
        <v>7</v>
      </c>
      <c r="D139" s="15" t="s">
        <v>247</v>
      </c>
      <c r="E139" s="15" t="s">
        <v>56</v>
      </c>
      <c r="F139" s="15" t="s">
        <v>243</v>
      </c>
      <c r="G139" s="15" t="str">
        <f>IF(Table5[[#This Row],[ShiftCounter]]&gt;0,"Running","Down")</f>
        <v>Down</v>
      </c>
      <c r="H139" s="9">
        <v>39</v>
      </c>
      <c r="I139" s="15" t="s">
        <v>69</v>
      </c>
      <c r="J139" s="15">
        <v>0</v>
      </c>
      <c r="K139" s="15">
        <v>0</v>
      </c>
      <c r="L139" s="15">
        <v>0</v>
      </c>
      <c r="M139" s="15">
        <v>0</v>
      </c>
      <c r="N139" s="15">
        <v>14.99</v>
      </c>
      <c r="O139" s="15"/>
      <c r="P139" s="15" t="s">
        <v>199</v>
      </c>
    </row>
    <row r="140" spans="1:16" x14ac:dyDescent="0.25">
      <c r="A140" s="16">
        <v>44871</v>
      </c>
      <c r="B140" t="s">
        <v>30</v>
      </c>
      <c r="C140" s="12" t="s">
        <v>7</v>
      </c>
      <c r="D140" s="15" t="s">
        <v>75</v>
      </c>
      <c r="E140" s="15" t="s">
        <v>56</v>
      </c>
      <c r="F140" s="15" t="s">
        <v>248</v>
      </c>
      <c r="G140" s="15" t="str">
        <f>IF(Table5[[#This Row],[ShiftCounter]]&gt;0,"Running","Down")</f>
        <v>Down</v>
      </c>
      <c r="H140" s="9" t="s">
        <v>76</v>
      </c>
      <c r="I140" s="15" t="s">
        <v>58</v>
      </c>
      <c r="J140" s="15">
        <v>0</v>
      </c>
      <c r="K140" s="15">
        <v>0</v>
      </c>
      <c r="L140" s="15">
        <v>0</v>
      </c>
      <c r="M140" s="15">
        <v>0</v>
      </c>
      <c r="N140" s="15">
        <v>13.59</v>
      </c>
      <c r="O140" s="15"/>
      <c r="P140" s="15" t="s">
        <v>199</v>
      </c>
    </row>
    <row r="141" spans="1:16" x14ac:dyDescent="0.25">
      <c r="A141" s="16">
        <v>44871</v>
      </c>
      <c r="B141" t="s">
        <v>31</v>
      </c>
      <c r="C141" s="12" t="s">
        <v>7</v>
      </c>
      <c r="D141" s="15" t="s">
        <v>175</v>
      </c>
      <c r="E141" s="15" t="s">
        <v>56</v>
      </c>
      <c r="F141" s="15" t="s">
        <v>173</v>
      </c>
      <c r="G141" s="15" t="str">
        <f>IF(Table5[[#This Row],[ShiftCounter]]&gt;0,"Running","Down")</f>
        <v>Down</v>
      </c>
      <c r="H141" s="9" t="s">
        <v>74</v>
      </c>
      <c r="I141" s="15" t="s">
        <v>69</v>
      </c>
      <c r="J141" s="15">
        <v>0</v>
      </c>
      <c r="K141" s="15">
        <v>0</v>
      </c>
      <c r="L141" s="15">
        <v>0</v>
      </c>
      <c r="M141" s="15">
        <v>0</v>
      </c>
      <c r="N141" s="15">
        <v>13.6</v>
      </c>
      <c r="O141" s="15"/>
      <c r="P141" s="15" t="s">
        <v>199</v>
      </c>
    </row>
    <row r="142" spans="1:16" x14ac:dyDescent="0.25">
      <c r="A142" s="16">
        <v>44871</v>
      </c>
      <c r="B142" t="s">
        <v>32</v>
      </c>
      <c r="C142" s="12" t="s">
        <v>7</v>
      </c>
      <c r="D142" s="15" t="s">
        <v>249</v>
      </c>
      <c r="E142" s="15" t="s">
        <v>56</v>
      </c>
      <c r="F142" s="15" t="s">
        <v>183</v>
      </c>
      <c r="G142" s="15" t="str">
        <f>IF(Table5[[#This Row],[ShiftCounter]]&gt;0,"Running","Down")</f>
        <v>Down</v>
      </c>
      <c r="H142" s="9" t="s">
        <v>73</v>
      </c>
      <c r="I142" s="15" t="s">
        <v>58</v>
      </c>
      <c r="J142" s="15">
        <v>0</v>
      </c>
      <c r="K142" s="15">
        <v>0</v>
      </c>
      <c r="L142" s="15">
        <v>0</v>
      </c>
      <c r="M142" s="15">
        <v>0</v>
      </c>
      <c r="N142" s="15">
        <v>13.59</v>
      </c>
      <c r="O142" s="15"/>
      <c r="P142" s="15" t="s">
        <v>261</v>
      </c>
    </row>
    <row r="143" spans="1:16" x14ac:dyDescent="0.25">
      <c r="A143" s="16">
        <v>44871</v>
      </c>
      <c r="B143" t="s">
        <v>71</v>
      </c>
      <c r="C143" s="12" t="s">
        <v>7</v>
      </c>
      <c r="D143" s="15" t="s">
        <v>250</v>
      </c>
      <c r="E143" s="15" t="s">
        <v>56</v>
      </c>
      <c r="F143" s="15" t="s">
        <v>173</v>
      </c>
      <c r="G143" s="15" t="str">
        <f>IF(Table5[[#This Row],[ShiftCounter]]&gt;0,"Running","Down")</f>
        <v>Down</v>
      </c>
      <c r="H143" s="9" t="s">
        <v>72</v>
      </c>
      <c r="I143" s="15" t="s">
        <v>69</v>
      </c>
      <c r="J143" s="15">
        <v>0</v>
      </c>
      <c r="K143" s="15">
        <v>0</v>
      </c>
      <c r="L143" s="15">
        <v>0</v>
      </c>
      <c r="M143" s="15">
        <v>0</v>
      </c>
      <c r="N143" s="15">
        <v>13</v>
      </c>
      <c r="O143" s="15"/>
      <c r="P143" s="15" t="s">
        <v>199</v>
      </c>
    </row>
    <row r="144" spans="1:16" x14ac:dyDescent="0.25">
      <c r="A144" s="16">
        <v>44871</v>
      </c>
      <c r="B144" t="s">
        <v>33</v>
      </c>
      <c r="C144" s="12" t="s">
        <v>7</v>
      </c>
      <c r="D144" s="15" t="s">
        <v>251</v>
      </c>
      <c r="E144" s="15" t="s">
        <v>91</v>
      </c>
      <c r="F144" s="15" t="s">
        <v>62</v>
      </c>
      <c r="G144" s="15" t="str">
        <f>IF(Table5[[#This Row],[ShiftCounter]]&gt;0,"Running","Down")</f>
        <v>Down</v>
      </c>
      <c r="H144" s="9" t="s">
        <v>70</v>
      </c>
      <c r="I144" s="15" t="s">
        <v>58</v>
      </c>
      <c r="J144" s="15">
        <v>0</v>
      </c>
      <c r="K144" s="15">
        <v>0</v>
      </c>
      <c r="L144" s="15">
        <v>0</v>
      </c>
      <c r="M144" s="15">
        <v>0</v>
      </c>
      <c r="N144" s="15">
        <v>12</v>
      </c>
      <c r="O144" s="15"/>
      <c r="P144" s="15" t="s">
        <v>199</v>
      </c>
    </row>
    <row r="145" spans="1:16" x14ac:dyDescent="0.25">
      <c r="A145" s="16">
        <v>44871</v>
      </c>
      <c r="B145" t="s">
        <v>34</v>
      </c>
      <c r="C145" s="12" t="s">
        <v>7</v>
      </c>
      <c r="D145" s="15" t="s">
        <v>67</v>
      </c>
      <c r="E145" s="15" t="s">
        <v>56</v>
      </c>
      <c r="F145" s="15" t="s">
        <v>248</v>
      </c>
      <c r="G145" s="15" t="str">
        <f>IF(Table5[[#This Row],[ShiftCounter]]&gt;0,"Running","Down")</f>
        <v>Down</v>
      </c>
      <c r="H145" s="9" t="s">
        <v>68</v>
      </c>
      <c r="I145" s="15" t="s">
        <v>69</v>
      </c>
      <c r="J145" s="15">
        <v>0</v>
      </c>
      <c r="K145" s="15">
        <v>0</v>
      </c>
      <c r="L145" s="15">
        <v>0</v>
      </c>
      <c r="M145" s="15">
        <v>0</v>
      </c>
      <c r="N145" s="15">
        <v>15</v>
      </c>
      <c r="O145" s="15"/>
      <c r="P145" s="15" t="s">
        <v>199</v>
      </c>
    </row>
    <row r="146" spans="1:16" x14ac:dyDescent="0.25">
      <c r="A146" s="16">
        <v>44871</v>
      </c>
      <c r="B146" t="s">
        <v>35</v>
      </c>
      <c r="C146" s="12" t="s">
        <v>7</v>
      </c>
      <c r="D146" s="15" t="s">
        <v>176</v>
      </c>
      <c r="E146" s="15" t="s">
        <v>61</v>
      </c>
      <c r="F146" s="15" t="s">
        <v>66</v>
      </c>
      <c r="G146" s="15" t="str">
        <f>IF(Table5[[#This Row],[ShiftCounter]]&gt;0,"Running","Down")</f>
        <v>Down</v>
      </c>
      <c r="H146" s="9">
        <v>40</v>
      </c>
      <c r="I146" s="15" t="s">
        <v>58</v>
      </c>
      <c r="J146" s="15">
        <v>0</v>
      </c>
      <c r="K146" s="15">
        <v>0</v>
      </c>
      <c r="L146" s="15">
        <v>0</v>
      </c>
      <c r="M146" s="15">
        <v>0</v>
      </c>
      <c r="N146" s="15">
        <v>13.7</v>
      </c>
      <c r="O146" s="15"/>
      <c r="P146" s="15" t="s">
        <v>203</v>
      </c>
    </row>
    <row r="147" spans="1:16" x14ac:dyDescent="0.25">
      <c r="A147" s="16">
        <v>44871</v>
      </c>
      <c r="B147" t="s">
        <v>65</v>
      </c>
      <c r="C147" s="12" t="s">
        <v>7</v>
      </c>
      <c r="D147" s="15"/>
      <c r="E147" s="15"/>
      <c r="F147" s="15"/>
      <c r="G147" s="15" t="str">
        <f>IF(Table5[[#This Row],[ShiftCounter]]&gt;0,"Running","Down")</f>
        <v>Down</v>
      </c>
      <c r="H147" s="9">
        <v>41</v>
      </c>
      <c r="I147" s="15"/>
      <c r="J147" s="15">
        <v>0</v>
      </c>
      <c r="K147" s="15">
        <v>0</v>
      </c>
      <c r="L147" s="15">
        <v>0</v>
      </c>
      <c r="M147" s="15">
        <v>0</v>
      </c>
      <c r="N147" s="15">
        <v>0</v>
      </c>
      <c r="O147" s="15"/>
      <c r="P147" s="15"/>
    </row>
    <row r="148" spans="1:16" x14ac:dyDescent="0.25">
      <c r="A148" s="16">
        <v>44871</v>
      </c>
      <c r="B148" t="s">
        <v>36</v>
      </c>
      <c r="C148" s="12" t="s">
        <v>7</v>
      </c>
      <c r="D148" s="15" t="s">
        <v>252</v>
      </c>
      <c r="E148" s="15" t="s">
        <v>61</v>
      </c>
      <c r="F148" s="15" t="s">
        <v>183</v>
      </c>
      <c r="G148" s="15" t="str">
        <f>IF(Table5[[#This Row],[ShiftCounter]]&gt;0,"Running","Down")</f>
        <v>Down</v>
      </c>
      <c r="H148" s="9">
        <v>42</v>
      </c>
      <c r="I148" s="15" t="s">
        <v>58</v>
      </c>
      <c r="J148" s="15">
        <v>0</v>
      </c>
      <c r="K148" s="15">
        <v>0</v>
      </c>
      <c r="L148" s="15">
        <v>0</v>
      </c>
      <c r="M148" s="15">
        <v>0</v>
      </c>
      <c r="N148" s="15">
        <v>13.4</v>
      </c>
      <c r="O148" s="15"/>
      <c r="P148" s="15" t="s">
        <v>262</v>
      </c>
    </row>
    <row r="149" spans="1:16" x14ac:dyDescent="0.25">
      <c r="A149" s="16">
        <v>44871</v>
      </c>
      <c r="B149" t="s">
        <v>64</v>
      </c>
      <c r="C149" s="12" t="s">
        <v>7</v>
      </c>
      <c r="D149" s="15"/>
      <c r="E149" s="15"/>
      <c r="F149" s="15"/>
      <c r="G149" s="15" t="str">
        <f>IF(Table5[[#This Row],[ShiftCounter]]&gt;0,"Running","Down")</f>
        <v>Down</v>
      </c>
      <c r="H149" s="9"/>
      <c r="I149" s="15"/>
      <c r="J149" s="15">
        <v>0</v>
      </c>
      <c r="K149" s="15">
        <v>0</v>
      </c>
      <c r="L149" s="15">
        <v>0</v>
      </c>
      <c r="M149" s="15">
        <v>0</v>
      </c>
      <c r="N149" s="15">
        <v>0</v>
      </c>
      <c r="O149" s="15"/>
      <c r="P149" s="15"/>
    </row>
    <row r="150" spans="1:16" x14ac:dyDescent="0.25">
      <c r="A150" s="16">
        <v>44871</v>
      </c>
      <c r="B150" t="s">
        <v>37</v>
      </c>
      <c r="C150" s="12" t="s">
        <v>7</v>
      </c>
      <c r="D150" s="15" t="s">
        <v>177</v>
      </c>
      <c r="E150" s="15" t="s">
        <v>56</v>
      </c>
      <c r="F150" s="15" t="s">
        <v>248</v>
      </c>
      <c r="G150" s="15" t="str">
        <f>IF(Table5[[#This Row],[ShiftCounter]]&gt;0,"Running","Down")</f>
        <v>Down</v>
      </c>
      <c r="H150" s="9">
        <v>43</v>
      </c>
      <c r="I150" s="15" t="s">
        <v>58</v>
      </c>
      <c r="J150" s="15">
        <v>0</v>
      </c>
      <c r="K150" s="15">
        <v>0</v>
      </c>
      <c r="L150" s="15">
        <v>0</v>
      </c>
      <c r="M150" s="15">
        <v>0</v>
      </c>
      <c r="N150" s="15">
        <v>12.99</v>
      </c>
      <c r="O150" s="15"/>
      <c r="P150" s="15" t="s">
        <v>197</v>
      </c>
    </row>
    <row r="151" spans="1:16" x14ac:dyDescent="0.25">
      <c r="A151" s="16">
        <v>44871</v>
      </c>
      <c r="B151" t="s">
        <v>63</v>
      </c>
      <c r="C151" s="12" t="s">
        <v>7</v>
      </c>
      <c r="D151" s="15" t="s">
        <v>253</v>
      </c>
      <c r="E151" s="15" t="s">
        <v>61</v>
      </c>
      <c r="F151" s="15" t="s">
        <v>170</v>
      </c>
      <c r="G151" s="15" t="str">
        <f>IF(Table5[[#This Row],[ShiftCounter]]&gt;0,"Running","Down")</f>
        <v>Down</v>
      </c>
      <c r="H151" s="9">
        <v>44</v>
      </c>
      <c r="I151" s="15" t="s">
        <v>58</v>
      </c>
      <c r="J151" s="15">
        <v>0</v>
      </c>
      <c r="K151" s="15">
        <v>0</v>
      </c>
      <c r="L151" s="15">
        <v>0</v>
      </c>
      <c r="M151" s="15">
        <v>0</v>
      </c>
      <c r="N151" s="15">
        <v>16.5</v>
      </c>
      <c r="O151" s="15"/>
      <c r="P151" s="15" t="s">
        <v>263</v>
      </c>
    </row>
    <row r="152" spans="1:16" x14ac:dyDescent="0.25">
      <c r="A152" s="16">
        <v>44871</v>
      </c>
      <c r="B152" t="s">
        <v>59</v>
      </c>
      <c r="C152" s="12" t="s">
        <v>7</v>
      </c>
      <c r="D152" s="15" t="s">
        <v>60</v>
      </c>
      <c r="E152" s="15" t="s">
        <v>61</v>
      </c>
      <c r="F152" s="15" t="s">
        <v>62</v>
      </c>
      <c r="G152" s="15" t="str">
        <f>IF(Table5[[#This Row],[ShiftCounter]]&gt;0,"Running","Down")</f>
        <v>Down</v>
      </c>
      <c r="H152" s="9">
        <v>45</v>
      </c>
      <c r="I152" s="15" t="s">
        <v>58</v>
      </c>
      <c r="J152" s="15">
        <v>0</v>
      </c>
      <c r="K152" s="15">
        <v>0</v>
      </c>
      <c r="L152" s="15">
        <v>0</v>
      </c>
      <c r="M152" s="15">
        <v>0</v>
      </c>
      <c r="N152" s="15">
        <v>16.2</v>
      </c>
      <c r="O152" s="15"/>
      <c r="P152" s="15" t="s">
        <v>204</v>
      </c>
    </row>
    <row r="153" spans="1:16" x14ac:dyDescent="0.25">
      <c r="A153" s="16">
        <v>44871</v>
      </c>
      <c r="B153" t="s">
        <v>54</v>
      </c>
      <c r="C153" s="12" t="s">
        <v>7</v>
      </c>
      <c r="D153" s="15" t="s">
        <v>55</v>
      </c>
      <c r="E153" s="15" t="s">
        <v>254</v>
      </c>
      <c r="F153" s="15" t="s">
        <v>57</v>
      </c>
      <c r="G153" s="15" t="str">
        <f>IF(Table5[[#This Row],[ShiftCounter]]&gt;0,"Running","Down")</f>
        <v>Down</v>
      </c>
      <c r="H153" s="9">
        <v>46</v>
      </c>
      <c r="I153" s="15" t="s">
        <v>58</v>
      </c>
      <c r="J153" s="15">
        <v>0</v>
      </c>
      <c r="K153" s="15">
        <v>0</v>
      </c>
      <c r="L153" s="15">
        <v>0</v>
      </c>
      <c r="M153" s="15">
        <v>0</v>
      </c>
      <c r="N153" s="15">
        <v>16.489999999999998</v>
      </c>
      <c r="O153" s="15"/>
      <c r="P153" s="15" t="s">
        <v>205</v>
      </c>
    </row>
    <row r="154" spans="1:16" x14ac:dyDescent="0.25">
      <c r="A154" s="16">
        <v>44872</v>
      </c>
      <c r="B154" t="s">
        <v>160</v>
      </c>
      <c r="C154" s="12" t="s">
        <v>8</v>
      </c>
      <c r="D154" s="15" t="s">
        <v>222</v>
      </c>
      <c r="E154" s="15" t="s">
        <v>91</v>
      </c>
      <c r="F154" s="15" t="s">
        <v>148</v>
      </c>
      <c r="G154" s="15" t="str">
        <f>IF(Table5[[#This Row],[ShiftCounter]]&gt;0,"Running","Down")</f>
        <v>Down</v>
      </c>
      <c r="H154" s="9" t="s">
        <v>206</v>
      </c>
      <c r="I154" s="15" t="s">
        <v>58</v>
      </c>
      <c r="J154" s="15">
        <v>0</v>
      </c>
      <c r="K154" s="15">
        <v>0</v>
      </c>
      <c r="L154" s="15">
        <v>0</v>
      </c>
      <c r="M154" s="15">
        <v>0</v>
      </c>
      <c r="N154" s="15">
        <v>17.22</v>
      </c>
      <c r="O154" s="15"/>
      <c r="P154" s="15" t="s">
        <v>191</v>
      </c>
    </row>
    <row r="155" spans="1:16" x14ac:dyDescent="0.25">
      <c r="A155" s="16">
        <v>44872</v>
      </c>
      <c r="B155" t="s">
        <v>158</v>
      </c>
      <c r="C155" s="12" t="s">
        <v>8</v>
      </c>
      <c r="D155" s="15" t="s">
        <v>161</v>
      </c>
      <c r="E155" s="15" t="s">
        <v>61</v>
      </c>
      <c r="F155" s="15" t="s">
        <v>103</v>
      </c>
      <c r="G155" s="15" t="str">
        <f>IF(Table5[[#This Row],[ShiftCounter]]&gt;0,"Running","Down")</f>
        <v>Down</v>
      </c>
      <c r="H155" s="9" t="s">
        <v>207</v>
      </c>
      <c r="I155" s="15" t="s">
        <v>58</v>
      </c>
      <c r="J155" s="15">
        <v>0</v>
      </c>
      <c r="K155" s="15">
        <v>0</v>
      </c>
      <c r="L155" s="15">
        <v>0</v>
      </c>
      <c r="M155" s="15">
        <v>0</v>
      </c>
      <c r="N155" s="15">
        <v>12.6</v>
      </c>
      <c r="O155" s="15"/>
      <c r="P155" s="15" t="s">
        <v>185</v>
      </c>
    </row>
    <row r="156" spans="1:16" x14ac:dyDescent="0.25">
      <c r="A156" s="16">
        <v>44872</v>
      </c>
      <c r="B156" t="s">
        <v>157</v>
      </c>
      <c r="C156" s="12" t="s">
        <v>8</v>
      </c>
      <c r="D156" s="15" t="s">
        <v>223</v>
      </c>
      <c r="E156" s="15" t="s">
        <v>91</v>
      </c>
      <c r="F156" s="15" t="s">
        <v>148</v>
      </c>
      <c r="G156" s="15" t="str">
        <f>IF(Table5[[#This Row],[ShiftCounter]]&gt;0,"Running","Down")</f>
        <v>Down</v>
      </c>
      <c r="H156" s="9">
        <v>47</v>
      </c>
      <c r="I156" s="15" t="s">
        <v>58</v>
      </c>
      <c r="J156" s="15">
        <v>0</v>
      </c>
      <c r="K156" s="15">
        <v>0</v>
      </c>
      <c r="L156" s="15">
        <v>0</v>
      </c>
      <c r="M156" s="15">
        <v>0</v>
      </c>
      <c r="N156" s="15">
        <v>21.59</v>
      </c>
      <c r="O156" s="15"/>
      <c r="P156" s="15" t="s">
        <v>186</v>
      </c>
    </row>
    <row r="157" spans="1:16" x14ac:dyDescent="0.25">
      <c r="A157" s="16">
        <v>44872</v>
      </c>
      <c r="B157" t="s">
        <v>155</v>
      </c>
      <c r="C157" s="12" t="s">
        <v>8</v>
      </c>
      <c r="D157" s="15" t="s">
        <v>156</v>
      </c>
      <c r="E157" s="15" t="s">
        <v>224</v>
      </c>
      <c r="F157" s="15" t="s">
        <v>146</v>
      </c>
      <c r="G157" s="15" t="str">
        <f>IF(Table5[[#This Row],[ShiftCounter]]&gt;0,"Running","Down")</f>
        <v>Down</v>
      </c>
      <c r="H157" s="9" t="s">
        <v>208</v>
      </c>
      <c r="I157" s="15" t="s">
        <v>58</v>
      </c>
      <c r="J157" s="15">
        <v>0</v>
      </c>
      <c r="K157" s="15">
        <v>0</v>
      </c>
      <c r="L157" s="15">
        <v>0</v>
      </c>
      <c r="M157" s="15">
        <v>0</v>
      </c>
      <c r="N157" s="15">
        <v>40</v>
      </c>
      <c r="O157" s="15"/>
      <c r="P157" s="15" t="s">
        <v>187</v>
      </c>
    </row>
    <row r="158" spans="1:16" x14ac:dyDescent="0.25">
      <c r="A158" s="16">
        <v>44872</v>
      </c>
      <c r="B158" t="s">
        <v>153</v>
      </c>
      <c r="C158" s="12" t="s">
        <v>8</v>
      </c>
      <c r="D158" s="15" t="s">
        <v>225</v>
      </c>
      <c r="E158" s="15" t="s">
        <v>91</v>
      </c>
      <c r="F158" s="15" t="s">
        <v>148</v>
      </c>
      <c r="G158" s="15" t="str">
        <f>IF(Table5[[#This Row],[ShiftCounter]]&gt;0,"Running","Down")</f>
        <v>Down</v>
      </c>
      <c r="H158" s="9" t="s">
        <v>209</v>
      </c>
      <c r="I158" s="15" t="s">
        <v>58</v>
      </c>
      <c r="J158" s="15">
        <v>0</v>
      </c>
      <c r="K158" s="15">
        <v>0</v>
      </c>
      <c r="L158" s="15">
        <v>0</v>
      </c>
      <c r="M158" s="15">
        <v>0</v>
      </c>
      <c r="N158" s="15">
        <v>24.59</v>
      </c>
      <c r="O158" s="15"/>
      <c r="P158" s="15" t="s">
        <v>255</v>
      </c>
    </row>
    <row r="159" spans="1:16" x14ac:dyDescent="0.25">
      <c r="A159" s="16">
        <v>44872</v>
      </c>
      <c r="B159" t="s">
        <v>152</v>
      </c>
      <c r="C159" s="12" t="s">
        <v>8</v>
      </c>
      <c r="D159" s="15" t="s">
        <v>168</v>
      </c>
      <c r="E159" s="15" t="s">
        <v>129</v>
      </c>
      <c r="F159" s="15" t="s">
        <v>130</v>
      </c>
      <c r="G159" s="15" t="str">
        <f>IF(Table5[[#This Row],[ShiftCounter]]&gt;0,"Running","Down")</f>
        <v>Down</v>
      </c>
      <c r="H159" s="9">
        <v>48</v>
      </c>
      <c r="I159" s="15" t="s">
        <v>58</v>
      </c>
      <c r="J159" s="15">
        <v>0</v>
      </c>
      <c r="K159" s="15">
        <v>0</v>
      </c>
      <c r="L159" s="15">
        <v>0</v>
      </c>
      <c r="M159" s="15">
        <v>0</v>
      </c>
      <c r="N159" s="15">
        <v>19.5</v>
      </c>
      <c r="O159" s="15"/>
      <c r="P159" s="15" t="s">
        <v>186</v>
      </c>
    </row>
    <row r="160" spans="1:16" x14ac:dyDescent="0.25">
      <c r="A160" s="16">
        <v>44872</v>
      </c>
      <c r="B160" t="s">
        <v>150</v>
      </c>
      <c r="C160" s="12" t="s">
        <v>8</v>
      </c>
      <c r="D160" s="15" t="s">
        <v>151</v>
      </c>
      <c r="E160" s="15" t="s">
        <v>145</v>
      </c>
      <c r="F160" s="15" t="s">
        <v>146</v>
      </c>
      <c r="G160" s="15" t="str">
        <f>IF(Table5[[#This Row],[ShiftCounter]]&gt;0,"Running","Down")</f>
        <v>Down</v>
      </c>
      <c r="H160" s="9" t="s">
        <v>210</v>
      </c>
      <c r="I160" s="15" t="s">
        <v>58</v>
      </c>
      <c r="J160" s="15">
        <v>0</v>
      </c>
      <c r="K160" s="15">
        <v>0</v>
      </c>
      <c r="L160" s="15">
        <v>0</v>
      </c>
      <c r="M160" s="15">
        <v>0</v>
      </c>
      <c r="N160" s="15">
        <v>41.2</v>
      </c>
      <c r="O160" s="15"/>
      <c r="P160" s="15" t="s">
        <v>187</v>
      </c>
    </row>
    <row r="161" spans="1:16" x14ac:dyDescent="0.25">
      <c r="A161" s="16">
        <v>44872</v>
      </c>
      <c r="B161" t="s">
        <v>40</v>
      </c>
      <c r="C161" s="12" t="s">
        <v>8</v>
      </c>
      <c r="D161" s="15" t="s">
        <v>149</v>
      </c>
      <c r="E161" s="15" t="s">
        <v>61</v>
      </c>
      <c r="F161" s="15" t="s">
        <v>106</v>
      </c>
      <c r="G161" s="15" t="str">
        <f>IF(Table5[[#This Row],[ShiftCounter]]&gt;0,"Running","Down")</f>
        <v>Down</v>
      </c>
      <c r="H161" s="9" t="s">
        <v>211</v>
      </c>
      <c r="I161" s="15" t="s">
        <v>58</v>
      </c>
      <c r="J161" s="15">
        <v>0</v>
      </c>
      <c r="K161" s="15">
        <v>0</v>
      </c>
      <c r="L161" s="15">
        <v>0</v>
      </c>
      <c r="M161" s="15">
        <v>0</v>
      </c>
      <c r="N161" s="15">
        <v>12.7</v>
      </c>
      <c r="O161" s="15"/>
      <c r="P161" s="15" t="s">
        <v>185</v>
      </c>
    </row>
    <row r="162" spans="1:16" x14ac:dyDescent="0.25">
      <c r="A162" s="16">
        <v>44872</v>
      </c>
      <c r="B162" t="s">
        <v>147</v>
      </c>
      <c r="C162" s="12" t="s">
        <v>8</v>
      </c>
      <c r="D162" s="15" t="s">
        <v>169</v>
      </c>
      <c r="E162" s="15" t="s">
        <v>56</v>
      </c>
      <c r="F162" s="15" t="s">
        <v>130</v>
      </c>
      <c r="G162" s="15" t="str">
        <f>IF(Table5[[#This Row],[ShiftCounter]]&gt;0,"Running","Down")</f>
        <v>Down</v>
      </c>
      <c r="H162" s="9">
        <v>49</v>
      </c>
      <c r="I162" s="15" t="s">
        <v>58</v>
      </c>
      <c r="J162" s="15">
        <v>0</v>
      </c>
      <c r="K162" s="15">
        <v>0</v>
      </c>
      <c r="L162" s="15">
        <v>0</v>
      </c>
      <c r="M162" s="15">
        <v>0</v>
      </c>
      <c r="N162" s="15">
        <v>20.55</v>
      </c>
      <c r="O162" s="15"/>
      <c r="P162" s="15" t="s">
        <v>189</v>
      </c>
    </row>
    <row r="163" spans="1:16" x14ac:dyDescent="0.25">
      <c r="A163" s="16">
        <v>44872</v>
      </c>
      <c r="B163" t="s">
        <v>143</v>
      </c>
      <c r="C163" s="12" t="s">
        <v>8</v>
      </c>
      <c r="D163" s="15" t="s">
        <v>144</v>
      </c>
      <c r="E163" s="15" t="s">
        <v>145</v>
      </c>
      <c r="F163" s="15" t="s">
        <v>146</v>
      </c>
      <c r="G163" s="15" t="str">
        <f>IF(Table5[[#This Row],[ShiftCounter]]&gt;0,"Running","Down")</f>
        <v>Down</v>
      </c>
      <c r="H163" s="9" t="s">
        <v>212</v>
      </c>
      <c r="I163" s="15" t="s">
        <v>58</v>
      </c>
      <c r="J163" s="15">
        <v>0</v>
      </c>
      <c r="K163" s="15">
        <v>0</v>
      </c>
      <c r="L163" s="15">
        <v>0</v>
      </c>
      <c r="M163" s="15">
        <v>0</v>
      </c>
      <c r="N163" s="15">
        <v>41.21</v>
      </c>
      <c r="O163" s="15"/>
      <c r="P163" s="15" t="s">
        <v>187</v>
      </c>
    </row>
    <row r="164" spans="1:16" x14ac:dyDescent="0.25">
      <c r="A164" s="16">
        <v>44872</v>
      </c>
      <c r="B164" t="s">
        <v>141</v>
      </c>
      <c r="C164" s="12" t="s">
        <v>8</v>
      </c>
      <c r="D164" s="15" t="s">
        <v>142</v>
      </c>
      <c r="E164" s="15" t="s">
        <v>56</v>
      </c>
      <c r="F164" s="15" t="s">
        <v>130</v>
      </c>
      <c r="G164" s="15" t="str">
        <f>IF(Table5[[#This Row],[ShiftCounter]]&gt;0,"Running","Down")</f>
        <v>Down</v>
      </c>
      <c r="H164" s="9" t="s">
        <v>213</v>
      </c>
      <c r="I164" s="15" t="s">
        <v>58</v>
      </c>
      <c r="J164" s="15">
        <v>0</v>
      </c>
      <c r="K164" s="15">
        <v>0</v>
      </c>
      <c r="L164" s="15">
        <v>0</v>
      </c>
      <c r="M164" s="15">
        <v>0</v>
      </c>
      <c r="N164" s="15">
        <v>20.12</v>
      </c>
      <c r="O164" s="15"/>
      <c r="P164" s="15" t="s">
        <v>190</v>
      </c>
    </row>
    <row r="165" spans="1:16" x14ac:dyDescent="0.25">
      <c r="A165" s="16">
        <v>44872</v>
      </c>
      <c r="B165" t="s">
        <v>139</v>
      </c>
      <c r="C165" s="12" t="s">
        <v>8</v>
      </c>
      <c r="D165" s="15" t="s">
        <v>226</v>
      </c>
      <c r="E165" s="15" t="s">
        <v>91</v>
      </c>
      <c r="F165" s="15" t="s">
        <v>148</v>
      </c>
      <c r="G165" s="15" t="str">
        <f>IF(Table5[[#This Row],[ShiftCounter]]&gt;0,"Running","Down")</f>
        <v>Down</v>
      </c>
      <c r="H165" s="9" t="s">
        <v>140</v>
      </c>
      <c r="I165" s="15" t="s">
        <v>58</v>
      </c>
      <c r="J165" s="15">
        <v>0</v>
      </c>
      <c r="K165" s="15">
        <v>0</v>
      </c>
      <c r="L165" s="15">
        <v>0</v>
      </c>
      <c r="M165" s="15">
        <v>0</v>
      </c>
      <c r="N165" s="15">
        <v>23.63</v>
      </c>
      <c r="O165" s="15"/>
      <c r="P165" s="15" t="s">
        <v>189</v>
      </c>
    </row>
    <row r="166" spans="1:16" x14ac:dyDescent="0.25">
      <c r="A166" s="16">
        <v>44872</v>
      </c>
      <c r="B166" t="s">
        <v>138</v>
      </c>
      <c r="C166" s="12" t="s">
        <v>8</v>
      </c>
      <c r="D166" s="15" t="s">
        <v>227</v>
      </c>
      <c r="E166" s="15" t="s">
        <v>145</v>
      </c>
      <c r="F166" s="15" t="s">
        <v>146</v>
      </c>
      <c r="G166" s="15" t="str">
        <f>IF(Table5[[#This Row],[ShiftCounter]]&gt;0,"Running","Down")</f>
        <v>Down</v>
      </c>
      <c r="H166" s="9" t="s">
        <v>214</v>
      </c>
      <c r="I166" s="15" t="s">
        <v>58</v>
      </c>
      <c r="J166" s="15">
        <v>0</v>
      </c>
      <c r="K166" s="15">
        <v>0</v>
      </c>
      <c r="L166" s="15">
        <v>0</v>
      </c>
      <c r="M166" s="15">
        <v>0</v>
      </c>
      <c r="N166" s="15">
        <v>41.97</v>
      </c>
      <c r="O166" s="15"/>
      <c r="P166" s="15" t="s">
        <v>187</v>
      </c>
    </row>
    <row r="167" spans="1:16" x14ac:dyDescent="0.25">
      <c r="A167" s="16">
        <v>44872</v>
      </c>
      <c r="B167" t="s">
        <v>136</v>
      </c>
      <c r="C167" s="12" t="s">
        <v>8</v>
      </c>
      <c r="D167" s="15" t="s">
        <v>154</v>
      </c>
      <c r="E167" s="15" t="s">
        <v>91</v>
      </c>
      <c r="F167" s="15" t="s">
        <v>130</v>
      </c>
      <c r="G167" s="15" t="str">
        <f>IF(Table5[[#This Row],[ShiftCounter]]&gt;0,"Running","Down")</f>
        <v>Down</v>
      </c>
      <c r="H167" s="9" t="s">
        <v>137</v>
      </c>
      <c r="I167" s="15" t="s">
        <v>58</v>
      </c>
      <c r="J167" s="15">
        <v>0</v>
      </c>
      <c r="K167" s="15">
        <v>0</v>
      </c>
      <c r="L167" s="15">
        <v>0</v>
      </c>
      <c r="M167" s="15">
        <v>0</v>
      </c>
      <c r="N167" s="15">
        <v>12.18</v>
      </c>
      <c r="O167" s="15"/>
      <c r="P167" s="15" t="s">
        <v>188</v>
      </c>
    </row>
    <row r="168" spans="1:16" x14ac:dyDescent="0.25">
      <c r="A168" s="16">
        <v>44872</v>
      </c>
      <c r="B168" t="s">
        <v>39</v>
      </c>
      <c r="C168" s="12" t="s">
        <v>8</v>
      </c>
      <c r="D168" s="15" t="s">
        <v>167</v>
      </c>
      <c r="E168" s="15" t="s">
        <v>91</v>
      </c>
      <c r="F168" s="15" t="s">
        <v>170</v>
      </c>
      <c r="G168" s="15" t="str">
        <f>IF(Table5[[#This Row],[ShiftCounter]]&gt;0,"Running","Down")</f>
        <v>Down</v>
      </c>
      <c r="H168" s="9" t="s">
        <v>135</v>
      </c>
      <c r="I168" s="15" t="s">
        <v>58</v>
      </c>
      <c r="J168" s="15">
        <v>0</v>
      </c>
      <c r="K168" s="15">
        <v>0</v>
      </c>
      <c r="L168" s="15">
        <v>0</v>
      </c>
      <c r="M168" s="15">
        <v>0</v>
      </c>
      <c r="N168" s="15">
        <v>22.21</v>
      </c>
      <c r="O168" s="15"/>
      <c r="P168" s="15" t="s">
        <v>186</v>
      </c>
    </row>
    <row r="169" spans="1:16" x14ac:dyDescent="0.25">
      <c r="A169" s="16">
        <v>44872</v>
      </c>
      <c r="B169" t="s">
        <v>132</v>
      </c>
      <c r="C169" s="12" t="s">
        <v>8</v>
      </c>
      <c r="D169" s="15"/>
      <c r="E169" s="15"/>
      <c r="F169" s="15"/>
      <c r="G169" s="15" t="str">
        <f>IF(Table5[[#This Row],[ShiftCounter]]&gt;0,"Running","Down")</f>
        <v>Down</v>
      </c>
      <c r="H169" s="9" t="s">
        <v>133</v>
      </c>
      <c r="I169" s="15" t="s">
        <v>58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  <c r="O169" s="15"/>
      <c r="P169" s="15"/>
    </row>
    <row r="170" spans="1:16" x14ac:dyDescent="0.25">
      <c r="A170" s="16">
        <v>44872</v>
      </c>
      <c r="B170" t="s">
        <v>128</v>
      </c>
      <c r="C170" s="12" t="s">
        <v>8</v>
      </c>
      <c r="D170" s="15" t="s">
        <v>179</v>
      </c>
      <c r="E170" s="15" t="s">
        <v>91</v>
      </c>
      <c r="F170" s="15" t="s">
        <v>130</v>
      </c>
      <c r="G170" s="15" t="str">
        <f>IF(Table5[[#This Row],[ShiftCounter]]&gt;0,"Running","Down")</f>
        <v>Down</v>
      </c>
      <c r="H170" s="9" t="s">
        <v>131</v>
      </c>
      <c r="I170" s="15" t="s">
        <v>58</v>
      </c>
      <c r="J170" s="15">
        <v>0</v>
      </c>
      <c r="K170" s="15">
        <v>0</v>
      </c>
      <c r="L170" s="15">
        <v>0</v>
      </c>
      <c r="M170" s="15">
        <v>0</v>
      </c>
      <c r="N170" s="15">
        <v>23.63</v>
      </c>
      <c r="O170" s="15"/>
      <c r="P170" s="15" t="s">
        <v>191</v>
      </c>
    </row>
    <row r="171" spans="1:16" x14ac:dyDescent="0.25">
      <c r="A171" s="16">
        <v>44872</v>
      </c>
      <c r="B171" t="s">
        <v>126</v>
      </c>
      <c r="C171" s="12" t="s">
        <v>8</v>
      </c>
      <c r="D171" s="15" t="s">
        <v>171</v>
      </c>
      <c r="E171" s="15" t="s">
        <v>145</v>
      </c>
      <c r="F171" s="15" t="s">
        <v>146</v>
      </c>
      <c r="G171" s="15" t="str">
        <f>IF(Table5[[#This Row],[ShiftCounter]]&gt;0,"Running","Down")</f>
        <v>Down</v>
      </c>
      <c r="H171" s="9" t="s">
        <v>127</v>
      </c>
      <c r="I171" s="15" t="s">
        <v>58</v>
      </c>
      <c r="J171" s="15">
        <v>0</v>
      </c>
      <c r="K171" s="15">
        <v>0</v>
      </c>
      <c r="L171" s="15">
        <v>0</v>
      </c>
      <c r="M171" s="15">
        <v>0</v>
      </c>
      <c r="N171" s="15">
        <v>41.19</v>
      </c>
      <c r="O171" s="15"/>
      <c r="P171" s="15" t="s">
        <v>187</v>
      </c>
    </row>
    <row r="172" spans="1:16" x14ac:dyDescent="0.25">
      <c r="A172" s="16">
        <v>44872</v>
      </c>
      <c r="B172" t="s">
        <v>123</v>
      </c>
      <c r="C172" s="12" t="s">
        <v>8</v>
      </c>
      <c r="D172" s="15" t="s">
        <v>124</v>
      </c>
      <c r="E172" s="15" t="s">
        <v>56</v>
      </c>
      <c r="F172" s="15" t="s">
        <v>106</v>
      </c>
      <c r="G172" s="15" t="str">
        <f>IF(Table5[[#This Row],[ShiftCounter]]&gt;0,"Running","Down")</f>
        <v>Down</v>
      </c>
      <c r="H172" s="9" t="s">
        <v>125</v>
      </c>
      <c r="I172" s="15" t="s">
        <v>58</v>
      </c>
      <c r="J172" s="15">
        <v>0</v>
      </c>
      <c r="K172" s="15">
        <v>0</v>
      </c>
      <c r="L172" s="15">
        <v>0</v>
      </c>
      <c r="M172" s="15">
        <v>0</v>
      </c>
      <c r="N172" s="15">
        <v>13.8</v>
      </c>
      <c r="O172" s="15"/>
      <c r="P172" s="15" t="s">
        <v>192</v>
      </c>
    </row>
    <row r="173" spans="1:16" x14ac:dyDescent="0.25">
      <c r="A173" s="16">
        <v>44872</v>
      </c>
      <c r="B173" t="s">
        <v>41</v>
      </c>
      <c r="C173" s="12" t="s">
        <v>8</v>
      </c>
      <c r="D173" s="15" t="s">
        <v>121</v>
      </c>
      <c r="E173" s="15" t="s">
        <v>61</v>
      </c>
      <c r="F173" s="15" t="s">
        <v>106</v>
      </c>
      <c r="G173" s="15" t="str">
        <f>IF(Table5[[#This Row],[ShiftCounter]]&gt;0,"Running","Down")</f>
        <v>Down</v>
      </c>
      <c r="H173" s="9" t="s">
        <v>122</v>
      </c>
      <c r="I173" s="15" t="s">
        <v>58</v>
      </c>
      <c r="J173" s="15">
        <v>0</v>
      </c>
      <c r="K173" s="15">
        <v>0</v>
      </c>
      <c r="L173" s="15">
        <v>0</v>
      </c>
      <c r="M173" s="15">
        <v>0</v>
      </c>
      <c r="N173" s="15">
        <v>12.9</v>
      </c>
      <c r="O173" s="15"/>
      <c r="P173" s="15" t="s">
        <v>185</v>
      </c>
    </row>
    <row r="174" spans="1:16" x14ac:dyDescent="0.25">
      <c r="A174" s="16">
        <v>44872</v>
      </c>
      <c r="B174" t="s">
        <v>43</v>
      </c>
      <c r="C174" s="12" t="s">
        <v>8</v>
      </c>
      <c r="D174" s="15" t="s">
        <v>228</v>
      </c>
      <c r="E174" s="15" t="s">
        <v>91</v>
      </c>
      <c r="F174" s="15" t="s">
        <v>148</v>
      </c>
      <c r="G174" s="15" t="str">
        <f>IF(Table5[[#This Row],[ShiftCounter]]&gt;0,"Running","Down")</f>
        <v>Down</v>
      </c>
      <c r="H174" s="9">
        <v>10</v>
      </c>
      <c r="I174" s="15" t="s">
        <v>58</v>
      </c>
      <c r="J174" s="15">
        <v>0</v>
      </c>
      <c r="K174" s="15">
        <v>0</v>
      </c>
      <c r="L174" s="15">
        <v>0</v>
      </c>
      <c r="M174" s="15">
        <v>0</v>
      </c>
      <c r="N174" s="15">
        <v>16.36</v>
      </c>
      <c r="O174" s="15"/>
      <c r="P174" s="15" t="s">
        <v>256</v>
      </c>
    </row>
    <row r="175" spans="1:16" x14ac:dyDescent="0.25">
      <c r="A175" s="16">
        <v>44872</v>
      </c>
      <c r="B175" t="s">
        <v>5</v>
      </c>
      <c r="C175" s="12" t="s">
        <v>8</v>
      </c>
      <c r="D175" s="15" t="s">
        <v>163</v>
      </c>
      <c r="E175" s="15" t="s">
        <v>56</v>
      </c>
      <c r="F175" s="15" t="s">
        <v>106</v>
      </c>
      <c r="G175" s="15" t="str">
        <f>IF(Table5[[#This Row],[ShiftCounter]]&gt;0,"Running","Down")</f>
        <v>Down</v>
      </c>
      <c r="H175" s="9">
        <v>11</v>
      </c>
      <c r="I175" s="15" t="s">
        <v>58</v>
      </c>
      <c r="J175" s="15">
        <v>0</v>
      </c>
      <c r="K175" s="15">
        <v>0</v>
      </c>
      <c r="L175" s="15">
        <v>0</v>
      </c>
      <c r="M175" s="15">
        <v>0</v>
      </c>
      <c r="N175" s="15">
        <v>13</v>
      </c>
      <c r="O175" s="15"/>
      <c r="P175" s="15" t="s">
        <v>193</v>
      </c>
    </row>
    <row r="176" spans="1:16" x14ac:dyDescent="0.25">
      <c r="A176" s="16">
        <v>44872</v>
      </c>
      <c r="B176" t="s">
        <v>9</v>
      </c>
      <c r="C176" s="12" t="s">
        <v>8</v>
      </c>
      <c r="D176" s="15" t="s">
        <v>180</v>
      </c>
      <c r="E176" s="15" t="s">
        <v>61</v>
      </c>
      <c r="F176" s="15" t="s">
        <v>106</v>
      </c>
      <c r="G176" s="15" t="str">
        <f>IF(Table5[[#This Row],[ShiftCounter]]&gt;0,"Running","Down")</f>
        <v>Down</v>
      </c>
      <c r="H176" s="9">
        <v>12</v>
      </c>
      <c r="I176" s="15" t="s">
        <v>58</v>
      </c>
      <c r="J176" s="15">
        <v>0</v>
      </c>
      <c r="K176" s="15">
        <v>0</v>
      </c>
      <c r="L176" s="15">
        <v>0</v>
      </c>
      <c r="M176" s="15">
        <v>0</v>
      </c>
      <c r="N176" s="15">
        <v>13.5</v>
      </c>
      <c r="O176" s="15"/>
      <c r="P176" s="15" t="s">
        <v>192</v>
      </c>
    </row>
    <row r="177" spans="1:16" x14ac:dyDescent="0.25">
      <c r="A177" s="16">
        <v>44872</v>
      </c>
      <c r="B177" t="s">
        <v>10</v>
      </c>
      <c r="C177" s="12" t="s">
        <v>8</v>
      </c>
      <c r="D177" s="15" t="s">
        <v>229</v>
      </c>
      <c r="E177" s="15"/>
      <c r="F177" s="15"/>
      <c r="G177" s="15" t="str">
        <f>IF(Table5[[#This Row],[ShiftCounter]]&gt;0,"Running","Down")</f>
        <v>Down</v>
      </c>
      <c r="H177" s="9">
        <v>13</v>
      </c>
      <c r="I177" s="15" t="s">
        <v>58</v>
      </c>
      <c r="J177" s="15">
        <v>0</v>
      </c>
      <c r="K177" s="15">
        <v>0</v>
      </c>
      <c r="L177" s="15">
        <v>0</v>
      </c>
      <c r="M177" s="15">
        <v>0</v>
      </c>
      <c r="N177" s="15">
        <v>14.55</v>
      </c>
      <c r="O177" s="15"/>
      <c r="P177" s="15" t="s">
        <v>194</v>
      </c>
    </row>
    <row r="178" spans="1:16" x14ac:dyDescent="0.25">
      <c r="A178" s="16">
        <v>44872</v>
      </c>
      <c r="B178" t="s">
        <v>11</v>
      </c>
      <c r="C178" s="12" t="s">
        <v>8</v>
      </c>
      <c r="D178" s="15" t="s">
        <v>159</v>
      </c>
      <c r="E178" s="15" t="s">
        <v>61</v>
      </c>
      <c r="F178" s="15" t="s">
        <v>106</v>
      </c>
      <c r="G178" s="15" t="str">
        <f>IF(Table5[[#This Row],[ShiftCounter]]&gt;0,"Running","Down")</f>
        <v>Down</v>
      </c>
      <c r="H178" s="9">
        <v>14</v>
      </c>
      <c r="I178" s="15" t="s">
        <v>58</v>
      </c>
      <c r="J178" s="15">
        <v>0</v>
      </c>
      <c r="K178" s="15">
        <v>0</v>
      </c>
      <c r="L178" s="15">
        <v>0</v>
      </c>
      <c r="M178" s="15">
        <v>0</v>
      </c>
      <c r="N178" s="15">
        <v>12.8</v>
      </c>
      <c r="O178" s="15"/>
      <c r="P178" s="15" t="s">
        <v>185</v>
      </c>
    </row>
    <row r="179" spans="1:16" x14ac:dyDescent="0.25">
      <c r="A179" s="16">
        <v>44872</v>
      </c>
      <c r="B179" t="s">
        <v>12</v>
      </c>
      <c r="C179" s="12" t="s">
        <v>8</v>
      </c>
      <c r="D179" s="15" t="s">
        <v>230</v>
      </c>
      <c r="E179" s="15"/>
      <c r="F179" s="15"/>
      <c r="G179" s="15" t="str">
        <f>IF(Table5[[#This Row],[ShiftCounter]]&gt;0,"Running","Down")</f>
        <v>Down</v>
      </c>
      <c r="H179" s="9">
        <v>15</v>
      </c>
      <c r="I179" s="15" t="s">
        <v>58</v>
      </c>
      <c r="J179" s="15">
        <v>0</v>
      </c>
      <c r="K179" s="15">
        <v>0</v>
      </c>
      <c r="L179" s="15">
        <v>0</v>
      </c>
      <c r="M179" s="15">
        <v>0</v>
      </c>
      <c r="N179" s="15">
        <v>12.56</v>
      </c>
      <c r="O179" s="15"/>
      <c r="P179" s="15" t="s">
        <v>188</v>
      </c>
    </row>
    <row r="180" spans="1:16" x14ac:dyDescent="0.25">
      <c r="A180" s="16">
        <v>44872</v>
      </c>
      <c r="B180" t="s">
        <v>120</v>
      </c>
      <c r="C180" s="12" t="s">
        <v>8</v>
      </c>
      <c r="D180" s="15" t="s">
        <v>134</v>
      </c>
      <c r="E180" s="15" t="s">
        <v>61</v>
      </c>
      <c r="F180" s="15" t="s">
        <v>106</v>
      </c>
      <c r="G180" s="15" t="str">
        <f>IF(Table5[[#This Row],[ShiftCounter]]&gt;0,"Running","Down")</f>
        <v>Down</v>
      </c>
      <c r="H180" s="9">
        <v>16</v>
      </c>
      <c r="I180" s="15" t="s">
        <v>58</v>
      </c>
      <c r="J180" s="15">
        <v>0</v>
      </c>
      <c r="K180" s="15">
        <v>0</v>
      </c>
      <c r="L180" s="15">
        <v>0</v>
      </c>
      <c r="M180" s="15">
        <v>0</v>
      </c>
      <c r="N180" s="15">
        <v>12.4</v>
      </c>
      <c r="O180" s="15"/>
      <c r="P180" s="15" t="s">
        <v>185</v>
      </c>
    </row>
    <row r="181" spans="1:16" x14ac:dyDescent="0.25">
      <c r="A181" s="16">
        <v>44872</v>
      </c>
      <c r="B181" t="s">
        <v>119</v>
      </c>
      <c r="C181" s="12" t="s">
        <v>8</v>
      </c>
      <c r="D181" s="15" t="s">
        <v>172</v>
      </c>
      <c r="E181" s="15" t="s">
        <v>61</v>
      </c>
      <c r="F181" s="15" t="s">
        <v>130</v>
      </c>
      <c r="G181" s="15" t="str">
        <f>IF(Table5[[#This Row],[ShiftCounter]]&gt;0,"Running","Down")</f>
        <v>Down</v>
      </c>
      <c r="H181" s="9">
        <v>17</v>
      </c>
      <c r="I181" s="15" t="s">
        <v>58</v>
      </c>
      <c r="J181" s="15">
        <v>0</v>
      </c>
      <c r="K181" s="15">
        <v>0</v>
      </c>
      <c r="L181" s="15">
        <v>0</v>
      </c>
      <c r="M181" s="15">
        <v>0</v>
      </c>
      <c r="N181" s="15">
        <v>15.61</v>
      </c>
      <c r="O181" s="15"/>
      <c r="P181" s="15" t="s">
        <v>194</v>
      </c>
    </row>
    <row r="182" spans="1:16" x14ac:dyDescent="0.25">
      <c r="A182" s="16">
        <v>44872</v>
      </c>
      <c r="B182" t="s">
        <v>13</v>
      </c>
      <c r="C182" s="12" t="s">
        <v>8</v>
      </c>
      <c r="D182" s="15" t="s">
        <v>118</v>
      </c>
      <c r="E182" s="15" t="s">
        <v>61</v>
      </c>
      <c r="F182" s="15" t="s">
        <v>103</v>
      </c>
      <c r="G182" s="15" t="str">
        <f>IF(Table5[[#This Row],[ShiftCounter]]&gt;0,"Running","Down")</f>
        <v>Down</v>
      </c>
      <c r="H182" s="9">
        <v>18</v>
      </c>
      <c r="I182" s="15" t="s">
        <v>58</v>
      </c>
      <c r="J182" s="15">
        <v>0</v>
      </c>
      <c r="K182" s="15">
        <v>0</v>
      </c>
      <c r="L182" s="15">
        <v>0</v>
      </c>
      <c r="M182" s="15">
        <v>0</v>
      </c>
      <c r="N182" s="15">
        <v>12.7</v>
      </c>
      <c r="O182" s="15"/>
      <c r="P182" s="15" t="s">
        <v>185</v>
      </c>
    </row>
    <row r="183" spans="1:16" x14ac:dyDescent="0.25">
      <c r="A183" s="16">
        <v>44872</v>
      </c>
      <c r="B183" t="s">
        <v>117</v>
      </c>
      <c r="C183" s="12" t="s">
        <v>8</v>
      </c>
      <c r="D183" s="15" t="s">
        <v>231</v>
      </c>
      <c r="E183" s="15" t="s">
        <v>91</v>
      </c>
      <c r="F183" s="15" t="s">
        <v>148</v>
      </c>
      <c r="G183" s="15" t="str">
        <f>IF(Table5[[#This Row],[ShiftCounter]]&gt;0,"Running","Down")</f>
        <v>Down</v>
      </c>
      <c r="H183" s="9">
        <v>19</v>
      </c>
      <c r="I183" s="15" t="s">
        <v>69</v>
      </c>
      <c r="J183" s="15">
        <v>0</v>
      </c>
      <c r="K183" s="15">
        <v>0</v>
      </c>
      <c r="L183" s="15">
        <v>0</v>
      </c>
      <c r="M183" s="15">
        <v>0</v>
      </c>
      <c r="N183" s="15">
        <v>30.41</v>
      </c>
      <c r="O183" s="15"/>
      <c r="P183" s="15" t="s">
        <v>257</v>
      </c>
    </row>
    <row r="184" spans="1:16" x14ac:dyDescent="0.25">
      <c r="A184" s="16">
        <v>44872</v>
      </c>
      <c r="B184" t="s">
        <v>114</v>
      </c>
      <c r="C184" s="12" t="s">
        <v>8</v>
      </c>
      <c r="D184" s="15" t="s">
        <v>115</v>
      </c>
      <c r="E184" s="15" t="s">
        <v>61</v>
      </c>
      <c r="F184" s="15" t="s">
        <v>103</v>
      </c>
      <c r="G184" s="15" t="str">
        <f>IF(Table5[[#This Row],[ShiftCounter]]&gt;0,"Running","Down")</f>
        <v>Down</v>
      </c>
      <c r="H184" s="9" t="s">
        <v>116</v>
      </c>
      <c r="I184" s="15" t="s">
        <v>58</v>
      </c>
      <c r="J184" s="15">
        <v>0</v>
      </c>
      <c r="K184" s="15">
        <v>0</v>
      </c>
      <c r="L184" s="15">
        <v>0</v>
      </c>
      <c r="M184" s="15">
        <v>0</v>
      </c>
      <c r="N184" s="15">
        <v>12.9</v>
      </c>
      <c r="O184" s="15"/>
      <c r="P184" s="15" t="s">
        <v>185</v>
      </c>
    </row>
    <row r="185" spans="1:16" x14ac:dyDescent="0.25">
      <c r="A185" s="16">
        <v>44872</v>
      </c>
      <c r="B185" t="s">
        <v>112</v>
      </c>
      <c r="C185" s="12" t="s">
        <v>8</v>
      </c>
      <c r="D185" s="15"/>
      <c r="E185" s="15"/>
      <c r="F185" s="15"/>
      <c r="G185" s="15" t="str">
        <f>IF(Table5[[#This Row],[ShiftCounter]]&gt;0,"Running","Down")</f>
        <v>Down</v>
      </c>
      <c r="H185" s="9" t="s">
        <v>113</v>
      </c>
      <c r="I185" s="15"/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/>
      <c r="P185" s="15"/>
    </row>
    <row r="186" spans="1:16" x14ac:dyDescent="0.25">
      <c r="A186" s="16">
        <v>44872</v>
      </c>
      <c r="B186" t="s">
        <v>110</v>
      </c>
      <c r="C186" s="12" t="s">
        <v>8</v>
      </c>
      <c r="D186" s="15" t="s">
        <v>232</v>
      </c>
      <c r="E186" s="15" t="s">
        <v>233</v>
      </c>
      <c r="F186" s="15" t="s">
        <v>148</v>
      </c>
      <c r="G186" s="15" t="str">
        <f>IF(Table5[[#This Row],[ShiftCounter]]&gt;0,"Running","Down")</f>
        <v>Down</v>
      </c>
      <c r="H186" s="9" t="s">
        <v>111</v>
      </c>
      <c r="I186" s="15" t="s">
        <v>58</v>
      </c>
      <c r="J186" s="15">
        <v>0</v>
      </c>
      <c r="K186" s="15">
        <v>0</v>
      </c>
      <c r="L186" s="15">
        <v>0</v>
      </c>
      <c r="M186" s="15">
        <v>0</v>
      </c>
      <c r="N186" s="15">
        <v>28.29</v>
      </c>
      <c r="O186" s="15"/>
      <c r="P186" s="15" t="s">
        <v>186</v>
      </c>
    </row>
    <row r="187" spans="1:16" x14ac:dyDescent="0.25">
      <c r="A187" s="16">
        <v>44872</v>
      </c>
      <c r="B187" t="s">
        <v>108</v>
      </c>
      <c r="C187" s="12" t="s">
        <v>8</v>
      </c>
      <c r="D187" s="15" t="s">
        <v>234</v>
      </c>
      <c r="E187" s="15" t="s">
        <v>91</v>
      </c>
      <c r="F187" s="15" t="s">
        <v>148</v>
      </c>
      <c r="G187" s="15" t="str">
        <f>IF(Table5[[#This Row],[ShiftCounter]]&gt;0,"Running","Down")</f>
        <v>Down</v>
      </c>
      <c r="H187" s="9" t="s">
        <v>109</v>
      </c>
      <c r="I187" s="15" t="s">
        <v>69</v>
      </c>
      <c r="J187" s="15">
        <v>0</v>
      </c>
      <c r="K187" s="15">
        <v>0</v>
      </c>
      <c r="L187" s="15">
        <v>0</v>
      </c>
      <c r="M187" s="15">
        <v>0</v>
      </c>
      <c r="N187" s="15">
        <v>22.17</v>
      </c>
      <c r="O187" s="15"/>
      <c r="P187" s="15" t="s">
        <v>190</v>
      </c>
    </row>
    <row r="188" spans="1:16" x14ac:dyDescent="0.25">
      <c r="A188" s="16">
        <v>44872</v>
      </c>
      <c r="B188" t="s">
        <v>14</v>
      </c>
      <c r="C188" s="12" t="s">
        <v>8</v>
      </c>
      <c r="D188" s="15" t="s">
        <v>174</v>
      </c>
      <c r="E188" s="15" t="s">
        <v>84</v>
      </c>
      <c r="F188" s="15" t="s">
        <v>106</v>
      </c>
      <c r="G188" s="15" t="str">
        <f>IF(Table5[[#This Row],[ShiftCounter]]&gt;0,"Running","Down")</f>
        <v>Down</v>
      </c>
      <c r="H188" s="9" t="s">
        <v>107</v>
      </c>
      <c r="I188" s="15" t="s">
        <v>58</v>
      </c>
      <c r="J188" s="15">
        <v>0</v>
      </c>
      <c r="K188" s="15">
        <v>0</v>
      </c>
      <c r="L188" s="15">
        <v>0</v>
      </c>
      <c r="M188" s="15">
        <v>0</v>
      </c>
      <c r="N188" s="15">
        <v>12.8</v>
      </c>
      <c r="O188" s="15"/>
      <c r="P188" s="15" t="s">
        <v>200</v>
      </c>
    </row>
    <row r="189" spans="1:16" x14ac:dyDescent="0.25">
      <c r="A189" s="16">
        <v>44872</v>
      </c>
      <c r="B189" t="s">
        <v>104</v>
      </c>
      <c r="C189" s="12" t="s">
        <v>8</v>
      </c>
      <c r="D189" s="15"/>
      <c r="E189" s="15"/>
      <c r="F189" s="15"/>
      <c r="G189" s="15" t="str">
        <f>IF(Table5[[#This Row],[ShiftCounter]]&gt;0,"Running","Down")</f>
        <v>Down</v>
      </c>
      <c r="H189" s="9" t="s">
        <v>105</v>
      </c>
      <c r="I189" s="15"/>
      <c r="J189" s="15">
        <v>0</v>
      </c>
      <c r="K189" s="15">
        <v>0</v>
      </c>
      <c r="L189" s="15">
        <v>0</v>
      </c>
      <c r="M189" s="15">
        <v>0</v>
      </c>
      <c r="N189" s="15">
        <v>0</v>
      </c>
      <c r="O189" s="15"/>
      <c r="P189" s="15"/>
    </row>
    <row r="190" spans="1:16" x14ac:dyDescent="0.25">
      <c r="A190" s="16">
        <v>44872</v>
      </c>
      <c r="B190" t="s">
        <v>15</v>
      </c>
      <c r="C190" s="12" t="s">
        <v>8</v>
      </c>
      <c r="D190" s="15" t="s">
        <v>102</v>
      </c>
      <c r="E190" s="15" t="s">
        <v>61</v>
      </c>
      <c r="F190" s="15" t="s">
        <v>103</v>
      </c>
      <c r="G190" s="15" t="str">
        <f>IF(Table5[[#This Row],[ShiftCounter]]&gt;0,"Running","Down")</f>
        <v>Down</v>
      </c>
      <c r="H190" s="9">
        <v>20</v>
      </c>
      <c r="I190" s="15" t="s">
        <v>58</v>
      </c>
      <c r="J190" s="15">
        <v>0</v>
      </c>
      <c r="K190" s="15">
        <v>0</v>
      </c>
      <c r="L190" s="15">
        <v>0</v>
      </c>
      <c r="M190" s="15">
        <v>0</v>
      </c>
      <c r="N190" s="15">
        <v>12.6</v>
      </c>
      <c r="O190" s="15"/>
      <c r="P190" s="15" t="s">
        <v>185</v>
      </c>
    </row>
    <row r="191" spans="1:16" x14ac:dyDescent="0.25">
      <c r="A191" s="16">
        <v>44872</v>
      </c>
      <c r="B191" t="s">
        <v>101</v>
      </c>
      <c r="C191" s="12" t="s">
        <v>8</v>
      </c>
      <c r="D191" s="15"/>
      <c r="E191" s="15"/>
      <c r="F191" s="15"/>
      <c r="G191" s="15" t="str">
        <f>IF(Table5[[#This Row],[ShiftCounter]]&gt;0,"Running","Down")</f>
        <v>Down</v>
      </c>
      <c r="H191" s="9">
        <v>21</v>
      </c>
      <c r="I191" s="15" t="s">
        <v>69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  <c r="O191" s="15"/>
      <c r="P191" s="15"/>
    </row>
    <row r="192" spans="1:16" x14ac:dyDescent="0.25">
      <c r="A192" s="16">
        <v>44872</v>
      </c>
      <c r="B192" t="s">
        <v>16</v>
      </c>
      <c r="C192" s="12" t="s">
        <v>8</v>
      </c>
      <c r="D192" s="15" t="s">
        <v>181</v>
      </c>
      <c r="E192" s="15" t="s">
        <v>61</v>
      </c>
      <c r="F192" s="15" t="s">
        <v>103</v>
      </c>
      <c r="G192" s="15" t="str">
        <f>IF(Table5[[#This Row],[ShiftCounter]]&gt;0,"Running","Down")</f>
        <v>Down</v>
      </c>
      <c r="H192" s="9">
        <v>22</v>
      </c>
      <c r="I192" s="15" t="s">
        <v>58</v>
      </c>
      <c r="J192" s="15">
        <v>0</v>
      </c>
      <c r="K192" s="15">
        <v>0</v>
      </c>
      <c r="L192" s="15">
        <v>0</v>
      </c>
      <c r="M192" s="15">
        <v>0</v>
      </c>
      <c r="N192" s="15">
        <v>13</v>
      </c>
      <c r="O192" s="15"/>
      <c r="P192" s="15" t="s">
        <v>185</v>
      </c>
    </row>
    <row r="193" spans="1:16" x14ac:dyDescent="0.25">
      <c r="A193" s="16">
        <v>44872</v>
      </c>
      <c r="B193" t="s">
        <v>99</v>
      </c>
      <c r="C193" s="12" t="s">
        <v>8</v>
      </c>
      <c r="D193" s="15"/>
      <c r="E193" s="15"/>
      <c r="F193" s="15"/>
      <c r="G193" s="15" t="str">
        <f>IF(Table5[[#This Row],[ShiftCounter]]&gt;0,"Running","Down")</f>
        <v>Down</v>
      </c>
      <c r="H193" s="9">
        <v>23</v>
      </c>
      <c r="I193" s="15"/>
      <c r="J193" s="15">
        <v>0</v>
      </c>
      <c r="K193" s="15">
        <v>0</v>
      </c>
      <c r="L193" s="15">
        <v>0</v>
      </c>
      <c r="M193" s="15">
        <v>0</v>
      </c>
      <c r="N193" s="15">
        <v>0</v>
      </c>
      <c r="O193" s="15"/>
      <c r="P193" s="15"/>
    </row>
    <row r="194" spans="1:16" x14ac:dyDescent="0.25">
      <c r="A194" s="16">
        <v>44872</v>
      </c>
      <c r="B194" t="s">
        <v>17</v>
      </c>
      <c r="C194" s="12" t="s">
        <v>8</v>
      </c>
      <c r="D194" s="15" t="s">
        <v>235</v>
      </c>
      <c r="E194" s="15" t="s">
        <v>79</v>
      </c>
      <c r="F194" s="15" t="s">
        <v>183</v>
      </c>
      <c r="G194" s="15" t="str">
        <f>IF(Table5[[#This Row],[ShiftCounter]]&gt;0,"Running","Down")</f>
        <v>Down</v>
      </c>
      <c r="H194" s="9">
        <v>24</v>
      </c>
      <c r="I194" s="15" t="s">
        <v>58</v>
      </c>
      <c r="J194" s="15">
        <v>0</v>
      </c>
      <c r="K194" s="15">
        <v>0</v>
      </c>
      <c r="L194" s="15">
        <v>0</v>
      </c>
      <c r="M194" s="15">
        <v>0</v>
      </c>
      <c r="N194" s="15">
        <v>13.4</v>
      </c>
      <c r="O194" s="15"/>
      <c r="P194" s="15" t="s">
        <v>258</v>
      </c>
    </row>
    <row r="195" spans="1:16" x14ac:dyDescent="0.25">
      <c r="A195" s="16">
        <v>44872</v>
      </c>
      <c r="B195" t="s">
        <v>19</v>
      </c>
      <c r="C195" s="12" t="s">
        <v>8</v>
      </c>
      <c r="D195" s="15" t="s">
        <v>98</v>
      </c>
      <c r="E195" s="15" t="s">
        <v>56</v>
      </c>
      <c r="F195" s="15" t="s">
        <v>236</v>
      </c>
      <c r="G195" s="15" t="str">
        <f>IF(Table5[[#This Row],[ShiftCounter]]&gt;0,"Running","Down")</f>
        <v>Down</v>
      </c>
      <c r="H195" s="9">
        <v>25</v>
      </c>
      <c r="I195" s="15" t="s">
        <v>69</v>
      </c>
      <c r="J195" s="15">
        <v>0</v>
      </c>
      <c r="K195" s="15">
        <v>0</v>
      </c>
      <c r="L195" s="15">
        <v>0</v>
      </c>
      <c r="M195" s="15">
        <v>0</v>
      </c>
      <c r="N195" s="15">
        <v>14.9</v>
      </c>
      <c r="O195" s="15"/>
      <c r="P195" s="15" t="s">
        <v>197</v>
      </c>
    </row>
    <row r="196" spans="1:16" x14ac:dyDescent="0.25">
      <c r="A196" s="16">
        <v>44872</v>
      </c>
      <c r="B196" t="s">
        <v>18</v>
      </c>
      <c r="C196" s="12" t="s">
        <v>8</v>
      </c>
      <c r="D196" s="15" t="s">
        <v>164</v>
      </c>
      <c r="E196" s="15" t="s">
        <v>79</v>
      </c>
      <c r="F196" s="15" t="s">
        <v>183</v>
      </c>
      <c r="G196" s="15" t="str">
        <f>IF(Table5[[#This Row],[ShiftCounter]]&gt;0,"Running","Down")</f>
        <v>Down</v>
      </c>
      <c r="H196" s="9">
        <v>26</v>
      </c>
      <c r="I196" s="15" t="s">
        <v>58</v>
      </c>
      <c r="J196" s="15">
        <v>0</v>
      </c>
      <c r="K196" s="15">
        <v>0</v>
      </c>
      <c r="L196" s="15">
        <v>0</v>
      </c>
      <c r="M196" s="15">
        <v>0</v>
      </c>
      <c r="N196" s="15">
        <v>12.7</v>
      </c>
      <c r="O196" s="15"/>
      <c r="P196" s="15" t="s">
        <v>196</v>
      </c>
    </row>
    <row r="197" spans="1:16" x14ac:dyDescent="0.25">
      <c r="A197" s="16">
        <v>44872</v>
      </c>
      <c r="B197" t="s">
        <v>97</v>
      </c>
      <c r="C197" s="12" t="s">
        <v>8</v>
      </c>
      <c r="D197" s="15"/>
      <c r="E197" s="15"/>
      <c r="F197" s="15"/>
      <c r="G197" s="15" t="str">
        <f>IF(Table5[[#This Row],[ShiftCounter]]&gt;0,"Running","Down")</f>
        <v>Down</v>
      </c>
      <c r="H197" s="9">
        <v>27</v>
      </c>
      <c r="I197" s="15"/>
      <c r="J197" s="15">
        <v>0</v>
      </c>
      <c r="K197" s="15">
        <v>0</v>
      </c>
      <c r="L197" s="15">
        <v>0</v>
      </c>
      <c r="M197" s="15">
        <v>0</v>
      </c>
      <c r="N197" s="15">
        <v>0</v>
      </c>
      <c r="O197" s="15"/>
      <c r="P197" s="15"/>
    </row>
    <row r="198" spans="1:16" x14ac:dyDescent="0.25">
      <c r="A198" s="16">
        <v>44872</v>
      </c>
      <c r="B198" t="s">
        <v>42</v>
      </c>
      <c r="C198" s="12" t="s">
        <v>8</v>
      </c>
      <c r="D198" s="15" t="s">
        <v>237</v>
      </c>
      <c r="E198" s="15" t="s">
        <v>78</v>
      </c>
      <c r="F198" s="15" t="s">
        <v>183</v>
      </c>
      <c r="G198" s="15" t="str">
        <f>IF(Table5[[#This Row],[ShiftCounter]]&gt;0,"Running","Down")</f>
        <v>Down</v>
      </c>
      <c r="H198" s="9">
        <v>28</v>
      </c>
      <c r="I198" s="15" t="s">
        <v>58</v>
      </c>
      <c r="J198" s="15">
        <v>0</v>
      </c>
      <c r="K198" s="15">
        <v>0</v>
      </c>
      <c r="L198" s="15">
        <v>0</v>
      </c>
      <c r="M198" s="15">
        <v>0</v>
      </c>
      <c r="N198" s="15">
        <v>12.9</v>
      </c>
      <c r="O198" s="15"/>
      <c r="P198" s="15" t="s">
        <v>198</v>
      </c>
    </row>
    <row r="199" spans="1:16" x14ac:dyDescent="0.25">
      <c r="A199" s="16">
        <v>44872</v>
      </c>
      <c r="B199" t="s">
        <v>96</v>
      </c>
      <c r="C199" s="12" t="s">
        <v>8</v>
      </c>
      <c r="D199" s="15"/>
      <c r="E199" s="15"/>
      <c r="F199" s="15"/>
      <c r="G199" s="15" t="str">
        <f>IF(Table5[[#This Row],[ShiftCounter]]&gt;0,"Running","Down")</f>
        <v>Down</v>
      </c>
      <c r="H199" s="9">
        <v>29</v>
      </c>
      <c r="I199" s="15" t="s">
        <v>69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  <c r="O199" s="15"/>
      <c r="P199" s="15"/>
    </row>
    <row r="200" spans="1:16" x14ac:dyDescent="0.25">
      <c r="A200" s="16">
        <v>44872</v>
      </c>
      <c r="B200" t="s">
        <v>38</v>
      </c>
      <c r="C200" s="12" t="s">
        <v>8</v>
      </c>
      <c r="D200" s="15" t="s">
        <v>238</v>
      </c>
      <c r="E200" s="15" t="s">
        <v>61</v>
      </c>
      <c r="F200" s="15" t="s">
        <v>183</v>
      </c>
      <c r="G200" s="15" t="str">
        <f>IF(Table5[[#This Row],[ShiftCounter]]&gt;0,"Running","Down")</f>
        <v>Down</v>
      </c>
      <c r="H200" s="9" t="s">
        <v>95</v>
      </c>
      <c r="I200" s="15" t="s">
        <v>58</v>
      </c>
      <c r="J200" s="15">
        <v>0</v>
      </c>
      <c r="K200" s="15">
        <v>0</v>
      </c>
      <c r="L200" s="15">
        <v>0</v>
      </c>
      <c r="M200" s="15">
        <v>0</v>
      </c>
      <c r="N200" s="15">
        <v>12.99</v>
      </c>
      <c r="O200" s="15"/>
      <c r="P200" s="15" t="s">
        <v>259</v>
      </c>
    </row>
    <row r="201" spans="1:16" x14ac:dyDescent="0.25">
      <c r="A201" s="16">
        <v>44872</v>
      </c>
      <c r="B201" t="s">
        <v>93</v>
      </c>
      <c r="C201" s="12" t="s">
        <v>8</v>
      </c>
      <c r="D201" s="15"/>
      <c r="E201" s="15"/>
      <c r="F201" s="15"/>
      <c r="G201" s="15" t="str">
        <f>IF(Table5[[#This Row],[ShiftCounter]]&gt;0,"Running","Down")</f>
        <v>Down</v>
      </c>
      <c r="H201" s="9" t="s">
        <v>94</v>
      </c>
      <c r="I201" s="15"/>
      <c r="J201" s="15">
        <v>0</v>
      </c>
      <c r="K201" s="15">
        <v>0</v>
      </c>
      <c r="L201" s="15">
        <v>0</v>
      </c>
      <c r="M201" s="15">
        <v>0</v>
      </c>
      <c r="N201" s="15">
        <v>0</v>
      </c>
      <c r="O201" s="15"/>
      <c r="P201" s="15"/>
    </row>
    <row r="202" spans="1:16" x14ac:dyDescent="0.25">
      <c r="A202" s="16">
        <v>44872</v>
      </c>
      <c r="B202" t="s">
        <v>20</v>
      </c>
      <c r="C202" s="12" t="s">
        <v>8</v>
      </c>
      <c r="D202" s="15" t="s">
        <v>90</v>
      </c>
      <c r="E202" s="15" t="s">
        <v>91</v>
      </c>
      <c r="F202" s="15" t="s">
        <v>62</v>
      </c>
      <c r="G202" s="15" t="str">
        <f>IF(Table5[[#This Row],[ShiftCounter]]&gt;0,"Running","Down")</f>
        <v>Down</v>
      </c>
      <c r="H202" s="9" t="s">
        <v>92</v>
      </c>
      <c r="I202" s="15" t="s">
        <v>58</v>
      </c>
      <c r="J202" s="15">
        <v>0</v>
      </c>
      <c r="K202" s="15">
        <v>0</v>
      </c>
      <c r="L202" s="15">
        <v>0</v>
      </c>
      <c r="M202" s="15">
        <v>0</v>
      </c>
      <c r="N202" s="15">
        <v>14.1</v>
      </c>
      <c r="O202" s="15"/>
      <c r="P202" s="15" t="s">
        <v>199</v>
      </c>
    </row>
    <row r="203" spans="1:16" x14ac:dyDescent="0.25">
      <c r="A203" s="16">
        <v>44872</v>
      </c>
      <c r="B203" t="s">
        <v>21</v>
      </c>
      <c r="C203" s="12" t="s">
        <v>8</v>
      </c>
      <c r="D203" s="15" t="s">
        <v>88</v>
      </c>
      <c r="E203" s="15" t="s">
        <v>56</v>
      </c>
      <c r="F203" s="15" t="s">
        <v>173</v>
      </c>
      <c r="G203" s="15" t="str">
        <f>IF(Table5[[#This Row],[ShiftCounter]]&gt;0,"Running","Down")</f>
        <v>Down</v>
      </c>
      <c r="H203" s="9" t="s">
        <v>89</v>
      </c>
      <c r="I203" s="15" t="s">
        <v>69</v>
      </c>
      <c r="J203" s="15">
        <v>0</v>
      </c>
      <c r="K203" s="15">
        <v>0</v>
      </c>
      <c r="L203" s="15">
        <v>0</v>
      </c>
      <c r="M203" s="15">
        <v>0</v>
      </c>
      <c r="N203" s="15">
        <v>12.3</v>
      </c>
      <c r="O203" s="15"/>
      <c r="P203" s="15" t="s">
        <v>199</v>
      </c>
    </row>
    <row r="204" spans="1:16" x14ac:dyDescent="0.25">
      <c r="A204" s="16">
        <v>44872</v>
      </c>
      <c r="B204" t="s">
        <v>22</v>
      </c>
      <c r="C204" s="12" t="s">
        <v>8</v>
      </c>
      <c r="D204" s="15" t="s">
        <v>239</v>
      </c>
      <c r="E204" s="15" t="s">
        <v>91</v>
      </c>
      <c r="F204" s="15" t="s">
        <v>148</v>
      </c>
      <c r="G204" s="15" t="str">
        <f>IF(Table5[[#This Row],[ShiftCounter]]&gt;0,"Running","Down")</f>
        <v>Down</v>
      </c>
      <c r="H204" s="9" t="s">
        <v>87</v>
      </c>
      <c r="I204" s="15" t="s">
        <v>58</v>
      </c>
      <c r="J204" s="15">
        <v>0</v>
      </c>
      <c r="K204" s="15">
        <v>0</v>
      </c>
      <c r="L204" s="15">
        <v>0</v>
      </c>
      <c r="M204" s="15">
        <v>0</v>
      </c>
      <c r="N204" s="15">
        <v>18.829999999999998</v>
      </c>
      <c r="O204" s="15"/>
      <c r="P204" s="15" t="s">
        <v>186</v>
      </c>
    </row>
    <row r="205" spans="1:16" x14ac:dyDescent="0.25">
      <c r="A205" s="16">
        <v>44872</v>
      </c>
      <c r="B205" t="s">
        <v>85</v>
      </c>
      <c r="C205" s="12" t="s">
        <v>8</v>
      </c>
      <c r="D205" s="15"/>
      <c r="E205" s="15"/>
      <c r="F205" s="15"/>
      <c r="G205" s="15" t="str">
        <f>IF(Table5[[#This Row],[ShiftCounter]]&gt;0,"Running","Down")</f>
        <v>Down</v>
      </c>
      <c r="H205" s="9" t="s">
        <v>86</v>
      </c>
      <c r="I205" s="15"/>
      <c r="J205" s="15">
        <v>0</v>
      </c>
      <c r="K205" s="15">
        <v>0</v>
      </c>
      <c r="L205" s="15">
        <v>0</v>
      </c>
      <c r="M205" s="15">
        <v>0</v>
      </c>
      <c r="N205" s="15">
        <v>0</v>
      </c>
      <c r="O205" s="15"/>
      <c r="P205" s="15"/>
    </row>
    <row r="206" spans="1:16" x14ac:dyDescent="0.25">
      <c r="A206" s="16">
        <v>44872</v>
      </c>
      <c r="B206" t="s">
        <v>23</v>
      </c>
      <c r="C206" s="12" t="s">
        <v>8</v>
      </c>
      <c r="D206" s="15" t="s">
        <v>240</v>
      </c>
      <c r="E206" s="15" t="s">
        <v>84</v>
      </c>
      <c r="F206" s="15" t="s">
        <v>183</v>
      </c>
      <c r="G206" s="15" t="str">
        <f>IF(Table5[[#This Row],[ShiftCounter]]&gt;0,"Running","Down")</f>
        <v>Down</v>
      </c>
      <c r="H206" s="9">
        <v>30</v>
      </c>
      <c r="I206" s="15" t="s">
        <v>58</v>
      </c>
      <c r="J206" s="15">
        <v>0</v>
      </c>
      <c r="K206" s="15">
        <v>0</v>
      </c>
      <c r="L206" s="15">
        <v>0</v>
      </c>
      <c r="M206" s="15">
        <v>0</v>
      </c>
      <c r="N206" s="15">
        <v>12.5</v>
      </c>
      <c r="O206" s="15"/>
      <c r="P206" s="15" t="s">
        <v>200</v>
      </c>
    </row>
    <row r="207" spans="1:16" x14ac:dyDescent="0.25">
      <c r="A207" s="16">
        <v>44872</v>
      </c>
      <c r="B207" t="s">
        <v>24</v>
      </c>
      <c r="C207" s="12" t="s">
        <v>8</v>
      </c>
      <c r="D207" s="15" t="s">
        <v>82</v>
      </c>
      <c r="E207" s="15" t="s">
        <v>56</v>
      </c>
      <c r="F207" s="15" t="s">
        <v>83</v>
      </c>
      <c r="G207" s="15" t="str">
        <f>IF(Table5[[#This Row],[ShiftCounter]]&gt;0,"Running","Down")</f>
        <v>Down</v>
      </c>
      <c r="H207" s="9">
        <v>31</v>
      </c>
      <c r="I207" s="15" t="s">
        <v>69</v>
      </c>
      <c r="J207" s="15">
        <v>0</v>
      </c>
      <c r="K207" s="15">
        <v>0</v>
      </c>
      <c r="L207" s="15">
        <v>0</v>
      </c>
      <c r="M207" s="15">
        <v>0</v>
      </c>
      <c r="N207" s="15">
        <v>13.41</v>
      </c>
      <c r="O207" s="15"/>
      <c r="P207" s="15" t="s">
        <v>199</v>
      </c>
    </row>
    <row r="208" spans="1:16" x14ac:dyDescent="0.25">
      <c r="A208" s="16">
        <v>44872</v>
      </c>
      <c r="B208" t="s">
        <v>81</v>
      </c>
      <c r="C208" s="12" t="s">
        <v>8</v>
      </c>
      <c r="D208" s="15" t="s">
        <v>241</v>
      </c>
      <c r="E208" s="15" t="s">
        <v>78</v>
      </c>
      <c r="F208" s="15" t="s">
        <v>66</v>
      </c>
      <c r="G208" s="15" t="str">
        <f>IF(Table5[[#This Row],[ShiftCounter]]&gt;0,"Running","Down")</f>
        <v>Down</v>
      </c>
      <c r="H208" s="9">
        <v>32</v>
      </c>
      <c r="I208" s="15" t="s">
        <v>58</v>
      </c>
      <c r="J208" s="15">
        <v>0</v>
      </c>
      <c r="K208" s="15">
        <v>0</v>
      </c>
      <c r="L208" s="15">
        <v>0</v>
      </c>
      <c r="M208" s="15">
        <v>0</v>
      </c>
      <c r="N208" s="15">
        <v>13.2</v>
      </c>
      <c r="O208" s="15"/>
      <c r="P208" s="15" t="s">
        <v>260</v>
      </c>
    </row>
    <row r="209" spans="1:16" x14ac:dyDescent="0.25">
      <c r="A209" s="16">
        <v>44872</v>
      </c>
      <c r="B209" t="s">
        <v>25</v>
      </c>
      <c r="C209" s="12" t="s">
        <v>8</v>
      </c>
      <c r="D209" s="15" t="s">
        <v>242</v>
      </c>
      <c r="E209" s="15" t="s">
        <v>56</v>
      </c>
      <c r="F209" s="15" t="s">
        <v>243</v>
      </c>
      <c r="G209" s="15" t="str">
        <f>IF(Table5[[#This Row],[ShiftCounter]]&gt;0,"Running","Down")</f>
        <v>Down</v>
      </c>
      <c r="H209" s="9">
        <v>33</v>
      </c>
      <c r="I209" s="15" t="s">
        <v>69</v>
      </c>
      <c r="J209" s="15">
        <v>0</v>
      </c>
      <c r="K209" s="15">
        <v>0</v>
      </c>
      <c r="L209" s="15">
        <v>0</v>
      </c>
      <c r="M209" s="15">
        <v>0</v>
      </c>
      <c r="N209" s="15">
        <v>13.6</v>
      </c>
      <c r="O209" s="15"/>
      <c r="P209" s="15" t="s">
        <v>197</v>
      </c>
    </row>
    <row r="210" spans="1:16" x14ac:dyDescent="0.25">
      <c r="A210" s="16">
        <v>44872</v>
      </c>
      <c r="B210" t="s">
        <v>80</v>
      </c>
      <c r="C210" s="12" t="s">
        <v>8</v>
      </c>
      <c r="D210" s="15" t="s">
        <v>182</v>
      </c>
      <c r="E210" s="15" t="s">
        <v>61</v>
      </c>
      <c r="F210" s="15" t="s">
        <v>66</v>
      </c>
      <c r="G210" s="15" t="str">
        <f>IF(Table5[[#This Row],[ShiftCounter]]&gt;0,"Running","Down")</f>
        <v>Down</v>
      </c>
      <c r="H210" s="9">
        <v>34</v>
      </c>
      <c r="I210" s="15" t="s">
        <v>58</v>
      </c>
      <c r="J210" s="15">
        <v>0</v>
      </c>
      <c r="K210" s="15">
        <v>0</v>
      </c>
      <c r="L210" s="15">
        <v>0</v>
      </c>
      <c r="M210" s="15">
        <v>0</v>
      </c>
      <c r="N210" s="15">
        <v>14.7</v>
      </c>
      <c r="O210" s="15"/>
      <c r="P210" s="15" t="s">
        <v>201</v>
      </c>
    </row>
    <row r="211" spans="1:16" x14ac:dyDescent="0.25">
      <c r="A211" s="16">
        <v>44872</v>
      </c>
      <c r="B211" t="s">
        <v>26</v>
      </c>
      <c r="C211" s="12" t="s">
        <v>8</v>
      </c>
      <c r="D211" s="15" t="s">
        <v>244</v>
      </c>
      <c r="E211" s="15" t="s">
        <v>56</v>
      </c>
      <c r="F211" s="15" t="s">
        <v>173</v>
      </c>
      <c r="G211" s="15" t="str">
        <f>IF(Table5[[#This Row],[ShiftCounter]]&gt;0,"Running","Down")</f>
        <v>Down</v>
      </c>
      <c r="H211" s="9">
        <v>35</v>
      </c>
      <c r="I211" s="15" t="s">
        <v>69</v>
      </c>
      <c r="J211" s="15">
        <v>0</v>
      </c>
      <c r="K211" s="15">
        <v>0</v>
      </c>
      <c r="L211" s="15">
        <v>0</v>
      </c>
      <c r="M211" s="15">
        <v>0</v>
      </c>
      <c r="N211" s="15">
        <v>13.9</v>
      </c>
      <c r="O211" s="15"/>
      <c r="P211" s="15" t="s">
        <v>199</v>
      </c>
    </row>
    <row r="212" spans="1:16" x14ac:dyDescent="0.25">
      <c r="A212" s="16">
        <v>44872</v>
      </c>
      <c r="B212" t="s">
        <v>27</v>
      </c>
      <c r="C212" s="12" t="s">
        <v>8</v>
      </c>
      <c r="D212" s="15" t="s">
        <v>100</v>
      </c>
      <c r="E212" s="15" t="s">
        <v>61</v>
      </c>
      <c r="F212" s="15" t="s">
        <v>183</v>
      </c>
      <c r="G212" s="15" t="str">
        <f>IF(Table5[[#This Row],[ShiftCounter]]&gt;0,"Running","Down")</f>
        <v>Down</v>
      </c>
      <c r="H212" s="9">
        <v>36</v>
      </c>
      <c r="I212" s="15" t="s">
        <v>58</v>
      </c>
      <c r="J212" s="15">
        <v>0</v>
      </c>
      <c r="K212" s="15">
        <v>0</v>
      </c>
      <c r="L212" s="15">
        <v>0</v>
      </c>
      <c r="M212" s="15">
        <v>0</v>
      </c>
      <c r="N212" s="15">
        <v>12.5</v>
      </c>
      <c r="O212" s="15"/>
      <c r="P212" s="15" t="s">
        <v>195</v>
      </c>
    </row>
    <row r="213" spans="1:16" x14ac:dyDescent="0.25">
      <c r="A213" s="16">
        <v>44872</v>
      </c>
      <c r="B213" t="s">
        <v>28</v>
      </c>
      <c r="C213" s="12" t="s">
        <v>8</v>
      </c>
      <c r="D213" s="15" t="s">
        <v>245</v>
      </c>
      <c r="E213" s="15" t="s">
        <v>56</v>
      </c>
      <c r="F213" s="15" t="s">
        <v>243</v>
      </c>
      <c r="G213" s="15" t="str">
        <f>IF(Table5[[#This Row],[ShiftCounter]]&gt;0,"Running","Down")</f>
        <v>Down</v>
      </c>
      <c r="H213" s="9">
        <v>37</v>
      </c>
      <c r="I213" s="15" t="s">
        <v>69</v>
      </c>
      <c r="J213" s="15">
        <v>0</v>
      </c>
      <c r="K213" s="15">
        <v>0</v>
      </c>
      <c r="L213" s="15">
        <v>0</v>
      </c>
      <c r="M213" s="15">
        <v>0</v>
      </c>
      <c r="N213" s="15">
        <v>13.6</v>
      </c>
      <c r="O213" s="15"/>
      <c r="P213" s="15" t="s">
        <v>197</v>
      </c>
    </row>
    <row r="214" spans="1:16" x14ac:dyDescent="0.25">
      <c r="A214" s="16">
        <v>44872</v>
      </c>
      <c r="B214" t="s">
        <v>77</v>
      </c>
      <c r="C214" s="12" t="s">
        <v>8</v>
      </c>
      <c r="D214" s="15" t="s">
        <v>246</v>
      </c>
      <c r="E214" s="15" t="s">
        <v>78</v>
      </c>
      <c r="F214" s="15" t="s">
        <v>66</v>
      </c>
      <c r="G214" s="15" t="str">
        <f>IF(Table5[[#This Row],[ShiftCounter]]&gt;0,"Running","Down")</f>
        <v>Down</v>
      </c>
      <c r="H214" s="9">
        <v>39</v>
      </c>
      <c r="I214" s="15" t="s">
        <v>58</v>
      </c>
      <c r="J214" s="15">
        <v>0</v>
      </c>
      <c r="K214" s="15">
        <v>0</v>
      </c>
      <c r="L214" s="15">
        <v>0</v>
      </c>
      <c r="M214" s="15">
        <v>0</v>
      </c>
      <c r="N214" s="15">
        <v>14.49</v>
      </c>
      <c r="O214" s="15"/>
      <c r="P214" s="15" t="s">
        <v>202</v>
      </c>
    </row>
    <row r="215" spans="1:16" x14ac:dyDescent="0.25">
      <c r="A215" s="16">
        <v>44872</v>
      </c>
      <c r="B215" t="s">
        <v>29</v>
      </c>
      <c r="C215" s="12" t="s">
        <v>8</v>
      </c>
      <c r="D215" s="15" t="s">
        <v>247</v>
      </c>
      <c r="E215" s="15" t="s">
        <v>56</v>
      </c>
      <c r="F215" s="15" t="s">
        <v>243</v>
      </c>
      <c r="G215" s="15" t="str">
        <f>IF(Table5[[#This Row],[ShiftCounter]]&gt;0,"Running","Down")</f>
        <v>Down</v>
      </c>
      <c r="H215" s="9">
        <v>39</v>
      </c>
      <c r="I215" s="15" t="s">
        <v>69</v>
      </c>
      <c r="J215" s="15">
        <v>0</v>
      </c>
      <c r="K215" s="15">
        <v>0</v>
      </c>
      <c r="L215" s="15">
        <v>0</v>
      </c>
      <c r="M215" s="15">
        <v>0</v>
      </c>
      <c r="N215" s="15">
        <v>14.99</v>
      </c>
      <c r="O215" s="15"/>
      <c r="P215" s="15" t="s">
        <v>199</v>
      </c>
    </row>
    <row r="216" spans="1:16" x14ac:dyDescent="0.25">
      <c r="A216" s="16">
        <v>44872</v>
      </c>
      <c r="B216" t="s">
        <v>30</v>
      </c>
      <c r="C216" s="12" t="s">
        <v>8</v>
      </c>
      <c r="D216" s="15" t="s">
        <v>75</v>
      </c>
      <c r="E216" s="15" t="s">
        <v>56</v>
      </c>
      <c r="F216" s="15" t="s">
        <v>248</v>
      </c>
      <c r="G216" s="15" t="str">
        <f>IF(Table5[[#This Row],[ShiftCounter]]&gt;0,"Running","Down")</f>
        <v>Down</v>
      </c>
      <c r="H216" s="9" t="s">
        <v>76</v>
      </c>
      <c r="I216" s="15" t="s">
        <v>58</v>
      </c>
      <c r="J216" s="15">
        <v>0</v>
      </c>
      <c r="K216" s="15">
        <v>0</v>
      </c>
      <c r="L216" s="15">
        <v>0</v>
      </c>
      <c r="M216" s="15">
        <v>0</v>
      </c>
      <c r="N216" s="15">
        <v>13.59</v>
      </c>
      <c r="O216" s="15"/>
      <c r="P216" s="15" t="s">
        <v>199</v>
      </c>
    </row>
    <row r="217" spans="1:16" x14ac:dyDescent="0.25">
      <c r="A217" s="16">
        <v>44872</v>
      </c>
      <c r="B217" t="s">
        <v>31</v>
      </c>
      <c r="C217" s="12" t="s">
        <v>8</v>
      </c>
      <c r="D217" s="15" t="s">
        <v>175</v>
      </c>
      <c r="E217" s="15" t="s">
        <v>56</v>
      </c>
      <c r="F217" s="15" t="s">
        <v>173</v>
      </c>
      <c r="G217" s="15" t="str">
        <f>IF(Table5[[#This Row],[ShiftCounter]]&gt;0,"Running","Down")</f>
        <v>Down</v>
      </c>
      <c r="H217" s="9" t="s">
        <v>74</v>
      </c>
      <c r="I217" s="15" t="s">
        <v>69</v>
      </c>
      <c r="J217" s="15">
        <v>0</v>
      </c>
      <c r="K217" s="15">
        <v>0</v>
      </c>
      <c r="L217" s="15">
        <v>0</v>
      </c>
      <c r="M217" s="15">
        <v>0</v>
      </c>
      <c r="N217" s="15">
        <v>13.6</v>
      </c>
      <c r="O217" s="15"/>
      <c r="P217" s="15" t="s">
        <v>199</v>
      </c>
    </row>
    <row r="218" spans="1:16" x14ac:dyDescent="0.25">
      <c r="A218" s="16">
        <v>44872</v>
      </c>
      <c r="B218" t="s">
        <v>32</v>
      </c>
      <c r="C218" s="12" t="s">
        <v>8</v>
      </c>
      <c r="D218" s="15" t="s">
        <v>249</v>
      </c>
      <c r="E218" s="15" t="s">
        <v>56</v>
      </c>
      <c r="F218" s="15" t="s">
        <v>183</v>
      </c>
      <c r="G218" s="15" t="str">
        <f>IF(Table5[[#This Row],[ShiftCounter]]&gt;0,"Running","Down")</f>
        <v>Down</v>
      </c>
      <c r="H218" s="9" t="s">
        <v>73</v>
      </c>
      <c r="I218" s="15" t="s">
        <v>58</v>
      </c>
      <c r="J218" s="15">
        <v>0</v>
      </c>
      <c r="K218" s="15">
        <v>0</v>
      </c>
      <c r="L218" s="15">
        <v>0</v>
      </c>
      <c r="M218" s="15">
        <v>0</v>
      </c>
      <c r="N218" s="15">
        <v>13.59</v>
      </c>
      <c r="O218" s="15"/>
      <c r="P218" s="15" t="s">
        <v>261</v>
      </c>
    </row>
    <row r="219" spans="1:16" x14ac:dyDescent="0.25">
      <c r="A219" s="16">
        <v>44872</v>
      </c>
      <c r="B219" t="s">
        <v>71</v>
      </c>
      <c r="C219" s="12" t="s">
        <v>8</v>
      </c>
      <c r="D219" s="15" t="s">
        <v>250</v>
      </c>
      <c r="E219" s="15" t="s">
        <v>56</v>
      </c>
      <c r="F219" s="15" t="s">
        <v>173</v>
      </c>
      <c r="G219" s="15" t="str">
        <f>IF(Table5[[#This Row],[ShiftCounter]]&gt;0,"Running","Down")</f>
        <v>Down</v>
      </c>
      <c r="H219" s="9" t="s">
        <v>72</v>
      </c>
      <c r="I219" s="15" t="s">
        <v>69</v>
      </c>
      <c r="J219" s="15">
        <v>0</v>
      </c>
      <c r="K219" s="15">
        <v>0</v>
      </c>
      <c r="L219" s="15">
        <v>0</v>
      </c>
      <c r="M219" s="15">
        <v>0</v>
      </c>
      <c r="N219" s="15">
        <v>13</v>
      </c>
      <c r="O219" s="15"/>
      <c r="P219" s="15" t="s">
        <v>199</v>
      </c>
    </row>
    <row r="220" spans="1:16" x14ac:dyDescent="0.25">
      <c r="A220" s="16">
        <v>44872</v>
      </c>
      <c r="B220" t="s">
        <v>33</v>
      </c>
      <c r="C220" s="12" t="s">
        <v>8</v>
      </c>
      <c r="D220" s="15" t="s">
        <v>251</v>
      </c>
      <c r="E220" s="15" t="s">
        <v>91</v>
      </c>
      <c r="F220" s="15" t="s">
        <v>62</v>
      </c>
      <c r="G220" s="15" t="str">
        <f>IF(Table5[[#This Row],[ShiftCounter]]&gt;0,"Running","Down")</f>
        <v>Down</v>
      </c>
      <c r="H220" s="9" t="s">
        <v>70</v>
      </c>
      <c r="I220" s="15" t="s">
        <v>58</v>
      </c>
      <c r="J220" s="15">
        <v>0</v>
      </c>
      <c r="K220" s="15">
        <v>0</v>
      </c>
      <c r="L220" s="15">
        <v>0</v>
      </c>
      <c r="M220" s="15">
        <v>0</v>
      </c>
      <c r="N220" s="15">
        <v>12</v>
      </c>
      <c r="O220" s="15"/>
      <c r="P220" s="15" t="s">
        <v>199</v>
      </c>
    </row>
    <row r="221" spans="1:16" x14ac:dyDescent="0.25">
      <c r="A221" s="16">
        <v>44872</v>
      </c>
      <c r="B221" t="s">
        <v>34</v>
      </c>
      <c r="C221" s="12" t="s">
        <v>8</v>
      </c>
      <c r="D221" s="15" t="s">
        <v>67</v>
      </c>
      <c r="E221" s="15" t="s">
        <v>56</v>
      </c>
      <c r="F221" s="15" t="s">
        <v>248</v>
      </c>
      <c r="G221" s="15" t="str">
        <f>IF(Table5[[#This Row],[ShiftCounter]]&gt;0,"Running","Down")</f>
        <v>Down</v>
      </c>
      <c r="H221" s="9" t="s">
        <v>68</v>
      </c>
      <c r="I221" s="15" t="s">
        <v>69</v>
      </c>
      <c r="J221" s="15">
        <v>0</v>
      </c>
      <c r="K221" s="15">
        <v>0</v>
      </c>
      <c r="L221" s="15">
        <v>0</v>
      </c>
      <c r="M221" s="15">
        <v>0</v>
      </c>
      <c r="N221" s="15">
        <v>15</v>
      </c>
      <c r="O221" s="15"/>
      <c r="P221" s="15" t="s">
        <v>199</v>
      </c>
    </row>
    <row r="222" spans="1:16" x14ac:dyDescent="0.25">
      <c r="A222" s="16">
        <v>44872</v>
      </c>
      <c r="B222" t="s">
        <v>35</v>
      </c>
      <c r="C222" s="12" t="s">
        <v>8</v>
      </c>
      <c r="D222" s="15" t="s">
        <v>176</v>
      </c>
      <c r="E222" s="15" t="s">
        <v>61</v>
      </c>
      <c r="F222" s="15" t="s">
        <v>66</v>
      </c>
      <c r="G222" s="15" t="str">
        <f>IF(Table5[[#This Row],[ShiftCounter]]&gt;0,"Running","Down")</f>
        <v>Down</v>
      </c>
      <c r="H222" s="9">
        <v>40</v>
      </c>
      <c r="I222" s="15" t="s">
        <v>58</v>
      </c>
      <c r="J222" s="15">
        <v>0</v>
      </c>
      <c r="K222" s="15">
        <v>0</v>
      </c>
      <c r="L222" s="15">
        <v>0</v>
      </c>
      <c r="M222" s="15">
        <v>0</v>
      </c>
      <c r="N222" s="15">
        <v>13.7</v>
      </c>
      <c r="O222" s="15"/>
      <c r="P222" s="15" t="s">
        <v>203</v>
      </c>
    </row>
    <row r="223" spans="1:16" x14ac:dyDescent="0.25">
      <c r="A223" s="16">
        <v>44872</v>
      </c>
      <c r="B223" t="s">
        <v>65</v>
      </c>
      <c r="C223" s="12" t="s">
        <v>8</v>
      </c>
      <c r="D223" s="15"/>
      <c r="E223" s="15"/>
      <c r="F223" s="15"/>
      <c r="G223" s="15" t="str">
        <f>IF(Table5[[#This Row],[ShiftCounter]]&gt;0,"Running","Down")</f>
        <v>Down</v>
      </c>
      <c r="H223" s="9">
        <v>41</v>
      </c>
      <c r="I223" s="15"/>
      <c r="J223" s="15">
        <v>0</v>
      </c>
      <c r="K223" s="15">
        <v>0</v>
      </c>
      <c r="L223" s="15">
        <v>0</v>
      </c>
      <c r="M223" s="15">
        <v>0</v>
      </c>
      <c r="N223" s="15">
        <v>0</v>
      </c>
      <c r="O223" s="15"/>
      <c r="P223" s="15"/>
    </row>
    <row r="224" spans="1:16" x14ac:dyDescent="0.25">
      <c r="A224" s="16">
        <v>44872</v>
      </c>
      <c r="B224" t="s">
        <v>36</v>
      </c>
      <c r="C224" s="12" t="s">
        <v>8</v>
      </c>
      <c r="D224" s="15" t="s">
        <v>252</v>
      </c>
      <c r="E224" s="15" t="s">
        <v>61</v>
      </c>
      <c r="F224" s="15" t="s">
        <v>183</v>
      </c>
      <c r="G224" s="15" t="str">
        <f>IF(Table5[[#This Row],[ShiftCounter]]&gt;0,"Running","Down")</f>
        <v>Down</v>
      </c>
      <c r="H224" s="9">
        <v>42</v>
      </c>
      <c r="I224" s="15" t="s">
        <v>58</v>
      </c>
      <c r="J224" s="15">
        <v>0</v>
      </c>
      <c r="K224" s="15">
        <v>0</v>
      </c>
      <c r="L224" s="15">
        <v>0</v>
      </c>
      <c r="M224" s="15">
        <v>0</v>
      </c>
      <c r="N224" s="15">
        <v>13.4</v>
      </c>
      <c r="O224" s="15"/>
      <c r="P224" s="15" t="s">
        <v>262</v>
      </c>
    </row>
    <row r="225" spans="1:16" x14ac:dyDescent="0.25">
      <c r="A225" s="16">
        <v>44872</v>
      </c>
      <c r="B225" t="s">
        <v>64</v>
      </c>
      <c r="C225" s="12" t="s">
        <v>8</v>
      </c>
      <c r="D225" s="15"/>
      <c r="E225" s="15"/>
      <c r="F225" s="15"/>
      <c r="G225" s="15" t="str">
        <f>IF(Table5[[#This Row],[ShiftCounter]]&gt;0,"Running","Down")</f>
        <v>Down</v>
      </c>
      <c r="H225" s="9"/>
      <c r="I225" s="15"/>
      <c r="J225" s="15">
        <v>0</v>
      </c>
      <c r="K225" s="15">
        <v>0</v>
      </c>
      <c r="L225" s="15">
        <v>0</v>
      </c>
      <c r="M225" s="15">
        <v>0</v>
      </c>
      <c r="N225" s="15">
        <v>0</v>
      </c>
      <c r="O225" s="15"/>
      <c r="P225" s="15"/>
    </row>
    <row r="226" spans="1:16" x14ac:dyDescent="0.25">
      <c r="A226" s="16">
        <v>44872</v>
      </c>
      <c r="B226" t="s">
        <v>37</v>
      </c>
      <c r="C226" s="12" t="s">
        <v>8</v>
      </c>
      <c r="D226" s="15" t="s">
        <v>177</v>
      </c>
      <c r="E226" s="15" t="s">
        <v>56</v>
      </c>
      <c r="F226" s="15" t="s">
        <v>248</v>
      </c>
      <c r="G226" s="15" t="str">
        <f>IF(Table5[[#This Row],[ShiftCounter]]&gt;0,"Running","Down")</f>
        <v>Down</v>
      </c>
      <c r="H226" s="9">
        <v>43</v>
      </c>
      <c r="I226" s="15" t="s">
        <v>58</v>
      </c>
      <c r="J226" s="15">
        <v>0</v>
      </c>
      <c r="K226" s="15">
        <v>0</v>
      </c>
      <c r="L226" s="15">
        <v>0</v>
      </c>
      <c r="M226" s="15">
        <v>0</v>
      </c>
      <c r="N226" s="15">
        <v>12.99</v>
      </c>
      <c r="O226" s="15"/>
      <c r="P226" s="15" t="s">
        <v>197</v>
      </c>
    </row>
    <row r="227" spans="1:16" x14ac:dyDescent="0.25">
      <c r="A227" s="16">
        <v>44872</v>
      </c>
      <c r="B227" t="s">
        <v>63</v>
      </c>
      <c r="C227" s="12" t="s">
        <v>8</v>
      </c>
      <c r="D227" s="15" t="s">
        <v>253</v>
      </c>
      <c r="E227" s="15" t="s">
        <v>61</v>
      </c>
      <c r="F227" s="15" t="s">
        <v>170</v>
      </c>
      <c r="G227" s="15" t="str">
        <f>IF(Table5[[#This Row],[ShiftCounter]]&gt;0,"Running","Down")</f>
        <v>Down</v>
      </c>
      <c r="H227" s="9">
        <v>44</v>
      </c>
      <c r="I227" s="15" t="s">
        <v>58</v>
      </c>
      <c r="J227" s="15">
        <v>0</v>
      </c>
      <c r="K227" s="15">
        <v>0</v>
      </c>
      <c r="L227" s="15">
        <v>0</v>
      </c>
      <c r="M227" s="15">
        <v>0</v>
      </c>
      <c r="N227" s="15">
        <v>16.5</v>
      </c>
      <c r="O227" s="15"/>
      <c r="P227" s="15" t="s">
        <v>263</v>
      </c>
    </row>
    <row r="228" spans="1:16" x14ac:dyDescent="0.25">
      <c r="A228" s="16">
        <v>44872</v>
      </c>
      <c r="B228" t="s">
        <v>59</v>
      </c>
      <c r="C228" s="12" t="s">
        <v>8</v>
      </c>
      <c r="D228" s="15" t="s">
        <v>60</v>
      </c>
      <c r="E228" s="15" t="s">
        <v>61</v>
      </c>
      <c r="F228" s="15" t="s">
        <v>62</v>
      </c>
      <c r="G228" s="15" t="str">
        <f>IF(Table5[[#This Row],[ShiftCounter]]&gt;0,"Running","Down")</f>
        <v>Down</v>
      </c>
      <c r="H228" s="9">
        <v>45</v>
      </c>
      <c r="I228" s="15" t="s">
        <v>58</v>
      </c>
      <c r="J228" s="15">
        <v>0</v>
      </c>
      <c r="K228" s="15">
        <v>0</v>
      </c>
      <c r="L228" s="15">
        <v>0</v>
      </c>
      <c r="M228" s="15">
        <v>0</v>
      </c>
      <c r="N228" s="15">
        <v>16.2</v>
      </c>
      <c r="O228" s="15"/>
      <c r="P228" s="15" t="s">
        <v>204</v>
      </c>
    </row>
    <row r="229" spans="1:16" x14ac:dyDescent="0.25">
      <c r="A229" s="16">
        <v>44872</v>
      </c>
      <c r="B229" t="s">
        <v>54</v>
      </c>
      <c r="C229" s="12" t="s">
        <v>8</v>
      </c>
      <c r="D229" s="15" t="s">
        <v>55</v>
      </c>
      <c r="E229" s="15" t="s">
        <v>254</v>
      </c>
      <c r="F229" s="15" t="s">
        <v>57</v>
      </c>
      <c r="G229" s="15" t="str">
        <f>IF(Table5[[#This Row],[ShiftCounter]]&gt;0,"Running","Down")</f>
        <v>Down</v>
      </c>
      <c r="H229" s="9">
        <v>46</v>
      </c>
      <c r="I229" s="15" t="s">
        <v>58</v>
      </c>
      <c r="J229" s="15">
        <v>0</v>
      </c>
      <c r="K229" s="15">
        <v>0</v>
      </c>
      <c r="L229" s="15">
        <v>0</v>
      </c>
      <c r="M229" s="15">
        <v>0</v>
      </c>
      <c r="N229" s="15">
        <v>16.489999999999998</v>
      </c>
      <c r="O229" s="15"/>
      <c r="P229" s="15" t="s">
        <v>205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77"/>
  <sheetViews>
    <sheetView tabSelected="1" workbookViewId="0">
      <selection activeCell="J2" sqref="J2"/>
    </sheetView>
  </sheetViews>
  <sheetFormatPr defaultRowHeight="15" x14ac:dyDescent="0.25"/>
  <cols>
    <col min="1" max="1" width="17.140625" style="18" customWidth="1"/>
    <col min="2" max="2" width="19.42578125" style="18" customWidth="1"/>
    <col min="3" max="5" width="8.28515625" style="18" customWidth="1"/>
    <col min="6" max="6" width="12" customWidth="1"/>
    <col min="7" max="8" width="5.7109375" customWidth="1"/>
    <col min="9" max="9" width="11.140625" customWidth="1"/>
    <col min="10" max="10" width="6.28515625" customWidth="1"/>
    <col min="11" max="12" width="5.7109375" customWidth="1"/>
    <col min="15" max="16" width="5.7109375" customWidth="1"/>
    <col min="18" max="18" width="10.42578125" bestFit="1" customWidth="1"/>
  </cols>
  <sheetData>
    <row r="1" spans="1:18" x14ac:dyDescent="0.25">
      <c r="A1" s="17" t="s">
        <v>0</v>
      </c>
      <c r="B1" s="19" t="s">
        <v>1</v>
      </c>
      <c r="C1" s="19" t="s">
        <v>6</v>
      </c>
      <c r="D1" s="19" t="s">
        <v>7</v>
      </c>
      <c r="E1" s="19" t="s">
        <v>8</v>
      </c>
      <c r="F1" s="21" t="s">
        <v>215</v>
      </c>
      <c r="I1" s="18" t="s">
        <v>0</v>
      </c>
      <c r="J1" t="s">
        <v>1</v>
      </c>
      <c r="K1" s="18"/>
      <c r="L1" s="18"/>
      <c r="M1" t="s">
        <v>1</v>
      </c>
      <c r="N1" t="s">
        <v>178</v>
      </c>
    </row>
    <row r="2" spans="1:18" x14ac:dyDescent="0.25">
      <c r="A2" s="17">
        <v>44880</v>
      </c>
      <c r="B2" s="19" t="s">
        <v>40</v>
      </c>
      <c r="C2" s="19">
        <v>2218</v>
      </c>
      <c r="D2" s="19">
        <v>-1</v>
      </c>
      <c r="E2" s="19">
        <v>-1</v>
      </c>
      <c r="F2" s="19">
        <v>-1</v>
      </c>
      <c r="I2" s="24">
        <f t="shared" ref="I2:I11" ca="1" si="0">TODAY()-1</f>
        <v>44880</v>
      </c>
      <c r="J2" t="s">
        <v>40</v>
      </c>
      <c r="M2" t="s">
        <v>160</v>
      </c>
      <c r="N2">
        <v>17.18</v>
      </c>
    </row>
    <row r="3" spans="1:18" x14ac:dyDescent="0.25">
      <c r="A3" s="17">
        <v>44880</v>
      </c>
      <c r="B3" s="19" t="s">
        <v>41</v>
      </c>
      <c r="C3" s="19">
        <v>-1</v>
      </c>
      <c r="D3" s="19">
        <v>-1</v>
      </c>
      <c r="E3" s="19">
        <v>0</v>
      </c>
      <c r="F3" s="19">
        <v>-1</v>
      </c>
      <c r="H3" s="18"/>
      <c r="I3" s="24">
        <f t="shared" ca="1" si="0"/>
        <v>44880</v>
      </c>
      <c r="J3" t="s">
        <v>41</v>
      </c>
      <c r="M3" t="s">
        <v>158</v>
      </c>
      <c r="N3">
        <v>0</v>
      </c>
      <c r="Q3" s="18" t="s">
        <v>216</v>
      </c>
    </row>
    <row r="4" spans="1:18" x14ac:dyDescent="0.25">
      <c r="A4" s="17">
        <v>44880</v>
      </c>
      <c r="B4" s="19" t="s">
        <v>5</v>
      </c>
      <c r="C4" s="19">
        <v>-1</v>
      </c>
      <c r="D4" s="19">
        <v>-1</v>
      </c>
      <c r="E4" s="19">
        <v>-1</v>
      </c>
      <c r="F4" s="19">
        <v>-1</v>
      </c>
      <c r="H4" s="18"/>
      <c r="I4" s="24">
        <f t="shared" ca="1" si="0"/>
        <v>44880</v>
      </c>
      <c r="J4" t="s">
        <v>5</v>
      </c>
      <c r="M4" t="s">
        <v>157</v>
      </c>
      <c r="N4">
        <v>25.69</v>
      </c>
      <c r="Q4" s="23">
        <f>COUNTIF(CustomData[[Shift1]:[NewCycle]],"-1")/COUNT(CustomData[[Shift1]:[NewCycle]])</f>
        <v>0.84090909090909094</v>
      </c>
    </row>
    <row r="5" spans="1:18" x14ac:dyDescent="0.25">
      <c r="A5" s="17">
        <v>44880</v>
      </c>
      <c r="B5" s="19" t="s">
        <v>13</v>
      </c>
      <c r="C5" s="19">
        <v>-1</v>
      </c>
      <c r="D5" s="19">
        <v>-1</v>
      </c>
      <c r="E5" s="19">
        <v>-1</v>
      </c>
      <c r="F5" s="19">
        <v>-1</v>
      </c>
      <c r="H5" s="18"/>
      <c r="I5" s="24">
        <f t="shared" ca="1" si="0"/>
        <v>44880</v>
      </c>
      <c r="J5" t="s">
        <v>13</v>
      </c>
      <c r="M5" t="s">
        <v>155</v>
      </c>
      <c r="N5">
        <v>40</v>
      </c>
      <c r="Q5" s="18"/>
    </row>
    <row r="6" spans="1:18" x14ac:dyDescent="0.25">
      <c r="A6" s="17">
        <v>44880</v>
      </c>
      <c r="B6" s="19" t="s">
        <v>114</v>
      </c>
      <c r="C6" s="19">
        <v>-1</v>
      </c>
      <c r="D6" s="19">
        <v>-1</v>
      </c>
      <c r="E6" s="19">
        <v>-1</v>
      </c>
      <c r="F6" s="19">
        <v>-1</v>
      </c>
      <c r="H6" s="18"/>
      <c r="I6" s="24">
        <f t="shared" ca="1" si="0"/>
        <v>44880</v>
      </c>
      <c r="J6" t="s">
        <v>114</v>
      </c>
      <c r="M6" t="s">
        <v>153</v>
      </c>
      <c r="N6">
        <v>23.59</v>
      </c>
      <c r="Q6" s="18" t="s">
        <v>217</v>
      </c>
    </row>
    <row r="7" spans="1:18" x14ac:dyDescent="0.25">
      <c r="A7" s="17">
        <v>44880</v>
      </c>
      <c r="B7" s="19" t="s">
        <v>17</v>
      </c>
      <c r="C7" s="19">
        <v>-1</v>
      </c>
      <c r="D7" s="19">
        <v>-1</v>
      </c>
      <c r="E7" s="19">
        <v>-1</v>
      </c>
      <c r="F7" s="19">
        <v>13.2</v>
      </c>
      <c r="H7" s="18"/>
      <c r="I7" s="24">
        <f t="shared" ca="1" si="0"/>
        <v>44880</v>
      </c>
      <c r="J7" t="s">
        <v>17</v>
      </c>
      <c r="M7" t="s">
        <v>152</v>
      </c>
      <c r="N7">
        <v>19.52</v>
      </c>
      <c r="Q7" s="23">
        <f>COUNTIF(CustomData[[Shift1]:[Shift3]],"-1")/COUNT(CustomData[[Shift1]:[Shift3]])</f>
        <v>0.87878787878787878</v>
      </c>
    </row>
    <row r="8" spans="1:18" x14ac:dyDescent="0.25">
      <c r="A8" s="17">
        <v>44880</v>
      </c>
      <c r="B8" s="19" t="s">
        <v>18</v>
      </c>
      <c r="C8" s="19">
        <v>-1</v>
      </c>
      <c r="D8" s="19">
        <v>-1</v>
      </c>
      <c r="E8" s="19">
        <v>-1</v>
      </c>
      <c r="F8" s="19">
        <v>-1</v>
      </c>
      <c r="H8" s="18"/>
      <c r="I8" s="24">
        <f t="shared" ca="1" si="0"/>
        <v>44880</v>
      </c>
      <c r="J8" t="s">
        <v>18</v>
      </c>
      <c r="M8" t="s">
        <v>150</v>
      </c>
      <c r="N8">
        <v>41.41</v>
      </c>
      <c r="Q8" s="18"/>
    </row>
    <row r="9" spans="1:18" x14ac:dyDescent="0.25">
      <c r="A9" s="17">
        <v>44880</v>
      </c>
      <c r="B9" s="19" t="s">
        <v>42</v>
      </c>
      <c r="C9" s="19">
        <v>-1</v>
      </c>
      <c r="D9" s="19">
        <v>-1</v>
      </c>
      <c r="E9" s="19">
        <v>-1</v>
      </c>
      <c r="F9" s="19">
        <v>-1</v>
      </c>
      <c r="H9" s="18"/>
      <c r="I9" s="24">
        <f t="shared" ca="1" si="0"/>
        <v>44880</v>
      </c>
      <c r="J9" t="s">
        <v>42</v>
      </c>
      <c r="M9" t="s">
        <v>40</v>
      </c>
      <c r="N9">
        <v>12.6</v>
      </c>
      <c r="Q9" s="18" t="s">
        <v>218</v>
      </c>
    </row>
    <row r="10" spans="1:18" x14ac:dyDescent="0.25">
      <c r="A10" s="17">
        <v>44880</v>
      </c>
      <c r="B10" s="19" t="s">
        <v>24</v>
      </c>
      <c r="C10" s="19">
        <v>-1</v>
      </c>
      <c r="D10" s="19">
        <v>-1</v>
      </c>
      <c r="E10" s="19">
        <v>2258</v>
      </c>
      <c r="F10" s="19">
        <v>12.6</v>
      </c>
      <c r="H10" s="18"/>
      <c r="I10" s="24">
        <f t="shared" ca="1" si="0"/>
        <v>44880</v>
      </c>
      <c r="J10" t="s">
        <v>24</v>
      </c>
      <c r="M10" t="s">
        <v>147</v>
      </c>
      <c r="N10">
        <v>18.809999999999999</v>
      </c>
      <c r="Q10" s="23">
        <f>COUNTIF(CustomData[NewCycle],"-1")/COUNT(CustomData[NewCycle])</f>
        <v>0.72727272727272729</v>
      </c>
    </row>
    <row r="11" spans="1:18" x14ac:dyDescent="0.25">
      <c r="A11" s="17">
        <v>44880</v>
      </c>
      <c r="B11" s="19" t="s">
        <v>27</v>
      </c>
      <c r="C11" s="19">
        <v>-1</v>
      </c>
      <c r="D11" s="19">
        <v>-1</v>
      </c>
      <c r="E11" s="19">
        <v>2233</v>
      </c>
      <c r="F11" s="19">
        <v>12.59</v>
      </c>
      <c r="H11" s="18"/>
      <c r="I11" s="24">
        <f t="shared" ca="1" si="0"/>
        <v>44880</v>
      </c>
      <c r="J11" t="s">
        <v>27</v>
      </c>
      <c r="M11" t="s">
        <v>143</v>
      </c>
      <c r="N11">
        <v>40.98</v>
      </c>
    </row>
    <row r="12" spans="1:18" x14ac:dyDescent="0.25">
      <c r="A12" s="17">
        <v>44880</v>
      </c>
      <c r="B12" s="19" t="s">
        <v>29</v>
      </c>
      <c r="C12" s="19">
        <v>-1</v>
      </c>
      <c r="D12" s="19">
        <v>-1</v>
      </c>
      <c r="E12" s="19">
        <v>-1</v>
      </c>
      <c r="F12" s="19">
        <v>-1</v>
      </c>
      <c r="H12" s="18"/>
      <c r="I12" s="24">
        <f ca="1">TODAY()-1</f>
        <v>44880</v>
      </c>
      <c r="J12" t="s">
        <v>29</v>
      </c>
      <c r="M12" t="s">
        <v>141</v>
      </c>
      <c r="N12">
        <v>19.93</v>
      </c>
      <c r="Q12" t="s">
        <v>220</v>
      </c>
      <c r="R12" s="16">
        <f ca="1">TODAY()-1</f>
        <v>44880</v>
      </c>
    </row>
    <row r="13" spans="1:18" x14ac:dyDescent="0.25">
      <c r="H13" s="18"/>
      <c r="M13" t="s">
        <v>139</v>
      </c>
      <c r="N13">
        <v>33.03</v>
      </c>
      <c r="Q13" t="s">
        <v>221</v>
      </c>
      <c r="R13" s="16">
        <f ca="1">TODAY()-3</f>
        <v>44878</v>
      </c>
    </row>
    <row r="14" spans="1:18" x14ac:dyDescent="0.25">
      <c r="H14" s="18"/>
      <c r="M14" t="s">
        <v>138</v>
      </c>
      <c r="N14">
        <v>41.54</v>
      </c>
    </row>
    <row r="15" spans="1:18" x14ac:dyDescent="0.25">
      <c r="H15" s="18"/>
      <c r="M15" t="s">
        <v>136</v>
      </c>
      <c r="N15">
        <v>11.76</v>
      </c>
    </row>
    <row r="16" spans="1:18" x14ac:dyDescent="0.25">
      <c r="H16" s="18"/>
      <c r="M16" t="s">
        <v>39</v>
      </c>
      <c r="N16">
        <v>22.21</v>
      </c>
    </row>
    <row r="17" spans="8:14" x14ac:dyDescent="0.25">
      <c r="H17" s="18"/>
      <c r="M17" t="s">
        <v>132</v>
      </c>
      <c r="N17">
        <v>41.15</v>
      </c>
    </row>
    <row r="18" spans="8:14" x14ac:dyDescent="0.25">
      <c r="H18" s="18"/>
      <c r="M18" t="s">
        <v>128</v>
      </c>
      <c r="N18">
        <v>23.71</v>
      </c>
    </row>
    <row r="19" spans="8:14" x14ac:dyDescent="0.25">
      <c r="H19" s="18"/>
      <c r="M19" t="s">
        <v>126</v>
      </c>
      <c r="N19">
        <v>41.2</v>
      </c>
    </row>
    <row r="20" spans="8:14" x14ac:dyDescent="0.25">
      <c r="H20" s="18"/>
      <c r="M20" t="s">
        <v>123</v>
      </c>
      <c r="N20">
        <v>13.79</v>
      </c>
    </row>
    <row r="21" spans="8:14" x14ac:dyDescent="0.25">
      <c r="H21" s="18"/>
      <c r="M21" t="s">
        <v>41</v>
      </c>
      <c r="N21">
        <v>12.9</v>
      </c>
    </row>
    <row r="22" spans="8:14" x14ac:dyDescent="0.25">
      <c r="H22" s="18"/>
      <c r="M22" t="s">
        <v>43</v>
      </c>
      <c r="N22">
        <v>16.36</v>
      </c>
    </row>
    <row r="23" spans="8:14" x14ac:dyDescent="0.25">
      <c r="H23" s="18"/>
      <c r="M23" t="s">
        <v>5</v>
      </c>
      <c r="N23">
        <v>13.82</v>
      </c>
    </row>
    <row r="24" spans="8:14" x14ac:dyDescent="0.25">
      <c r="H24" s="18"/>
      <c r="M24" t="s">
        <v>9</v>
      </c>
      <c r="N24">
        <v>13.5</v>
      </c>
    </row>
    <row r="25" spans="8:14" x14ac:dyDescent="0.25">
      <c r="H25" s="18"/>
      <c r="M25" t="s">
        <v>10</v>
      </c>
      <c r="N25">
        <v>14.55</v>
      </c>
    </row>
    <row r="26" spans="8:14" x14ac:dyDescent="0.25">
      <c r="H26" s="18"/>
      <c r="M26" t="s">
        <v>11</v>
      </c>
      <c r="N26">
        <v>12.8</v>
      </c>
    </row>
    <row r="27" spans="8:14" x14ac:dyDescent="0.25">
      <c r="H27" s="18"/>
      <c r="M27" t="s">
        <v>12</v>
      </c>
      <c r="N27">
        <v>12.57</v>
      </c>
    </row>
    <row r="28" spans="8:14" x14ac:dyDescent="0.25">
      <c r="H28" s="18"/>
      <c r="M28" t="s">
        <v>120</v>
      </c>
      <c r="N28">
        <v>12.4</v>
      </c>
    </row>
    <row r="29" spans="8:14" x14ac:dyDescent="0.25">
      <c r="H29" s="18"/>
      <c r="M29" t="s">
        <v>119</v>
      </c>
      <c r="N29">
        <v>14.61</v>
      </c>
    </row>
    <row r="30" spans="8:14" x14ac:dyDescent="0.25">
      <c r="H30" s="18"/>
      <c r="M30" t="s">
        <v>13</v>
      </c>
      <c r="N30">
        <v>12.6</v>
      </c>
    </row>
    <row r="31" spans="8:14" x14ac:dyDescent="0.25">
      <c r="H31" s="18"/>
      <c r="M31" t="s">
        <v>117</v>
      </c>
      <c r="N31">
        <v>30.41</v>
      </c>
    </row>
    <row r="32" spans="8:14" x14ac:dyDescent="0.25">
      <c r="H32" s="18"/>
      <c r="M32" t="s">
        <v>114</v>
      </c>
      <c r="N32">
        <v>12.9</v>
      </c>
    </row>
    <row r="33" spans="8:14" x14ac:dyDescent="0.25">
      <c r="H33" s="18"/>
      <c r="M33" t="s">
        <v>112</v>
      </c>
      <c r="N33">
        <v>0</v>
      </c>
    </row>
    <row r="34" spans="8:14" x14ac:dyDescent="0.25">
      <c r="H34" s="18"/>
      <c r="M34" t="s">
        <v>110</v>
      </c>
      <c r="N34">
        <v>26.19</v>
      </c>
    </row>
    <row r="35" spans="8:14" x14ac:dyDescent="0.25">
      <c r="H35" s="18"/>
      <c r="M35" t="s">
        <v>108</v>
      </c>
      <c r="N35">
        <v>21.67</v>
      </c>
    </row>
    <row r="36" spans="8:14" x14ac:dyDescent="0.25">
      <c r="H36" s="18"/>
      <c r="M36" t="s">
        <v>14</v>
      </c>
      <c r="N36">
        <v>0</v>
      </c>
    </row>
    <row r="37" spans="8:14" x14ac:dyDescent="0.25">
      <c r="H37" s="18"/>
      <c r="M37" t="s">
        <v>104</v>
      </c>
      <c r="N37">
        <v>0</v>
      </c>
    </row>
    <row r="38" spans="8:14" x14ac:dyDescent="0.25">
      <c r="H38" s="18"/>
      <c r="M38" t="s">
        <v>15</v>
      </c>
      <c r="N38">
        <v>12.6</v>
      </c>
    </row>
    <row r="39" spans="8:14" x14ac:dyDescent="0.25">
      <c r="H39" s="18"/>
      <c r="M39" t="s">
        <v>101</v>
      </c>
      <c r="N39">
        <v>0</v>
      </c>
    </row>
    <row r="40" spans="8:14" x14ac:dyDescent="0.25">
      <c r="H40" s="18"/>
      <c r="M40" t="s">
        <v>16</v>
      </c>
      <c r="N40">
        <v>13</v>
      </c>
    </row>
    <row r="41" spans="8:14" x14ac:dyDescent="0.25">
      <c r="M41" t="s">
        <v>99</v>
      </c>
      <c r="N41">
        <v>0</v>
      </c>
    </row>
    <row r="42" spans="8:14" x14ac:dyDescent="0.25">
      <c r="M42" t="s">
        <v>17</v>
      </c>
      <c r="N42">
        <v>13.2</v>
      </c>
    </row>
    <row r="43" spans="8:14" x14ac:dyDescent="0.25">
      <c r="M43" t="s">
        <v>19</v>
      </c>
      <c r="N43">
        <v>14.9</v>
      </c>
    </row>
    <row r="44" spans="8:14" x14ac:dyDescent="0.25">
      <c r="M44" t="s">
        <v>18</v>
      </c>
      <c r="N44">
        <v>12.29</v>
      </c>
    </row>
    <row r="45" spans="8:14" x14ac:dyDescent="0.25">
      <c r="M45" t="s">
        <v>97</v>
      </c>
      <c r="N45">
        <v>0</v>
      </c>
    </row>
    <row r="46" spans="8:14" x14ac:dyDescent="0.25">
      <c r="M46" t="s">
        <v>42</v>
      </c>
      <c r="N46">
        <v>12.9</v>
      </c>
    </row>
    <row r="47" spans="8:14" x14ac:dyDescent="0.25">
      <c r="M47" t="s">
        <v>96</v>
      </c>
      <c r="N47">
        <v>0</v>
      </c>
    </row>
    <row r="48" spans="8:14" x14ac:dyDescent="0.25">
      <c r="M48" t="s">
        <v>38</v>
      </c>
      <c r="N48">
        <v>15.5</v>
      </c>
    </row>
    <row r="49" spans="13:14" x14ac:dyDescent="0.25">
      <c r="M49" t="s">
        <v>93</v>
      </c>
      <c r="N49">
        <v>0</v>
      </c>
    </row>
    <row r="50" spans="13:14" x14ac:dyDescent="0.25">
      <c r="M50" t="s">
        <v>20</v>
      </c>
      <c r="N50">
        <v>14.1</v>
      </c>
    </row>
    <row r="51" spans="13:14" x14ac:dyDescent="0.25">
      <c r="M51" t="s">
        <v>21</v>
      </c>
      <c r="N51">
        <v>12.3</v>
      </c>
    </row>
    <row r="52" spans="13:14" x14ac:dyDescent="0.25">
      <c r="M52" t="s">
        <v>22</v>
      </c>
      <c r="N52">
        <v>18.829999999999998</v>
      </c>
    </row>
    <row r="53" spans="13:14" x14ac:dyDescent="0.25">
      <c r="M53" t="s">
        <v>85</v>
      </c>
      <c r="N53">
        <v>0</v>
      </c>
    </row>
    <row r="54" spans="13:14" x14ac:dyDescent="0.25">
      <c r="M54" t="s">
        <v>23</v>
      </c>
      <c r="N54">
        <v>12.5</v>
      </c>
    </row>
    <row r="55" spans="13:14" x14ac:dyDescent="0.25">
      <c r="M55" t="s">
        <v>24</v>
      </c>
      <c r="N55">
        <v>12.6</v>
      </c>
    </row>
    <row r="56" spans="13:14" x14ac:dyDescent="0.25">
      <c r="M56" t="s">
        <v>81</v>
      </c>
      <c r="N56">
        <v>13.2</v>
      </c>
    </row>
    <row r="57" spans="13:14" x14ac:dyDescent="0.25">
      <c r="M57" t="s">
        <v>25</v>
      </c>
      <c r="N57">
        <v>13.5</v>
      </c>
    </row>
    <row r="58" spans="13:14" x14ac:dyDescent="0.25">
      <c r="M58" t="s">
        <v>80</v>
      </c>
      <c r="N58">
        <v>14.8</v>
      </c>
    </row>
    <row r="59" spans="13:14" x14ac:dyDescent="0.25">
      <c r="M59" t="s">
        <v>26</v>
      </c>
      <c r="N59">
        <v>13.9</v>
      </c>
    </row>
    <row r="60" spans="13:14" x14ac:dyDescent="0.25">
      <c r="M60" t="s">
        <v>27</v>
      </c>
      <c r="N60">
        <v>12.59</v>
      </c>
    </row>
    <row r="61" spans="13:14" x14ac:dyDescent="0.25">
      <c r="M61" t="s">
        <v>28</v>
      </c>
      <c r="N61">
        <v>13.6</v>
      </c>
    </row>
    <row r="62" spans="13:14" x14ac:dyDescent="0.25">
      <c r="M62" t="s">
        <v>77</v>
      </c>
      <c r="N62">
        <v>14.49</v>
      </c>
    </row>
    <row r="63" spans="13:14" x14ac:dyDescent="0.25">
      <c r="M63" t="s">
        <v>29</v>
      </c>
      <c r="N63">
        <v>15</v>
      </c>
    </row>
    <row r="64" spans="13:14" x14ac:dyDescent="0.25">
      <c r="M64" t="s">
        <v>30</v>
      </c>
      <c r="N64">
        <v>13.59</v>
      </c>
    </row>
    <row r="65" spans="13:14" x14ac:dyDescent="0.25">
      <c r="M65" t="s">
        <v>31</v>
      </c>
      <c r="N65">
        <v>13.6</v>
      </c>
    </row>
    <row r="66" spans="13:14" x14ac:dyDescent="0.25">
      <c r="M66" t="s">
        <v>32</v>
      </c>
      <c r="N66">
        <v>13.59</v>
      </c>
    </row>
    <row r="67" spans="13:14" x14ac:dyDescent="0.25">
      <c r="M67" t="s">
        <v>71</v>
      </c>
      <c r="N67">
        <v>13</v>
      </c>
    </row>
    <row r="68" spans="13:14" x14ac:dyDescent="0.25">
      <c r="M68" t="s">
        <v>33</v>
      </c>
      <c r="N68">
        <v>12</v>
      </c>
    </row>
    <row r="69" spans="13:14" x14ac:dyDescent="0.25">
      <c r="M69" t="s">
        <v>34</v>
      </c>
      <c r="N69">
        <v>15</v>
      </c>
    </row>
    <row r="70" spans="13:14" x14ac:dyDescent="0.25">
      <c r="M70" t="s">
        <v>35</v>
      </c>
      <c r="N70">
        <v>13.7</v>
      </c>
    </row>
    <row r="71" spans="13:14" x14ac:dyDescent="0.25">
      <c r="M71" t="s">
        <v>65</v>
      </c>
      <c r="N71">
        <v>0</v>
      </c>
    </row>
    <row r="72" spans="13:14" x14ac:dyDescent="0.25">
      <c r="M72" t="s">
        <v>36</v>
      </c>
      <c r="N72">
        <v>13.4</v>
      </c>
    </row>
    <row r="73" spans="13:14" x14ac:dyDescent="0.25">
      <c r="M73" t="s">
        <v>64</v>
      </c>
      <c r="N73">
        <v>0</v>
      </c>
    </row>
    <row r="74" spans="13:14" x14ac:dyDescent="0.25">
      <c r="M74" t="s">
        <v>37</v>
      </c>
      <c r="N74">
        <v>12.99</v>
      </c>
    </row>
    <row r="75" spans="13:14" x14ac:dyDescent="0.25">
      <c r="M75" t="s">
        <v>63</v>
      </c>
      <c r="N75">
        <v>16.5</v>
      </c>
    </row>
    <row r="76" spans="13:14" x14ac:dyDescent="0.25">
      <c r="M76" t="s">
        <v>59</v>
      </c>
      <c r="N76">
        <v>16.2</v>
      </c>
    </row>
    <row r="77" spans="13:14" x14ac:dyDescent="0.25">
      <c r="M77" t="s">
        <v>54</v>
      </c>
      <c r="N77">
        <v>16.489999999999998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207"/>
  <sheetViews>
    <sheetView workbookViewId="0">
      <selection sqref="A1:F204"/>
    </sheetView>
  </sheetViews>
  <sheetFormatPr defaultRowHeight="15" x14ac:dyDescent="0.25"/>
  <cols>
    <col min="1" max="1" width="17.140625" style="18" bestFit="1" customWidth="1"/>
    <col min="2" max="2" width="19.42578125" style="18" bestFit="1" customWidth="1"/>
    <col min="3" max="3" width="9.85546875" style="18" bestFit="1" customWidth="1"/>
    <col min="4" max="4" width="12.28515625" style="18" bestFit="1" customWidth="1"/>
    <col min="5" max="5" width="14.42578125" style="18" bestFit="1" customWidth="1"/>
    <col min="6" max="6" width="12.28515625" bestFit="1" customWidth="1"/>
    <col min="7" max="7" width="9.140625" customWidth="1"/>
    <col min="8" max="16384" width="9.140625" style="12"/>
  </cols>
  <sheetData>
    <row r="1" spans="1:13" x14ac:dyDescent="0.25">
      <c r="A1" s="20" t="s">
        <v>0</v>
      </c>
      <c r="B1" s="19" t="s">
        <v>1</v>
      </c>
      <c r="C1" s="19" t="s">
        <v>3</v>
      </c>
      <c r="D1" s="19" t="s">
        <v>4</v>
      </c>
      <c r="E1" s="19" t="s">
        <v>2</v>
      </c>
      <c r="F1" s="21" t="s">
        <v>178</v>
      </c>
      <c r="H1" s="15"/>
    </row>
    <row r="2" spans="1:13" x14ac:dyDescent="0.25">
      <c r="A2" s="20">
        <v>44880</v>
      </c>
      <c r="B2" s="19" t="s">
        <v>160</v>
      </c>
      <c r="C2" s="19" t="s">
        <v>6</v>
      </c>
      <c r="D2" s="19" t="s">
        <v>165</v>
      </c>
      <c r="E2" s="19">
        <v>0</v>
      </c>
      <c r="F2" s="19">
        <v>-1</v>
      </c>
      <c r="L2" s="22"/>
    </row>
    <row r="3" spans="1:13" x14ac:dyDescent="0.25">
      <c r="A3" s="20">
        <v>44880</v>
      </c>
      <c r="B3" s="19" t="s">
        <v>160</v>
      </c>
      <c r="C3" s="19" t="s">
        <v>7</v>
      </c>
      <c r="D3" s="19" t="s">
        <v>165</v>
      </c>
      <c r="E3" s="19">
        <v>0</v>
      </c>
      <c r="F3" s="19">
        <v>-1</v>
      </c>
      <c r="L3" s="22"/>
      <c r="M3" s="18"/>
    </row>
    <row r="4" spans="1:13" x14ac:dyDescent="0.25">
      <c r="A4" s="20">
        <v>44880</v>
      </c>
      <c r="B4" s="19" t="s">
        <v>160</v>
      </c>
      <c r="C4" s="19" t="s">
        <v>8</v>
      </c>
      <c r="D4" s="19" t="s">
        <v>165</v>
      </c>
      <c r="E4" s="19">
        <v>0</v>
      </c>
      <c r="F4" s="19">
        <v>-1</v>
      </c>
      <c r="M4" s="18"/>
    </row>
    <row r="5" spans="1:13" x14ac:dyDescent="0.25">
      <c r="A5" s="20">
        <v>44880</v>
      </c>
      <c r="B5" s="19" t="s">
        <v>40</v>
      </c>
      <c r="C5" s="19" t="s">
        <v>6</v>
      </c>
      <c r="D5" s="19" t="s">
        <v>166</v>
      </c>
      <c r="E5" s="19">
        <v>2218</v>
      </c>
      <c r="F5" s="19">
        <v>-1</v>
      </c>
      <c r="L5" s="22"/>
      <c r="M5" s="18"/>
    </row>
    <row r="6" spans="1:13" x14ac:dyDescent="0.25">
      <c r="A6" s="20">
        <v>44880</v>
      </c>
      <c r="B6" s="19" t="s">
        <v>158</v>
      </c>
      <c r="C6" s="19" t="s">
        <v>6</v>
      </c>
      <c r="D6" s="19" t="s">
        <v>165</v>
      </c>
      <c r="E6" s="19">
        <v>0</v>
      </c>
      <c r="F6" s="19">
        <v>-1</v>
      </c>
      <c r="M6" s="18"/>
    </row>
    <row r="7" spans="1:13" x14ac:dyDescent="0.25">
      <c r="A7" s="20">
        <v>44880</v>
      </c>
      <c r="B7" s="19" t="s">
        <v>158</v>
      </c>
      <c r="C7" s="19" t="s">
        <v>7</v>
      </c>
      <c r="D7" s="19" t="s">
        <v>165</v>
      </c>
      <c r="E7" s="19">
        <v>0</v>
      </c>
      <c r="F7" s="19">
        <v>-1</v>
      </c>
      <c r="L7" s="22"/>
      <c r="M7" s="18"/>
    </row>
    <row r="8" spans="1:13" x14ac:dyDescent="0.25">
      <c r="A8" s="20">
        <v>44880</v>
      </c>
      <c r="B8" s="19" t="s">
        <v>158</v>
      </c>
      <c r="C8" s="19" t="s">
        <v>8</v>
      </c>
      <c r="D8" s="19" t="s">
        <v>165</v>
      </c>
      <c r="E8" s="19">
        <v>0</v>
      </c>
      <c r="F8" s="19">
        <v>-1</v>
      </c>
      <c r="M8" s="18"/>
    </row>
    <row r="9" spans="1:13" x14ac:dyDescent="0.25">
      <c r="A9" s="20">
        <v>44880</v>
      </c>
      <c r="B9" s="19" t="s">
        <v>157</v>
      </c>
      <c r="C9" s="19" t="s">
        <v>6</v>
      </c>
      <c r="D9" s="19" t="s">
        <v>165</v>
      </c>
      <c r="E9" s="19">
        <v>0</v>
      </c>
      <c r="F9" s="19">
        <v>-1</v>
      </c>
      <c r="M9" s="18"/>
    </row>
    <row r="10" spans="1:13" x14ac:dyDescent="0.25">
      <c r="A10" s="20">
        <v>44880</v>
      </c>
      <c r="B10" s="19" t="s">
        <v>157</v>
      </c>
      <c r="C10" s="19" t="s">
        <v>7</v>
      </c>
      <c r="D10" s="19" t="s">
        <v>165</v>
      </c>
      <c r="E10" s="19">
        <v>0</v>
      </c>
      <c r="F10" s="19">
        <v>-1</v>
      </c>
      <c r="M10" s="18"/>
    </row>
    <row r="11" spans="1:13" x14ac:dyDescent="0.25">
      <c r="A11" s="20">
        <v>44880</v>
      </c>
      <c r="B11" s="19" t="s">
        <v>157</v>
      </c>
      <c r="C11" s="19" t="s">
        <v>8</v>
      </c>
      <c r="D11" s="19" t="s">
        <v>165</v>
      </c>
      <c r="E11" s="19">
        <v>0</v>
      </c>
      <c r="F11" s="19">
        <v>-1</v>
      </c>
      <c r="L11" s="22"/>
      <c r="M11" s="18"/>
    </row>
    <row r="12" spans="1:13" x14ac:dyDescent="0.25">
      <c r="A12" s="20">
        <v>44880</v>
      </c>
      <c r="B12" s="19" t="s">
        <v>155</v>
      </c>
      <c r="C12" s="19" t="s">
        <v>6</v>
      </c>
      <c r="D12" s="19" t="s">
        <v>165</v>
      </c>
      <c r="E12" s="19">
        <v>0</v>
      </c>
      <c r="F12" s="19">
        <v>-1</v>
      </c>
      <c r="M12" s="18"/>
    </row>
    <row r="13" spans="1:13" x14ac:dyDescent="0.25">
      <c r="A13" s="20">
        <v>44880</v>
      </c>
      <c r="B13" s="19" t="s">
        <v>155</v>
      </c>
      <c r="C13" s="19" t="s">
        <v>7</v>
      </c>
      <c r="D13" s="19" t="s">
        <v>165</v>
      </c>
      <c r="E13" s="19">
        <v>0</v>
      </c>
      <c r="F13" s="19">
        <v>-1</v>
      </c>
      <c r="M13" s="18"/>
    </row>
    <row r="14" spans="1:13" x14ac:dyDescent="0.25">
      <c r="A14" s="20">
        <v>44880</v>
      </c>
      <c r="B14" s="19" t="s">
        <v>155</v>
      </c>
      <c r="C14" s="19" t="s">
        <v>8</v>
      </c>
      <c r="D14" s="19" t="s">
        <v>165</v>
      </c>
      <c r="E14" s="19">
        <v>0</v>
      </c>
      <c r="F14" s="19">
        <v>-1</v>
      </c>
      <c r="L14" s="22"/>
      <c r="M14" s="18"/>
    </row>
    <row r="15" spans="1:13" x14ac:dyDescent="0.25">
      <c r="A15" s="20">
        <v>44880</v>
      </c>
      <c r="B15" s="19" t="s">
        <v>153</v>
      </c>
      <c r="C15" s="19" t="s">
        <v>6</v>
      </c>
      <c r="D15" s="19" t="s">
        <v>165</v>
      </c>
      <c r="E15" s="19">
        <v>0</v>
      </c>
      <c r="F15" s="19">
        <v>-1</v>
      </c>
      <c r="M15" s="18"/>
    </row>
    <row r="16" spans="1:13" x14ac:dyDescent="0.25">
      <c r="A16" s="20">
        <v>44880</v>
      </c>
      <c r="B16" s="19" t="s">
        <v>153</v>
      </c>
      <c r="C16" s="19" t="s">
        <v>7</v>
      </c>
      <c r="D16" s="19" t="s">
        <v>165</v>
      </c>
      <c r="E16" s="19">
        <v>0</v>
      </c>
      <c r="F16" s="19">
        <v>-1</v>
      </c>
      <c r="M16" s="18"/>
    </row>
    <row r="17" spans="1:13" x14ac:dyDescent="0.25">
      <c r="A17" s="20">
        <v>44880</v>
      </c>
      <c r="B17" s="19" t="s">
        <v>153</v>
      </c>
      <c r="C17" s="19" t="s">
        <v>8</v>
      </c>
      <c r="D17" s="19" t="s">
        <v>165</v>
      </c>
      <c r="E17" s="19">
        <v>0</v>
      </c>
      <c r="F17" s="19">
        <v>-1</v>
      </c>
      <c r="M17" s="18"/>
    </row>
    <row r="18" spans="1:13" x14ac:dyDescent="0.25">
      <c r="A18" s="20">
        <v>44880</v>
      </c>
      <c r="B18" s="19" t="s">
        <v>152</v>
      </c>
      <c r="C18" s="19" t="s">
        <v>6</v>
      </c>
      <c r="D18" s="19" t="s">
        <v>165</v>
      </c>
      <c r="E18" s="19">
        <v>0</v>
      </c>
      <c r="F18" s="19">
        <v>-1</v>
      </c>
      <c r="M18" s="18"/>
    </row>
    <row r="19" spans="1:13" x14ac:dyDescent="0.25">
      <c r="A19" s="20">
        <v>44880</v>
      </c>
      <c r="B19" s="19" t="s">
        <v>152</v>
      </c>
      <c r="C19" s="19" t="s">
        <v>7</v>
      </c>
      <c r="D19" s="19" t="s">
        <v>165</v>
      </c>
      <c r="E19" s="19">
        <v>0</v>
      </c>
      <c r="F19" s="19">
        <v>-1</v>
      </c>
      <c r="M19" s="18"/>
    </row>
    <row r="20" spans="1:13" x14ac:dyDescent="0.25">
      <c r="A20" s="20">
        <v>44880</v>
      </c>
      <c r="B20" s="19" t="s">
        <v>152</v>
      </c>
      <c r="C20" s="19" t="s">
        <v>8</v>
      </c>
      <c r="D20" s="19" t="s">
        <v>165</v>
      </c>
      <c r="E20" s="19">
        <v>0</v>
      </c>
      <c r="F20" s="19">
        <v>-1</v>
      </c>
      <c r="M20" s="18"/>
    </row>
    <row r="21" spans="1:13" x14ac:dyDescent="0.25">
      <c r="A21" s="20">
        <v>44880</v>
      </c>
      <c r="B21" s="19" t="s">
        <v>150</v>
      </c>
      <c r="C21" s="19" t="s">
        <v>6</v>
      </c>
      <c r="D21" s="19" t="s">
        <v>165</v>
      </c>
      <c r="E21" s="19">
        <v>0</v>
      </c>
      <c r="F21" s="19">
        <v>-1</v>
      </c>
      <c r="M21" s="18"/>
    </row>
    <row r="22" spans="1:13" x14ac:dyDescent="0.25">
      <c r="A22" s="20">
        <v>44880</v>
      </c>
      <c r="B22" s="19" t="s">
        <v>150</v>
      </c>
      <c r="C22" s="19" t="s">
        <v>7</v>
      </c>
      <c r="D22" s="19" t="s">
        <v>165</v>
      </c>
      <c r="E22" s="19">
        <v>0</v>
      </c>
      <c r="F22" s="19">
        <v>-1</v>
      </c>
      <c r="L22" s="22"/>
      <c r="M22" s="18"/>
    </row>
    <row r="23" spans="1:13" x14ac:dyDescent="0.25">
      <c r="A23" s="20">
        <v>44880</v>
      </c>
      <c r="B23" s="19" t="s">
        <v>150</v>
      </c>
      <c r="C23" s="19" t="s">
        <v>8</v>
      </c>
      <c r="D23" s="19" t="s">
        <v>165</v>
      </c>
      <c r="E23" s="19">
        <v>0</v>
      </c>
      <c r="F23" s="19">
        <v>-1</v>
      </c>
      <c r="M23" s="18"/>
    </row>
    <row r="24" spans="1:13" x14ac:dyDescent="0.25">
      <c r="A24" s="20">
        <v>44880</v>
      </c>
      <c r="B24" s="19" t="s">
        <v>147</v>
      </c>
      <c r="C24" s="19" t="s">
        <v>6</v>
      </c>
      <c r="D24" s="19" t="s">
        <v>165</v>
      </c>
      <c r="E24" s="19">
        <v>0</v>
      </c>
      <c r="F24" s="19">
        <v>-1</v>
      </c>
      <c r="M24" s="18"/>
    </row>
    <row r="25" spans="1:13" x14ac:dyDescent="0.25">
      <c r="A25" s="20">
        <v>44880</v>
      </c>
      <c r="B25" s="19" t="s">
        <v>147</v>
      </c>
      <c r="C25" s="19" t="s">
        <v>7</v>
      </c>
      <c r="D25" s="19" t="s">
        <v>165</v>
      </c>
      <c r="E25" s="19">
        <v>0</v>
      </c>
      <c r="F25" s="19">
        <v>-1</v>
      </c>
      <c r="M25" s="18"/>
    </row>
    <row r="26" spans="1:13" x14ac:dyDescent="0.25">
      <c r="A26" s="20">
        <v>44880</v>
      </c>
      <c r="B26" s="19" t="s">
        <v>147</v>
      </c>
      <c r="C26" s="19" t="s">
        <v>8</v>
      </c>
      <c r="D26" s="19" t="s">
        <v>165</v>
      </c>
      <c r="E26" s="19">
        <v>0</v>
      </c>
      <c r="F26" s="19">
        <v>-1</v>
      </c>
      <c r="L26" s="22"/>
      <c r="M26" s="18"/>
    </row>
    <row r="27" spans="1:13" x14ac:dyDescent="0.25">
      <c r="A27" s="20">
        <v>44880</v>
      </c>
      <c r="B27" s="19" t="s">
        <v>143</v>
      </c>
      <c r="C27" s="19" t="s">
        <v>6</v>
      </c>
      <c r="D27" s="19" t="s">
        <v>165</v>
      </c>
      <c r="E27" s="19">
        <v>0</v>
      </c>
      <c r="F27" s="19">
        <v>-1</v>
      </c>
      <c r="L27" s="22"/>
      <c r="M27" s="18"/>
    </row>
    <row r="28" spans="1:13" x14ac:dyDescent="0.25">
      <c r="A28" s="20">
        <v>44880</v>
      </c>
      <c r="B28" s="19" t="s">
        <v>143</v>
      </c>
      <c r="C28" s="19" t="s">
        <v>7</v>
      </c>
      <c r="D28" s="19" t="s">
        <v>165</v>
      </c>
      <c r="E28" s="19">
        <v>0</v>
      </c>
      <c r="F28" s="19">
        <v>-1</v>
      </c>
      <c r="L28" s="22"/>
      <c r="M28" s="18"/>
    </row>
    <row r="29" spans="1:13" x14ac:dyDescent="0.25">
      <c r="A29" s="20">
        <v>44880</v>
      </c>
      <c r="B29" s="19" t="s">
        <v>143</v>
      </c>
      <c r="C29" s="19" t="s">
        <v>8</v>
      </c>
      <c r="D29" s="19" t="s">
        <v>165</v>
      </c>
      <c r="E29" s="19">
        <v>0</v>
      </c>
      <c r="F29" s="19">
        <v>-1</v>
      </c>
      <c r="M29" s="18"/>
    </row>
    <row r="30" spans="1:13" x14ac:dyDescent="0.25">
      <c r="A30" s="20">
        <v>44880</v>
      </c>
      <c r="B30" s="19" t="s">
        <v>141</v>
      </c>
      <c r="C30" s="19" t="s">
        <v>6</v>
      </c>
      <c r="D30" s="19" t="s">
        <v>165</v>
      </c>
      <c r="E30" s="19">
        <v>0</v>
      </c>
      <c r="F30" s="19">
        <v>-1</v>
      </c>
      <c r="L30" s="22"/>
      <c r="M30" s="18"/>
    </row>
    <row r="31" spans="1:13" x14ac:dyDescent="0.25">
      <c r="A31" s="20">
        <v>44880</v>
      </c>
      <c r="B31" s="19" t="s">
        <v>141</v>
      </c>
      <c r="C31" s="19" t="s">
        <v>7</v>
      </c>
      <c r="D31" s="19" t="s">
        <v>165</v>
      </c>
      <c r="E31" s="19">
        <v>0</v>
      </c>
      <c r="F31" s="19">
        <v>-1</v>
      </c>
      <c r="M31" s="18"/>
    </row>
    <row r="32" spans="1:13" x14ac:dyDescent="0.25">
      <c r="A32" s="20">
        <v>44880</v>
      </c>
      <c r="B32" s="19" t="s">
        <v>141</v>
      </c>
      <c r="C32" s="19" t="s">
        <v>8</v>
      </c>
      <c r="D32" s="19" t="s">
        <v>165</v>
      </c>
      <c r="E32" s="19">
        <v>0</v>
      </c>
      <c r="F32" s="19">
        <v>-1</v>
      </c>
      <c r="L32" s="22"/>
      <c r="M32" s="18"/>
    </row>
    <row r="33" spans="1:13" x14ac:dyDescent="0.25">
      <c r="A33" s="20">
        <v>44880</v>
      </c>
      <c r="B33" s="19" t="s">
        <v>139</v>
      </c>
      <c r="C33" s="19" t="s">
        <v>6</v>
      </c>
      <c r="D33" s="19" t="s">
        <v>165</v>
      </c>
      <c r="E33" s="19">
        <v>0</v>
      </c>
      <c r="F33" s="19">
        <v>-1</v>
      </c>
      <c r="M33" s="18"/>
    </row>
    <row r="34" spans="1:13" x14ac:dyDescent="0.25">
      <c r="A34" s="20">
        <v>44880</v>
      </c>
      <c r="B34" s="19" t="s">
        <v>139</v>
      </c>
      <c r="C34" s="19" t="s">
        <v>7</v>
      </c>
      <c r="D34" s="19" t="s">
        <v>165</v>
      </c>
      <c r="E34" s="19">
        <v>0</v>
      </c>
      <c r="F34" s="19">
        <v>-1</v>
      </c>
      <c r="M34" s="18"/>
    </row>
    <row r="35" spans="1:13" x14ac:dyDescent="0.25">
      <c r="A35" s="20">
        <v>44880</v>
      </c>
      <c r="B35" s="19" t="s">
        <v>139</v>
      </c>
      <c r="C35" s="19" t="s">
        <v>8</v>
      </c>
      <c r="D35" s="19" t="s">
        <v>165</v>
      </c>
      <c r="E35" s="19">
        <v>0</v>
      </c>
      <c r="F35" s="19">
        <v>-1</v>
      </c>
      <c r="M35" s="18"/>
    </row>
    <row r="36" spans="1:13" x14ac:dyDescent="0.25">
      <c r="A36" s="20">
        <v>44880</v>
      </c>
      <c r="B36" s="19" t="s">
        <v>138</v>
      </c>
      <c r="C36" s="19" t="s">
        <v>6</v>
      </c>
      <c r="D36" s="19" t="s">
        <v>165</v>
      </c>
      <c r="E36" s="19">
        <v>0</v>
      </c>
      <c r="F36" s="19">
        <v>-1</v>
      </c>
      <c r="M36" s="18"/>
    </row>
    <row r="37" spans="1:13" x14ac:dyDescent="0.25">
      <c r="A37" s="20">
        <v>44880</v>
      </c>
      <c r="B37" s="19" t="s">
        <v>138</v>
      </c>
      <c r="C37" s="19" t="s">
        <v>7</v>
      </c>
      <c r="D37" s="19" t="s">
        <v>165</v>
      </c>
      <c r="E37" s="19">
        <v>0</v>
      </c>
      <c r="F37" s="19">
        <v>-1</v>
      </c>
      <c r="M37" s="18"/>
    </row>
    <row r="38" spans="1:13" x14ac:dyDescent="0.25">
      <c r="A38" s="20">
        <v>44880</v>
      </c>
      <c r="B38" s="19" t="s">
        <v>138</v>
      </c>
      <c r="C38" s="19" t="s">
        <v>8</v>
      </c>
      <c r="D38" s="19" t="s">
        <v>165</v>
      </c>
      <c r="E38" s="19">
        <v>0</v>
      </c>
      <c r="F38" s="19">
        <v>-1</v>
      </c>
      <c r="M38" s="18"/>
    </row>
    <row r="39" spans="1:13" x14ac:dyDescent="0.25">
      <c r="A39" s="20">
        <v>44880</v>
      </c>
      <c r="B39" s="19" t="s">
        <v>136</v>
      </c>
      <c r="C39" s="19" t="s">
        <v>6</v>
      </c>
      <c r="D39" s="19" t="s">
        <v>165</v>
      </c>
      <c r="E39" s="19">
        <v>0</v>
      </c>
      <c r="F39" s="19">
        <v>-1</v>
      </c>
      <c r="M39" s="18"/>
    </row>
    <row r="40" spans="1:13" x14ac:dyDescent="0.25">
      <c r="A40" s="20">
        <v>44880</v>
      </c>
      <c r="B40" s="19" t="s">
        <v>136</v>
      </c>
      <c r="C40" s="19" t="s">
        <v>7</v>
      </c>
      <c r="D40" s="19" t="s">
        <v>165</v>
      </c>
      <c r="E40" s="19">
        <v>0</v>
      </c>
      <c r="F40" s="19">
        <v>-1</v>
      </c>
      <c r="L40" s="22"/>
      <c r="M40" s="18"/>
    </row>
    <row r="41" spans="1:13" x14ac:dyDescent="0.25">
      <c r="A41" s="20">
        <v>44880</v>
      </c>
      <c r="B41" s="19" t="s">
        <v>136</v>
      </c>
      <c r="C41" s="19" t="s">
        <v>8</v>
      </c>
      <c r="D41" s="19" t="s">
        <v>165</v>
      </c>
      <c r="E41" s="19">
        <v>0</v>
      </c>
      <c r="F41" s="19">
        <v>-1</v>
      </c>
      <c r="M41" s="18"/>
    </row>
    <row r="42" spans="1:13" x14ac:dyDescent="0.25">
      <c r="A42" s="20">
        <v>44880</v>
      </c>
      <c r="B42" s="19" t="s">
        <v>39</v>
      </c>
      <c r="C42" s="19" t="s">
        <v>6</v>
      </c>
      <c r="D42" s="19" t="s">
        <v>165</v>
      </c>
      <c r="E42" s="19">
        <v>0</v>
      </c>
      <c r="F42" s="19">
        <v>-1</v>
      </c>
      <c r="L42" s="22"/>
      <c r="M42" s="18"/>
    </row>
    <row r="43" spans="1:13" x14ac:dyDescent="0.25">
      <c r="A43" s="20">
        <v>44880</v>
      </c>
      <c r="B43" s="19" t="s">
        <v>39</v>
      </c>
      <c r="C43" s="19" t="s">
        <v>7</v>
      </c>
      <c r="D43" s="19" t="s">
        <v>165</v>
      </c>
      <c r="E43" s="19">
        <v>0</v>
      </c>
      <c r="F43" s="19">
        <v>-1</v>
      </c>
      <c r="M43" s="18"/>
    </row>
    <row r="44" spans="1:13" x14ac:dyDescent="0.25">
      <c r="A44" s="20">
        <v>44880</v>
      </c>
      <c r="B44" s="19" t="s">
        <v>39</v>
      </c>
      <c r="C44" s="19" t="s">
        <v>8</v>
      </c>
      <c r="D44" s="19" t="s">
        <v>165</v>
      </c>
      <c r="E44" s="19">
        <v>0</v>
      </c>
      <c r="F44" s="19">
        <v>-1</v>
      </c>
      <c r="L44" s="22"/>
      <c r="M44" s="18"/>
    </row>
    <row r="45" spans="1:13" x14ac:dyDescent="0.25">
      <c r="A45" s="20">
        <v>44880</v>
      </c>
      <c r="B45" s="19" t="s">
        <v>132</v>
      </c>
      <c r="C45" s="19" t="s">
        <v>6</v>
      </c>
      <c r="D45" s="19" t="s">
        <v>165</v>
      </c>
      <c r="E45" s="19">
        <v>0</v>
      </c>
      <c r="F45" s="19">
        <v>-1</v>
      </c>
      <c r="M45" s="18"/>
    </row>
    <row r="46" spans="1:13" x14ac:dyDescent="0.25">
      <c r="A46" s="20">
        <v>44880</v>
      </c>
      <c r="B46" s="19" t="s">
        <v>132</v>
      </c>
      <c r="C46" s="19" t="s">
        <v>7</v>
      </c>
      <c r="D46" s="19" t="s">
        <v>165</v>
      </c>
      <c r="E46" s="19">
        <v>0</v>
      </c>
      <c r="F46" s="19">
        <v>-1</v>
      </c>
      <c r="L46" s="22"/>
      <c r="M46" s="18"/>
    </row>
    <row r="47" spans="1:13" x14ac:dyDescent="0.25">
      <c r="A47" s="20">
        <v>44880</v>
      </c>
      <c r="B47" s="19" t="s">
        <v>132</v>
      </c>
      <c r="C47" s="19" t="s">
        <v>8</v>
      </c>
      <c r="D47" s="19" t="s">
        <v>165</v>
      </c>
      <c r="E47" s="19">
        <v>0</v>
      </c>
      <c r="F47" s="19">
        <v>-1</v>
      </c>
      <c r="M47" s="18"/>
    </row>
    <row r="48" spans="1:13" x14ac:dyDescent="0.25">
      <c r="A48" s="20">
        <v>44880</v>
      </c>
      <c r="B48" s="19" t="s">
        <v>128</v>
      </c>
      <c r="C48" s="19" t="s">
        <v>6</v>
      </c>
      <c r="D48" s="19" t="s">
        <v>165</v>
      </c>
      <c r="E48" s="19">
        <v>0</v>
      </c>
      <c r="F48" s="19">
        <v>-1</v>
      </c>
      <c r="M48" s="18"/>
    </row>
    <row r="49" spans="1:13" x14ac:dyDescent="0.25">
      <c r="A49" s="20">
        <v>44880</v>
      </c>
      <c r="B49" s="19" t="s">
        <v>128</v>
      </c>
      <c r="C49" s="19" t="s">
        <v>7</v>
      </c>
      <c r="D49" s="19" t="s">
        <v>165</v>
      </c>
      <c r="E49" s="19">
        <v>0</v>
      </c>
      <c r="F49" s="19">
        <v>-1</v>
      </c>
      <c r="M49" s="18"/>
    </row>
    <row r="50" spans="1:13" x14ac:dyDescent="0.25">
      <c r="A50" s="20">
        <v>44880</v>
      </c>
      <c r="B50" s="19" t="s">
        <v>128</v>
      </c>
      <c r="C50" s="19" t="s">
        <v>8</v>
      </c>
      <c r="D50" s="19" t="s">
        <v>165</v>
      </c>
      <c r="E50" s="19">
        <v>0</v>
      </c>
      <c r="F50" s="19">
        <v>-1</v>
      </c>
      <c r="L50" s="22"/>
      <c r="M50" s="18"/>
    </row>
    <row r="51" spans="1:13" x14ac:dyDescent="0.25">
      <c r="A51" s="20">
        <v>44880</v>
      </c>
      <c r="B51" s="19" t="s">
        <v>126</v>
      </c>
      <c r="C51" s="19" t="s">
        <v>6</v>
      </c>
      <c r="D51" s="19" t="s">
        <v>165</v>
      </c>
      <c r="E51" s="19">
        <v>0</v>
      </c>
      <c r="F51" s="19">
        <v>-1</v>
      </c>
      <c r="L51" s="22"/>
      <c r="M51" s="18"/>
    </row>
    <row r="52" spans="1:13" x14ac:dyDescent="0.25">
      <c r="A52" s="20">
        <v>44880</v>
      </c>
      <c r="B52" s="19" t="s">
        <v>126</v>
      </c>
      <c r="C52" s="19" t="s">
        <v>7</v>
      </c>
      <c r="D52" s="19" t="s">
        <v>165</v>
      </c>
      <c r="E52" s="19">
        <v>0</v>
      </c>
      <c r="F52" s="19">
        <v>-1</v>
      </c>
      <c r="M52" s="18"/>
    </row>
    <row r="53" spans="1:13" x14ac:dyDescent="0.25">
      <c r="A53" s="20">
        <v>44880</v>
      </c>
      <c r="B53" s="19" t="s">
        <v>126</v>
      </c>
      <c r="C53" s="19" t="s">
        <v>8</v>
      </c>
      <c r="D53" s="19" t="s">
        <v>165</v>
      </c>
      <c r="E53" s="19">
        <v>0</v>
      </c>
      <c r="F53" s="19">
        <v>-1</v>
      </c>
      <c r="M53" s="18"/>
    </row>
    <row r="54" spans="1:13" x14ac:dyDescent="0.25">
      <c r="A54" s="20">
        <v>44880</v>
      </c>
      <c r="B54" s="19" t="s">
        <v>123</v>
      </c>
      <c r="C54" s="19" t="s">
        <v>6</v>
      </c>
      <c r="D54" s="19" t="s">
        <v>165</v>
      </c>
      <c r="E54" s="19">
        <v>0</v>
      </c>
      <c r="F54" s="19">
        <v>-1</v>
      </c>
      <c r="M54" s="18"/>
    </row>
    <row r="55" spans="1:13" x14ac:dyDescent="0.25">
      <c r="A55" s="20">
        <v>44880</v>
      </c>
      <c r="B55" s="19" t="s">
        <v>123</v>
      </c>
      <c r="C55" s="19" t="s">
        <v>7</v>
      </c>
      <c r="D55" s="19" t="s">
        <v>165</v>
      </c>
      <c r="E55" s="19">
        <v>0</v>
      </c>
      <c r="F55" s="19">
        <v>-1</v>
      </c>
      <c r="L55" s="22"/>
      <c r="M55" s="18"/>
    </row>
    <row r="56" spans="1:13" x14ac:dyDescent="0.25">
      <c r="A56" s="20">
        <v>44880</v>
      </c>
      <c r="B56" s="19" t="s">
        <v>123</v>
      </c>
      <c r="C56" s="19" t="s">
        <v>8</v>
      </c>
      <c r="D56" s="19" t="s">
        <v>165</v>
      </c>
      <c r="E56" s="19">
        <v>0</v>
      </c>
      <c r="F56" s="19">
        <v>-1</v>
      </c>
      <c r="M56" s="18"/>
    </row>
    <row r="57" spans="1:13" x14ac:dyDescent="0.25">
      <c r="A57" s="20">
        <v>44880</v>
      </c>
      <c r="B57" s="19" t="s">
        <v>41</v>
      </c>
      <c r="C57" s="19" t="s">
        <v>8</v>
      </c>
      <c r="D57" s="19" t="s">
        <v>165</v>
      </c>
      <c r="E57" s="19">
        <v>0</v>
      </c>
      <c r="F57" s="19">
        <v>-1</v>
      </c>
      <c r="L57" s="22"/>
      <c r="M57" s="18"/>
    </row>
    <row r="58" spans="1:13" x14ac:dyDescent="0.25">
      <c r="A58" s="20">
        <v>44880</v>
      </c>
      <c r="B58" s="19" t="s">
        <v>43</v>
      </c>
      <c r="C58" s="19" t="s">
        <v>6</v>
      </c>
      <c r="D58" s="19" t="s">
        <v>165</v>
      </c>
      <c r="E58" s="19">
        <v>0</v>
      </c>
      <c r="F58" s="19">
        <v>-1</v>
      </c>
      <c r="L58" s="22"/>
      <c r="M58" s="18"/>
    </row>
    <row r="59" spans="1:13" x14ac:dyDescent="0.25">
      <c r="A59" s="20">
        <v>44880</v>
      </c>
      <c r="B59" s="19" t="s">
        <v>43</v>
      </c>
      <c r="C59" s="19" t="s">
        <v>7</v>
      </c>
      <c r="D59" s="19" t="s">
        <v>165</v>
      </c>
      <c r="E59" s="19">
        <v>0</v>
      </c>
      <c r="F59" s="19">
        <v>-1</v>
      </c>
      <c r="L59" s="22"/>
      <c r="M59" s="18"/>
    </row>
    <row r="60" spans="1:13" x14ac:dyDescent="0.25">
      <c r="A60" s="20">
        <v>44880</v>
      </c>
      <c r="B60" s="19" t="s">
        <v>43</v>
      </c>
      <c r="C60" s="19" t="s">
        <v>8</v>
      </c>
      <c r="D60" s="19" t="s">
        <v>165</v>
      </c>
      <c r="E60" s="19">
        <v>0</v>
      </c>
      <c r="F60" s="19">
        <v>-1</v>
      </c>
      <c r="L60" s="22"/>
      <c r="M60" s="18"/>
    </row>
    <row r="61" spans="1:13" x14ac:dyDescent="0.25">
      <c r="A61" s="20">
        <v>44880</v>
      </c>
      <c r="B61" s="19" t="s">
        <v>9</v>
      </c>
      <c r="C61" s="19" t="s">
        <v>6</v>
      </c>
      <c r="D61" s="19" t="s">
        <v>165</v>
      </c>
      <c r="E61" s="19">
        <v>0</v>
      </c>
      <c r="F61" s="19">
        <v>-1</v>
      </c>
      <c r="M61" s="18"/>
    </row>
    <row r="62" spans="1:13" x14ac:dyDescent="0.25">
      <c r="A62" s="20">
        <v>44880</v>
      </c>
      <c r="B62" s="19" t="s">
        <v>9</v>
      </c>
      <c r="C62" s="19" t="s">
        <v>7</v>
      </c>
      <c r="D62" s="19" t="s">
        <v>165</v>
      </c>
      <c r="E62" s="19">
        <v>0</v>
      </c>
      <c r="F62" s="19">
        <v>-1</v>
      </c>
      <c r="L62" s="22"/>
      <c r="M62" s="18"/>
    </row>
    <row r="63" spans="1:13" x14ac:dyDescent="0.25">
      <c r="A63" s="20">
        <v>44880</v>
      </c>
      <c r="B63" s="19" t="s">
        <v>9</v>
      </c>
      <c r="C63" s="19" t="s">
        <v>8</v>
      </c>
      <c r="D63" s="19" t="s">
        <v>165</v>
      </c>
      <c r="E63" s="19">
        <v>0</v>
      </c>
      <c r="F63" s="19">
        <v>-1</v>
      </c>
      <c r="L63" s="22"/>
      <c r="M63" s="18"/>
    </row>
    <row r="64" spans="1:13" x14ac:dyDescent="0.25">
      <c r="A64" s="20">
        <v>44880</v>
      </c>
      <c r="B64" s="19" t="s">
        <v>10</v>
      </c>
      <c r="C64" s="19" t="s">
        <v>6</v>
      </c>
      <c r="D64" s="19" t="s">
        <v>165</v>
      </c>
      <c r="E64" s="19">
        <v>0</v>
      </c>
      <c r="F64" s="19">
        <v>-1</v>
      </c>
      <c r="L64" s="22"/>
      <c r="M64" s="18"/>
    </row>
    <row r="65" spans="1:13" x14ac:dyDescent="0.25">
      <c r="A65" s="20">
        <v>44880</v>
      </c>
      <c r="B65" s="19" t="s">
        <v>10</v>
      </c>
      <c r="C65" s="19" t="s">
        <v>7</v>
      </c>
      <c r="D65" s="19" t="s">
        <v>165</v>
      </c>
      <c r="E65" s="19">
        <v>0</v>
      </c>
      <c r="F65" s="19">
        <v>-1</v>
      </c>
      <c r="L65" s="22"/>
      <c r="M65" s="18"/>
    </row>
    <row r="66" spans="1:13" x14ac:dyDescent="0.25">
      <c r="A66" s="20">
        <v>44880</v>
      </c>
      <c r="B66" s="19" t="s">
        <v>10</v>
      </c>
      <c r="C66" s="19" t="s">
        <v>8</v>
      </c>
      <c r="D66" s="19" t="s">
        <v>165</v>
      </c>
      <c r="E66" s="19">
        <v>0</v>
      </c>
      <c r="F66" s="19">
        <v>-1</v>
      </c>
      <c r="L66" s="22"/>
      <c r="M66" s="18"/>
    </row>
    <row r="67" spans="1:13" x14ac:dyDescent="0.25">
      <c r="A67" s="20">
        <v>44880</v>
      </c>
      <c r="B67" s="19" t="s">
        <v>11</v>
      </c>
      <c r="C67" s="19" t="s">
        <v>6</v>
      </c>
      <c r="D67" s="19" t="s">
        <v>165</v>
      </c>
      <c r="E67" s="19">
        <v>0</v>
      </c>
      <c r="F67" s="19">
        <v>-1</v>
      </c>
      <c r="M67" s="18"/>
    </row>
    <row r="68" spans="1:13" x14ac:dyDescent="0.25">
      <c r="A68" s="20">
        <v>44880</v>
      </c>
      <c r="B68" s="19" t="s">
        <v>11</v>
      </c>
      <c r="C68" s="19" t="s">
        <v>7</v>
      </c>
      <c r="D68" s="19" t="s">
        <v>165</v>
      </c>
      <c r="E68" s="19">
        <v>0</v>
      </c>
      <c r="F68" s="19">
        <v>-1</v>
      </c>
      <c r="L68" s="22"/>
      <c r="M68" s="18"/>
    </row>
    <row r="69" spans="1:13" x14ac:dyDescent="0.25">
      <c r="A69" s="20">
        <v>44880</v>
      </c>
      <c r="B69" s="19" t="s">
        <v>11</v>
      </c>
      <c r="C69" s="19" t="s">
        <v>8</v>
      </c>
      <c r="D69" s="19" t="s">
        <v>165</v>
      </c>
      <c r="E69" s="19">
        <v>0</v>
      </c>
      <c r="F69" s="19">
        <v>-1</v>
      </c>
      <c r="L69" s="22"/>
      <c r="M69" s="18"/>
    </row>
    <row r="70" spans="1:13" x14ac:dyDescent="0.25">
      <c r="A70" s="20">
        <v>44880</v>
      </c>
      <c r="B70" s="19" t="s">
        <v>12</v>
      </c>
      <c r="C70" s="19" t="s">
        <v>6</v>
      </c>
      <c r="D70" s="19" t="s">
        <v>165</v>
      </c>
      <c r="E70" s="19">
        <v>0</v>
      </c>
      <c r="F70" s="19">
        <v>-1</v>
      </c>
      <c r="M70" s="18"/>
    </row>
    <row r="71" spans="1:13" x14ac:dyDescent="0.25">
      <c r="A71" s="20">
        <v>44880</v>
      </c>
      <c r="B71" s="19" t="s">
        <v>12</v>
      </c>
      <c r="C71" s="19" t="s">
        <v>7</v>
      </c>
      <c r="D71" s="19" t="s">
        <v>165</v>
      </c>
      <c r="E71" s="19">
        <v>0</v>
      </c>
      <c r="F71" s="19">
        <v>-1</v>
      </c>
      <c r="M71" s="18"/>
    </row>
    <row r="72" spans="1:13" x14ac:dyDescent="0.25">
      <c r="A72" s="20">
        <v>44880</v>
      </c>
      <c r="B72" s="19" t="s">
        <v>12</v>
      </c>
      <c r="C72" s="19" t="s">
        <v>8</v>
      </c>
      <c r="D72" s="19" t="s">
        <v>165</v>
      </c>
      <c r="E72" s="19">
        <v>0</v>
      </c>
      <c r="F72" s="19">
        <v>-1</v>
      </c>
      <c r="M72" s="18"/>
    </row>
    <row r="73" spans="1:13" x14ac:dyDescent="0.25">
      <c r="A73" s="20">
        <v>44880</v>
      </c>
      <c r="B73" s="19" t="s">
        <v>120</v>
      </c>
      <c r="C73" s="19" t="s">
        <v>6</v>
      </c>
      <c r="D73" s="19" t="s">
        <v>165</v>
      </c>
      <c r="E73" s="19">
        <v>0</v>
      </c>
      <c r="F73" s="19">
        <v>-1</v>
      </c>
      <c r="M73" s="18"/>
    </row>
    <row r="74" spans="1:13" x14ac:dyDescent="0.25">
      <c r="A74" s="20">
        <v>44880</v>
      </c>
      <c r="B74" s="19" t="s">
        <v>120</v>
      </c>
      <c r="C74" s="19" t="s">
        <v>7</v>
      </c>
      <c r="D74" s="19" t="s">
        <v>165</v>
      </c>
      <c r="E74" s="19">
        <v>0</v>
      </c>
      <c r="F74" s="19">
        <v>-1</v>
      </c>
      <c r="M74" s="18"/>
    </row>
    <row r="75" spans="1:13" x14ac:dyDescent="0.25">
      <c r="A75" s="20">
        <v>44880</v>
      </c>
      <c r="B75" s="19" t="s">
        <v>120</v>
      </c>
      <c r="C75" s="19" t="s">
        <v>8</v>
      </c>
      <c r="D75" s="19" t="s">
        <v>165</v>
      </c>
      <c r="E75" s="19">
        <v>0</v>
      </c>
      <c r="F75" s="19">
        <v>-1</v>
      </c>
      <c r="M75" s="18"/>
    </row>
    <row r="76" spans="1:13" x14ac:dyDescent="0.25">
      <c r="A76" s="20">
        <v>44880</v>
      </c>
      <c r="B76" s="19" t="s">
        <v>119</v>
      </c>
      <c r="C76" s="19" t="s">
        <v>6</v>
      </c>
      <c r="D76" s="19" t="s">
        <v>165</v>
      </c>
      <c r="E76" s="19">
        <v>0</v>
      </c>
      <c r="F76" s="19">
        <v>-1</v>
      </c>
      <c r="M76" s="18"/>
    </row>
    <row r="77" spans="1:13" x14ac:dyDescent="0.25">
      <c r="A77" s="20">
        <v>44880</v>
      </c>
      <c r="B77" s="19" t="s">
        <v>119</v>
      </c>
      <c r="C77" s="19" t="s">
        <v>7</v>
      </c>
      <c r="D77" s="19" t="s">
        <v>165</v>
      </c>
      <c r="E77" s="19">
        <v>0</v>
      </c>
      <c r="F77" s="19">
        <v>-1</v>
      </c>
      <c r="M77" s="18"/>
    </row>
    <row r="78" spans="1:13" x14ac:dyDescent="0.25">
      <c r="A78" s="20">
        <v>44880</v>
      </c>
      <c r="B78" s="19" t="s">
        <v>119</v>
      </c>
      <c r="C78" s="19" t="s">
        <v>8</v>
      </c>
      <c r="D78" s="19" t="s">
        <v>165</v>
      </c>
      <c r="E78" s="19">
        <v>0</v>
      </c>
      <c r="F78" s="19">
        <v>-1</v>
      </c>
    </row>
    <row r="79" spans="1:13" x14ac:dyDescent="0.25">
      <c r="A79" s="20">
        <v>44880</v>
      </c>
      <c r="B79" s="19" t="s">
        <v>117</v>
      </c>
      <c r="C79" s="19" t="s">
        <v>6</v>
      </c>
      <c r="D79" s="19" t="s">
        <v>165</v>
      </c>
      <c r="E79" s="19">
        <v>0</v>
      </c>
      <c r="F79" s="19">
        <v>-1</v>
      </c>
    </row>
    <row r="80" spans="1:13" x14ac:dyDescent="0.25">
      <c r="A80" s="20">
        <v>44880</v>
      </c>
      <c r="B80" s="19" t="s">
        <v>117</v>
      </c>
      <c r="C80" s="19" t="s">
        <v>7</v>
      </c>
      <c r="D80" s="19" t="s">
        <v>165</v>
      </c>
      <c r="E80" s="19">
        <v>0</v>
      </c>
      <c r="F80" s="19">
        <v>-1</v>
      </c>
    </row>
    <row r="81" spans="1:6" x14ac:dyDescent="0.25">
      <c r="A81" s="20">
        <v>44880</v>
      </c>
      <c r="B81" s="19" t="s">
        <v>117</v>
      </c>
      <c r="C81" s="19" t="s">
        <v>8</v>
      </c>
      <c r="D81" s="19" t="s">
        <v>165</v>
      </c>
      <c r="E81" s="19">
        <v>0</v>
      </c>
      <c r="F81" s="19">
        <v>-1</v>
      </c>
    </row>
    <row r="82" spans="1:6" x14ac:dyDescent="0.25">
      <c r="A82" s="20">
        <v>44880</v>
      </c>
      <c r="B82" s="19" t="s">
        <v>112</v>
      </c>
      <c r="C82" s="19" t="s">
        <v>6</v>
      </c>
      <c r="D82" s="19" t="s">
        <v>165</v>
      </c>
      <c r="E82" s="19">
        <v>0</v>
      </c>
      <c r="F82" s="19">
        <v>-1</v>
      </c>
    </row>
    <row r="83" spans="1:6" x14ac:dyDescent="0.25">
      <c r="A83" s="20">
        <v>44880</v>
      </c>
      <c r="B83" s="19" t="s">
        <v>112</v>
      </c>
      <c r="C83" s="19" t="s">
        <v>7</v>
      </c>
      <c r="D83" s="19" t="s">
        <v>165</v>
      </c>
      <c r="E83" s="19">
        <v>0</v>
      </c>
      <c r="F83" s="19">
        <v>-1</v>
      </c>
    </row>
    <row r="84" spans="1:6" x14ac:dyDescent="0.25">
      <c r="A84" s="20">
        <v>44880</v>
      </c>
      <c r="B84" s="19" t="s">
        <v>112</v>
      </c>
      <c r="C84" s="19" t="s">
        <v>8</v>
      </c>
      <c r="D84" s="19" t="s">
        <v>165</v>
      </c>
      <c r="E84" s="19">
        <v>0</v>
      </c>
      <c r="F84" s="19">
        <v>-1</v>
      </c>
    </row>
    <row r="85" spans="1:6" x14ac:dyDescent="0.25">
      <c r="A85" s="20">
        <v>44880</v>
      </c>
      <c r="B85" s="19" t="s">
        <v>110</v>
      </c>
      <c r="C85" s="19" t="s">
        <v>6</v>
      </c>
      <c r="D85" s="19" t="s">
        <v>165</v>
      </c>
      <c r="E85" s="19">
        <v>0</v>
      </c>
      <c r="F85" s="19">
        <v>-1</v>
      </c>
    </row>
    <row r="86" spans="1:6" x14ac:dyDescent="0.25">
      <c r="A86" s="20">
        <v>44880</v>
      </c>
      <c r="B86" s="19" t="s">
        <v>110</v>
      </c>
      <c r="C86" s="19" t="s">
        <v>7</v>
      </c>
      <c r="D86" s="19" t="s">
        <v>165</v>
      </c>
      <c r="E86" s="19">
        <v>0</v>
      </c>
      <c r="F86" s="19">
        <v>-1</v>
      </c>
    </row>
    <row r="87" spans="1:6" x14ac:dyDescent="0.25">
      <c r="A87" s="20">
        <v>44880</v>
      </c>
      <c r="B87" s="19" t="s">
        <v>110</v>
      </c>
      <c r="C87" s="19" t="s">
        <v>8</v>
      </c>
      <c r="D87" s="19" t="s">
        <v>165</v>
      </c>
      <c r="E87" s="19">
        <v>0</v>
      </c>
      <c r="F87" s="19">
        <v>-1</v>
      </c>
    </row>
    <row r="88" spans="1:6" x14ac:dyDescent="0.25">
      <c r="A88" s="20">
        <v>44880</v>
      </c>
      <c r="B88" s="19" t="s">
        <v>108</v>
      </c>
      <c r="C88" s="19" t="s">
        <v>6</v>
      </c>
      <c r="D88" s="19" t="s">
        <v>165</v>
      </c>
      <c r="E88" s="19">
        <v>0</v>
      </c>
      <c r="F88" s="19">
        <v>-1</v>
      </c>
    </row>
    <row r="89" spans="1:6" x14ac:dyDescent="0.25">
      <c r="A89" s="20">
        <v>44880</v>
      </c>
      <c r="B89" s="19" t="s">
        <v>108</v>
      </c>
      <c r="C89" s="19" t="s">
        <v>7</v>
      </c>
      <c r="D89" s="19" t="s">
        <v>165</v>
      </c>
      <c r="E89" s="19">
        <v>0</v>
      </c>
      <c r="F89" s="19">
        <v>-1</v>
      </c>
    </row>
    <row r="90" spans="1:6" x14ac:dyDescent="0.25">
      <c r="A90" s="20">
        <v>44880</v>
      </c>
      <c r="B90" s="19" t="s">
        <v>108</v>
      </c>
      <c r="C90" s="19" t="s">
        <v>8</v>
      </c>
      <c r="D90" s="19" t="s">
        <v>165</v>
      </c>
      <c r="E90" s="19">
        <v>0</v>
      </c>
      <c r="F90" s="19">
        <v>-1</v>
      </c>
    </row>
    <row r="91" spans="1:6" x14ac:dyDescent="0.25">
      <c r="A91" s="20">
        <v>44880</v>
      </c>
      <c r="B91" s="19" t="s">
        <v>14</v>
      </c>
      <c r="C91" s="19" t="s">
        <v>6</v>
      </c>
      <c r="D91" s="19" t="s">
        <v>165</v>
      </c>
      <c r="E91" s="19">
        <v>0</v>
      </c>
      <c r="F91" s="19">
        <v>-1</v>
      </c>
    </row>
    <row r="92" spans="1:6" x14ac:dyDescent="0.25">
      <c r="A92" s="20">
        <v>44880</v>
      </c>
      <c r="B92" s="19" t="s">
        <v>14</v>
      </c>
      <c r="C92" s="19" t="s">
        <v>7</v>
      </c>
      <c r="D92" s="19" t="s">
        <v>165</v>
      </c>
      <c r="E92" s="19">
        <v>0</v>
      </c>
      <c r="F92" s="19">
        <v>-1</v>
      </c>
    </row>
    <row r="93" spans="1:6" x14ac:dyDescent="0.25">
      <c r="A93" s="20">
        <v>44880</v>
      </c>
      <c r="B93" s="19" t="s">
        <v>14</v>
      </c>
      <c r="C93" s="19" t="s">
        <v>8</v>
      </c>
      <c r="D93" s="19" t="s">
        <v>165</v>
      </c>
      <c r="E93" s="19">
        <v>0</v>
      </c>
      <c r="F93" s="19">
        <v>-1</v>
      </c>
    </row>
    <row r="94" spans="1:6" x14ac:dyDescent="0.25">
      <c r="A94" s="20">
        <v>44880</v>
      </c>
      <c r="B94" s="19" t="s">
        <v>104</v>
      </c>
      <c r="C94" s="19" t="s">
        <v>6</v>
      </c>
      <c r="D94" s="19" t="s">
        <v>165</v>
      </c>
      <c r="E94" s="19">
        <v>0</v>
      </c>
      <c r="F94" s="19">
        <v>-1</v>
      </c>
    </row>
    <row r="95" spans="1:6" x14ac:dyDescent="0.25">
      <c r="A95" s="20">
        <v>44880</v>
      </c>
      <c r="B95" s="19" t="s">
        <v>104</v>
      </c>
      <c r="C95" s="19" t="s">
        <v>7</v>
      </c>
      <c r="D95" s="19" t="s">
        <v>165</v>
      </c>
      <c r="E95" s="19">
        <v>0</v>
      </c>
      <c r="F95" s="19">
        <v>-1</v>
      </c>
    </row>
    <row r="96" spans="1:6" x14ac:dyDescent="0.25">
      <c r="A96" s="20">
        <v>44880</v>
      </c>
      <c r="B96" s="19" t="s">
        <v>104</v>
      </c>
      <c r="C96" s="19" t="s">
        <v>8</v>
      </c>
      <c r="D96" s="19" t="s">
        <v>165</v>
      </c>
      <c r="E96" s="19">
        <v>0</v>
      </c>
      <c r="F96" s="19">
        <v>-1</v>
      </c>
    </row>
    <row r="97" spans="1:6" x14ac:dyDescent="0.25">
      <c r="A97" s="20">
        <v>44880</v>
      </c>
      <c r="B97" s="19" t="s">
        <v>15</v>
      </c>
      <c r="C97" s="19" t="s">
        <v>6</v>
      </c>
      <c r="D97" s="19" t="s">
        <v>165</v>
      </c>
      <c r="E97" s="19">
        <v>0</v>
      </c>
      <c r="F97" s="19">
        <v>-1</v>
      </c>
    </row>
    <row r="98" spans="1:6" x14ac:dyDescent="0.25">
      <c r="A98" s="20">
        <v>44880</v>
      </c>
      <c r="B98" s="19" t="s">
        <v>15</v>
      </c>
      <c r="C98" s="19" t="s">
        <v>7</v>
      </c>
      <c r="D98" s="19" t="s">
        <v>165</v>
      </c>
      <c r="E98" s="19">
        <v>0</v>
      </c>
      <c r="F98" s="19">
        <v>-1</v>
      </c>
    </row>
    <row r="99" spans="1:6" x14ac:dyDescent="0.25">
      <c r="A99" s="20">
        <v>44880</v>
      </c>
      <c r="B99" s="19" t="s">
        <v>15</v>
      </c>
      <c r="C99" s="19" t="s">
        <v>8</v>
      </c>
      <c r="D99" s="19" t="s">
        <v>165</v>
      </c>
      <c r="E99" s="19">
        <v>0</v>
      </c>
      <c r="F99" s="19">
        <v>-1</v>
      </c>
    </row>
    <row r="100" spans="1:6" x14ac:dyDescent="0.25">
      <c r="A100" s="20">
        <v>44880</v>
      </c>
      <c r="B100" s="19" t="s">
        <v>101</v>
      </c>
      <c r="C100" s="19" t="s">
        <v>6</v>
      </c>
      <c r="D100" s="19" t="s">
        <v>165</v>
      </c>
      <c r="E100" s="19">
        <v>0</v>
      </c>
      <c r="F100" s="19">
        <v>-1</v>
      </c>
    </row>
    <row r="101" spans="1:6" x14ac:dyDescent="0.25">
      <c r="A101" s="20">
        <v>44880</v>
      </c>
      <c r="B101" s="19" t="s">
        <v>101</v>
      </c>
      <c r="C101" s="19" t="s">
        <v>7</v>
      </c>
      <c r="D101" s="19" t="s">
        <v>165</v>
      </c>
      <c r="E101" s="19">
        <v>0</v>
      </c>
      <c r="F101" s="19">
        <v>-1</v>
      </c>
    </row>
    <row r="102" spans="1:6" x14ac:dyDescent="0.25">
      <c r="A102" s="20">
        <v>44880</v>
      </c>
      <c r="B102" s="19" t="s">
        <v>101</v>
      </c>
      <c r="C102" s="19" t="s">
        <v>8</v>
      </c>
      <c r="D102" s="19" t="s">
        <v>165</v>
      </c>
      <c r="E102" s="19">
        <v>0</v>
      </c>
      <c r="F102" s="21">
        <v>-1</v>
      </c>
    </row>
    <row r="103" spans="1:6" x14ac:dyDescent="0.25">
      <c r="A103" s="20">
        <v>44880</v>
      </c>
      <c r="B103" s="19" t="s">
        <v>16</v>
      </c>
      <c r="C103" s="19" t="s">
        <v>6</v>
      </c>
      <c r="D103" s="19" t="s">
        <v>165</v>
      </c>
      <c r="E103" s="19">
        <v>0</v>
      </c>
      <c r="F103" s="19">
        <v>-1</v>
      </c>
    </row>
    <row r="104" spans="1:6" x14ac:dyDescent="0.25">
      <c r="A104" s="20">
        <v>44880</v>
      </c>
      <c r="B104" s="19" t="s">
        <v>16</v>
      </c>
      <c r="C104" s="19" t="s">
        <v>7</v>
      </c>
      <c r="D104" s="19" t="s">
        <v>165</v>
      </c>
      <c r="E104" s="19">
        <v>0</v>
      </c>
      <c r="F104" s="19">
        <v>-1</v>
      </c>
    </row>
    <row r="105" spans="1:6" x14ac:dyDescent="0.25">
      <c r="A105" s="20">
        <v>44880</v>
      </c>
      <c r="B105" s="19" t="s">
        <v>16</v>
      </c>
      <c r="C105" s="19" t="s">
        <v>8</v>
      </c>
      <c r="D105" s="19" t="s">
        <v>165</v>
      </c>
      <c r="E105" s="19">
        <v>0</v>
      </c>
      <c r="F105" s="19">
        <v>-1</v>
      </c>
    </row>
    <row r="106" spans="1:6" x14ac:dyDescent="0.25">
      <c r="A106" s="20">
        <v>44880</v>
      </c>
      <c r="B106" s="19" t="s">
        <v>99</v>
      </c>
      <c r="C106" s="19" t="s">
        <v>6</v>
      </c>
      <c r="D106" s="19" t="s">
        <v>165</v>
      </c>
      <c r="E106" s="19">
        <v>0</v>
      </c>
      <c r="F106" s="19">
        <v>-1</v>
      </c>
    </row>
    <row r="107" spans="1:6" x14ac:dyDescent="0.25">
      <c r="A107" s="20">
        <v>44880</v>
      </c>
      <c r="B107" s="19" t="s">
        <v>99</v>
      </c>
      <c r="C107" s="19" t="s">
        <v>7</v>
      </c>
      <c r="D107" s="19" t="s">
        <v>165</v>
      </c>
      <c r="E107" s="19">
        <v>0</v>
      </c>
      <c r="F107" s="19">
        <v>-1</v>
      </c>
    </row>
    <row r="108" spans="1:6" x14ac:dyDescent="0.25">
      <c r="A108" s="20">
        <v>44880</v>
      </c>
      <c r="B108" s="19" t="s">
        <v>99</v>
      </c>
      <c r="C108" s="19" t="s">
        <v>8</v>
      </c>
      <c r="D108" s="19" t="s">
        <v>165</v>
      </c>
      <c r="E108" s="19">
        <v>0</v>
      </c>
      <c r="F108" s="19">
        <v>-1</v>
      </c>
    </row>
    <row r="109" spans="1:6" x14ac:dyDescent="0.25">
      <c r="A109" s="20">
        <v>44880</v>
      </c>
      <c r="B109" s="19" t="s">
        <v>17</v>
      </c>
      <c r="C109" s="19" t="s">
        <v>6</v>
      </c>
      <c r="D109" s="19" t="s">
        <v>165</v>
      </c>
      <c r="E109" s="19">
        <v>-1</v>
      </c>
      <c r="F109" s="19">
        <v>13.2</v>
      </c>
    </row>
    <row r="110" spans="1:6" x14ac:dyDescent="0.25">
      <c r="A110" s="20">
        <v>44880</v>
      </c>
      <c r="B110" s="19" t="s">
        <v>17</v>
      </c>
      <c r="C110" s="19" t="s">
        <v>7</v>
      </c>
      <c r="D110" s="19" t="s">
        <v>165</v>
      </c>
      <c r="E110" s="19">
        <v>-1</v>
      </c>
      <c r="F110" s="19">
        <v>13.2</v>
      </c>
    </row>
    <row r="111" spans="1:6" x14ac:dyDescent="0.25">
      <c r="A111" s="20">
        <v>44880</v>
      </c>
      <c r="B111" s="19" t="s">
        <v>17</v>
      </c>
      <c r="C111" s="19" t="s">
        <v>8</v>
      </c>
      <c r="D111" s="19" t="s">
        <v>165</v>
      </c>
      <c r="E111" s="19">
        <v>-1</v>
      </c>
      <c r="F111" s="19">
        <v>13.2</v>
      </c>
    </row>
    <row r="112" spans="1:6" x14ac:dyDescent="0.25">
      <c r="A112" s="20">
        <v>44880</v>
      </c>
      <c r="B112" s="19" t="s">
        <v>19</v>
      </c>
      <c r="C112" s="19" t="s">
        <v>6</v>
      </c>
      <c r="D112" s="19" t="s">
        <v>165</v>
      </c>
      <c r="E112" s="19">
        <v>0</v>
      </c>
      <c r="F112" s="19">
        <v>-1</v>
      </c>
    </row>
    <row r="113" spans="1:6" x14ac:dyDescent="0.25">
      <c r="A113" s="20">
        <v>44880</v>
      </c>
      <c r="B113" s="19" t="s">
        <v>19</v>
      </c>
      <c r="C113" s="19" t="s">
        <v>7</v>
      </c>
      <c r="D113" s="19" t="s">
        <v>165</v>
      </c>
      <c r="E113" s="19">
        <v>0</v>
      </c>
      <c r="F113" s="19">
        <v>-1</v>
      </c>
    </row>
    <row r="114" spans="1:6" x14ac:dyDescent="0.25">
      <c r="A114" s="20">
        <v>44880</v>
      </c>
      <c r="B114" s="19" t="s">
        <v>19</v>
      </c>
      <c r="C114" s="19" t="s">
        <v>8</v>
      </c>
      <c r="D114" s="19" t="s">
        <v>165</v>
      </c>
      <c r="E114" s="19">
        <v>0</v>
      </c>
      <c r="F114" s="19">
        <v>-1</v>
      </c>
    </row>
    <row r="115" spans="1:6" x14ac:dyDescent="0.25">
      <c r="A115" s="20">
        <v>44880</v>
      </c>
      <c r="B115" s="19" t="s">
        <v>97</v>
      </c>
      <c r="C115" s="19" t="s">
        <v>6</v>
      </c>
      <c r="D115" s="19" t="s">
        <v>165</v>
      </c>
      <c r="E115" s="19">
        <v>0</v>
      </c>
      <c r="F115" s="19">
        <v>-1</v>
      </c>
    </row>
    <row r="116" spans="1:6" x14ac:dyDescent="0.25">
      <c r="A116" s="20">
        <v>44880</v>
      </c>
      <c r="B116" s="19" t="s">
        <v>97</v>
      </c>
      <c r="C116" s="19" t="s">
        <v>7</v>
      </c>
      <c r="D116" s="19" t="s">
        <v>165</v>
      </c>
      <c r="E116" s="19">
        <v>0</v>
      </c>
      <c r="F116" s="19">
        <v>-1</v>
      </c>
    </row>
    <row r="117" spans="1:6" x14ac:dyDescent="0.25">
      <c r="A117" s="20">
        <v>44880</v>
      </c>
      <c r="B117" s="19" t="s">
        <v>97</v>
      </c>
      <c r="C117" s="19" t="s">
        <v>8</v>
      </c>
      <c r="D117" s="19" t="s">
        <v>165</v>
      </c>
      <c r="E117" s="19">
        <v>0</v>
      </c>
      <c r="F117" s="19">
        <v>-1</v>
      </c>
    </row>
    <row r="118" spans="1:6" x14ac:dyDescent="0.25">
      <c r="A118" s="20">
        <v>44880</v>
      </c>
      <c r="B118" s="19" t="s">
        <v>96</v>
      </c>
      <c r="C118" s="19" t="s">
        <v>6</v>
      </c>
      <c r="D118" s="19" t="s">
        <v>165</v>
      </c>
      <c r="E118" s="19">
        <v>0</v>
      </c>
      <c r="F118" s="19">
        <v>-1</v>
      </c>
    </row>
    <row r="119" spans="1:6" x14ac:dyDescent="0.25">
      <c r="A119" s="20">
        <v>44880</v>
      </c>
      <c r="B119" s="19" t="s">
        <v>96</v>
      </c>
      <c r="C119" s="19" t="s">
        <v>7</v>
      </c>
      <c r="D119" s="19" t="s">
        <v>165</v>
      </c>
      <c r="E119" s="19">
        <v>0</v>
      </c>
      <c r="F119" s="19">
        <v>-1</v>
      </c>
    </row>
    <row r="120" spans="1:6" x14ac:dyDescent="0.25">
      <c r="A120" s="20">
        <v>44880</v>
      </c>
      <c r="B120" s="19" t="s">
        <v>96</v>
      </c>
      <c r="C120" s="19" t="s">
        <v>8</v>
      </c>
      <c r="D120" s="19" t="s">
        <v>165</v>
      </c>
      <c r="E120" s="19">
        <v>0</v>
      </c>
      <c r="F120" s="19">
        <v>-1</v>
      </c>
    </row>
    <row r="121" spans="1:6" x14ac:dyDescent="0.25">
      <c r="A121" s="20">
        <v>44880</v>
      </c>
      <c r="B121" s="19" t="s">
        <v>38</v>
      </c>
      <c r="C121" s="19" t="s">
        <v>6</v>
      </c>
      <c r="D121" s="19" t="s">
        <v>165</v>
      </c>
      <c r="E121" s="19">
        <v>0</v>
      </c>
      <c r="F121" s="19">
        <v>-1</v>
      </c>
    </row>
    <row r="122" spans="1:6" x14ac:dyDescent="0.25">
      <c r="A122" s="20">
        <v>44880</v>
      </c>
      <c r="B122" s="19" t="s">
        <v>38</v>
      </c>
      <c r="C122" s="19" t="s">
        <v>7</v>
      </c>
      <c r="D122" s="19" t="s">
        <v>165</v>
      </c>
      <c r="E122" s="19">
        <v>0</v>
      </c>
      <c r="F122" s="19">
        <v>-1</v>
      </c>
    </row>
    <row r="123" spans="1:6" x14ac:dyDescent="0.25">
      <c r="A123" s="20">
        <v>44880</v>
      </c>
      <c r="B123" s="19" t="s">
        <v>38</v>
      </c>
      <c r="C123" s="19" t="s">
        <v>8</v>
      </c>
      <c r="D123" s="19" t="s">
        <v>165</v>
      </c>
      <c r="E123" s="19">
        <v>0</v>
      </c>
      <c r="F123" s="19">
        <v>-1</v>
      </c>
    </row>
    <row r="124" spans="1:6" x14ac:dyDescent="0.25">
      <c r="A124" s="20">
        <v>44880</v>
      </c>
      <c r="B124" s="19" t="s">
        <v>93</v>
      </c>
      <c r="C124" s="19" t="s">
        <v>6</v>
      </c>
      <c r="D124" s="19" t="s">
        <v>165</v>
      </c>
      <c r="E124" s="19">
        <v>0</v>
      </c>
      <c r="F124" s="19">
        <v>-1</v>
      </c>
    </row>
    <row r="125" spans="1:6" x14ac:dyDescent="0.25">
      <c r="A125" s="20">
        <v>44880</v>
      </c>
      <c r="B125" s="19" t="s">
        <v>93</v>
      </c>
      <c r="C125" s="19" t="s">
        <v>7</v>
      </c>
      <c r="D125" s="19" t="s">
        <v>165</v>
      </c>
      <c r="E125" s="19">
        <v>0</v>
      </c>
      <c r="F125" s="19">
        <v>-1</v>
      </c>
    </row>
    <row r="126" spans="1:6" x14ac:dyDescent="0.25">
      <c r="A126" s="20">
        <v>44880</v>
      </c>
      <c r="B126" s="19" t="s">
        <v>93</v>
      </c>
      <c r="C126" s="19" t="s">
        <v>8</v>
      </c>
      <c r="D126" s="19" t="s">
        <v>165</v>
      </c>
      <c r="E126" s="19">
        <v>0</v>
      </c>
      <c r="F126" s="19">
        <v>-1</v>
      </c>
    </row>
    <row r="127" spans="1:6" x14ac:dyDescent="0.25">
      <c r="A127" s="20">
        <v>44880</v>
      </c>
      <c r="B127" s="19" t="s">
        <v>20</v>
      </c>
      <c r="C127" s="19" t="s">
        <v>6</v>
      </c>
      <c r="D127" s="19" t="s">
        <v>165</v>
      </c>
      <c r="E127" s="19">
        <v>0</v>
      </c>
      <c r="F127" s="19">
        <v>-1</v>
      </c>
    </row>
    <row r="128" spans="1:6" x14ac:dyDescent="0.25">
      <c r="A128" s="20">
        <v>44880</v>
      </c>
      <c r="B128" s="19" t="s">
        <v>20</v>
      </c>
      <c r="C128" s="19" t="s">
        <v>7</v>
      </c>
      <c r="D128" s="19" t="s">
        <v>165</v>
      </c>
      <c r="E128" s="19">
        <v>0</v>
      </c>
      <c r="F128" s="19">
        <v>-1</v>
      </c>
    </row>
    <row r="129" spans="1:6" x14ac:dyDescent="0.25">
      <c r="A129" s="20">
        <v>44880</v>
      </c>
      <c r="B129" s="19" t="s">
        <v>20</v>
      </c>
      <c r="C129" s="19" t="s">
        <v>8</v>
      </c>
      <c r="D129" s="19" t="s">
        <v>165</v>
      </c>
      <c r="E129" s="19">
        <v>0</v>
      </c>
      <c r="F129" s="19">
        <v>-1</v>
      </c>
    </row>
    <row r="130" spans="1:6" x14ac:dyDescent="0.25">
      <c r="A130" s="20">
        <v>44880</v>
      </c>
      <c r="B130" s="19" t="s">
        <v>21</v>
      </c>
      <c r="C130" s="19" t="s">
        <v>6</v>
      </c>
      <c r="D130" s="19" t="s">
        <v>165</v>
      </c>
      <c r="E130" s="19">
        <v>0</v>
      </c>
      <c r="F130" s="19">
        <v>-1</v>
      </c>
    </row>
    <row r="131" spans="1:6" x14ac:dyDescent="0.25">
      <c r="A131" s="20">
        <v>44880</v>
      </c>
      <c r="B131" s="19" t="s">
        <v>21</v>
      </c>
      <c r="C131" s="19" t="s">
        <v>7</v>
      </c>
      <c r="D131" s="19" t="s">
        <v>165</v>
      </c>
      <c r="E131" s="19">
        <v>0</v>
      </c>
      <c r="F131" s="19">
        <v>-1</v>
      </c>
    </row>
    <row r="132" spans="1:6" x14ac:dyDescent="0.25">
      <c r="A132" s="20">
        <v>44880</v>
      </c>
      <c r="B132" s="19" t="s">
        <v>21</v>
      </c>
      <c r="C132" s="19" t="s">
        <v>8</v>
      </c>
      <c r="D132" s="19" t="s">
        <v>165</v>
      </c>
      <c r="E132" s="19">
        <v>0</v>
      </c>
      <c r="F132" s="19">
        <v>-1</v>
      </c>
    </row>
    <row r="133" spans="1:6" x14ac:dyDescent="0.25">
      <c r="A133" s="20">
        <v>44880</v>
      </c>
      <c r="B133" s="19" t="s">
        <v>22</v>
      </c>
      <c r="C133" s="19" t="s">
        <v>6</v>
      </c>
      <c r="D133" s="19" t="s">
        <v>165</v>
      </c>
      <c r="E133" s="19">
        <v>0</v>
      </c>
      <c r="F133" s="19">
        <v>-1</v>
      </c>
    </row>
    <row r="134" spans="1:6" x14ac:dyDescent="0.25">
      <c r="A134" s="20">
        <v>44880</v>
      </c>
      <c r="B134" s="19" t="s">
        <v>22</v>
      </c>
      <c r="C134" s="19" t="s">
        <v>7</v>
      </c>
      <c r="D134" s="19" t="s">
        <v>165</v>
      </c>
      <c r="E134" s="19">
        <v>0</v>
      </c>
      <c r="F134" s="19">
        <v>-1</v>
      </c>
    </row>
    <row r="135" spans="1:6" x14ac:dyDescent="0.25">
      <c r="A135" s="20">
        <v>44880</v>
      </c>
      <c r="B135" s="19" t="s">
        <v>22</v>
      </c>
      <c r="C135" s="19" t="s">
        <v>8</v>
      </c>
      <c r="D135" s="19" t="s">
        <v>165</v>
      </c>
      <c r="E135" s="19">
        <v>0</v>
      </c>
      <c r="F135" s="19">
        <v>-1</v>
      </c>
    </row>
    <row r="136" spans="1:6" x14ac:dyDescent="0.25">
      <c r="A136" s="20">
        <v>44880</v>
      </c>
      <c r="B136" s="19" t="s">
        <v>85</v>
      </c>
      <c r="C136" s="19" t="s">
        <v>6</v>
      </c>
      <c r="D136" s="19" t="s">
        <v>165</v>
      </c>
      <c r="E136" s="19">
        <v>0</v>
      </c>
      <c r="F136" s="19">
        <v>-1</v>
      </c>
    </row>
    <row r="137" spans="1:6" x14ac:dyDescent="0.25">
      <c r="A137" s="20">
        <v>44880</v>
      </c>
      <c r="B137" s="19" t="s">
        <v>85</v>
      </c>
      <c r="C137" s="19" t="s">
        <v>7</v>
      </c>
      <c r="D137" s="19" t="s">
        <v>165</v>
      </c>
      <c r="E137" s="19">
        <v>0</v>
      </c>
      <c r="F137" s="19">
        <v>-1</v>
      </c>
    </row>
    <row r="138" spans="1:6" x14ac:dyDescent="0.25">
      <c r="A138" s="20">
        <v>44880</v>
      </c>
      <c r="B138" s="19" t="s">
        <v>85</v>
      </c>
      <c r="C138" s="19" t="s">
        <v>8</v>
      </c>
      <c r="D138" s="19" t="s">
        <v>165</v>
      </c>
      <c r="E138" s="19">
        <v>0</v>
      </c>
      <c r="F138" s="19">
        <v>-1</v>
      </c>
    </row>
    <row r="139" spans="1:6" x14ac:dyDescent="0.25">
      <c r="A139" s="20">
        <v>44880</v>
      </c>
      <c r="B139" s="19" t="s">
        <v>23</v>
      </c>
      <c r="C139" s="19" t="s">
        <v>6</v>
      </c>
      <c r="D139" s="19" t="s">
        <v>165</v>
      </c>
      <c r="E139" s="19">
        <v>0</v>
      </c>
      <c r="F139" s="19">
        <v>-1</v>
      </c>
    </row>
    <row r="140" spans="1:6" x14ac:dyDescent="0.25">
      <c r="A140" s="20">
        <v>44880</v>
      </c>
      <c r="B140" s="19" t="s">
        <v>23</v>
      </c>
      <c r="C140" s="19" t="s">
        <v>7</v>
      </c>
      <c r="D140" s="19" t="s">
        <v>165</v>
      </c>
      <c r="E140" s="19">
        <v>0</v>
      </c>
      <c r="F140" s="19">
        <v>-1</v>
      </c>
    </row>
    <row r="141" spans="1:6" x14ac:dyDescent="0.25">
      <c r="A141" s="20">
        <v>44880</v>
      </c>
      <c r="B141" s="19" t="s">
        <v>23</v>
      </c>
      <c r="C141" s="19" t="s">
        <v>8</v>
      </c>
      <c r="D141" s="19" t="s">
        <v>165</v>
      </c>
      <c r="E141" s="19">
        <v>0</v>
      </c>
      <c r="F141" s="19">
        <v>-1</v>
      </c>
    </row>
    <row r="142" spans="1:6" x14ac:dyDescent="0.25">
      <c r="A142" s="20">
        <v>44880</v>
      </c>
      <c r="B142" s="19" t="s">
        <v>24</v>
      </c>
      <c r="C142" s="19" t="s">
        <v>6</v>
      </c>
      <c r="D142" s="19" t="s">
        <v>165</v>
      </c>
      <c r="E142" s="19">
        <v>-1</v>
      </c>
      <c r="F142" s="19">
        <v>12.6</v>
      </c>
    </row>
    <row r="143" spans="1:6" x14ac:dyDescent="0.25">
      <c r="A143" s="20">
        <v>44880</v>
      </c>
      <c r="B143" s="19" t="s">
        <v>24</v>
      </c>
      <c r="C143" s="19" t="s">
        <v>7</v>
      </c>
      <c r="D143" s="19" t="s">
        <v>165</v>
      </c>
      <c r="E143" s="19">
        <v>-1</v>
      </c>
      <c r="F143" s="19">
        <v>12.6</v>
      </c>
    </row>
    <row r="144" spans="1:6" x14ac:dyDescent="0.25">
      <c r="A144" s="20">
        <v>44880</v>
      </c>
      <c r="B144" s="19" t="s">
        <v>24</v>
      </c>
      <c r="C144" s="19" t="s">
        <v>8</v>
      </c>
      <c r="D144" s="19" t="s">
        <v>166</v>
      </c>
      <c r="E144" s="19">
        <v>2258</v>
      </c>
      <c r="F144" s="19">
        <v>12.6</v>
      </c>
    </row>
    <row r="145" spans="1:6" x14ac:dyDescent="0.25">
      <c r="A145" s="20">
        <v>44880</v>
      </c>
      <c r="B145" s="19" t="s">
        <v>81</v>
      </c>
      <c r="C145" s="19" t="s">
        <v>6</v>
      </c>
      <c r="D145" s="19" t="s">
        <v>165</v>
      </c>
      <c r="E145" s="19">
        <v>0</v>
      </c>
      <c r="F145" s="19">
        <v>-1</v>
      </c>
    </row>
    <row r="146" spans="1:6" x14ac:dyDescent="0.25">
      <c r="A146" s="20">
        <v>44880</v>
      </c>
      <c r="B146" s="19" t="s">
        <v>81</v>
      </c>
      <c r="C146" s="19" t="s">
        <v>7</v>
      </c>
      <c r="D146" s="19" t="s">
        <v>165</v>
      </c>
      <c r="E146" s="19">
        <v>0</v>
      </c>
      <c r="F146" s="19">
        <v>-1</v>
      </c>
    </row>
    <row r="147" spans="1:6" x14ac:dyDescent="0.25">
      <c r="A147" s="20">
        <v>44880</v>
      </c>
      <c r="B147" s="19" t="s">
        <v>81</v>
      </c>
      <c r="C147" s="19" t="s">
        <v>8</v>
      </c>
      <c r="D147" s="19" t="s">
        <v>165</v>
      </c>
      <c r="E147" s="19">
        <v>0</v>
      </c>
      <c r="F147" s="19">
        <v>-1</v>
      </c>
    </row>
    <row r="148" spans="1:6" x14ac:dyDescent="0.25">
      <c r="A148" s="20">
        <v>44880</v>
      </c>
      <c r="B148" s="19" t="s">
        <v>25</v>
      </c>
      <c r="C148" s="19" t="s">
        <v>6</v>
      </c>
      <c r="D148" s="19" t="s">
        <v>165</v>
      </c>
      <c r="E148" s="19">
        <v>0</v>
      </c>
      <c r="F148" s="19">
        <v>-1</v>
      </c>
    </row>
    <row r="149" spans="1:6" x14ac:dyDescent="0.25">
      <c r="A149" s="20">
        <v>44880</v>
      </c>
      <c r="B149" s="19" t="s">
        <v>25</v>
      </c>
      <c r="C149" s="19" t="s">
        <v>7</v>
      </c>
      <c r="D149" s="19" t="s">
        <v>165</v>
      </c>
      <c r="E149" s="19">
        <v>0</v>
      </c>
      <c r="F149" s="19">
        <v>-1</v>
      </c>
    </row>
    <row r="150" spans="1:6" x14ac:dyDescent="0.25">
      <c r="A150" s="20">
        <v>44880</v>
      </c>
      <c r="B150" s="19" t="s">
        <v>25</v>
      </c>
      <c r="C150" s="19" t="s">
        <v>8</v>
      </c>
      <c r="D150" s="19" t="s">
        <v>165</v>
      </c>
      <c r="E150" s="19">
        <v>0</v>
      </c>
      <c r="F150" s="19">
        <v>-1</v>
      </c>
    </row>
    <row r="151" spans="1:6" x14ac:dyDescent="0.25">
      <c r="A151" s="20">
        <v>44880</v>
      </c>
      <c r="B151" s="19" t="s">
        <v>80</v>
      </c>
      <c r="C151" s="19" t="s">
        <v>6</v>
      </c>
      <c r="D151" s="19" t="s">
        <v>165</v>
      </c>
      <c r="E151" s="19">
        <v>0</v>
      </c>
      <c r="F151" s="19">
        <v>-1</v>
      </c>
    </row>
    <row r="152" spans="1:6" x14ac:dyDescent="0.25">
      <c r="A152" s="20">
        <v>44880</v>
      </c>
      <c r="B152" s="19" t="s">
        <v>80</v>
      </c>
      <c r="C152" s="19" t="s">
        <v>7</v>
      </c>
      <c r="D152" s="19" t="s">
        <v>165</v>
      </c>
      <c r="E152" s="19">
        <v>0</v>
      </c>
      <c r="F152" s="19">
        <v>-1</v>
      </c>
    </row>
    <row r="153" spans="1:6" x14ac:dyDescent="0.25">
      <c r="A153" s="20">
        <v>44880</v>
      </c>
      <c r="B153" s="19" t="s">
        <v>80</v>
      </c>
      <c r="C153" s="19" t="s">
        <v>8</v>
      </c>
      <c r="D153" s="19" t="s">
        <v>165</v>
      </c>
      <c r="E153" s="19">
        <v>0</v>
      </c>
      <c r="F153" s="19">
        <v>-1</v>
      </c>
    </row>
    <row r="154" spans="1:6" x14ac:dyDescent="0.25">
      <c r="A154" s="20">
        <v>44880</v>
      </c>
      <c r="B154" s="19" t="s">
        <v>26</v>
      </c>
      <c r="C154" s="19" t="s">
        <v>6</v>
      </c>
      <c r="D154" s="19" t="s">
        <v>165</v>
      </c>
      <c r="E154" s="19">
        <v>0</v>
      </c>
      <c r="F154" s="19">
        <v>-1</v>
      </c>
    </row>
    <row r="155" spans="1:6" x14ac:dyDescent="0.25">
      <c r="A155" s="20">
        <v>44880</v>
      </c>
      <c r="B155" s="19" t="s">
        <v>26</v>
      </c>
      <c r="C155" s="19" t="s">
        <v>7</v>
      </c>
      <c r="D155" s="19" t="s">
        <v>165</v>
      </c>
      <c r="E155" s="19">
        <v>0</v>
      </c>
      <c r="F155" s="19">
        <v>-1</v>
      </c>
    </row>
    <row r="156" spans="1:6" x14ac:dyDescent="0.25">
      <c r="A156" s="20">
        <v>44880</v>
      </c>
      <c r="B156" s="19" t="s">
        <v>26</v>
      </c>
      <c r="C156" s="19" t="s">
        <v>8</v>
      </c>
      <c r="D156" s="19" t="s">
        <v>165</v>
      </c>
      <c r="E156" s="19">
        <v>0</v>
      </c>
      <c r="F156" s="19">
        <v>-1</v>
      </c>
    </row>
    <row r="157" spans="1:6" x14ac:dyDescent="0.25">
      <c r="A157" s="20">
        <v>44880</v>
      </c>
      <c r="B157" s="19" t="s">
        <v>27</v>
      </c>
      <c r="C157" s="19" t="s">
        <v>6</v>
      </c>
      <c r="D157" s="19" t="s">
        <v>165</v>
      </c>
      <c r="E157" s="19">
        <v>-1</v>
      </c>
      <c r="F157" s="19">
        <v>12.59</v>
      </c>
    </row>
    <row r="158" spans="1:6" x14ac:dyDescent="0.25">
      <c r="A158" s="20">
        <v>44880</v>
      </c>
      <c r="B158" s="19" t="s">
        <v>27</v>
      </c>
      <c r="C158" s="19" t="s">
        <v>7</v>
      </c>
      <c r="D158" s="19" t="s">
        <v>165</v>
      </c>
      <c r="E158" s="19">
        <v>-1</v>
      </c>
      <c r="F158" s="19">
        <v>12.59</v>
      </c>
    </row>
    <row r="159" spans="1:6" x14ac:dyDescent="0.25">
      <c r="A159" s="20">
        <v>44880</v>
      </c>
      <c r="B159" s="19" t="s">
        <v>27</v>
      </c>
      <c r="C159" s="19" t="s">
        <v>8</v>
      </c>
      <c r="D159" s="19" t="s">
        <v>166</v>
      </c>
      <c r="E159" s="19">
        <v>2233</v>
      </c>
      <c r="F159" s="19">
        <v>12.59</v>
      </c>
    </row>
    <row r="160" spans="1:6" x14ac:dyDescent="0.25">
      <c r="A160" s="20">
        <v>44880</v>
      </c>
      <c r="B160" s="19" t="s">
        <v>28</v>
      </c>
      <c r="C160" s="19" t="s">
        <v>6</v>
      </c>
      <c r="D160" s="19" t="s">
        <v>165</v>
      </c>
      <c r="E160" s="19">
        <v>0</v>
      </c>
      <c r="F160" s="19">
        <v>-1</v>
      </c>
    </row>
    <row r="161" spans="1:6" x14ac:dyDescent="0.25">
      <c r="A161" s="20">
        <v>44880</v>
      </c>
      <c r="B161" s="19" t="s">
        <v>28</v>
      </c>
      <c r="C161" s="19" t="s">
        <v>7</v>
      </c>
      <c r="D161" s="19" t="s">
        <v>165</v>
      </c>
      <c r="E161" s="19">
        <v>0</v>
      </c>
      <c r="F161" s="19">
        <v>-1</v>
      </c>
    </row>
    <row r="162" spans="1:6" x14ac:dyDescent="0.25">
      <c r="A162" s="20">
        <v>44880</v>
      </c>
      <c r="B162" s="19" t="s">
        <v>28</v>
      </c>
      <c r="C162" s="19" t="s">
        <v>8</v>
      </c>
      <c r="D162" s="19" t="s">
        <v>165</v>
      </c>
      <c r="E162" s="19">
        <v>0</v>
      </c>
      <c r="F162" s="19">
        <v>-1</v>
      </c>
    </row>
    <row r="163" spans="1:6" x14ac:dyDescent="0.25">
      <c r="A163" s="20">
        <v>44880</v>
      </c>
      <c r="B163" s="19" t="s">
        <v>77</v>
      </c>
      <c r="C163" s="19" t="s">
        <v>6</v>
      </c>
      <c r="D163" s="19" t="s">
        <v>165</v>
      </c>
      <c r="E163" s="19">
        <v>0</v>
      </c>
      <c r="F163" s="19">
        <v>-1</v>
      </c>
    </row>
    <row r="164" spans="1:6" x14ac:dyDescent="0.25">
      <c r="A164" s="20">
        <v>44880</v>
      </c>
      <c r="B164" s="19" t="s">
        <v>77</v>
      </c>
      <c r="C164" s="19" t="s">
        <v>7</v>
      </c>
      <c r="D164" s="19" t="s">
        <v>165</v>
      </c>
      <c r="E164" s="19">
        <v>0</v>
      </c>
      <c r="F164" s="19">
        <v>-1</v>
      </c>
    </row>
    <row r="165" spans="1:6" x14ac:dyDescent="0.25">
      <c r="A165" s="20">
        <v>44880</v>
      </c>
      <c r="B165" s="19" t="s">
        <v>77</v>
      </c>
      <c r="C165" s="19" t="s">
        <v>8</v>
      </c>
      <c r="D165" s="19" t="s">
        <v>165</v>
      </c>
      <c r="E165" s="19">
        <v>0</v>
      </c>
      <c r="F165" s="19">
        <v>-1</v>
      </c>
    </row>
    <row r="166" spans="1:6" x14ac:dyDescent="0.25">
      <c r="A166" s="20">
        <v>44880</v>
      </c>
      <c r="B166" s="19" t="s">
        <v>30</v>
      </c>
      <c r="C166" s="19" t="s">
        <v>6</v>
      </c>
      <c r="D166" s="19" t="s">
        <v>165</v>
      </c>
      <c r="E166" s="19">
        <v>0</v>
      </c>
      <c r="F166" s="19">
        <v>-1</v>
      </c>
    </row>
    <row r="167" spans="1:6" x14ac:dyDescent="0.25">
      <c r="A167" s="20">
        <v>44880</v>
      </c>
      <c r="B167" s="19" t="s">
        <v>30</v>
      </c>
      <c r="C167" s="19" t="s">
        <v>7</v>
      </c>
      <c r="D167" s="19" t="s">
        <v>165</v>
      </c>
      <c r="E167" s="19">
        <v>0</v>
      </c>
      <c r="F167" s="19">
        <v>-1</v>
      </c>
    </row>
    <row r="168" spans="1:6" x14ac:dyDescent="0.25">
      <c r="A168" s="20">
        <v>44880</v>
      </c>
      <c r="B168" s="19" t="s">
        <v>30</v>
      </c>
      <c r="C168" s="19" t="s">
        <v>8</v>
      </c>
      <c r="D168" s="19" t="s">
        <v>165</v>
      </c>
      <c r="E168" s="19">
        <v>0</v>
      </c>
      <c r="F168" s="19">
        <v>-1</v>
      </c>
    </row>
    <row r="169" spans="1:6" x14ac:dyDescent="0.25">
      <c r="A169" s="20">
        <v>44880</v>
      </c>
      <c r="B169" s="19" t="s">
        <v>31</v>
      </c>
      <c r="C169" s="19" t="s">
        <v>6</v>
      </c>
      <c r="D169" s="19" t="s">
        <v>165</v>
      </c>
      <c r="E169" s="19">
        <v>0</v>
      </c>
      <c r="F169" s="19">
        <v>-1</v>
      </c>
    </row>
    <row r="170" spans="1:6" x14ac:dyDescent="0.25">
      <c r="A170" s="20">
        <v>44880</v>
      </c>
      <c r="B170" s="19" t="s">
        <v>31</v>
      </c>
      <c r="C170" s="19" t="s">
        <v>7</v>
      </c>
      <c r="D170" s="19" t="s">
        <v>165</v>
      </c>
      <c r="E170" s="19">
        <v>0</v>
      </c>
      <c r="F170" s="19">
        <v>-1</v>
      </c>
    </row>
    <row r="171" spans="1:6" x14ac:dyDescent="0.25">
      <c r="A171" s="20">
        <v>44880</v>
      </c>
      <c r="B171" s="19" t="s">
        <v>31</v>
      </c>
      <c r="C171" s="19" t="s">
        <v>8</v>
      </c>
      <c r="D171" s="19" t="s">
        <v>165</v>
      </c>
      <c r="E171" s="19">
        <v>0</v>
      </c>
      <c r="F171" s="19">
        <v>-1</v>
      </c>
    </row>
    <row r="172" spans="1:6" x14ac:dyDescent="0.25">
      <c r="A172" s="20">
        <v>44880</v>
      </c>
      <c r="B172" s="19" t="s">
        <v>32</v>
      </c>
      <c r="C172" s="19" t="s">
        <v>6</v>
      </c>
      <c r="D172" s="19" t="s">
        <v>165</v>
      </c>
      <c r="E172" s="19">
        <v>0</v>
      </c>
      <c r="F172" s="19">
        <v>-1</v>
      </c>
    </row>
    <row r="173" spans="1:6" x14ac:dyDescent="0.25">
      <c r="A173" s="20">
        <v>44880</v>
      </c>
      <c r="B173" s="19" t="s">
        <v>32</v>
      </c>
      <c r="C173" s="19" t="s">
        <v>7</v>
      </c>
      <c r="D173" s="19" t="s">
        <v>165</v>
      </c>
      <c r="E173" s="19">
        <v>0</v>
      </c>
      <c r="F173" s="19">
        <v>-1</v>
      </c>
    </row>
    <row r="174" spans="1:6" x14ac:dyDescent="0.25">
      <c r="A174" s="20">
        <v>44880</v>
      </c>
      <c r="B174" s="19" t="s">
        <v>32</v>
      </c>
      <c r="C174" s="19" t="s">
        <v>8</v>
      </c>
      <c r="D174" s="19" t="s">
        <v>165</v>
      </c>
      <c r="E174" s="19">
        <v>0</v>
      </c>
      <c r="F174" s="19">
        <v>-1</v>
      </c>
    </row>
    <row r="175" spans="1:6" x14ac:dyDescent="0.25">
      <c r="A175" s="20">
        <v>44880</v>
      </c>
      <c r="B175" s="19" t="s">
        <v>71</v>
      </c>
      <c r="C175" s="19" t="s">
        <v>6</v>
      </c>
      <c r="D175" s="19" t="s">
        <v>165</v>
      </c>
      <c r="E175" s="19">
        <v>0</v>
      </c>
      <c r="F175" s="19">
        <v>-1</v>
      </c>
    </row>
    <row r="176" spans="1:6" x14ac:dyDescent="0.25">
      <c r="A176" s="20">
        <v>44880</v>
      </c>
      <c r="B176" s="19" t="s">
        <v>71</v>
      </c>
      <c r="C176" s="19" t="s">
        <v>7</v>
      </c>
      <c r="D176" s="19" t="s">
        <v>165</v>
      </c>
      <c r="E176" s="19">
        <v>0</v>
      </c>
      <c r="F176" s="19">
        <v>-1</v>
      </c>
    </row>
    <row r="177" spans="1:6" x14ac:dyDescent="0.25">
      <c r="A177" s="20">
        <v>44880</v>
      </c>
      <c r="B177" s="19" t="s">
        <v>71</v>
      </c>
      <c r="C177" s="19" t="s">
        <v>8</v>
      </c>
      <c r="D177" s="19" t="s">
        <v>165</v>
      </c>
      <c r="E177" s="19">
        <v>0</v>
      </c>
      <c r="F177" s="19">
        <v>-1</v>
      </c>
    </row>
    <row r="178" spans="1:6" x14ac:dyDescent="0.25">
      <c r="A178" s="20">
        <v>44880</v>
      </c>
      <c r="B178" s="19" t="s">
        <v>33</v>
      </c>
      <c r="C178" s="19" t="s">
        <v>6</v>
      </c>
      <c r="D178" s="19" t="s">
        <v>165</v>
      </c>
      <c r="E178" s="19">
        <v>0</v>
      </c>
      <c r="F178" s="19">
        <v>-1</v>
      </c>
    </row>
    <row r="179" spans="1:6" x14ac:dyDescent="0.25">
      <c r="A179" s="20">
        <v>44880</v>
      </c>
      <c r="B179" s="19" t="s">
        <v>33</v>
      </c>
      <c r="C179" s="19" t="s">
        <v>7</v>
      </c>
      <c r="D179" s="19" t="s">
        <v>165</v>
      </c>
      <c r="E179" s="19">
        <v>0</v>
      </c>
      <c r="F179" s="19">
        <v>-1</v>
      </c>
    </row>
    <row r="180" spans="1:6" x14ac:dyDescent="0.25">
      <c r="A180" s="20">
        <v>44880</v>
      </c>
      <c r="B180" s="19" t="s">
        <v>33</v>
      </c>
      <c r="C180" s="19" t="s">
        <v>8</v>
      </c>
      <c r="D180" s="19" t="s">
        <v>165</v>
      </c>
      <c r="E180" s="19">
        <v>0</v>
      </c>
      <c r="F180" s="19">
        <v>-1</v>
      </c>
    </row>
    <row r="181" spans="1:6" x14ac:dyDescent="0.25">
      <c r="A181" s="20">
        <v>44880</v>
      </c>
      <c r="B181" s="19" t="s">
        <v>34</v>
      </c>
      <c r="C181" s="19" t="s">
        <v>6</v>
      </c>
      <c r="D181" s="19" t="s">
        <v>165</v>
      </c>
      <c r="E181" s="19">
        <v>0</v>
      </c>
      <c r="F181" s="19">
        <v>-1</v>
      </c>
    </row>
    <row r="182" spans="1:6" x14ac:dyDescent="0.25">
      <c r="A182" s="20">
        <v>44880</v>
      </c>
      <c r="B182" s="19" t="s">
        <v>34</v>
      </c>
      <c r="C182" s="19" t="s">
        <v>7</v>
      </c>
      <c r="D182" s="19" t="s">
        <v>165</v>
      </c>
      <c r="E182" s="19">
        <v>0</v>
      </c>
      <c r="F182" s="19">
        <v>-1</v>
      </c>
    </row>
    <row r="183" spans="1:6" x14ac:dyDescent="0.25">
      <c r="A183" s="20">
        <v>44880</v>
      </c>
      <c r="B183" s="19" t="s">
        <v>34</v>
      </c>
      <c r="C183" s="19" t="s">
        <v>8</v>
      </c>
      <c r="D183" s="19" t="s">
        <v>165</v>
      </c>
      <c r="E183" s="19">
        <v>0</v>
      </c>
      <c r="F183" s="19">
        <v>-1</v>
      </c>
    </row>
    <row r="184" spans="1:6" x14ac:dyDescent="0.25">
      <c r="A184" s="20">
        <v>44880</v>
      </c>
      <c r="B184" s="19" t="s">
        <v>35</v>
      </c>
      <c r="C184" s="19" t="s">
        <v>6</v>
      </c>
      <c r="D184" s="19" t="s">
        <v>165</v>
      </c>
      <c r="E184" s="19">
        <v>0</v>
      </c>
      <c r="F184" s="19">
        <v>-1</v>
      </c>
    </row>
    <row r="185" spans="1:6" x14ac:dyDescent="0.25">
      <c r="A185" s="20">
        <v>44880</v>
      </c>
      <c r="B185" s="19" t="s">
        <v>35</v>
      </c>
      <c r="C185" s="19" t="s">
        <v>7</v>
      </c>
      <c r="D185" s="19" t="s">
        <v>165</v>
      </c>
      <c r="E185" s="19">
        <v>0</v>
      </c>
      <c r="F185" s="19">
        <v>-1</v>
      </c>
    </row>
    <row r="186" spans="1:6" x14ac:dyDescent="0.25">
      <c r="A186" s="20">
        <v>44880</v>
      </c>
      <c r="B186" s="19" t="s">
        <v>35</v>
      </c>
      <c r="C186" s="19" t="s">
        <v>8</v>
      </c>
      <c r="D186" s="19" t="s">
        <v>165</v>
      </c>
      <c r="E186" s="19">
        <v>0</v>
      </c>
      <c r="F186" s="19">
        <v>-1</v>
      </c>
    </row>
    <row r="187" spans="1:6" x14ac:dyDescent="0.25">
      <c r="A187" s="20">
        <v>44880</v>
      </c>
      <c r="B187" s="19" t="s">
        <v>65</v>
      </c>
      <c r="C187" s="19" t="s">
        <v>6</v>
      </c>
      <c r="D187" s="19" t="s">
        <v>165</v>
      </c>
      <c r="E187" s="19">
        <v>0</v>
      </c>
      <c r="F187" s="19">
        <v>-1</v>
      </c>
    </row>
    <row r="188" spans="1:6" x14ac:dyDescent="0.25">
      <c r="A188" s="20">
        <v>44880</v>
      </c>
      <c r="B188" s="19" t="s">
        <v>65</v>
      </c>
      <c r="C188" s="19" t="s">
        <v>7</v>
      </c>
      <c r="D188" s="19" t="s">
        <v>165</v>
      </c>
      <c r="E188" s="19">
        <v>0</v>
      </c>
      <c r="F188" s="19">
        <v>-1</v>
      </c>
    </row>
    <row r="189" spans="1:6" x14ac:dyDescent="0.25">
      <c r="A189" s="20">
        <v>44880</v>
      </c>
      <c r="B189" s="19" t="s">
        <v>65</v>
      </c>
      <c r="C189" s="19" t="s">
        <v>8</v>
      </c>
      <c r="D189" s="19" t="s">
        <v>165</v>
      </c>
      <c r="E189" s="19">
        <v>0</v>
      </c>
      <c r="F189" s="19">
        <v>-1</v>
      </c>
    </row>
    <row r="190" spans="1:6" x14ac:dyDescent="0.25">
      <c r="A190" s="20">
        <v>44880</v>
      </c>
      <c r="B190" s="19" t="s">
        <v>36</v>
      </c>
      <c r="C190" s="19" t="s">
        <v>6</v>
      </c>
      <c r="D190" s="19" t="s">
        <v>165</v>
      </c>
      <c r="E190" s="19">
        <v>0</v>
      </c>
      <c r="F190" s="19">
        <v>-1</v>
      </c>
    </row>
    <row r="191" spans="1:6" x14ac:dyDescent="0.25">
      <c r="A191" s="20">
        <v>44880</v>
      </c>
      <c r="B191" s="19" t="s">
        <v>36</v>
      </c>
      <c r="C191" s="19" t="s">
        <v>7</v>
      </c>
      <c r="D191" s="19" t="s">
        <v>165</v>
      </c>
      <c r="E191" s="19">
        <v>0</v>
      </c>
      <c r="F191" s="19">
        <v>-1</v>
      </c>
    </row>
    <row r="192" spans="1:6" x14ac:dyDescent="0.25">
      <c r="A192" s="20">
        <v>44880</v>
      </c>
      <c r="B192" s="19" t="s">
        <v>36</v>
      </c>
      <c r="C192" s="19" t="s">
        <v>8</v>
      </c>
      <c r="D192" s="19" t="s">
        <v>165</v>
      </c>
      <c r="E192" s="19">
        <v>0</v>
      </c>
      <c r="F192" s="19">
        <v>-1</v>
      </c>
    </row>
    <row r="193" spans="1:6" x14ac:dyDescent="0.25">
      <c r="A193" s="20">
        <v>44880</v>
      </c>
      <c r="B193" s="19" t="s">
        <v>64</v>
      </c>
      <c r="C193" s="19" t="s">
        <v>6</v>
      </c>
      <c r="D193" s="19" t="s">
        <v>165</v>
      </c>
      <c r="E193" s="19">
        <v>0</v>
      </c>
      <c r="F193" s="19">
        <v>-1</v>
      </c>
    </row>
    <row r="194" spans="1:6" x14ac:dyDescent="0.25">
      <c r="A194" s="20">
        <v>44880</v>
      </c>
      <c r="B194" s="19" t="s">
        <v>64</v>
      </c>
      <c r="C194" s="19" t="s">
        <v>7</v>
      </c>
      <c r="D194" s="19" t="s">
        <v>165</v>
      </c>
      <c r="E194" s="19">
        <v>0</v>
      </c>
      <c r="F194" s="19">
        <v>-1</v>
      </c>
    </row>
    <row r="195" spans="1:6" x14ac:dyDescent="0.25">
      <c r="A195" s="20">
        <v>44880</v>
      </c>
      <c r="B195" s="19" t="s">
        <v>64</v>
      </c>
      <c r="C195" s="19" t="s">
        <v>8</v>
      </c>
      <c r="D195" s="19" t="s">
        <v>165</v>
      </c>
      <c r="E195" s="19">
        <v>0</v>
      </c>
      <c r="F195" s="19">
        <v>-1</v>
      </c>
    </row>
    <row r="196" spans="1:6" x14ac:dyDescent="0.25">
      <c r="A196" s="20">
        <v>44880</v>
      </c>
      <c r="B196" s="19" t="s">
        <v>37</v>
      </c>
      <c r="C196" s="19" t="s">
        <v>6</v>
      </c>
      <c r="D196" s="19" t="s">
        <v>165</v>
      </c>
      <c r="E196" s="19">
        <v>0</v>
      </c>
      <c r="F196" s="19">
        <v>-1</v>
      </c>
    </row>
    <row r="197" spans="1:6" x14ac:dyDescent="0.25">
      <c r="A197" s="20">
        <v>44880</v>
      </c>
      <c r="B197" s="19" t="s">
        <v>37</v>
      </c>
      <c r="C197" s="19" t="s">
        <v>7</v>
      </c>
      <c r="D197" s="19" t="s">
        <v>165</v>
      </c>
      <c r="E197" s="19">
        <v>0</v>
      </c>
      <c r="F197" s="19">
        <v>-1</v>
      </c>
    </row>
    <row r="198" spans="1:6" x14ac:dyDescent="0.25">
      <c r="A198" s="20">
        <v>44880</v>
      </c>
      <c r="B198" s="19" t="s">
        <v>37</v>
      </c>
      <c r="C198" s="19" t="s">
        <v>8</v>
      </c>
      <c r="D198" s="19" t="s">
        <v>165</v>
      </c>
      <c r="E198" s="19">
        <v>0</v>
      </c>
      <c r="F198" s="19">
        <v>-1</v>
      </c>
    </row>
    <row r="199" spans="1:6" x14ac:dyDescent="0.25">
      <c r="A199" s="20">
        <v>44880</v>
      </c>
      <c r="B199" s="19" t="s">
        <v>63</v>
      </c>
      <c r="C199" s="19" t="s">
        <v>6</v>
      </c>
      <c r="D199" s="19" t="s">
        <v>165</v>
      </c>
      <c r="E199" s="19">
        <v>0</v>
      </c>
      <c r="F199" s="19">
        <v>-1</v>
      </c>
    </row>
    <row r="200" spans="1:6" x14ac:dyDescent="0.25">
      <c r="A200" s="20">
        <v>44880</v>
      </c>
      <c r="B200" s="19" t="s">
        <v>63</v>
      </c>
      <c r="C200" s="19" t="s">
        <v>7</v>
      </c>
      <c r="D200" s="19" t="s">
        <v>165</v>
      </c>
      <c r="E200" s="19">
        <v>0</v>
      </c>
      <c r="F200" s="19">
        <v>-1</v>
      </c>
    </row>
    <row r="201" spans="1:6" x14ac:dyDescent="0.25">
      <c r="A201" s="20">
        <v>44880</v>
      </c>
      <c r="B201" s="19" t="s">
        <v>63</v>
      </c>
      <c r="C201" s="19" t="s">
        <v>8</v>
      </c>
      <c r="D201" s="19" t="s">
        <v>165</v>
      </c>
      <c r="E201" s="19">
        <v>0</v>
      </c>
      <c r="F201" s="19">
        <v>-1</v>
      </c>
    </row>
    <row r="202" spans="1:6" x14ac:dyDescent="0.25">
      <c r="A202" s="20">
        <v>44880</v>
      </c>
      <c r="B202" s="19" t="s">
        <v>59</v>
      </c>
      <c r="C202" s="19" t="s">
        <v>6</v>
      </c>
      <c r="D202" s="19" t="s">
        <v>165</v>
      </c>
      <c r="E202" s="19">
        <v>0</v>
      </c>
      <c r="F202" s="19">
        <v>-1</v>
      </c>
    </row>
    <row r="203" spans="1:6" x14ac:dyDescent="0.25">
      <c r="A203" s="20">
        <v>44880</v>
      </c>
      <c r="B203" s="19" t="s">
        <v>59</v>
      </c>
      <c r="C203" s="19" t="s">
        <v>7</v>
      </c>
      <c r="D203" s="19" t="s">
        <v>165</v>
      </c>
      <c r="E203" s="19">
        <v>0</v>
      </c>
      <c r="F203" s="19">
        <v>-1</v>
      </c>
    </row>
    <row r="204" spans="1:6" x14ac:dyDescent="0.25">
      <c r="A204" s="20">
        <v>44880</v>
      </c>
      <c r="B204" s="19" t="s">
        <v>59</v>
      </c>
      <c r="C204" s="19" t="s">
        <v>8</v>
      </c>
      <c r="D204" s="19" t="s">
        <v>165</v>
      </c>
      <c r="E204" s="19">
        <v>0</v>
      </c>
      <c r="F204" s="19">
        <v>-1</v>
      </c>
    </row>
    <row r="205" spans="1:6" x14ac:dyDescent="0.25">
      <c r="A205" s="20">
        <v>44880</v>
      </c>
      <c r="B205" s="19" t="s">
        <v>54</v>
      </c>
      <c r="C205" s="19" t="s">
        <v>6</v>
      </c>
      <c r="D205" s="19" t="s">
        <v>165</v>
      </c>
      <c r="E205" s="19">
        <v>0</v>
      </c>
      <c r="F205" s="19">
        <v>-1</v>
      </c>
    </row>
    <row r="206" spans="1:6" x14ac:dyDescent="0.25">
      <c r="A206" s="20">
        <v>44880</v>
      </c>
      <c r="B206" s="19" t="s">
        <v>54</v>
      </c>
      <c r="C206" s="19" t="s">
        <v>7</v>
      </c>
      <c r="D206" s="19" t="s">
        <v>165</v>
      </c>
      <c r="E206" s="19">
        <v>0</v>
      </c>
      <c r="F206" s="19">
        <v>-1</v>
      </c>
    </row>
    <row r="207" spans="1:6" x14ac:dyDescent="0.25">
      <c r="A207" s="20">
        <v>44880</v>
      </c>
      <c r="B207" s="19" t="s">
        <v>54</v>
      </c>
      <c r="C207" s="19" t="s">
        <v>8</v>
      </c>
      <c r="D207" s="19" t="s">
        <v>165</v>
      </c>
      <c r="E207" s="19">
        <v>0</v>
      </c>
      <c r="F207" s="19">
        <v>-1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53"/>
  <sheetViews>
    <sheetView workbookViewId="0">
      <selection activeCell="G2" sqref="G2:G153"/>
    </sheetView>
  </sheetViews>
  <sheetFormatPr defaultRowHeight="15" x14ac:dyDescent="0.25"/>
  <cols>
    <col min="1" max="1" width="17.140625" style="18" bestFit="1" customWidth="1"/>
    <col min="2" max="2" width="19.42578125" style="18" bestFit="1" customWidth="1"/>
    <col min="3" max="3" width="12.28515625" style="18" bestFit="1" customWidth="1"/>
    <col min="4" max="5" width="8.28515625" style="18" bestFit="1" customWidth="1"/>
    <col min="6" max="6" width="8.28515625" bestFit="1" customWidth="1"/>
    <col min="7" max="7" width="12.28515625" style="18" bestFit="1" customWidth="1"/>
    <col min="8" max="8" width="19.42578125" bestFit="1" customWidth="1"/>
    <col min="9" max="9" width="19.5703125" bestFit="1" customWidth="1"/>
    <col min="10" max="12" width="9.7109375" bestFit="1" customWidth="1"/>
  </cols>
  <sheetData>
    <row r="1" spans="1:9" x14ac:dyDescent="0.25">
      <c r="A1" s="20" t="s">
        <v>0</v>
      </c>
      <c r="B1" s="19" t="s">
        <v>1</v>
      </c>
      <c r="C1" s="19" t="s">
        <v>4</v>
      </c>
      <c r="D1" s="19" t="s">
        <v>6</v>
      </c>
      <c r="E1" s="19" t="s">
        <v>7</v>
      </c>
      <c r="F1" s="21" t="s">
        <v>8</v>
      </c>
      <c r="G1" s="21" t="s">
        <v>178</v>
      </c>
      <c r="I1" t="s">
        <v>219</v>
      </c>
    </row>
    <row r="2" spans="1:9" hidden="1" x14ac:dyDescent="0.25">
      <c r="A2" s="20">
        <v>44876</v>
      </c>
      <c r="B2" s="19" t="s">
        <v>160</v>
      </c>
      <c r="C2" s="19" t="s">
        <v>165</v>
      </c>
      <c r="D2" s="19">
        <v>0</v>
      </c>
      <c r="E2" s="19">
        <v>0</v>
      </c>
      <c r="F2" s="19">
        <v>0</v>
      </c>
      <c r="G2" s="19">
        <v>0</v>
      </c>
      <c r="I2" s="16">
        <f ca="1">TODAY()-3</f>
        <v>44878</v>
      </c>
    </row>
    <row r="3" spans="1:9" hidden="1" x14ac:dyDescent="0.25">
      <c r="A3" s="20">
        <v>44876</v>
      </c>
      <c r="B3" s="19" t="s">
        <v>158</v>
      </c>
      <c r="C3" s="19" t="s">
        <v>165</v>
      </c>
      <c r="D3" s="19">
        <v>0</v>
      </c>
      <c r="E3" s="19">
        <v>0</v>
      </c>
      <c r="F3" s="19">
        <v>0</v>
      </c>
      <c r="G3" s="19">
        <v>12.3</v>
      </c>
      <c r="I3" s="16">
        <f t="shared" ref="I3" ca="1" si="0">TODAY()-2</f>
        <v>44879</v>
      </c>
    </row>
    <row r="4" spans="1:9" hidden="1" x14ac:dyDescent="0.25">
      <c r="A4" s="20">
        <v>44876</v>
      </c>
      <c r="B4" s="19" t="s">
        <v>157</v>
      </c>
      <c r="C4" s="19" t="s">
        <v>165</v>
      </c>
      <c r="D4" s="19">
        <v>0</v>
      </c>
      <c r="E4" s="19">
        <v>0</v>
      </c>
      <c r="F4" s="19">
        <v>0</v>
      </c>
      <c r="G4" s="19">
        <v>0</v>
      </c>
    </row>
    <row r="5" spans="1:9" hidden="1" x14ac:dyDescent="0.25">
      <c r="A5" s="20">
        <v>44876</v>
      </c>
      <c r="B5" s="19" t="s">
        <v>155</v>
      </c>
      <c r="C5" s="19" t="s">
        <v>165</v>
      </c>
      <c r="D5" s="19">
        <v>0</v>
      </c>
      <c r="E5" s="19">
        <v>0</v>
      </c>
      <c r="F5" s="19">
        <v>0</v>
      </c>
      <c r="G5" s="19">
        <v>55.78</v>
      </c>
    </row>
    <row r="6" spans="1:9" hidden="1" x14ac:dyDescent="0.25">
      <c r="A6" s="20">
        <v>44876</v>
      </c>
      <c r="B6" s="19" t="s">
        <v>153</v>
      </c>
      <c r="C6" s="19" t="s">
        <v>165</v>
      </c>
      <c r="D6" s="19">
        <v>0</v>
      </c>
      <c r="E6" s="19">
        <v>0</v>
      </c>
      <c r="F6" s="19">
        <v>0</v>
      </c>
      <c r="G6" s="19">
        <v>23.93</v>
      </c>
    </row>
    <row r="7" spans="1:9" hidden="1" x14ac:dyDescent="0.25">
      <c r="A7" s="20">
        <v>44876</v>
      </c>
      <c r="B7" s="19" t="s">
        <v>152</v>
      </c>
      <c r="C7" s="19" t="s">
        <v>165</v>
      </c>
      <c r="D7" s="19">
        <v>0</v>
      </c>
      <c r="E7" s="19">
        <v>0</v>
      </c>
      <c r="F7" s="19">
        <v>0</v>
      </c>
      <c r="G7" s="19">
        <v>19.399999999999999</v>
      </c>
    </row>
    <row r="8" spans="1:9" hidden="1" x14ac:dyDescent="0.25">
      <c r="A8" s="20">
        <v>44876</v>
      </c>
      <c r="B8" s="19" t="s">
        <v>150</v>
      </c>
      <c r="C8" s="19" t="s">
        <v>165</v>
      </c>
      <c r="D8" s="19">
        <v>0</v>
      </c>
      <c r="E8" s="19">
        <v>0</v>
      </c>
      <c r="F8" s="19">
        <v>0</v>
      </c>
      <c r="G8" s="19">
        <v>41.56</v>
      </c>
    </row>
    <row r="9" spans="1:9" hidden="1" x14ac:dyDescent="0.25">
      <c r="A9" s="20">
        <v>44876</v>
      </c>
      <c r="B9" s="19" t="s">
        <v>40</v>
      </c>
      <c r="C9" s="19" t="s">
        <v>166</v>
      </c>
      <c r="D9" s="19">
        <v>2242</v>
      </c>
      <c r="E9" s="19">
        <v>2328</v>
      </c>
      <c r="F9" s="19">
        <v>2308</v>
      </c>
      <c r="G9" s="19">
        <v>12.59</v>
      </c>
    </row>
    <row r="10" spans="1:9" hidden="1" x14ac:dyDescent="0.25">
      <c r="A10" s="20">
        <v>44876</v>
      </c>
      <c r="B10" s="19" t="s">
        <v>147</v>
      </c>
      <c r="C10" s="19" t="s">
        <v>165</v>
      </c>
      <c r="D10" s="19">
        <v>0</v>
      </c>
      <c r="E10" s="19">
        <v>0</v>
      </c>
      <c r="F10" s="19">
        <v>0</v>
      </c>
      <c r="G10" s="19">
        <v>18.989999999999998</v>
      </c>
    </row>
    <row r="11" spans="1:9" hidden="1" x14ac:dyDescent="0.25">
      <c r="A11" s="20">
        <v>44876</v>
      </c>
      <c r="B11" s="19" t="s">
        <v>143</v>
      </c>
      <c r="C11" s="19" t="s">
        <v>165</v>
      </c>
      <c r="D11" s="19">
        <v>0</v>
      </c>
      <c r="E11" s="19">
        <v>0</v>
      </c>
      <c r="F11" s="19">
        <v>0</v>
      </c>
      <c r="G11" s="19">
        <v>39217084</v>
      </c>
    </row>
    <row r="12" spans="1:9" hidden="1" x14ac:dyDescent="0.25">
      <c r="A12" s="20">
        <v>44876</v>
      </c>
      <c r="B12" s="19" t="s">
        <v>141</v>
      </c>
      <c r="C12" s="19" t="s">
        <v>165</v>
      </c>
      <c r="D12" s="19">
        <v>0</v>
      </c>
      <c r="E12" s="19">
        <v>0</v>
      </c>
      <c r="F12" s="19">
        <v>0</v>
      </c>
      <c r="G12" s="19">
        <v>19.93</v>
      </c>
    </row>
    <row r="13" spans="1:9" hidden="1" x14ac:dyDescent="0.25">
      <c r="A13" s="20">
        <v>44876</v>
      </c>
      <c r="B13" s="19" t="s">
        <v>139</v>
      </c>
      <c r="C13" s="19" t="s">
        <v>165</v>
      </c>
      <c r="D13" s="19">
        <v>0</v>
      </c>
      <c r="E13" s="19">
        <v>0</v>
      </c>
      <c r="F13" s="19">
        <v>0</v>
      </c>
      <c r="G13" s="19">
        <v>27.03</v>
      </c>
    </row>
    <row r="14" spans="1:9" hidden="1" x14ac:dyDescent="0.25">
      <c r="A14" s="20">
        <v>44876</v>
      </c>
      <c r="B14" s="19" t="s">
        <v>138</v>
      </c>
      <c r="C14" s="19" t="s">
        <v>165</v>
      </c>
      <c r="D14" s="19">
        <v>0</v>
      </c>
      <c r="E14" s="19">
        <v>0</v>
      </c>
      <c r="F14" s="19">
        <v>0</v>
      </c>
      <c r="G14" s="19">
        <v>41.74</v>
      </c>
    </row>
    <row r="15" spans="1:9" hidden="1" x14ac:dyDescent="0.25">
      <c r="A15" s="20">
        <v>44876</v>
      </c>
      <c r="B15" s="19" t="s">
        <v>136</v>
      </c>
      <c r="C15" s="19" t="s">
        <v>165</v>
      </c>
      <c r="D15" s="19">
        <v>0</v>
      </c>
      <c r="E15" s="19">
        <v>0</v>
      </c>
      <c r="F15" s="19">
        <v>0</v>
      </c>
      <c r="G15" s="19">
        <v>11.66</v>
      </c>
    </row>
    <row r="16" spans="1:9" hidden="1" x14ac:dyDescent="0.25">
      <c r="A16" s="20">
        <v>44876</v>
      </c>
      <c r="B16" s="19" t="s">
        <v>39</v>
      </c>
      <c r="C16" s="19" t="s">
        <v>165</v>
      </c>
      <c r="D16" s="19">
        <v>0</v>
      </c>
      <c r="E16" s="19">
        <v>0</v>
      </c>
      <c r="F16" s="19">
        <v>0</v>
      </c>
      <c r="G16" s="19">
        <v>22.19</v>
      </c>
    </row>
    <row r="17" spans="1:7" hidden="1" x14ac:dyDescent="0.25">
      <c r="A17" s="20">
        <v>44876</v>
      </c>
      <c r="B17" s="19" t="s">
        <v>132</v>
      </c>
      <c r="C17" s="19" t="s">
        <v>165</v>
      </c>
      <c r="D17" s="19">
        <v>0</v>
      </c>
      <c r="E17" s="19">
        <v>0</v>
      </c>
      <c r="F17" s="19">
        <v>0</v>
      </c>
      <c r="G17" s="19">
        <v>41.13</v>
      </c>
    </row>
    <row r="18" spans="1:7" hidden="1" x14ac:dyDescent="0.25">
      <c r="A18" s="20">
        <v>44876</v>
      </c>
      <c r="B18" s="19" t="s">
        <v>128</v>
      </c>
      <c r="C18" s="19" t="s">
        <v>165</v>
      </c>
      <c r="D18" s="19">
        <v>0</v>
      </c>
      <c r="E18" s="19">
        <v>0</v>
      </c>
      <c r="F18" s="19">
        <v>0</v>
      </c>
      <c r="G18" s="19">
        <v>23.7</v>
      </c>
    </row>
    <row r="19" spans="1:7" hidden="1" x14ac:dyDescent="0.25">
      <c r="A19" s="20">
        <v>44876</v>
      </c>
      <c r="B19" s="19" t="s">
        <v>126</v>
      </c>
      <c r="C19" s="19" t="s">
        <v>165</v>
      </c>
      <c r="D19" s="19">
        <v>0</v>
      </c>
      <c r="E19" s="19">
        <v>0</v>
      </c>
      <c r="F19" s="19">
        <v>0</v>
      </c>
      <c r="G19" s="19">
        <v>41.18</v>
      </c>
    </row>
    <row r="20" spans="1:7" hidden="1" x14ac:dyDescent="0.25">
      <c r="A20" s="20">
        <v>44876</v>
      </c>
      <c r="B20" s="19" t="s">
        <v>123</v>
      </c>
      <c r="C20" s="19" t="s">
        <v>165</v>
      </c>
      <c r="D20" s="19">
        <v>0</v>
      </c>
      <c r="E20" s="19">
        <v>0</v>
      </c>
      <c r="F20" s="19">
        <v>0</v>
      </c>
      <c r="G20" s="19">
        <v>13.79</v>
      </c>
    </row>
    <row r="21" spans="1:7" hidden="1" x14ac:dyDescent="0.25">
      <c r="A21" s="20">
        <v>44876</v>
      </c>
      <c r="B21" s="19" t="s">
        <v>41</v>
      </c>
      <c r="C21" s="19" t="s">
        <v>166</v>
      </c>
      <c r="D21" s="19">
        <v>2065</v>
      </c>
      <c r="E21" s="19">
        <v>2244</v>
      </c>
      <c r="F21" s="19">
        <v>2249</v>
      </c>
      <c r="G21" s="19">
        <v>12.89</v>
      </c>
    </row>
    <row r="22" spans="1:7" hidden="1" x14ac:dyDescent="0.25">
      <c r="A22" s="20">
        <v>44876</v>
      </c>
      <c r="B22" s="19" t="s">
        <v>43</v>
      </c>
      <c r="C22" s="19" t="s">
        <v>165</v>
      </c>
      <c r="D22" s="19">
        <v>0</v>
      </c>
      <c r="E22" s="19">
        <v>0</v>
      </c>
      <c r="F22" s="19">
        <v>0</v>
      </c>
      <c r="G22" s="19">
        <v>16.36</v>
      </c>
    </row>
    <row r="23" spans="1:7" hidden="1" x14ac:dyDescent="0.25">
      <c r="A23" s="20">
        <v>44876</v>
      </c>
      <c r="B23" s="19" t="s">
        <v>5</v>
      </c>
      <c r="C23" s="19" t="s">
        <v>166</v>
      </c>
      <c r="D23" s="19">
        <v>761</v>
      </c>
      <c r="E23" s="19">
        <v>1828</v>
      </c>
      <c r="F23" s="19">
        <v>2074</v>
      </c>
      <c r="G23" s="19">
        <v>13</v>
      </c>
    </row>
    <row r="24" spans="1:7" hidden="1" x14ac:dyDescent="0.25">
      <c r="A24" s="20">
        <v>44876</v>
      </c>
      <c r="B24" s="19" t="s">
        <v>9</v>
      </c>
      <c r="C24" s="19" t="s">
        <v>165</v>
      </c>
      <c r="D24" s="19">
        <v>0</v>
      </c>
      <c r="E24" s="19">
        <v>0</v>
      </c>
      <c r="F24" s="19">
        <v>0</v>
      </c>
      <c r="G24" s="19">
        <v>13.49</v>
      </c>
    </row>
    <row r="25" spans="1:7" hidden="1" x14ac:dyDescent="0.25">
      <c r="A25" s="20">
        <v>44876</v>
      </c>
      <c r="B25" s="19" t="s">
        <v>10</v>
      </c>
      <c r="C25" s="19" t="s">
        <v>165</v>
      </c>
      <c r="D25" s="19">
        <v>0</v>
      </c>
      <c r="E25" s="19">
        <v>0</v>
      </c>
      <c r="F25" s="19">
        <v>0</v>
      </c>
      <c r="G25" s="19">
        <v>14.55</v>
      </c>
    </row>
    <row r="26" spans="1:7" hidden="1" x14ac:dyDescent="0.25">
      <c r="A26" s="20">
        <v>44876</v>
      </c>
      <c r="B26" s="19" t="s">
        <v>11</v>
      </c>
      <c r="C26" s="19" t="s">
        <v>165</v>
      </c>
      <c r="D26" s="19">
        <v>0</v>
      </c>
      <c r="E26" s="19">
        <v>0</v>
      </c>
      <c r="F26" s="19">
        <v>0</v>
      </c>
      <c r="G26" s="19">
        <v>12.79</v>
      </c>
    </row>
    <row r="27" spans="1:7" hidden="1" x14ac:dyDescent="0.25">
      <c r="A27" s="20">
        <v>44876</v>
      </c>
      <c r="B27" s="19" t="s">
        <v>12</v>
      </c>
      <c r="C27" s="19" t="s">
        <v>165</v>
      </c>
      <c r="D27" s="19">
        <v>0</v>
      </c>
      <c r="E27" s="19">
        <v>0</v>
      </c>
      <c r="F27" s="19">
        <v>0</v>
      </c>
      <c r="G27" s="19">
        <v>12.55</v>
      </c>
    </row>
    <row r="28" spans="1:7" hidden="1" x14ac:dyDescent="0.25">
      <c r="A28" s="20">
        <v>44876</v>
      </c>
      <c r="B28" s="19" t="s">
        <v>120</v>
      </c>
      <c r="C28" s="19" t="s">
        <v>165</v>
      </c>
      <c r="D28" s="19">
        <v>0</v>
      </c>
      <c r="E28" s="19">
        <v>0</v>
      </c>
      <c r="F28" s="19">
        <v>0</v>
      </c>
      <c r="G28" s="19">
        <v>12.39</v>
      </c>
    </row>
    <row r="29" spans="1:7" hidden="1" x14ac:dyDescent="0.25">
      <c r="A29" s="20">
        <v>44876</v>
      </c>
      <c r="B29" s="19" t="s">
        <v>119</v>
      </c>
      <c r="C29" s="19" t="s">
        <v>165</v>
      </c>
      <c r="D29" s="19">
        <v>0</v>
      </c>
      <c r="E29" s="19">
        <v>0</v>
      </c>
      <c r="F29" s="19">
        <v>0</v>
      </c>
      <c r="G29" s="19">
        <v>15.71</v>
      </c>
    </row>
    <row r="30" spans="1:7" hidden="1" x14ac:dyDescent="0.25">
      <c r="A30" s="20">
        <v>44876</v>
      </c>
      <c r="B30" s="19" t="s">
        <v>13</v>
      </c>
      <c r="C30" s="19" t="s">
        <v>166</v>
      </c>
      <c r="D30" s="19">
        <v>2296</v>
      </c>
      <c r="E30" s="19">
        <v>2264</v>
      </c>
      <c r="F30" s="19">
        <v>2272</v>
      </c>
      <c r="G30" s="19">
        <v>12.6</v>
      </c>
    </row>
    <row r="31" spans="1:7" hidden="1" x14ac:dyDescent="0.25">
      <c r="A31" s="20">
        <v>44876</v>
      </c>
      <c r="B31" s="19" t="s">
        <v>117</v>
      </c>
      <c r="C31" s="19" t="s">
        <v>165</v>
      </c>
      <c r="D31" s="19">
        <v>0</v>
      </c>
      <c r="E31" s="19">
        <v>0</v>
      </c>
      <c r="F31" s="19">
        <v>0</v>
      </c>
      <c r="G31" s="19">
        <v>23.57</v>
      </c>
    </row>
    <row r="32" spans="1:7" hidden="1" x14ac:dyDescent="0.25">
      <c r="A32" s="20">
        <v>44876</v>
      </c>
      <c r="B32" s="19" t="s">
        <v>114</v>
      </c>
      <c r="C32" s="19" t="s">
        <v>166</v>
      </c>
      <c r="D32" s="19">
        <v>1940</v>
      </c>
      <c r="E32" s="19">
        <v>2212</v>
      </c>
      <c r="F32" s="19">
        <v>2232</v>
      </c>
      <c r="G32" s="19">
        <v>12.9</v>
      </c>
    </row>
    <row r="33" spans="1:7" hidden="1" x14ac:dyDescent="0.25">
      <c r="A33" s="20">
        <v>44876</v>
      </c>
      <c r="B33" s="19" t="s">
        <v>112</v>
      </c>
      <c r="C33" s="19" t="s">
        <v>165</v>
      </c>
      <c r="D33" s="19">
        <v>0</v>
      </c>
      <c r="E33" s="19">
        <v>0</v>
      </c>
      <c r="F33" s="19">
        <v>0</v>
      </c>
      <c r="G33" s="19">
        <v>0</v>
      </c>
    </row>
    <row r="34" spans="1:7" hidden="1" x14ac:dyDescent="0.25">
      <c r="A34" s="20">
        <v>44876</v>
      </c>
      <c r="B34" s="19" t="s">
        <v>110</v>
      </c>
      <c r="C34" s="19" t="s">
        <v>165</v>
      </c>
      <c r="D34" s="19">
        <v>0</v>
      </c>
      <c r="E34" s="19">
        <v>0</v>
      </c>
      <c r="F34" s="19">
        <v>0</v>
      </c>
      <c r="G34" s="19">
        <v>26.09</v>
      </c>
    </row>
    <row r="35" spans="1:7" hidden="1" x14ac:dyDescent="0.25">
      <c r="A35" s="20">
        <v>44876</v>
      </c>
      <c r="B35" s="19" t="s">
        <v>108</v>
      </c>
      <c r="C35" s="19" t="s">
        <v>165</v>
      </c>
      <c r="D35" s="19">
        <v>0</v>
      </c>
      <c r="E35" s="19">
        <v>0</v>
      </c>
      <c r="F35" s="19">
        <v>0</v>
      </c>
      <c r="G35" s="19">
        <v>22.17</v>
      </c>
    </row>
    <row r="36" spans="1:7" hidden="1" x14ac:dyDescent="0.25">
      <c r="A36" s="20">
        <v>44876</v>
      </c>
      <c r="B36" s="19" t="s">
        <v>14</v>
      </c>
      <c r="C36" s="19" t="s">
        <v>165</v>
      </c>
      <c r="D36" s="19">
        <v>0</v>
      </c>
      <c r="E36" s="19">
        <v>0</v>
      </c>
      <c r="F36" s="19">
        <v>0</v>
      </c>
      <c r="G36" s="19">
        <v>12.79</v>
      </c>
    </row>
    <row r="37" spans="1:7" hidden="1" x14ac:dyDescent="0.25">
      <c r="A37" s="20">
        <v>44876</v>
      </c>
      <c r="B37" s="19" t="s">
        <v>104</v>
      </c>
      <c r="C37" s="19" t="s">
        <v>165</v>
      </c>
      <c r="D37" s="19">
        <v>0</v>
      </c>
      <c r="E37" s="19">
        <v>0</v>
      </c>
      <c r="F37" s="19">
        <v>0</v>
      </c>
      <c r="G37" s="19">
        <v>0</v>
      </c>
    </row>
    <row r="38" spans="1:7" hidden="1" x14ac:dyDescent="0.25">
      <c r="A38" s="20">
        <v>44876</v>
      </c>
      <c r="B38" s="19" t="s">
        <v>15</v>
      </c>
      <c r="C38" s="19" t="s">
        <v>165</v>
      </c>
      <c r="D38" s="19">
        <v>0</v>
      </c>
      <c r="E38" s="19">
        <v>0</v>
      </c>
      <c r="F38" s="19">
        <v>0</v>
      </c>
      <c r="G38" s="19">
        <v>12.59</v>
      </c>
    </row>
    <row r="39" spans="1:7" hidden="1" x14ac:dyDescent="0.25">
      <c r="A39" s="20">
        <v>44876</v>
      </c>
      <c r="B39" s="19" t="s">
        <v>101</v>
      </c>
      <c r="C39" s="19" t="s">
        <v>165</v>
      </c>
      <c r="D39" s="19">
        <v>0</v>
      </c>
      <c r="E39" s="19">
        <v>0</v>
      </c>
      <c r="F39" s="19">
        <v>0</v>
      </c>
      <c r="G39" s="19">
        <v>17.23</v>
      </c>
    </row>
    <row r="40" spans="1:7" hidden="1" x14ac:dyDescent="0.25">
      <c r="A40" s="20">
        <v>44876</v>
      </c>
      <c r="B40" s="19" t="s">
        <v>16</v>
      </c>
      <c r="C40" s="19" t="s">
        <v>165</v>
      </c>
      <c r="D40" s="19">
        <v>0</v>
      </c>
      <c r="E40" s="19">
        <v>0</v>
      </c>
      <c r="F40" s="19">
        <v>0</v>
      </c>
      <c r="G40" s="19">
        <v>13</v>
      </c>
    </row>
    <row r="41" spans="1:7" hidden="1" x14ac:dyDescent="0.25">
      <c r="A41" s="20">
        <v>44876</v>
      </c>
      <c r="B41" s="19" t="s">
        <v>99</v>
      </c>
      <c r="C41" s="19" t="s">
        <v>165</v>
      </c>
      <c r="D41" s="19">
        <v>0</v>
      </c>
      <c r="E41" s="19">
        <v>0</v>
      </c>
      <c r="F41" s="19">
        <v>0</v>
      </c>
      <c r="G41" s="19">
        <v>38.08</v>
      </c>
    </row>
    <row r="42" spans="1:7" hidden="1" x14ac:dyDescent="0.25">
      <c r="A42" s="20">
        <v>44876</v>
      </c>
      <c r="B42" s="19" t="s">
        <v>17</v>
      </c>
      <c r="C42" s="19" t="s">
        <v>166</v>
      </c>
      <c r="D42" s="19">
        <v>1761</v>
      </c>
      <c r="E42" s="19">
        <v>2209</v>
      </c>
      <c r="F42" s="19">
        <v>2149</v>
      </c>
      <c r="G42" s="19">
        <v>13.39</v>
      </c>
    </row>
    <row r="43" spans="1:7" hidden="1" x14ac:dyDescent="0.25">
      <c r="A43" s="20">
        <v>44876</v>
      </c>
      <c r="B43" s="19" t="s">
        <v>19</v>
      </c>
      <c r="C43" s="19" t="s">
        <v>165</v>
      </c>
      <c r="D43" s="19">
        <v>0</v>
      </c>
      <c r="E43" s="19">
        <v>0</v>
      </c>
      <c r="F43" s="19">
        <v>0</v>
      </c>
      <c r="G43" s="19">
        <v>14.8</v>
      </c>
    </row>
    <row r="44" spans="1:7" hidden="1" x14ac:dyDescent="0.25">
      <c r="A44" s="20">
        <v>44876</v>
      </c>
      <c r="B44" s="19" t="s">
        <v>18</v>
      </c>
      <c r="C44" s="19" t="s">
        <v>166</v>
      </c>
      <c r="D44" s="19">
        <v>1284</v>
      </c>
      <c r="E44" s="19">
        <v>2244</v>
      </c>
      <c r="F44" s="19">
        <v>2206</v>
      </c>
      <c r="G44" s="19">
        <v>12.7</v>
      </c>
    </row>
    <row r="45" spans="1:7" hidden="1" x14ac:dyDescent="0.25">
      <c r="A45" s="20">
        <v>44876</v>
      </c>
      <c r="B45" s="19" t="s">
        <v>97</v>
      </c>
      <c r="C45" s="19" t="s">
        <v>165</v>
      </c>
      <c r="D45" s="19">
        <v>0</v>
      </c>
      <c r="E45" s="19">
        <v>0</v>
      </c>
      <c r="F45" s="19">
        <v>0</v>
      </c>
      <c r="G45" s="19">
        <v>0</v>
      </c>
    </row>
    <row r="46" spans="1:7" hidden="1" x14ac:dyDescent="0.25">
      <c r="A46" s="20">
        <v>44876</v>
      </c>
      <c r="B46" s="19" t="s">
        <v>42</v>
      </c>
      <c r="C46" s="19" t="s">
        <v>166</v>
      </c>
      <c r="D46" s="19">
        <v>1670</v>
      </c>
      <c r="E46" s="19">
        <v>2205</v>
      </c>
      <c r="F46" s="19">
        <v>2196</v>
      </c>
      <c r="G46" s="19">
        <v>12.9</v>
      </c>
    </row>
    <row r="47" spans="1:7" hidden="1" x14ac:dyDescent="0.25">
      <c r="A47" s="20">
        <v>44876</v>
      </c>
      <c r="B47" s="19" t="s">
        <v>96</v>
      </c>
      <c r="C47" s="19" t="s">
        <v>165</v>
      </c>
      <c r="D47" s="19">
        <v>0</v>
      </c>
      <c r="E47" s="19">
        <v>0</v>
      </c>
      <c r="F47" s="19">
        <v>0</v>
      </c>
      <c r="G47" s="19">
        <v>22978211</v>
      </c>
    </row>
    <row r="48" spans="1:7" hidden="1" x14ac:dyDescent="0.25">
      <c r="A48" s="20">
        <v>44876</v>
      </c>
      <c r="B48" s="19" t="s">
        <v>38</v>
      </c>
      <c r="C48" s="19" t="s">
        <v>165</v>
      </c>
      <c r="D48" s="19">
        <v>0</v>
      </c>
      <c r="E48" s="19">
        <v>0</v>
      </c>
      <c r="F48" s="19">
        <v>0</v>
      </c>
      <c r="G48" s="19">
        <v>15.49</v>
      </c>
    </row>
    <row r="49" spans="1:7" hidden="1" x14ac:dyDescent="0.25">
      <c r="A49" s="20">
        <v>44876</v>
      </c>
      <c r="B49" s="19" t="s">
        <v>93</v>
      </c>
      <c r="C49" s="19" t="s">
        <v>165</v>
      </c>
      <c r="D49" s="19">
        <v>0</v>
      </c>
      <c r="E49" s="19">
        <v>0</v>
      </c>
      <c r="F49" s="19">
        <v>0</v>
      </c>
      <c r="G49" s="19">
        <v>42.48</v>
      </c>
    </row>
    <row r="50" spans="1:7" hidden="1" x14ac:dyDescent="0.25">
      <c r="A50" s="20">
        <v>44876</v>
      </c>
      <c r="B50" s="19" t="s">
        <v>20</v>
      </c>
      <c r="C50" s="19" t="s">
        <v>165</v>
      </c>
      <c r="D50" s="19">
        <v>0</v>
      </c>
      <c r="E50" s="19">
        <v>0</v>
      </c>
      <c r="F50" s="19">
        <v>0</v>
      </c>
      <c r="G50" s="19">
        <v>13.99</v>
      </c>
    </row>
    <row r="51" spans="1:7" hidden="1" x14ac:dyDescent="0.25">
      <c r="A51" s="20">
        <v>44876</v>
      </c>
      <c r="B51" s="19" t="s">
        <v>21</v>
      </c>
      <c r="C51" s="19" t="s">
        <v>165</v>
      </c>
      <c r="D51" s="19">
        <v>0</v>
      </c>
      <c r="E51" s="19">
        <v>0</v>
      </c>
      <c r="F51" s="19">
        <v>0</v>
      </c>
      <c r="G51" s="19">
        <v>12.29</v>
      </c>
    </row>
    <row r="52" spans="1:7" hidden="1" x14ac:dyDescent="0.25">
      <c r="A52" s="20">
        <v>44876</v>
      </c>
      <c r="B52" s="19" t="s">
        <v>22</v>
      </c>
      <c r="C52" s="19" t="s">
        <v>165</v>
      </c>
      <c r="D52" s="19">
        <v>0</v>
      </c>
      <c r="E52" s="19">
        <v>0</v>
      </c>
      <c r="F52" s="19">
        <v>0</v>
      </c>
      <c r="G52" s="19">
        <v>18.809999999999999</v>
      </c>
    </row>
    <row r="53" spans="1:7" hidden="1" x14ac:dyDescent="0.25">
      <c r="A53" s="20">
        <v>44876</v>
      </c>
      <c r="B53" s="19" t="s">
        <v>85</v>
      </c>
      <c r="C53" s="19" t="s">
        <v>165</v>
      </c>
      <c r="D53" s="19">
        <v>0</v>
      </c>
      <c r="E53" s="19">
        <v>0</v>
      </c>
      <c r="F53" s="19">
        <v>0</v>
      </c>
      <c r="G53" s="19">
        <v>12.8</v>
      </c>
    </row>
    <row r="54" spans="1:7" hidden="1" x14ac:dyDescent="0.25">
      <c r="A54" s="20">
        <v>44876</v>
      </c>
      <c r="B54" s="19" t="s">
        <v>23</v>
      </c>
      <c r="C54" s="19" t="s">
        <v>165</v>
      </c>
      <c r="D54" s="19">
        <v>0</v>
      </c>
      <c r="E54" s="19">
        <v>0</v>
      </c>
      <c r="F54" s="19">
        <v>0</v>
      </c>
      <c r="G54" s="19">
        <v>12.39</v>
      </c>
    </row>
    <row r="55" spans="1:7" hidden="1" x14ac:dyDescent="0.25">
      <c r="A55" s="20">
        <v>44876</v>
      </c>
      <c r="B55" s="19" t="s">
        <v>24</v>
      </c>
      <c r="C55" s="19" t="s">
        <v>166</v>
      </c>
      <c r="D55" s="19">
        <v>2312</v>
      </c>
      <c r="E55" s="19">
        <v>2270</v>
      </c>
      <c r="F55" s="19">
        <v>2280</v>
      </c>
      <c r="G55" s="19">
        <v>12.5</v>
      </c>
    </row>
    <row r="56" spans="1:7" hidden="1" x14ac:dyDescent="0.25">
      <c r="A56" s="20">
        <v>44876</v>
      </c>
      <c r="B56" s="19" t="s">
        <v>81</v>
      </c>
      <c r="C56" s="19" t="s">
        <v>165</v>
      </c>
      <c r="D56" s="19">
        <v>0</v>
      </c>
      <c r="E56" s="19">
        <v>0</v>
      </c>
      <c r="F56" s="19">
        <v>0</v>
      </c>
      <c r="G56" s="19">
        <v>13.1</v>
      </c>
    </row>
    <row r="57" spans="1:7" hidden="1" x14ac:dyDescent="0.25">
      <c r="A57" s="20">
        <v>44876</v>
      </c>
      <c r="B57" s="19" t="s">
        <v>25</v>
      </c>
      <c r="C57" s="19" t="s">
        <v>165</v>
      </c>
      <c r="D57" s="19">
        <v>0</v>
      </c>
      <c r="E57" s="19">
        <v>0</v>
      </c>
      <c r="F57" s="19">
        <v>0</v>
      </c>
      <c r="G57" s="19">
        <v>13.5</v>
      </c>
    </row>
    <row r="58" spans="1:7" hidden="1" x14ac:dyDescent="0.25">
      <c r="A58" s="20">
        <v>44876</v>
      </c>
      <c r="B58" s="19" t="s">
        <v>80</v>
      </c>
      <c r="C58" s="19" t="s">
        <v>165</v>
      </c>
      <c r="D58" s="19">
        <v>0</v>
      </c>
      <c r="E58" s="19">
        <v>0</v>
      </c>
      <c r="F58" s="19">
        <v>0</v>
      </c>
      <c r="G58" s="19">
        <v>14.8</v>
      </c>
    </row>
    <row r="59" spans="1:7" hidden="1" x14ac:dyDescent="0.25">
      <c r="A59" s="20">
        <v>44876</v>
      </c>
      <c r="B59" s="19" t="s">
        <v>26</v>
      </c>
      <c r="C59" s="19" t="s">
        <v>165</v>
      </c>
      <c r="D59" s="19">
        <v>0</v>
      </c>
      <c r="E59" s="19">
        <v>0</v>
      </c>
      <c r="F59" s="19">
        <v>0</v>
      </c>
      <c r="G59" s="19">
        <v>13.79</v>
      </c>
    </row>
    <row r="60" spans="1:7" hidden="1" x14ac:dyDescent="0.25">
      <c r="A60" s="20">
        <v>44876</v>
      </c>
      <c r="B60" s="19" t="s">
        <v>27</v>
      </c>
      <c r="C60" s="19" t="s">
        <v>165</v>
      </c>
      <c r="D60" s="19">
        <v>0</v>
      </c>
      <c r="E60" s="19">
        <v>0</v>
      </c>
      <c r="F60" s="19">
        <v>0</v>
      </c>
      <c r="G60" s="19">
        <v>12.49</v>
      </c>
    </row>
    <row r="61" spans="1:7" hidden="1" x14ac:dyDescent="0.25">
      <c r="A61" s="20">
        <v>44876</v>
      </c>
      <c r="B61" s="19" t="s">
        <v>28</v>
      </c>
      <c r="C61" s="19" t="s">
        <v>165</v>
      </c>
      <c r="D61" s="19">
        <v>0</v>
      </c>
      <c r="E61" s="19">
        <v>0</v>
      </c>
      <c r="F61" s="19">
        <v>0</v>
      </c>
      <c r="G61" s="19">
        <v>13.6</v>
      </c>
    </row>
    <row r="62" spans="1:7" hidden="1" x14ac:dyDescent="0.25">
      <c r="A62" s="20">
        <v>44876</v>
      </c>
      <c r="B62" s="19" t="s">
        <v>77</v>
      </c>
      <c r="C62" s="19" t="s">
        <v>165</v>
      </c>
      <c r="D62" s="19">
        <v>0</v>
      </c>
      <c r="E62" s="19">
        <v>0</v>
      </c>
      <c r="F62" s="19">
        <v>0</v>
      </c>
      <c r="G62" s="19">
        <v>14.89</v>
      </c>
    </row>
    <row r="63" spans="1:7" hidden="1" x14ac:dyDescent="0.25">
      <c r="A63" s="20">
        <v>44876</v>
      </c>
      <c r="B63" s="19" t="s">
        <v>29</v>
      </c>
      <c r="C63" s="19" t="s">
        <v>166</v>
      </c>
      <c r="D63" s="19">
        <v>1462</v>
      </c>
      <c r="E63" s="19">
        <v>1910</v>
      </c>
      <c r="F63" s="19">
        <v>1955</v>
      </c>
      <c r="G63" s="19">
        <v>14.89</v>
      </c>
    </row>
    <row r="64" spans="1:7" hidden="1" x14ac:dyDescent="0.25">
      <c r="A64" s="20">
        <v>44876</v>
      </c>
      <c r="B64" s="19" t="s">
        <v>30</v>
      </c>
      <c r="C64" s="19" t="s">
        <v>165</v>
      </c>
      <c r="D64" s="19">
        <v>0</v>
      </c>
      <c r="E64" s="19">
        <v>0</v>
      </c>
      <c r="F64" s="19">
        <v>0</v>
      </c>
      <c r="G64" s="19">
        <v>13.49</v>
      </c>
    </row>
    <row r="65" spans="1:7" hidden="1" x14ac:dyDescent="0.25">
      <c r="A65" s="20">
        <v>44876</v>
      </c>
      <c r="B65" s="19" t="s">
        <v>31</v>
      </c>
      <c r="C65" s="19" t="s">
        <v>165</v>
      </c>
      <c r="D65" s="19">
        <v>0</v>
      </c>
      <c r="E65" s="19">
        <v>0</v>
      </c>
      <c r="F65" s="19">
        <v>0</v>
      </c>
      <c r="G65" s="19">
        <v>13.5</v>
      </c>
    </row>
    <row r="66" spans="1:7" hidden="1" x14ac:dyDescent="0.25">
      <c r="A66" s="20">
        <v>44876</v>
      </c>
      <c r="B66" s="19" t="s">
        <v>32</v>
      </c>
      <c r="C66" s="19" t="s">
        <v>165</v>
      </c>
      <c r="D66" s="19">
        <v>0</v>
      </c>
      <c r="E66" s="19">
        <v>0</v>
      </c>
      <c r="F66" s="19">
        <v>0</v>
      </c>
      <c r="G66" s="19">
        <v>13.4</v>
      </c>
    </row>
    <row r="67" spans="1:7" hidden="1" x14ac:dyDescent="0.25">
      <c r="A67" s="20">
        <v>44876</v>
      </c>
      <c r="B67" s="19" t="s">
        <v>71</v>
      </c>
      <c r="C67" s="19" t="s">
        <v>165</v>
      </c>
      <c r="D67" s="19">
        <v>0</v>
      </c>
      <c r="E67" s="19">
        <v>0</v>
      </c>
      <c r="F67" s="19">
        <v>0</v>
      </c>
      <c r="G67" s="19">
        <v>12.89</v>
      </c>
    </row>
    <row r="68" spans="1:7" hidden="1" x14ac:dyDescent="0.25">
      <c r="A68" s="20">
        <v>44876</v>
      </c>
      <c r="B68" s="19" t="s">
        <v>33</v>
      </c>
      <c r="C68" s="19" t="s">
        <v>165</v>
      </c>
      <c r="D68" s="19">
        <v>0</v>
      </c>
      <c r="E68" s="19">
        <v>0</v>
      </c>
      <c r="F68" s="19">
        <v>0</v>
      </c>
      <c r="G68" s="19">
        <v>12</v>
      </c>
    </row>
    <row r="69" spans="1:7" hidden="1" x14ac:dyDescent="0.25">
      <c r="A69" s="20">
        <v>44876</v>
      </c>
      <c r="B69" s="19" t="s">
        <v>34</v>
      </c>
      <c r="C69" s="19" t="s">
        <v>165</v>
      </c>
      <c r="D69" s="19">
        <v>0</v>
      </c>
      <c r="E69" s="19">
        <v>0</v>
      </c>
      <c r="F69" s="19">
        <v>0</v>
      </c>
      <c r="G69" s="19">
        <v>14.89</v>
      </c>
    </row>
    <row r="70" spans="1:7" hidden="1" x14ac:dyDescent="0.25">
      <c r="A70" s="20">
        <v>44876</v>
      </c>
      <c r="B70" s="19" t="s">
        <v>35</v>
      </c>
      <c r="C70" s="19" t="s">
        <v>165</v>
      </c>
      <c r="D70" s="19">
        <v>0</v>
      </c>
      <c r="E70" s="19">
        <v>0</v>
      </c>
      <c r="F70" s="19">
        <v>0</v>
      </c>
      <c r="G70" s="19">
        <v>13.59</v>
      </c>
    </row>
    <row r="71" spans="1:7" hidden="1" x14ac:dyDescent="0.25">
      <c r="A71" s="20">
        <v>44876</v>
      </c>
      <c r="B71" s="19" t="s">
        <v>65</v>
      </c>
      <c r="C71" s="19" t="s">
        <v>165</v>
      </c>
      <c r="D71" s="19">
        <v>0</v>
      </c>
      <c r="E71" s="19">
        <v>0</v>
      </c>
      <c r="F71" s="19">
        <v>0</v>
      </c>
      <c r="G71" s="19">
        <v>17.23</v>
      </c>
    </row>
    <row r="72" spans="1:7" hidden="1" x14ac:dyDescent="0.25">
      <c r="A72" s="20">
        <v>44876</v>
      </c>
      <c r="B72" s="19" t="s">
        <v>36</v>
      </c>
      <c r="C72" s="19" t="s">
        <v>165</v>
      </c>
      <c r="D72" s="19">
        <v>0</v>
      </c>
      <c r="E72" s="19">
        <v>0</v>
      </c>
      <c r="F72" s="19">
        <v>0</v>
      </c>
      <c r="G72" s="19">
        <v>12.3</v>
      </c>
    </row>
    <row r="73" spans="1:7" hidden="1" x14ac:dyDescent="0.25">
      <c r="A73" s="20">
        <v>44876</v>
      </c>
      <c r="B73" s="19" t="s">
        <v>64</v>
      </c>
      <c r="C73" s="19" t="s">
        <v>165</v>
      </c>
      <c r="D73" s="19">
        <v>0</v>
      </c>
      <c r="E73" s="19">
        <v>0</v>
      </c>
      <c r="F73" s="19">
        <v>0</v>
      </c>
      <c r="G73" s="19">
        <v>0</v>
      </c>
    </row>
    <row r="74" spans="1:7" hidden="1" x14ac:dyDescent="0.25">
      <c r="A74" s="20">
        <v>44876</v>
      </c>
      <c r="B74" s="19" t="s">
        <v>37</v>
      </c>
      <c r="C74" s="19" t="s">
        <v>165</v>
      </c>
      <c r="D74" s="19">
        <v>0</v>
      </c>
      <c r="E74" s="19">
        <v>0</v>
      </c>
      <c r="F74" s="19">
        <v>0</v>
      </c>
      <c r="G74" s="19">
        <v>38.630000000000003</v>
      </c>
    </row>
    <row r="75" spans="1:7" hidden="1" x14ac:dyDescent="0.25">
      <c r="A75" s="20">
        <v>44876</v>
      </c>
      <c r="B75" s="19" t="s">
        <v>63</v>
      </c>
      <c r="C75" s="19" t="s">
        <v>165</v>
      </c>
      <c r="D75" s="19">
        <v>0</v>
      </c>
      <c r="E75" s="19">
        <v>0</v>
      </c>
      <c r="F75" s="19">
        <v>0</v>
      </c>
      <c r="G75" s="19">
        <v>12.89</v>
      </c>
    </row>
    <row r="76" spans="1:7" hidden="1" x14ac:dyDescent="0.25">
      <c r="A76" s="20">
        <v>44876</v>
      </c>
      <c r="B76" s="19" t="s">
        <v>59</v>
      </c>
      <c r="C76" s="19" t="s">
        <v>165</v>
      </c>
      <c r="D76" s="19">
        <v>0</v>
      </c>
      <c r="E76" s="19">
        <v>0</v>
      </c>
      <c r="F76" s="19">
        <v>0</v>
      </c>
      <c r="G76" s="19">
        <v>41.56</v>
      </c>
    </row>
    <row r="77" spans="1:7" hidden="1" x14ac:dyDescent="0.25">
      <c r="A77" s="20">
        <v>44876</v>
      </c>
      <c r="B77" s="19" t="s">
        <v>54</v>
      </c>
      <c r="C77" s="19" t="s">
        <v>165</v>
      </c>
      <c r="D77" s="19">
        <v>0</v>
      </c>
      <c r="E77" s="19">
        <v>0</v>
      </c>
      <c r="F77" s="19">
        <v>0</v>
      </c>
      <c r="G77" s="19">
        <v>34.83</v>
      </c>
    </row>
    <row r="78" spans="1:7" x14ac:dyDescent="0.25">
      <c r="A78" s="20">
        <v>44877</v>
      </c>
      <c r="B78" s="19" t="s">
        <v>160</v>
      </c>
      <c r="C78" s="19" t="s">
        <v>165</v>
      </c>
      <c r="D78" s="19">
        <v>0</v>
      </c>
      <c r="E78" s="19">
        <v>0</v>
      </c>
      <c r="F78" s="19">
        <v>0</v>
      </c>
      <c r="G78" s="19">
        <v>0</v>
      </c>
    </row>
    <row r="79" spans="1:7" x14ac:dyDescent="0.25">
      <c r="A79" s="20">
        <v>44877</v>
      </c>
      <c r="B79" s="19" t="s">
        <v>158</v>
      </c>
      <c r="C79" s="19" t="s">
        <v>165</v>
      </c>
      <c r="D79" s="19">
        <v>0</v>
      </c>
      <c r="E79" s="19">
        <v>0</v>
      </c>
      <c r="F79" s="19">
        <v>0</v>
      </c>
      <c r="G79" s="19">
        <v>12.3</v>
      </c>
    </row>
    <row r="80" spans="1:7" x14ac:dyDescent="0.25">
      <c r="A80" s="20">
        <v>44877</v>
      </c>
      <c r="B80" s="19" t="s">
        <v>157</v>
      </c>
      <c r="C80" s="19" t="s">
        <v>165</v>
      </c>
      <c r="D80" s="19">
        <v>0</v>
      </c>
      <c r="E80" s="19">
        <v>0</v>
      </c>
      <c r="F80" s="19">
        <v>0</v>
      </c>
      <c r="G80" s="19">
        <v>0</v>
      </c>
    </row>
    <row r="81" spans="1:7" x14ac:dyDescent="0.25">
      <c r="A81" s="20">
        <v>44877</v>
      </c>
      <c r="B81" s="19" t="s">
        <v>155</v>
      </c>
      <c r="C81" s="19" t="s">
        <v>165</v>
      </c>
      <c r="D81" s="19">
        <v>0</v>
      </c>
      <c r="E81" s="19">
        <v>0</v>
      </c>
      <c r="F81" s="19">
        <v>0</v>
      </c>
      <c r="G81" s="19">
        <v>38.36</v>
      </c>
    </row>
    <row r="82" spans="1:7" x14ac:dyDescent="0.25">
      <c r="A82" s="20">
        <v>44877</v>
      </c>
      <c r="B82" s="19" t="s">
        <v>153</v>
      </c>
      <c r="C82" s="19" t="s">
        <v>165</v>
      </c>
      <c r="D82" s="19">
        <v>0</v>
      </c>
      <c r="E82" s="19">
        <v>0</v>
      </c>
      <c r="F82" s="19">
        <v>0</v>
      </c>
      <c r="G82" s="19">
        <v>23.93</v>
      </c>
    </row>
    <row r="83" spans="1:7" x14ac:dyDescent="0.25">
      <c r="A83" s="20">
        <v>44877</v>
      </c>
      <c r="B83" s="19" t="s">
        <v>152</v>
      </c>
      <c r="C83" s="19" t="s">
        <v>165</v>
      </c>
      <c r="D83" s="19">
        <v>0</v>
      </c>
      <c r="E83" s="19">
        <v>0</v>
      </c>
      <c r="F83" s="19">
        <v>0</v>
      </c>
      <c r="G83" s="19">
        <v>19.399999999999999</v>
      </c>
    </row>
    <row r="84" spans="1:7" x14ac:dyDescent="0.25">
      <c r="A84" s="20">
        <v>44877</v>
      </c>
      <c r="B84" s="19" t="s">
        <v>150</v>
      </c>
      <c r="C84" s="19" t="s">
        <v>165</v>
      </c>
      <c r="D84" s="19">
        <v>0</v>
      </c>
      <c r="E84" s="19">
        <v>0</v>
      </c>
      <c r="F84" s="19">
        <v>0</v>
      </c>
      <c r="G84" s="19">
        <v>41.56</v>
      </c>
    </row>
    <row r="85" spans="1:7" x14ac:dyDescent="0.25">
      <c r="A85" s="20">
        <v>44877</v>
      </c>
      <c r="B85" s="19" t="s">
        <v>40</v>
      </c>
      <c r="C85" s="19" t="s">
        <v>166</v>
      </c>
      <c r="D85" s="19">
        <v>2246</v>
      </c>
      <c r="E85" s="19">
        <v>2353</v>
      </c>
      <c r="F85" s="19">
        <v>2267</v>
      </c>
      <c r="G85" s="19">
        <v>12.6</v>
      </c>
    </row>
    <row r="86" spans="1:7" x14ac:dyDescent="0.25">
      <c r="A86" s="20">
        <v>44877</v>
      </c>
      <c r="B86" s="19" t="s">
        <v>147</v>
      </c>
      <c r="C86" s="19" t="s">
        <v>165</v>
      </c>
      <c r="D86" s="19">
        <v>0</v>
      </c>
      <c r="E86" s="19">
        <v>0</v>
      </c>
      <c r="F86" s="19">
        <v>0</v>
      </c>
      <c r="G86" s="19">
        <v>18.899999999999999</v>
      </c>
    </row>
    <row r="87" spans="1:7" x14ac:dyDescent="0.25">
      <c r="A87" s="20">
        <v>44877</v>
      </c>
      <c r="B87" s="19" t="s">
        <v>143</v>
      </c>
      <c r="C87" s="19" t="s">
        <v>165</v>
      </c>
      <c r="D87" s="19">
        <v>0</v>
      </c>
      <c r="E87" s="19">
        <v>0</v>
      </c>
      <c r="F87" s="19">
        <v>0</v>
      </c>
      <c r="G87" s="19">
        <v>39217084</v>
      </c>
    </row>
    <row r="88" spans="1:7" x14ac:dyDescent="0.25">
      <c r="A88" s="20">
        <v>44877</v>
      </c>
      <c r="B88" s="19" t="s">
        <v>141</v>
      </c>
      <c r="C88" s="19" t="s">
        <v>165</v>
      </c>
      <c r="D88" s="19">
        <v>0</v>
      </c>
      <c r="E88" s="19">
        <v>0</v>
      </c>
      <c r="F88" s="19">
        <v>0</v>
      </c>
      <c r="G88" s="19">
        <v>19.93</v>
      </c>
    </row>
    <row r="89" spans="1:7" x14ac:dyDescent="0.25">
      <c r="A89" s="20">
        <v>44877</v>
      </c>
      <c r="B89" s="19" t="s">
        <v>139</v>
      </c>
      <c r="C89" s="19" t="s">
        <v>165</v>
      </c>
      <c r="D89" s="19">
        <v>0</v>
      </c>
      <c r="E89" s="19">
        <v>0</v>
      </c>
      <c r="F89" s="19">
        <v>0</v>
      </c>
      <c r="G89" s="19">
        <v>91.6</v>
      </c>
    </row>
    <row r="90" spans="1:7" x14ac:dyDescent="0.25">
      <c r="A90" s="20">
        <v>44877</v>
      </c>
      <c r="B90" s="19" t="s">
        <v>138</v>
      </c>
      <c r="C90" s="19" t="s">
        <v>165</v>
      </c>
      <c r="D90" s="19">
        <v>0</v>
      </c>
      <c r="E90" s="19">
        <v>0</v>
      </c>
      <c r="F90" s="19">
        <v>0</v>
      </c>
      <c r="G90" s="19">
        <v>41.75</v>
      </c>
    </row>
    <row r="91" spans="1:7" x14ac:dyDescent="0.25">
      <c r="A91" s="20">
        <v>44877</v>
      </c>
      <c r="B91" s="19" t="s">
        <v>136</v>
      </c>
      <c r="C91" s="19" t="s">
        <v>165</v>
      </c>
      <c r="D91" s="19">
        <v>0</v>
      </c>
      <c r="E91" s="19">
        <v>0</v>
      </c>
      <c r="F91" s="19">
        <v>0</v>
      </c>
      <c r="G91" s="19">
        <v>11.66</v>
      </c>
    </row>
    <row r="92" spans="1:7" x14ac:dyDescent="0.25">
      <c r="A92" s="20">
        <v>44877</v>
      </c>
      <c r="B92" s="19" t="s">
        <v>39</v>
      </c>
      <c r="C92" s="19" t="s">
        <v>165</v>
      </c>
      <c r="D92" s="19">
        <v>0</v>
      </c>
      <c r="E92" s="19">
        <v>0</v>
      </c>
      <c r="F92" s="19">
        <v>0</v>
      </c>
      <c r="G92" s="19">
        <v>22.19</v>
      </c>
    </row>
    <row r="93" spans="1:7" x14ac:dyDescent="0.25">
      <c r="A93" s="20">
        <v>44877</v>
      </c>
      <c r="B93" s="19" t="s">
        <v>132</v>
      </c>
      <c r="C93" s="19" t="s">
        <v>165</v>
      </c>
      <c r="D93" s="19">
        <v>0</v>
      </c>
      <c r="E93" s="19">
        <v>0</v>
      </c>
      <c r="F93" s="19">
        <v>0</v>
      </c>
      <c r="G93" s="19">
        <v>41.13</v>
      </c>
    </row>
    <row r="94" spans="1:7" x14ac:dyDescent="0.25">
      <c r="A94" s="20">
        <v>44877</v>
      </c>
      <c r="B94" s="19" t="s">
        <v>128</v>
      </c>
      <c r="C94" s="19" t="s">
        <v>165</v>
      </c>
      <c r="D94" s="19">
        <v>0</v>
      </c>
      <c r="E94" s="19">
        <v>0</v>
      </c>
      <c r="F94" s="19">
        <v>0</v>
      </c>
      <c r="G94" s="19">
        <v>23.7</v>
      </c>
    </row>
    <row r="95" spans="1:7" x14ac:dyDescent="0.25">
      <c r="A95" s="20">
        <v>44877</v>
      </c>
      <c r="B95" s="19" t="s">
        <v>126</v>
      </c>
      <c r="C95" s="19" t="s">
        <v>165</v>
      </c>
      <c r="D95" s="19">
        <v>0</v>
      </c>
      <c r="E95" s="19">
        <v>0</v>
      </c>
      <c r="F95" s="19">
        <v>0</v>
      </c>
      <c r="G95" s="19">
        <v>41.18</v>
      </c>
    </row>
    <row r="96" spans="1:7" x14ac:dyDescent="0.25">
      <c r="A96" s="20">
        <v>44877</v>
      </c>
      <c r="B96" s="19" t="s">
        <v>123</v>
      </c>
      <c r="C96" s="19" t="s">
        <v>165</v>
      </c>
      <c r="D96" s="19">
        <v>0</v>
      </c>
      <c r="E96" s="19">
        <v>0</v>
      </c>
      <c r="F96" s="19">
        <v>0</v>
      </c>
      <c r="G96" s="19">
        <v>13.79</v>
      </c>
    </row>
    <row r="97" spans="1:7" x14ac:dyDescent="0.25">
      <c r="A97" s="20">
        <v>44877</v>
      </c>
      <c r="B97" s="19" t="s">
        <v>41</v>
      </c>
      <c r="C97" s="19" t="s">
        <v>166</v>
      </c>
      <c r="D97" s="19">
        <v>2249</v>
      </c>
      <c r="E97" s="19">
        <v>2250</v>
      </c>
      <c r="F97" s="19">
        <v>2241</v>
      </c>
      <c r="G97" s="19">
        <v>12.79</v>
      </c>
    </row>
    <row r="98" spans="1:7" x14ac:dyDescent="0.25">
      <c r="A98" s="20">
        <v>44877</v>
      </c>
      <c r="B98" s="19" t="s">
        <v>43</v>
      </c>
      <c r="C98" s="19" t="s">
        <v>165</v>
      </c>
      <c r="D98" s="19">
        <v>0</v>
      </c>
      <c r="E98" s="19">
        <v>0</v>
      </c>
      <c r="F98" s="19">
        <v>0</v>
      </c>
      <c r="G98" s="19">
        <v>16.36</v>
      </c>
    </row>
    <row r="99" spans="1:7" x14ac:dyDescent="0.25">
      <c r="A99" s="20">
        <v>44877</v>
      </c>
      <c r="B99" s="19" t="s">
        <v>5</v>
      </c>
      <c r="C99" s="19" t="s">
        <v>166</v>
      </c>
      <c r="D99" s="19">
        <v>1763</v>
      </c>
      <c r="E99" s="19">
        <v>1836</v>
      </c>
      <c r="F99" s="19">
        <v>2065</v>
      </c>
      <c r="G99" s="19">
        <v>13</v>
      </c>
    </row>
    <row r="100" spans="1:7" x14ac:dyDescent="0.25">
      <c r="A100" s="20">
        <v>44877</v>
      </c>
      <c r="B100" s="19" t="s">
        <v>9</v>
      </c>
      <c r="C100" s="19" t="s">
        <v>165</v>
      </c>
      <c r="D100" s="19">
        <v>0</v>
      </c>
      <c r="E100" s="19">
        <v>0</v>
      </c>
      <c r="F100" s="19">
        <v>0</v>
      </c>
      <c r="G100" s="19">
        <v>13.49</v>
      </c>
    </row>
    <row r="101" spans="1:7" x14ac:dyDescent="0.25">
      <c r="A101" s="20">
        <v>44877</v>
      </c>
      <c r="B101" s="19" t="s">
        <v>10</v>
      </c>
      <c r="C101" s="19" t="s">
        <v>165</v>
      </c>
      <c r="D101" s="19">
        <v>0</v>
      </c>
      <c r="E101" s="19">
        <v>0</v>
      </c>
      <c r="F101" s="19">
        <v>0</v>
      </c>
      <c r="G101" s="19">
        <v>14.55</v>
      </c>
    </row>
    <row r="102" spans="1:7" x14ac:dyDescent="0.25">
      <c r="A102" s="20">
        <v>44877</v>
      </c>
      <c r="B102" s="19" t="s">
        <v>11</v>
      </c>
      <c r="C102" s="19" t="s">
        <v>165</v>
      </c>
      <c r="D102" s="19">
        <v>0</v>
      </c>
      <c r="E102" s="19">
        <v>0</v>
      </c>
      <c r="F102" s="21">
        <v>0</v>
      </c>
      <c r="G102" s="21">
        <v>12.79</v>
      </c>
    </row>
    <row r="103" spans="1:7" x14ac:dyDescent="0.25">
      <c r="A103" s="20">
        <v>44877</v>
      </c>
      <c r="B103" s="19" t="s">
        <v>12</v>
      </c>
      <c r="C103" s="19" t="s">
        <v>165</v>
      </c>
      <c r="D103" s="19">
        <v>0</v>
      </c>
      <c r="E103" s="19">
        <v>0</v>
      </c>
      <c r="F103" s="19">
        <v>0</v>
      </c>
      <c r="G103" s="19">
        <v>12.55</v>
      </c>
    </row>
    <row r="104" spans="1:7" x14ac:dyDescent="0.25">
      <c r="A104" s="20">
        <v>44877</v>
      </c>
      <c r="B104" s="19" t="s">
        <v>120</v>
      </c>
      <c r="C104" s="19" t="s">
        <v>165</v>
      </c>
      <c r="D104" s="19">
        <v>0</v>
      </c>
      <c r="E104" s="19">
        <v>0</v>
      </c>
      <c r="F104" s="19">
        <v>0</v>
      </c>
      <c r="G104" s="19">
        <v>12.39</v>
      </c>
    </row>
    <row r="105" spans="1:7" x14ac:dyDescent="0.25">
      <c r="A105" s="20">
        <v>44877</v>
      </c>
      <c r="B105" s="19" t="s">
        <v>119</v>
      </c>
      <c r="C105" s="19" t="s">
        <v>165</v>
      </c>
      <c r="D105" s="19">
        <v>0</v>
      </c>
      <c r="E105" s="19">
        <v>0</v>
      </c>
      <c r="F105" s="19">
        <v>0</v>
      </c>
      <c r="G105" s="19">
        <v>15.71</v>
      </c>
    </row>
    <row r="106" spans="1:7" x14ac:dyDescent="0.25">
      <c r="A106" s="20">
        <v>44877</v>
      </c>
      <c r="B106" s="19" t="s">
        <v>13</v>
      </c>
      <c r="C106" s="19" t="s">
        <v>166</v>
      </c>
      <c r="D106" s="19">
        <v>2290</v>
      </c>
      <c r="E106" s="19">
        <v>2179</v>
      </c>
      <c r="F106" s="19">
        <v>2295</v>
      </c>
      <c r="G106" s="19">
        <v>12.6</v>
      </c>
    </row>
    <row r="107" spans="1:7" x14ac:dyDescent="0.25">
      <c r="A107" s="20">
        <v>44877</v>
      </c>
      <c r="B107" s="19" t="s">
        <v>117</v>
      </c>
      <c r="C107" s="19" t="s">
        <v>165</v>
      </c>
      <c r="D107" s="19">
        <v>0</v>
      </c>
      <c r="E107" s="19">
        <v>0</v>
      </c>
      <c r="F107" s="19">
        <v>0</v>
      </c>
      <c r="G107" s="19">
        <v>23.57</v>
      </c>
    </row>
    <row r="108" spans="1:7" x14ac:dyDescent="0.25">
      <c r="A108" s="20">
        <v>44877</v>
      </c>
      <c r="B108" s="19" t="s">
        <v>114</v>
      </c>
      <c r="C108" s="19" t="s">
        <v>166</v>
      </c>
      <c r="D108" s="19">
        <v>2237</v>
      </c>
      <c r="E108" s="19">
        <v>2205</v>
      </c>
      <c r="F108" s="19">
        <v>2241</v>
      </c>
      <c r="G108" s="19">
        <v>12.9</v>
      </c>
    </row>
    <row r="109" spans="1:7" x14ac:dyDescent="0.25">
      <c r="A109" s="20">
        <v>44877</v>
      </c>
      <c r="B109" s="19" t="s">
        <v>112</v>
      </c>
      <c r="C109" s="19" t="s">
        <v>165</v>
      </c>
      <c r="D109" s="19">
        <v>0</v>
      </c>
      <c r="E109" s="19">
        <v>0</v>
      </c>
      <c r="F109" s="19">
        <v>0</v>
      </c>
      <c r="G109" s="19">
        <v>0</v>
      </c>
    </row>
    <row r="110" spans="1:7" x14ac:dyDescent="0.25">
      <c r="A110" s="20">
        <v>44877</v>
      </c>
      <c r="B110" s="19" t="s">
        <v>110</v>
      </c>
      <c r="C110" s="19" t="s">
        <v>165</v>
      </c>
      <c r="D110" s="19">
        <v>0</v>
      </c>
      <c r="E110" s="19">
        <v>0</v>
      </c>
      <c r="F110" s="19">
        <v>0</v>
      </c>
      <c r="G110" s="19">
        <v>26.09</v>
      </c>
    </row>
    <row r="111" spans="1:7" x14ac:dyDescent="0.25">
      <c r="A111" s="20">
        <v>44877</v>
      </c>
      <c r="B111" s="19" t="s">
        <v>108</v>
      </c>
      <c r="C111" s="19" t="s">
        <v>165</v>
      </c>
      <c r="D111" s="19">
        <v>0</v>
      </c>
      <c r="E111" s="19">
        <v>0</v>
      </c>
      <c r="F111" s="19">
        <v>0</v>
      </c>
      <c r="G111" s="19">
        <v>22.17</v>
      </c>
    </row>
    <row r="112" spans="1:7" x14ac:dyDescent="0.25">
      <c r="A112" s="20">
        <v>44877</v>
      </c>
      <c r="B112" s="19" t="s">
        <v>14</v>
      </c>
      <c r="C112" s="19" t="s">
        <v>165</v>
      </c>
      <c r="D112" s="19">
        <v>0</v>
      </c>
      <c r="E112" s="19">
        <v>0</v>
      </c>
      <c r="F112" s="19">
        <v>0</v>
      </c>
      <c r="G112" s="19">
        <v>12.79</v>
      </c>
    </row>
    <row r="113" spans="1:7" x14ac:dyDescent="0.25">
      <c r="A113" s="20">
        <v>44877</v>
      </c>
      <c r="B113" s="19" t="s">
        <v>104</v>
      </c>
      <c r="C113" s="19" t="s">
        <v>165</v>
      </c>
      <c r="D113" s="19">
        <v>0</v>
      </c>
      <c r="E113" s="19">
        <v>0</v>
      </c>
      <c r="F113" s="19">
        <v>0</v>
      </c>
      <c r="G113" s="19">
        <v>0</v>
      </c>
    </row>
    <row r="114" spans="1:7" x14ac:dyDescent="0.25">
      <c r="A114" s="20">
        <v>44877</v>
      </c>
      <c r="B114" s="19" t="s">
        <v>15</v>
      </c>
      <c r="C114" s="19" t="s">
        <v>165</v>
      </c>
      <c r="D114" s="19">
        <v>0</v>
      </c>
      <c r="E114" s="19">
        <v>0</v>
      </c>
      <c r="F114" s="19">
        <v>0</v>
      </c>
      <c r="G114" s="19">
        <v>12.59</v>
      </c>
    </row>
    <row r="115" spans="1:7" x14ac:dyDescent="0.25">
      <c r="A115" s="20">
        <v>44877</v>
      </c>
      <c r="B115" s="19" t="s">
        <v>101</v>
      </c>
      <c r="C115" s="19" t="s">
        <v>165</v>
      </c>
      <c r="D115" s="19">
        <v>0</v>
      </c>
      <c r="E115" s="19">
        <v>0</v>
      </c>
      <c r="F115" s="19">
        <v>0</v>
      </c>
      <c r="G115" s="19">
        <v>17.23</v>
      </c>
    </row>
    <row r="116" spans="1:7" x14ac:dyDescent="0.25">
      <c r="A116" s="20">
        <v>44877</v>
      </c>
      <c r="B116" s="19" t="s">
        <v>16</v>
      </c>
      <c r="C116" s="19" t="s">
        <v>165</v>
      </c>
      <c r="D116" s="19">
        <v>0</v>
      </c>
      <c r="E116" s="19">
        <v>0</v>
      </c>
      <c r="F116" s="19">
        <v>0</v>
      </c>
      <c r="G116" s="19">
        <v>13</v>
      </c>
    </row>
    <row r="117" spans="1:7" x14ac:dyDescent="0.25">
      <c r="A117" s="20">
        <v>44877</v>
      </c>
      <c r="B117" s="19" t="s">
        <v>99</v>
      </c>
      <c r="C117" s="19" t="s">
        <v>165</v>
      </c>
      <c r="D117" s="19">
        <v>0</v>
      </c>
      <c r="E117" s="19">
        <v>0</v>
      </c>
      <c r="F117" s="19">
        <v>0</v>
      </c>
      <c r="G117" s="19">
        <v>38.08</v>
      </c>
    </row>
    <row r="118" spans="1:7" x14ac:dyDescent="0.25">
      <c r="A118" s="20">
        <v>44877</v>
      </c>
      <c r="B118" s="19" t="s">
        <v>17</v>
      </c>
      <c r="C118" s="19" t="s">
        <v>166</v>
      </c>
      <c r="D118" s="19">
        <v>1633</v>
      </c>
      <c r="E118" s="19">
        <v>2217</v>
      </c>
      <c r="F118" s="19">
        <v>2242</v>
      </c>
      <c r="G118" s="19">
        <v>12.9</v>
      </c>
    </row>
    <row r="119" spans="1:7" x14ac:dyDescent="0.25">
      <c r="A119" s="20">
        <v>44877</v>
      </c>
      <c r="B119" s="19" t="s">
        <v>19</v>
      </c>
      <c r="C119" s="19" t="s">
        <v>165</v>
      </c>
      <c r="D119" s="19">
        <v>0</v>
      </c>
      <c r="E119" s="19">
        <v>0</v>
      </c>
      <c r="F119" s="19">
        <v>0</v>
      </c>
      <c r="G119" s="19">
        <v>14.8</v>
      </c>
    </row>
    <row r="120" spans="1:7" x14ac:dyDescent="0.25">
      <c r="A120" s="20">
        <v>44877</v>
      </c>
      <c r="B120" s="19" t="s">
        <v>18</v>
      </c>
      <c r="C120" s="19" t="s">
        <v>166</v>
      </c>
      <c r="D120" s="19">
        <v>2270</v>
      </c>
      <c r="E120" s="19">
        <v>2250</v>
      </c>
      <c r="F120" s="19">
        <v>2269</v>
      </c>
      <c r="G120" s="19">
        <v>12.7</v>
      </c>
    </row>
    <row r="121" spans="1:7" x14ac:dyDescent="0.25">
      <c r="A121" s="20">
        <v>44877</v>
      </c>
      <c r="B121" s="19" t="s">
        <v>97</v>
      </c>
      <c r="C121" s="19" t="s">
        <v>165</v>
      </c>
      <c r="D121" s="19">
        <v>0</v>
      </c>
      <c r="E121" s="19">
        <v>0</v>
      </c>
      <c r="F121" s="19">
        <v>0</v>
      </c>
      <c r="G121" s="19">
        <v>0</v>
      </c>
    </row>
    <row r="122" spans="1:7" x14ac:dyDescent="0.25">
      <c r="A122" s="20">
        <v>44877</v>
      </c>
      <c r="B122" s="19" t="s">
        <v>42</v>
      </c>
      <c r="C122" s="19" t="s">
        <v>166</v>
      </c>
      <c r="D122" s="19">
        <v>2242</v>
      </c>
      <c r="E122" s="19">
        <v>2221</v>
      </c>
      <c r="F122" s="19">
        <v>2232</v>
      </c>
      <c r="G122" s="19">
        <v>12.9</v>
      </c>
    </row>
    <row r="123" spans="1:7" x14ac:dyDescent="0.25">
      <c r="A123" s="20">
        <v>44877</v>
      </c>
      <c r="B123" s="19" t="s">
        <v>96</v>
      </c>
      <c r="C123" s="19" t="s">
        <v>165</v>
      </c>
      <c r="D123" s="19">
        <v>0</v>
      </c>
      <c r="E123" s="19">
        <v>0</v>
      </c>
      <c r="F123" s="19">
        <v>0</v>
      </c>
      <c r="G123" s="19">
        <v>22978211</v>
      </c>
    </row>
    <row r="124" spans="1:7" x14ac:dyDescent="0.25">
      <c r="A124" s="20">
        <v>44877</v>
      </c>
      <c r="B124" s="19" t="s">
        <v>38</v>
      </c>
      <c r="C124" s="19" t="s">
        <v>165</v>
      </c>
      <c r="D124" s="19">
        <v>0</v>
      </c>
      <c r="E124" s="19">
        <v>0</v>
      </c>
      <c r="F124" s="19">
        <v>0</v>
      </c>
      <c r="G124" s="19">
        <v>15.49</v>
      </c>
    </row>
    <row r="125" spans="1:7" x14ac:dyDescent="0.25">
      <c r="A125" s="20">
        <v>44877</v>
      </c>
      <c r="B125" s="19" t="s">
        <v>93</v>
      </c>
      <c r="C125" s="19" t="s">
        <v>165</v>
      </c>
      <c r="D125" s="19">
        <v>0</v>
      </c>
      <c r="E125" s="19">
        <v>0</v>
      </c>
      <c r="F125" s="19">
        <v>0</v>
      </c>
      <c r="G125" s="19">
        <v>41.13</v>
      </c>
    </row>
    <row r="126" spans="1:7" x14ac:dyDescent="0.25">
      <c r="A126" s="20">
        <v>44877</v>
      </c>
      <c r="B126" s="19" t="s">
        <v>20</v>
      </c>
      <c r="C126" s="19" t="s">
        <v>165</v>
      </c>
      <c r="D126" s="19">
        <v>0</v>
      </c>
      <c r="E126" s="19">
        <v>0</v>
      </c>
      <c r="F126" s="19">
        <v>0</v>
      </c>
      <c r="G126" s="19">
        <v>13.99</v>
      </c>
    </row>
    <row r="127" spans="1:7" x14ac:dyDescent="0.25">
      <c r="A127" s="20">
        <v>44877</v>
      </c>
      <c r="B127" s="19" t="s">
        <v>21</v>
      </c>
      <c r="C127" s="19" t="s">
        <v>165</v>
      </c>
      <c r="D127" s="19">
        <v>0</v>
      </c>
      <c r="E127" s="19">
        <v>0</v>
      </c>
      <c r="F127" s="19">
        <v>0</v>
      </c>
      <c r="G127" s="19">
        <v>12.29</v>
      </c>
    </row>
    <row r="128" spans="1:7" x14ac:dyDescent="0.25">
      <c r="A128" s="20">
        <v>44877</v>
      </c>
      <c r="B128" s="19" t="s">
        <v>22</v>
      </c>
      <c r="C128" s="19" t="s">
        <v>165</v>
      </c>
      <c r="D128" s="19">
        <v>0</v>
      </c>
      <c r="E128" s="19">
        <v>0</v>
      </c>
      <c r="F128" s="19">
        <v>0</v>
      </c>
      <c r="G128" s="19">
        <v>18.809999999999999</v>
      </c>
    </row>
    <row r="129" spans="1:7" x14ac:dyDescent="0.25">
      <c r="A129" s="20">
        <v>44877</v>
      </c>
      <c r="B129" s="19" t="s">
        <v>85</v>
      </c>
      <c r="C129" s="19" t="s">
        <v>165</v>
      </c>
      <c r="D129" s="19">
        <v>0</v>
      </c>
      <c r="E129" s="19">
        <v>0</v>
      </c>
      <c r="F129" s="19">
        <v>0</v>
      </c>
      <c r="G129" s="19">
        <v>12.8</v>
      </c>
    </row>
    <row r="130" spans="1:7" x14ac:dyDescent="0.25">
      <c r="A130" s="20">
        <v>44877</v>
      </c>
      <c r="B130" s="19" t="s">
        <v>23</v>
      </c>
      <c r="C130" s="19" t="s">
        <v>165</v>
      </c>
      <c r="D130" s="19">
        <v>0</v>
      </c>
      <c r="E130" s="19">
        <v>0</v>
      </c>
      <c r="F130" s="19">
        <v>0</v>
      </c>
      <c r="G130" s="19">
        <v>12.39</v>
      </c>
    </row>
    <row r="131" spans="1:7" x14ac:dyDescent="0.25">
      <c r="A131" s="20">
        <v>44877</v>
      </c>
      <c r="B131" s="19" t="s">
        <v>24</v>
      </c>
      <c r="C131" s="19" t="s">
        <v>166</v>
      </c>
      <c r="D131" s="19">
        <v>2236</v>
      </c>
      <c r="E131" s="19">
        <v>2273</v>
      </c>
      <c r="F131" s="19">
        <v>2287</v>
      </c>
      <c r="G131" s="19">
        <v>12.49</v>
      </c>
    </row>
    <row r="132" spans="1:7" x14ac:dyDescent="0.25">
      <c r="A132" s="20">
        <v>44877</v>
      </c>
      <c r="B132" s="19" t="s">
        <v>81</v>
      </c>
      <c r="C132" s="19" t="s">
        <v>165</v>
      </c>
      <c r="D132" s="19">
        <v>0</v>
      </c>
      <c r="E132" s="19">
        <v>0</v>
      </c>
      <c r="F132" s="19">
        <v>0</v>
      </c>
      <c r="G132" s="19">
        <v>13.1</v>
      </c>
    </row>
    <row r="133" spans="1:7" x14ac:dyDescent="0.25">
      <c r="A133" s="20">
        <v>44877</v>
      </c>
      <c r="B133" s="19" t="s">
        <v>25</v>
      </c>
      <c r="C133" s="19" t="s">
        <v>165</v>
      </c>
      <c r="D133" s="19">
        <v>0</v>
      </c>
      <c r="E133" s="19">
        <v>0</v>
      </c>
      <c r="F133" s="19">
        <v>0</v>
      </c>
      <c r="G133" s="19">
        <v>13.5</v>
      </c>
    </row>
    <row r="134" spans="1:7" x14ac:dyDescent="0.25">
      <c r="A134" s="20">
        <v>44877</v>
      </c>
      <c r="B134" s="19" t="s">
        <v>80</v>
      </c>
      <c r="C134" s="19" t="s">
        <v>165</v>
      </c>
      <c r="D134" s="19">
        <v>0</v>
      </c>
      <c r="E134" s="19">
        <v>0</v>
      </c>
      <c r="F134" s="19">
        <v>0</v>
      </c>
      <c r="G134" s="19">
        <v>14.8</v>
      </c>
    </row>
    <row r="135" spans="1:7" x14ac:dyDescent="0.25">
      <c r="A135" s="20">
        <v>44877</v>
      </c>
      <c r="B135" s="19" t="s">
        <v>26</v>
      </c>
      <c r="C135" s="19" t="s">
        <v>165</v>
      </c>
      <c r="D135" s="19">
        <v>0</v>
      </c>
      <c r="E135" s="19">
        <v>0</v>
      </c>
      <c r="F135" s="19">
        <v>0</v>
      </c>
      <c r="G135" s="19">
        <v>13.79</v>
      </c>
    </row>
    <row r="136" spans="1:7" x14ac:dyDescent="0.25">
      <c r="A136" s="20">
        <v>44877</v>
      </c>
      <c r="B136" s="19" t="s">
        <v>27</v>
      </c>
      <c r="C136" s="19" t="s">
        <v>165</v>
      </c>
      <c r="D136" s="19">
        <v>0</v>
      </c>
      <c r="E136" s="19">
        <v>0</v>
      </c>
      <c r="F136" s="19">
        <v>0</v>
      </c>
      <c r="G136" s="19">
        <v>12.49</v>
      </c>
    </row>
    <row r="137" spans="1:7" x14ac:dyDescent="0.25">
      <c r="A137" s="20">
        <v>44877</v>
      </c>
      <c r="B137" s="19" t="s">
        <v>28</v>
      </c>
      <c r="C137" s="19" t="s">
        <v>165</v>
      </c>
      <c r="D137" s="19">
        <v>0</v>
      </c>
      <c r="E137" s="19">
        <v>0</v>
      </c>
      <c r="F137" s="19">
        <v>0</v>
      </c>
      <c r="G137" s="19">
        <v>13.6</v>
      </c>
    </row>
    <row r="138" spans="1:7" x14ac:dyDescent="0.25">
      <c r="A138" s="20">
        <v>44877</v>
      </c>
      <c r="B138" s="19" t="s">
        <v>77</v>
      </c>
      <c r="C138" s="19" t="s">
        <v>165</v>
      </c>
      <c r="D138" s="19">
        <v>0</v>
      </c>
      <c r="E138" s="19">
        <v>0</v>
      </c>
      <c r="F138" s="19">
        <v>0</v>
      </c>
      <c r="G138" s="19">
        <v>14.79</v>
      </c>
    </row>
    <row r="139" spans="1:7" x14ac:dyDescent="0.25">
      <c r="A139" s="20">
        <v>44877</v>
      </c>
      <c r="B139" s="19" t="s">
        <v>29</v>
      </c>
      <c r="C139" s="19" t="s">
        <v>166</v>
      </c>
      <c r="D139" s="19">
        <v>1949</v>
      </c>
      <c r="E139" s="19">
        <v>1931</v>
      </c>
      <c r="F139" s="19">
        <v>1928</v>
      </c>
      <c r="G139" s="19">
        <v>14.79</v>
      </c>
    </row>
    <row r="140" spans="1:7" x14ac:dyDescent="0.25">
      <c r="A140" s="20">
        <v>44877</v>
      </c>
      <c r="B140" s="19" t="s">
        <v>30</v>
      </c>
      <c r="C140" s="19" t="s">
        <v>165</v>
      </c>
      <c r="D140" s="19">
        <v>0</v>
      </c>
      <c r="E140" s="19">
        <v>0</v>
      </c>
      <c r="F140" s="19">
        <v>0</v>
      </c>
      <c r="G140" s="19">
        <v>13.49</v>
      </c>
    </row>
    <row r="141" spans="1:7" x14ac:dyDescent="0.25">
      <c r="A141" s="20">
        <v>44877</v>
      </c>
      <c r="B141" s="19" t="s">
        <v>31</v>
      </c>
      <c r="C141" s="19" t="s">
        <v>165</v>
      </c>
      <c r="D141" s="19">
        <v>0</v>
      </c>
      <c r="E141" s="19">
        <v>0</v>
      </c>
      <c r="F141" s="19">
        <v>0</v>
      </c>
      <c r="G141" s="19">
        <v>13.5</v>
      </c>
    </row>
    <row r="142" spans="1:7" x14ac:dyDescent="0.25">
      <c r="A142" s="20">
        <v>44877</v>
      </c>
      <c r="B142" s="19" t="s">
        <v>32</v>
      </c>
      <c r="C142" s="19" t="s">
        <v>165</v>
      </c>
      <c r="D142" s="19">
        <v>0</v>
      </c>
      <c r="E142" s="19">
        <v>0</v>
      </c>
      <c r="F142" s="19">
        <v>0</v>
      </c>
      <c r="G142" s="19">
        <v>13.4</v>
      </c>
    </row>
    <row r="143" spans="1:7" x14ac:dyDescent="0.25">
      <c r="A143" s="20">
        <v>44877</v>
      </c>
      <c r="B143" s="19" t="s">
        <v>71</v>
      </c>
      <c r="C143" s="19" t="s">
        <v>165</v>
      </c>
      <c r="D143" s="19">
        <v>0</v>
      </c>
      <c r="E143" s="19">
        <v>0</v>
      </c>
      <c r="F143" s="19">
        <v>0</v>
      </c>
      <c r="G143" s="19">
        <v>12.89</v>
      </c>
    </row>
    <row r="144" spans="1:7" x14ac:dyDescent="0.25">
      <c r="A144" s="20">
        <v>44877</v>
      </c>
      <c r="B144" s="19" t="s">
        <v>33</v>
      </c>
      <c r="C144" s="19" t="s">
        <v>165</v>
      </c>
      <c r="D144" s="19">
        <v>0</v>
      </c>
      <c r="E144" s="19">
        <v>0</v>
      </c>
      <c r="F144" s="19">
        <v>0</v>
      </c>
      <c r="G144" s="19">
        <v>12</v>
      </c>
    </row>
    <row r="145" spans="1:7" x14ac:dyDescent="0.25">
      <c r="A145" s="20">
        <v>44877</v>
      </c>
      <c r="B145" s="19" t="s">
        <v>34</v>
      </c>
      <c r="C145" s="19" t="s">
        <v>165</v>
      </c>
      <c r="D145" s="19">
        <v>0</v>
      </c>
      <c r="E145" s="19">
        <v>0</v>
      </c>
      <c r="F145" s="19">
        <v>0</v>
      </c>
      <c r="G145" s="19">
        <v>14.89</v>
      </c>
    </row>
    <row r="146" spans="1:7" x14ac:dyDescent="0.25">
      <c r="A146" s="20">
        <v>44877</v>
      </c>
      <c r="B146" s="19" t="s">
        <v>35</v>
      </c>
      <c r="C146" s="19" t="s">
        <v>165</v>
      </c>
      <c r="D146" s="19">
        <v>0</v>
      </c>
      <c r="E146" s="19">
        <v>0</v>
      </c>
      <c r="F146" s="19">
        <v>0</v>
      </c>
      <c r="G146" s="19">
        <v>13.59</v>
      </c>
    </row>
    <row r="147" spans="1:7" x14ac:dyDescent="0.25">
      <c r="A147" s="20">
        <v>44877</v>
      </c>
      <c r="B147" s="19" t="s">
        <v>65</v>
      </c>
      <c r="C147" s="19" t="s">
        <v>165</v>
      </c>
      <c r="D147" s="19">
        <v>0</v>
      </c>
      <c r="E147" s="19">
        <v>0</v>
      </c>
      <c r="F147" s="19">
        <v>0</v>
      </c>
      <c r="G147" s="19">
        <v>17.23</v>
      </c>
    </row>
    <row r="148" spans="1:7" x14ac:dyDescent="0.25">
      <c r="A148" s="20">
        <v>44877</v>
      </c>
      <c r="B148" s="19" t="s">
        <v>36</v>
      </c>
      <c r="C148" s="19" t="s">
        <v>165</v>
      </c>
      <c r="D148" s="19">
        <v>0</v>
      </c>
      <c r="E148" s="19">
        <v>0</v>
      </c>
      <c r="F148" s="19">
        <v>0</v>
      </c>
      <c r="G148" s="19">
        <v>12.3</v>
      </c>
    </row>
    <row r="149" spans="1:7" x14ac:dyDescent="0.25">
      <c r="A149" s="20">
        <v>44877</v>
      </c>
      <c r="B149" s="19" t="s">
        <v>64</v>
      </c>
      <c r="C149" s="19" t="s">
        <v>165</v>
      </c>
      <c r="D149" s="19">
        <v>0</v>
      </c>
      <c r="E149" s="19">
        <v>0</v>
      </c>
      <c r="F149" s="19">
        <v>0</v>
      </c>
      <c r="G149" s="19">
        <v>0</v>
      </c>
    </row>
    <row r="150" spans="1:7" x14ac:dyDescent="0.25">
      <c r="A150" s="20">
        <v>44877</v>
      </c>
      <c r="B150" s="19" t="s">
        <v>37</v>
      </c>
      <c r="C150" s="19" t="s">
        <v>165</v>
      </c>
      <c r="D150" s="19">
        <v>0</v>
      </c>
      <c r="E150" s="19">
        <v>0</v>
      </c>
      <c r="F150" s="19">
        <v>0</v>
      </c>
      <c r="G150" s="19">
        <v>38.36</v>
      </c>
    </row>
    <row r="151" spans="1:7" x14ac:dyDescent="0.25">
      <c r="A151" s="20">
        <v>44877</v>
      </c>
      <c r="B151" s="19" t="s">
        <v>63</v>
      </c>
      <c r="C151" s="19" t="s">
        <v>165</v>
      </c>
      <c r="D151" s="19">
        <v>0</v>
      </c>
      <c r="E151" s="19">
        <v>0</v>
      </c>
      <c r="F151" s="19">
        <v>0</v>
      </c>
      <c r="G151" s="19">
        <v>12.89</v>
      </c>
    </row>
    <row r="152" spans="1:7" x14ac:dyDescent="0.25">
      <c r="A152" s="20">
        <v>44877</v>
      </c>
      <c r="B152" s="19" t="s">
        <v>59</v>
      </c>
      <c r="C152" s="19" t="s">
        <v>165</v>
      </c>
      <c r="D152" s="19">
        <v>0</v>
      </c>
      <c r="E152" s="19">
        <v>0</v>
      </c>
      <c r="F152" s="19">
        <v>0</v>
      </c>
      <c r="G152" s="19">
        <v>41.56</v>
      </c>
    </row>
    <row r="153" spans="1:7" x14ac:dyDescent="0.25">
      <c r="A153" s="20">
        <v>44877</v>
      </c>
      <c r="B153" s="19" t="s">
        <v>54</v>
      </c>
      <c r="C153" s="19" t="s">
        <v>165</v>
      </c>
      <c r="D153" s="19">
        <v>0</v>
      </c>
      <c r="E153" s="19">
        <v>0</v>
      </c>
      <c r="F153" s="19">
        <v>0</v>
      </c>
      <c r="G153" s="19">
        <v>21.96</v>
      </c>
    </row>
  </sheetData>
  <pageMargins left="0.7" right="0.7" top="0.75" bottom="0.75" header="0.3" footer="0.3"/>
  <ignoredErrors>
    <ignoredError sqref="I2" calculatedColumn="1"/>
  </ignoredErrors>
  <legacy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1504E8-A7F3-4C2E-91BF-BF888FB047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May</vt:lpstr>
      <vt:lpstr>June</vt:lpstr>
      <vt:lpstr>WholeDayAllCols</vt:lpstr>
      <vt:lpstr>Custom Data</vt:lpstr>
      <vt:lpstr>Custom Full</vt:lpstr>
      <vt:lpstr>ManualCpy</vt:lpstr>
    </vt:vector>
  </TitlesOfParts>
  <Company>Viva Media Packaging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Kong</dc:creator>
  <cp:lastModifiedBy>Nudam</cp:lastModifiedBy>
  <dcterms:created xsi:type="dcterms:W3CDTF">2022-05-11T20:12:40Z</dcterms:created>
  <dcterms:modified xsi:type="dcterms:W3CDTF">2022-11-16T13:34:30Z</dcterms:modified>
</cp:coreProperties>
</file>